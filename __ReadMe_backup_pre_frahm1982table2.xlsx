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3" documentId="11_556813AB160085CC76A58E25DC847FADFBD5E88D" xr6:coauthVersionLast="47" xr6:coauthVersionMax="47" xr10:uidLastSave="{5F70D711-00A3-5C44-90D5-0DD6D8061CD4}"/>
  <bookViews>
    <workbookView xWindow="36040" yWindow="-3380" windowWidth="34560" windowHeight="20260" xr2:uid="{00000000-000D-0000-FFFF-FFFF00000000}"/>
  </bookViews>
  <sheets>
    <sheet name="Sheet1" sheetId="1" r:id="rId1"/>
    <sheet name="Pipeline" sheetId="2" r:id="rId2"/>
    <sheet name="Conflicts" sheetId="3" r:id="rId3"/>
    <sheet name="File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5" i="1" l="1"/>
  <c r="L105" i="1" s="1"/>
  <c r="M105" i="1" s="1" a="1"/>
  <c r="M105" i="1" s="1"/>
  <c r="I105" i="1"/>
  <c r="H105" i="1"/>
  <c r="G105" i="1"/>
  <c r="F105" i="1" s="1"/>
  <c r="K105" i="1" s="1"/>
  <c r="E105" i="1"/>
  <c r="J104" i="1"/>
  <c r="L104" i="1" s="1"/>
  <c r="M104" i="1" s="1" a="1"/>
  <c r="M104" i="1" s="1"/>
  <c r="I104" i="1"/>
  <c r="H104" i="1"/>
  <c r="G104" i="1"/>
  <c r="F104" i="1" s="1"/>
  <c r="K104" i="1" s="1"/>
  <c r="E104" i="1"/>
  <c r="J92" i="1"/>
  <c r="L92" i="1" s="1"/>
  <c r="M92" i="1" s="1" a="1"/>
  <c r="M92" i="1" s="1"/>
  <c r="I92" i="1"/>
  <c r="H92" i="1"/>
  <c r="G92" i="1"/>
  <c r="E92" i="1"/>
  <c r="L76" i="1"/>
  <c r="M76" i="1" s="1" a="1"/>
  <c r="M76" i="1" s="1"/>
  <c r="J76" i="1"/>
  <c r="I76" i="1"/>
  <c r="H76" i="1"/>
  <c r="G76" i="1"/>
  <c r="E76" i="1"/>
  <c r="J74" i="1"/>
  <c r="L74" i="1" s="1"/>
  <c r="M74" i="1" s="1" a="1"/>
  <c r="M74" i="1" s="1"/>
  <c r="I74" i="1"/>
  <c r="H74" i="1"/>
  <c r="G74" i="1"/>
  <c r="E74" i="1"/>
  <c r="J19" i="1"/>
  <c r="L19" i="1" s="1"/>
  <c r="M19" i="1" s="1" a="1"/>
  <c r="M19" i="1" s="1"/>
  <c r="I19" i="1"/>
  <c r="H19" i="1"/>
  <c r="G19" i="1"/>
  <c r="E19" i="1"/>
  <c r="J89" i="1"/>
  <c r="L89" i="1" s="1"/>
  <c r="M89" i="1" s="1" a="1"/>
  <c r="M89" i="1" s="1"/>
  <c r="I89" i="1"/>
  <c r="H89" i="1"/>
  <c r="G89" i="1"/>
  <c r="E89" i="1"/>
  <c r="J9" i="1"/>
  <c r="L9" i="1" s="1"/>
  <c r="M9" i="1" s="1" a="1"/>
  <c r="M9" i="1" s="1"/>
  <c r="I9" i="1"/>
  <c r="H9" i="1"/>
  <c r="G9" i="1"/>
  <c r="E9" i="1"/>
  <c r="J20" i="1"/>
  <c r="L20" i="1" s="1"/>
  <c r="M20" i="1" s="1" a="1"/>
  <c r="M20" i="1" s="1"/>
  <c r="I20" i="1"/>
  <c r="H20" i="1"/>
  <c r="G20" i="1"/>
  <c r="E20" i="1"/>
  <c r="J21" i="1"/>
  <c r="L21" i="1" s="1"/>
  <c r="M21" i="1" s="1" a="1"/>
  <c r="M21" i="1" s="1"/>
  <c r="I21" i="1"/>
  <c r="H21" i="1"/>
  <c r="G21" i="1"/>
  <c r="E21" i="1"/>
  <c r="L37" i="1"/>
  <c r="M37" i="1" s="1" a="1"/>
  <c r="M37" i="1" s="1"/>
  <c r="J37" i="1"/>
  <c r="I37" i="1"/>
  <c r="H37" i="1"/>
  <c r="G37" i="1"/>
  <c r="F37" i="1" s="1"/>
  <c r="K37" i="1" s="1"/>
  <c r="E37" i="1"/>
  <c r="L34" i="1"/>
  <c r="M34" i="1" s="1" a="1"/>
  <c r="M34" i="1" s="1"/>
  <c r="J34" i="1"/>
  <c r="I34" i="1"/>
  <c r="H34" i="1"/>
  <c r="G34" i="1"/>
  <c r="E34" i="1"/>
  <c r="L33" i="1"/>
  <c r="M33" i="1" s="1" a="1"/>
  <c r="M33" i="1" s="1"/>
  <c r="J33" i="1"/>
  <c r="I33" i="1"/>
  <c r="H33" i="1"/>
  <c r="G33" i="1"/>
  <c r="E33" i="1"/>
  <c r="J85" i="1"/>
  <c r="L85" i="1" s="1"/>
  <c r="M85" i="1" s="1" a="1"/>
  <c r="M85" i="1" s="1"/>
  <c r="I85" i="1"/>
  <c r="H85" i="1"/>
  <c r="G85" i="1"/>
  <c r="E85" i="1"/>
  <c r="J98" i="1"/>
  <c r="L98" i="1" s="1"/>
  <c r="M98" i="1" s="1" a="1"/>
  <c r="M98" i="1" s="1"/>
  <c r="I98" i="1"/>
  <c r="H98" i="1"/>
  <c r="G98" i="1"/>
  <c r="E98" i="1"/>
  <c r="L8" i="1"/>
  <c r="M8" i="1" s="1" a="1"/>
  <c r="M8" i="1" s="1"/>
  <c r="J8" i="1"/>
  <c r="I8" i="1"/>
  <c r="H8" i="1"/>
  <c r="G8" i="1"/>
  <c r="E8" i="1"/>
  <c r="L97" i="1"/>
  <c r="M97" i="1" s="1" a="1"/>
  <c r="M97" i="1" s="1"/>
  <c r="J97" i="1"/>
  <c r="I97" i="1"/>
  <c r="H97" i="1"/>
  <c r="G97" i="1"/>
  <c r="E97" i="1"/>
  <c r="L35" i="1"/>
  <c r="M35" i="1" s="1" a="1"/>
  <c r="M35" i="1" s="1"/>
  <c r="J35" i="1"/>
  <c r="I35" i="1"/>
  <c r="H35" i="1"/>
  <c r="G35" i="1"/>
  <c r="E35" i="1"/>
  <c r="L96" i="1"/>
  <c r="M96" i="1" s="1" a="1"/>
  <c r="M96" i="1" s="1"/>
  <c r="J96" i="1"/>
  <c r="I96" i="1"/>
  <c r="H96" i="1"/>
  <c r="G96" i="1"/>
  <c r="E96" i="1"/>
  <c r="L95" i="1"/>
  <c r="M95" i="1" s="1" a="1"/>
  <c r="M95" i="1" s="1"/>
  <c r="J95" i="1"/>
  <c r="I95" i="1"/>
  <c r="H95" i="1"/>
  <c r="G95" i="1"/>
  <c r="E95" i="1"/>
  <c r="L36" i="1"/>
  <c r="M36" i="1" s="1" a="1"/>
  <c r="M36" i="1" s="1"/>
  <c r="J36" i="1"/>
  <c r="I36" i="1"/>
  <c r="H36" i="1"/>
  <c r="G36" i="1"/>
  <c r="E36" i="1"/>
  <c r="L5" i="1"/>
  <c r="M5" i="1" s="1" a="1"/>
  <c r="M5" i="1" s="1"/>
  <c r="J5" i="1"/>
  <c r="I5" i="1"/>
  <c r="H5" i="1"/>
  <c r="G5" i="1"/>
  <c r="E5" i="1"/>
  <c r="T103" i="1"/>
  <c r="J103" i="1"/>
  <c r="L103" i="1" s="1"/>
  <c r="M103" i="1" s="1" a="1"/>
  <c r="M103" i="1" s="1"/>
  <c r="I103" i="1"/>
  <c r="H103" i="1"/>
  <c r="G103" i="1"/>
  <c r="F103" i="1" s="1"/>
  <c r="K103" i="1" s="1"/>
  <c r="E103" i="1"/>
  <c r="T102" i="1"/>
  <c r="J102" i="1"/>
  <c r="L102" i="1" s="1"/>
  <c r="M102" i="1" s="1" a="1"/>
  <c r="M102" i="1" s="1"/>
  <c r="I102" i="1"/>
  <c r="H102" i="1"/>
  <c r="G102" i="1"/>
  <c r="E102" i="1"/>
  <c r="J101" i="1"/>
  <c r="L101" i="1" s="1"/>
  <c r="M101" i="1" s="1" a="1"/>
  <c r="M101" i="1" s="1"/>
  <c r="I101" i="1"/>
  <c r="H101" i="1"/>
  <c r="G101" i="1"/>
  <c r="E101" i="1"/>
  <c r="J100" i="1"/>
  <c r="L100" i="1" s="1"/>
  <c r="M100" i="1" s="1" a="1"/>
  <c r="M100" i="1" s="1"/>
  <c r="I100" i="1"/>
  <c r="H100" i="1"/>
  <c r="G100" i="1"/>
  <c r="E100" i="1"/>
  <c r="J99" i="1"/>
  <c r="L99" i="1" s="1"/>
  <c r="M99" i="1" s="1" a="1"/>
  <c r="M99" i="1" s="1"/>
  <c r="I99" i="1"/>
  <c r="H99" i="1"/>
  <c r="G99" i="1"/>
  <c r="E99" i="1"/>
  <c r="J94" i="1"/>
  <c r="L94" i="1" s="1"/>
  <c r="M94" i="1" s="1" a="1"/>
  <c r="M94" i="1" s="1"/>
  <c r="I94" i="1"/>
  <c r="H94" i="1"/>
  <c r="G94" i="1"/>
  <c r="E94" i="1"/>
  <c r="J93" i="1"/>
  <c r="L93" i="1" s="1"/>
  <c r="M93" i="1" s="1" a="1"/>
  <c r="M93" i="1" s="1"/>
  <c r="I93" i="1"/>
  <c r="H93" i="1"/>
  <c r="G93" i="1"/>
  <c r="E93" i="1"/>
  <c r="T91" i="1"/>
  <c r="J91" i="1"/>
  <c r="L91" i="1" s="1"/>
  <c r="M91" i="1" s="1" a="1"/>
  <c r="M91" i="1" s="1"/>
  <c r="I91" i="1"/>
  <c r="H91" i="1"/>
  <c r="G91" i="1"/>
  <c r="F91" i="1" s="1"/>
  <c r="K91" i="1" s="1"/>
  <c r="E91" i="1"/>
  <c r="T90" i="1"/>
  <c r="L90" i="1"/>
  <c r="M90" i="1" s="1" a="1"/>
  <c r="M90" i="1" s="1"/>
  <c r="J90" i="1"/>
  <c r="I90" i="1"/>
  <c r="H90" i="1"/>
  <c r="G90" i="1"/>
  <c r="E90" i="1"/>
  <c r="T88" i="1"/>
  <c r="L88" i="1"/>
  <c r="M88" i="1" s="1" a="1"/>
  <c r="M88" i="1" s="1"/>
  <c r="J88" i="1"/>
  <c r="I88" i="1"/>
  <c r="H88" i="1"/>
  <c r="G88" i="1"/>
  <c r="E88" i="1"/>
  <c r="J87" i="1"/>
  <c r="L87" i="1" s="1"/>
  <c r="M87" i="1" s="1" a="1"/>
  <c r="M87" i="1" s="1"/>
  <c r="I87" i="1"/>
  <c r="H87" i="1"/>
  <c r="G87" i="1"/>
  <c r="E87" i="1"/>
  <c r="J86" i="1"/>
  <c r="L86" i="1" s="1"/>
  <c r="M86" i="1" s="1" a="1"/>
  <c r="M86" i="1" s="1"/>
  <c r="I86" i="1"/>
  <c r="H86" i="1"/>
  <c r="G86" i="1"/>
  <c r="E86" i="1"/>
  <c r="T84" i="1"/>
  <c r="J84" i="1"/>
  <c r="L84" i="1" s="1"/>
  <c r="M84" i="1" s="1" a="1"/>
  <c r="M84" i="1" s="1"/>
  <c r="I84" i="1"/>
  <c r="H84" i="1"/>
  <c r="G84" i="1"/>
  <c r="E84" i="1"/>
  <c r="J83" i="1"/>
  <c r="L83" i="1" s="1"/>
  <c r="M83" i="1" s="1" a="1"/>
  <c r="M83" i="1" s="1"/>
  <c r="I83" i="1"/>
  <c r="H83" i="1"/>
  <c r="G83" i="1"/>
  <c r="E83" i="1"/>
  <c r="J82" i="1"/>
  <c r="L82" i="1" s="1"/>
  <c r="M82" i="1" s="1" a="1"/>
  <c r="M82" i="1" s="1"/>
  <c r="I82" i="1"/>
  <c r="H82" i="1"/>
  <c r="F82" i="1" s="1"/>
  <c r="K82" i="1" s="1"/>
  <c r="G82" i="1"/>
  <c r="E82" i="1"/>
  <c r="J81" i="1"/>
  <c r="L81" i="1" s="1"/>
  <c r="M81" i="1" s="1" a="1"/>
  <c r="M81" i="1" s="1"/>
  <c r="I81" i="1"/>
  <c r="H81" i="1"/>
  <c r="G81" i="1"/>
  <c r="E81" i="1"/>
  <c r="J80" i="1"/>
  <c r="L80" i="1" s="1"/>
  <c r="M80" i="1" s="1" a="1"/>
  <c r="M80" i="1" s="1"/>
  <c r="I80" i="1"/>
  <c r="H80" i="1"/>
  <c r="G80" i="1"/>
  <c r="E80" i="1"/>
  <c r="J79" i="1"/>
  <c r="L79" i="1" s="1"/>
  <c r="M79" i="1" s="1" a="1"/>
  <c r="M79" i="1" s="1"/>
  <c r="I79" i="1"/>
  <c r="H79" i="1"/>
  <c r="F79" i="1" s="1"/>
  <c r="K79" i="1" s="1"/>
  <c r="G79" i="1"/>
  <c r="E79" i="1"/>
  <c r="J78" i="1"/>
  <c r="L78" i="1" s="1"/>
  <c r="M78" i="1" s="1" a="1"/>
  <c r="M78" i="1" s="1"/>
  <c r="I78" i="1"/>
  <c r="H78" i="1"/>
  <c r="F78" i="1" s="1"/>
  <c r="K78" i="1" s="1"/>
  <c r="G78" i="1"/>
  <c r="E78" i="1"/>
  <c r="J77" i="1"/>
  <c r="L77" i="1" s="1"/>
  <c r="M77" i="1" s="1" a="1"/>
  <c r="M77" i="1" s="1"/>
  <c r="I77" i="1"/>
  <c r="H77" i="1"/>
  <c r="G77" i="1"/>
  <c r="E77" i="1"/>
  <c r="J75" i="1"/>
  <c r="L75" i="1" s="1"/>
  <c r="M75" i="1" s="1" a="1"/>
  <c r="M75" i="1" s="1"/>
  <c r="I75" i="1"/>
  <c r="H75" i="1"/>
  <c r="F75" i="1" s="1"/>
  <c r="K75" i="1" s="1"/>
  <c r="G75" i="1"/>
  <c r="E75" i="1"/>
  <c r="J73" i="1"/>
  <c r="L73" i="1" s="1"/>
  <c r="M73" i="1" s="1" a="1"/>
  <c r="M73" i="1" s="1"/>
  <c r="I73" i="1"/>
  <c r="H73" i="1"/>
  <c r="F73" i="1" s="1"/>
  <c r="K73" i="1" s="1"/>
  <c r="G73" i="1"/>
  <c r="E73" i="1"/>
  <c r="M72" i="1" a="1"/>
  <c r="M72" i="1" s="1"/>
  <c r="J72" i="1"/>
  <c r="L72" i="1" s="1"/>
  <c r="I72" i="1"/>
  <c r="H72" i="1"/>
  <c r="G72" i="1"/>
  <c r="E72" i="1"/>
  <c r="T69" i="1"/>
  <c r="J69" i="1"/>
  <c r="L69" i="1" s="1"/>
  <c r="M69" i="1" s="1" a="1"/>
  <c r="M69" i="1" s="1"/>
  <c r="I69" i="1"/>
  <c r="H69" i="1"/>
  <c r="G69" i="1"/>
  <c r="E69" i="1"/>
  <c r="T68" i="1"/>
  <c r="J68" i="1"/>
  <c r="L68" i="1" s="1"/>
  <c r="M68" i="1" s="1" a="1"/>
  <c r="M68" i="1" s="1"/>
  <c r="I68" i="1"/>
  <c r="H68" i="1"/>
  <c r="G68" i="1"/>
  <c r="F68" i="1"/>
  <c r="K68" i="1" s="1"/>
  <c r="E68" i="1"/>
  <c r="T67" i="1"/>
  <c r="L67" i="1"/>
  <c r="M67" i="1" s="1" a="1"/>
  <c r="M67" i="1" s="1"/>
  <c r="J67" i="1"/>
  <c r="I67" i="1"/>
  <c r="H67" i="1"/>
  <c r="G67" i="1"/>
  <c r="E67" i="1"/>
  <c r="T66" i="1"/>
  <c r="J66" i="1"/>
  <c r="L66" i="1" s="1"/>
  <c r="M66" i="1" s="1" a="1"/>
  <c r="M66" i="1" s="1"/>
  <c r="I66" i="1"/>
  <c r="H66" i="1"/>
  <c r="G66" i="1"/>
  <c r="E66" i="1"/>
  <c r="L71" i="1"/>
  <c r="M71" i="1" s="1" a="1"/>
  <c r="M71" i="1" s="1"/>
  <c r="J71" i="1"/>
  <c r="I71" i="1"/>
  <c r="H71" i="1"/>
  <c r="G71" i="1"/>
  <c r="E71" i="1"/>
  <c r="L70" i="1"/>
  <c r="M70" i="1" s="1" a="1"/>
  <c r="M70" i="1" s="1"/>
  <c r="J70" i="1"/>
  <c r="I70" i="1"/>
  <c r="H70" i="1"/>
  <c r="G70" i="1"/>
  <c r="E70" i="1"/>
  <c r="L65" i="1"/>
  <c r="M65" i="1" s="1" a="1"/>
  <c r="M65" i="1" s="1"/>
  <c r="J65" i="1"/>
  <c r="I65" i="1"/>
  <c r="H65" i="1"/>
  <c r="G65" i="1"/>
  <c r="E65" i="1"/>
  <c r="L64" i="1"/>
  <c r="M64" i="1" s="1" a="1"/>
  <c r="M64" i="1" s="1"/>
  <c r="J64" i="1"/>
  <c r="I64" i="1"/>
  <c r="H64" i="1"/>
  <c r="G64" i="1"/>
  <c r="E64" i="1"/>
  <c r="J63" i="1"/>
  <c r="L63" i="1" s="1"/>
  <c r="M63" i="1" s="1" a="1"/>
  <c r="M63" i="1" s="1"/>
  <c r="I63" i="1"/>
  <c r="H63" i="1"/>
  <c r="G63" i="1"/>
  <c r="E63" i="1"/>
  <c r="L62" i="1"/>
  <c r="M62" i="1" s="1" a="1"/>
  <c r="M62" i="1" s="1"/>
  <c r="J62" i="1"/>
  <c r="I62" i="1"/>
  <c r="H62" i="1"/>
  <c r="G62" i="1"/>
  <c r="E62" i="1"/>
  <c r="L61" i="1"/>
  <c r="M61" i="1" s="1" a="1"/>
  <c r="M61" i="1" s="1"/>
  <c r="J61" i="1"/>
  <c r="I61" i="1"/>
  <c r="H61" i="1"/>
  <c r="G61" i="1"/>
  <c r="E61" i="1"/>
  <c r="L60" i="1"/>
  <c r="M60" i="1" s="1" a="1"/>
  <c r="M60" i="1" s="1"/>
  <c r="J60" i="1"/>
  <c r="I60" i="1"/>
  <c r="H60" i="1"/>
  <c r="G60" i="1"/>
  <c r="E60" i="1"/>
  <c r="L56" i="1"/>
  <c r="M56" i="1" s="1" a="1"/>
  <c r="M56" i="1" s="1"/>
  <c r="J56" i="1"/>
  <c r="I56" i="1"/>
  <c r="H56" i="1"/>
  <c r="G56" i="1"/>
  <c r="F56" i="1" s="1"/>
  <c r="K56" i="1" s="1"/>
  <c r="E56" i="1"/>
  <c r="J55" i="1"/>
  <c r="L55" i="1" s="1"/>
  <c r="M55" i="1" s="1" a="1"/>
  <c r="M55" i="1" s="1"/>
  <c r="I55" i="1"/>
  <c r="H55" i="1"/>
  <c r="G55" i="1"/>
  <c r="E55" i="1"/>
  <c r="L54" i="1"/>
  <c r="M54" i="1" s="1" a="1"/>
  <c r="M54" i="1" s="1"/>
  <c r="J54" i="1"/>
  <c r="I54" i="1"/>
  <c r="H54" i="1"/>
  <c r="G54" i="1"/>
  <c r="E54" i="1"/>
  <c r="J53" i="1"/>
  <c r="L53" i="1" s="1"/>
  <c r="M53" i="1" s="1" a="1"/>
  <c r="M53" i="1" s="1"/>
  <c r="I53" i="1"/>
  <c r="H53" i="1"/>
  <c r="G53" i="1"/>
  <c r="E53" i="1"/>
  <c r="L52" i="1"/>
  <c r="M52" i="1" s="1" a="1"/>
  <c r="M52" i="1" s="1"/>
  <c r="J52" i="1"/>
  <c r="I52" i="1"/>
  <c r="H52" i="1"/>
  <c r="G52" i="1"/>
  <c r="E52" i="1"/>
  <c r="L51" i="1"/>
  <c r="M51" i="1" s="1" a="1"/>
  <c r="M51" i="1" s="1"/>
  <c r="J51" i="1"/>
  <c r="I51" i="1"/>
  <c r="H51" i="1"/>
  <c r="G51" i="1"/>
  <c r="E51" i="1"/>
  <c r="J50" i="1"/>
  <c r="L50" i="1" s="1"/>
  <c r="M50" i="1" s="1" a="1"/>
  <c r="M50" i="1" s="1"/>
  <c r="I50" i="1"/>
  <c r="H50" i="1"/>
  <c r="G50" i="1"/>
  <c r="E50" i="1"/>
  <c r="L59" i="1"/>
  <c r="M59" i="1" s="1" a="1"/>
  <c r="M59" i="1" s="1"/>
  <c r="J59" i="1"/>
  <c r="I59" i="1"/>
  <c r="H59" i="1"/>
  <c r="G59" i="1"/>
  <c r="E59" i="1"/>
  <c r="L58" i="1"/>
  <c r="M58" i="1" s="1" a="1"/>
  <c r="M58" i="1" s="1"/>
  <c r="J58" i="1"/>
  <c r="I58" i="1"/>
  <c r="H58" i="1"/>
  <c r="G58" i="1"/>
  <c r="E58" i="1"/>
  <c r="J57" i="1"/>
  <c r="L57" i="1" s="1"/>
  <c r="M57" i="1" s="1" a="1"/>
  <c r="M57" i="1" s="1"/>
  <c r="I57" i="1"/>
  <c r="H57" i="1"/>
  <c r="G57" i="1"/>
  <c r="E57" i="1"/>
  <c r="L49" i="1"/>
  <c r="M49" i="1" s="1" a="1"/>
  <c r="M49" i="1" s="1"/>
  <c r="J49" i="1"/>
  <c r="I49" i="1"/>
  <c r="H49" i="1"/>
  <c r="G49" i="1"/>
  <c r="F49" i="1" s="1"/>
  <c r="K49" i="1" s="1"/>
  <c r="E49" i="1"/>
  <c r="J48" i="1"/>
  <c r="L48" i="1" s="1"/>
  <c r="M48" i="1" s="1" a="1"/>
  <c r="M48" i="1" s="1"/>
  <c r="I48" i="1"/>
  <c r="H48" i="1"/>
  <c r="G48" i="1"/>
  <c r="E48" i="1"/>
  <c r="T47" i="1"/>
  <c r="J47" i="1"/>
  <c r="L47" i="1" s="1"/>
  <c r="M47" i="1" s="1" a="1"/>
  <c r="M47" i="1" s="1"/>
  <c r="I47" i="1"/>
  <c r="H47" i="1"/>
  <c r="F47" i="1" s="1"/>
  <c r="K47" i="1" s="1"/>
  <c r="G47" i="1"/>
  <c r="E47" i="1"/>
  <c r="L46" i="1"/>
  <c r="M46" i="1" s="1" a="1"/>
  <c r="M46" i="1" s="1"/>
  <c r="J46" i="1"/>
  <c r="I46" i="1"/>
  <c r="H46" i="1"/>
  <c r="G46" i="1"/>
  <c r="F46" i="1"/>
  <c r="K46" i="1" s="1"/>
  <c r="E46" i="1"/>
  <c r="T44" i="1"/>
  <c r="J44" i="1"/>
  <c r="L44" i="1" s="1"/>
  <c r="M44" i="1" s="1" a="1"/>
  <c r="M44" i="1" s="1"/>
  <c r="I44" i="1"/>
  <c r="H44" i="1"/>
  <c r="F44" i="1" s="1"/>
  <c r="K44" i="1" s="1"/>
  <c r="G44" i="1"/>
  <c r="E44" i="1"/>
  <c r="J45" i="1"/>
  <c r="L45" i="1" s="1"/>
  <c r="M45" i="1" s="1" a="1"/>
  <c r="M45" i="1" s="1"/>
  <c r="I45" i="1"/>
  <c r="H45" i="1"/>
  <c r="G45" i="1"/>
  <c r="F45" i="1"/>
  <c r="K45" i="1" s="1"/>
  <c r="E45" i="1"/>
  <c r="J43" i="1"/>
  <c r="L43" i="1" s="1"/>
  <c r="M43" i="1" s="1" a="1"/>
  <c r="M43" i="1" s="1"/>
  <c r="I43" i="1"/>
  <c r="H43" i="1"/>
  <c r="G43" i="1"/>
  <c r="F43" i="1" s="1"/>
  <c r="K43" i="1" s="1"/>
  <c r="E43" i="1"/>
  <c r="J42" i="1"/>
  <c r="L42" i="1" s="1"/>
  <c r="M42" i="1" s="1" a="1"/>
  <c r="M42" i="1" s="1"/>
  <c r="I42" i="1"/>
  <c r="H42" i="1"/>
  <c r="G42" i="1"/>
  <c r="E42" i="1"/>
  <c r="J41" i="1"/>
  <c r="L41" i="1" s="1"/>
  <c r="M41" i="1" s="1" a="1"/>
  <c r="M41" i="1" s="1"/>
  <c r="I41" i="1"/>
  <c r="H41" i="1"/>
  <c r="G41" i="1"/>
  <c r="F41" i="1" s="1"/>
  <c r="K41" i="1" s="1"/>
  <c r="E41" i="1"/>
  <c r="L40" i="1"/>
  <c r="M40" i="1" s="1" a="1"/>
  <c r="M40" i="1" s="1"/>
  <c r="J40" i="1"/>
  <c r="I40" i="1"/>
  <c r="H40" i="1"/>
  <c r="F40" i="1" s="1"/>
  <c r="K40" i="1" s="1"/>
  <c r="G40" i="1"/>
  <c r="E40" i="1"/>
  <c r="J39" i="1"/>
  <c r="L39" i="1" s="1"/>
  <c r="M39" i="1" s="1" a="1"/>
  <c r="M39" i="1" s="1"/>
  <c r="I39" i="1"/>
  <c r="H39" i="1"/>
  <c r="G39" i="1"/>
  <c r="E39" i="1"/>
  <c r="J38" i="1"/>
  <c r="L38" i="1" s="1"/>
  <c r="M38" i="1" s="1" a="1"/>
  <c r="M38" i="1" s="1"/>
  <c r="I38" i="1"/>
  <c r="H38" i="1"/>
  <c r="F38" i="1" s="1"/>
  <c r="K38" i="1" s="1"/>
  <c r="G38" i="1"/>
  <c r="E38" i="1"/>
  <c r="J32" i="1"/>
  <c r="L32" i="1" s="1"/>
  <c r="M32" i="1" s="1" a="1"/>
  <c r="M32" i="1" s="1"/>
  <c r="I32" i="1"/>
  <c r="H32" i="1"/>
  <c r="G32" i="1"/>
  <c r="F32" i="1"/>
  <c r="K32" i="1" s="1"/>
  <c r="E32" i="1"/>
  <c r="L31" i="1"/>
  <c r="M31" i="1" s="1" a="1"/>
  <c r="M31" i="1" s="1"/>
  <c r="J31" i="1"/>
  <c r="I31" i="1"/>
  <c r="H31" i="1"/>
  <c r="G31" i="1"/>
  <c r="F31" i="1" s="1"/>
  <c r="K31" i="1" s="1"/>
  <c r="E31" i="1"/>
  <c r="J30" i="1"/>
  <c r="L30" i="1" s="1"/>
  <c r="M30" i="1" s="1" a="1"/>
  <c r="M30" i="1" s="1"/>
  <c r="I30" i="1"/>
  <c r="H30" i="1"/>
  <c r="F30" i="1" s="1"/>
  <c r="K30" i="1" s="1"/>
  <c r="G30" i="1"/>
  <c r="E30" i="1"/>
  <c r="J29" i="1"/>
  <c r="L29" i="1" s="1"/>
  <c r="M29" i="1" s="1" a="1"/>
  <c r="M29" i="1" s="1"/>
  <c r="I29" i="1"/>
  <c r="H29" i="1"/>
  <c r="G29" i="1"/>
  <c r="F29" i="1"/>
  <c r="K29" i="1" s="1"/>
  <c r="E29" i="1"/>
  <c r="J27" i="1"/>
  <c r="L27" i="1" s="1"/>
  <c r="M27" i="1" s="1" a="1"/>
  <c r="M27" i="1" s="1"/>
  <c r="I27" i="1"/>
  <c r="H27" i="1"/>
  <c r="G27" i="1"/>
  <c r="F27" i="1" s="1"/>
  <c r="K27" i="1" s="1"/>
  <c r="E27" i="1"/>
  <c r="J26" i="1"/>
  <c r="L26" i="1" s="1"/>
  <c r="M26" i="1" s="1" a="1"/>
  <c r="M26" i="1" s="1"/>
  <c r="I26" i="1"/>
  <c r="H26" i="1"/>
  <c r="G26" i="1"/>
  <c r="E26" i="1"/>
  <c r="J28" i="1"/>
  <c r="L28" i="1" s="1"/>
  <c r="M28" i="1" s="1" a="1"/>
  <c r="M28" i="1" s="1"/>
  <c r="I28" i="1"/>
  <c r="H28" i="1"/>
  <c r="G28" i="1"/>
  <c r="F28" i="1" s="1"/>
  <c r="K28" i="1" s="1"/>
  <c r="E28" i="1"/>
  <c r="J25" i="1"/>
  <c r="L25" i="1" s="1"/>
  <c r="M25" i="1" s="1" a="1"/>
  <c r="M25" i="1" s="1"/>
  <c r="I25" i="1"/>
  <c r="H25" i="1"/>
  <c r="F25" i="1" s="1"/>
  <c r="K25" i="1" s="1"/>
  <c r="G25" i="1"/>
  <c r="E25" i="1"/>
  <c r="J24" i="1"/>
  <c r="L24" i="1" s="1"/>
  <c r="M24" i="1" s="1" a="1"/>
  <c r="M24" i="1" s="1"/>
  <c r="I24" i="1"/>
  <c r="H24" i="1"/>
  <c r="G24" i="1"/>
  <c r="E24" i="1"/>
  <c r="J23" i="1"/>
  <c r="L23" i="1" s="1"/>
  <c r="M23" i="1" s="1" a="1"/>
  <c r="M23" i="1" s="1"/>
  <c r="I23" i="1"/>
  <c r="H23" i="1"/>
  <c r="F23" i="1" s="1"/>
  <c r="K23" i="1" s="1"/>
  <c r="G23" i="1"/>
  <c r="E23" i="1"/>
  <c r="J22" i="1"/>
  <c r="L22" i="1" s="1"/>
  <c r="M22" i="1" s="1" a="1"/>
  <c r="M22" i="1" s="1"/>
  <c r="I22" i="1"/>
  <c r="H22" i="1"/>
  <c r="G22" i="1"/>
  <c r="F22" i="1"/>
  <c r="K22" i="1" s="1"/>
  <c r="E22" i="1"/>
  <c r="L18" i="1"/>
  <c r="M18" i="1" s="1" a="1"/>
  <c r="M18" i="1" s="1"/>
  <c r="J18" i="1"/>
  <c r="I18" i="1"/>
  <c r="H18" i="1"/>
  <c r="G18" i="1"/>
  <c r="F18" i="1" s="1"/>
  <c r="K18" i="1" s="1"/>
  <c r="E18" i="1"/>
  <c r="T17" i="1"/>
  <c r="J17" i="1"/>
  <c r="L17" i="1" s="1"/>
  <c r="M17" i="1" s="1" a="1"/>
  <c r="M17" i="1" s="1"/>
  <c r="I17" i="1"/>
  <c r="H17" i="1"/>
  <c r="G17" i="1"/>
  <c r="E17" i="1"/>
  <c r="J16" i="1"/>
  <c r="L16" i="1" s="1"/>
  <c r="M16" i="1" s="1" a="1"/>
  <c r="M16" i="1" s="1"/>
  <c r="I16" i="1"/>
  <c r="H16" i="1"/>
  <c r="G16" i="1"/>
  <c r="F16" i="1"/>
  <c r="K16" i="1" s="1"/>
  <c r="E16" i="1"/>
  <c r="J15" i="1"/>
  <c r="L15" i="1" s="1"/>
  <c r="M15" i="1" s="1" a="1"/>
  <c r="M15" i="1" s="1"/>
  <c r="I15" i="1"/>
  <c r="H15" i="1"/>
  <c r="G15" i="1"/>
  <c r="F15" i="1"/>
  <c r="K15" i="1" s="1"/>
  <c r="E15" i="1"/>
  <c r="T14" i="1"/>
  <c r="J14" i="1"/>
  <c r="L14" i="1" s="1"/>
  <c r="M14" i="1" s="1" a="1"/>
  <c r="M14" i="1" s="1"/>
  <c r="I14" i="1"/>
  <c r="H14" i="1"/>
  <c r="G14" i="1"/>
  <c r="F14" i="1"/>
  <c r="K14" i="1" s="1"/>
  <c r="E14" i="1"/>
  <c r="L13" i="1"/>
  <c r="M13" i="1" s="1" a="1"/>
  <c r="M13" i="1" s="1"/>
  <c r="J13" i="1"/>
  <c r="I13" i="1"/>
  <c r="H13" i="1"/>
  <c r="G13" i="1"/>
  <c r="F13" i="1"/>
  <c r="K13" i="1" s="1"/>
  <c r="E13" i="1"/>
  <c r="J12" i="1"/>
  <c r="L12" i="1" s="1"/>
  <c r="M12" i="1" s="1" a="1"/>
  <c r="M12" i="1" s="1"/>
  <c r="I12" i="1"/>
  <c r="H12" i="1"/>
  <c r="G12" i="1"/>
  <c r="F12" i="1"/>
  <c r="K12" i="1" s="1"/>
  <c r="E12" i="1"/>
  <c r="T11" i="1"/>
  <c r="J11" i="1"/>
  <c r="L11" i="1" s="1"/>
  <c r="M11" i="1" s="1" a="1"/>
  <c r="M11" i="1" s="1"/>
  <c r="I11" i="1"/>
  <c r="H11" i="1"/>
  <c r="G11" i="1"/>
  <c r="E11" i="1"/>
  <c r="L10" i="1"/>
  <c r="M10" i="1" s="1" a="1"/>
  <c r="M10" i="1" s="1"/>
  <c r="J10" i="1"/>
  <c r="I10" i="1"/>
  <c r="H10" i="1"/>
  <c r="G10" i="1"/>
  <c r="E10" i="1"/>
  <c r="M7" i="1" a="1"/>
  <c r="M7" i="1"/>
  <c r="J7" i="1"/>
  <c r="I7" i="1"/>
  <c r="H7" i="1"/>
  <c r="G7" i="1"/>
  <c r="F7" i="1" s="1"/>
  <c r="K7" i="1" s="1"/>
  <c r="E7" i="1"/>
  <c r="M6" i="1" a="1"/>
  <c r="M6" i="1" s="1"/>
  <c r="J6" i="1"/>
  <c r="I6" i="1"/>
  <c r="H6" i="1"/>
  <c r="G6" i="1"/>
  <c r="E6" i="1"/>
  <c r="J4" i="1"/>
  <c r="L4" i="1" s="1"/>
  <c r="M4" i="1" s="1" a="1"/>
  <c r="M4" i="1" s="1"/>
  <c r="I4" i="1"/>
  <c r="H4" i="1"/>
  <c r="G4" i="1"/>
  <c r="F4" i="1" s="1"/>
  <c r="K4" i="1" s="1"/>
  <c r="E4" i="1"/>
  <c r="J3" i="1"/>
  <c r="L3" i="1" s="1"/>
  <c r="M3" i="1" s="1" a="1"/>
  <c r="M3" i="1" s="1"/>
  <c r="I3" i="1"/>
  <c r="H3" i="1"/>
  <c r="G3" i="1"/>
  <c r="E3" i="1"/>
  <c r="J2" i="1"/>
  <c r="L2" i="1" s="1"/>
  <c r="M2" i="1" s="1" a="1"/>
  <c r="M2" i="1" s="1"/>
  <c r="I2" i="1"/>
  <c r="H2" i="1"/>
  <c r="G2" i="1"/>
  <c r="F2" i="1" s="1"/>
  <c r="K2" i="1" s="1"/>
  <c r="E2" i="1"/>
  <c r="F72" i="1" l="1"/>
  <c r="K72" i="1" s="1"/>
  <c r="F77" i="1"/>
  <c r="K77" i="1" s="1"/>
  <c r="F86" i="1"/>
  <c r="K86" i="1" s="1"/>
  <c r="F90" i="1"/>
  <c r="K90" i="1" s="1"/>
  <c r="F5" i="1"/>
  <c r="K5" i="1" s="1"/>
  <c r="F97" i="1"/>
  <c r="K97" i="1" s="1"/>
  <c r="F21" i="1"/>
  <c r="K21" i="1" s="1"/>
  <c r="F9" i="1"/>
  <c r="K9" i="1" s="1"/>
  <c r="F19" i="1"/>
  <c r="K19" i="1" s="1"/>
  <c r="F76" i="1"/>
  <c r="K76" i="1" s="1"/>
  <c r="F57" i="1"/>
  <c r="K57" i="1" s="1"/>
  <c r="F84" i="1"/>
  <c r="K84" i="1" s="1"/>
  <c r="F88" i="1"/>
  <c r="K88" i="1" s="1"/>
  <c r="F101" i="1"/>
  <c r="K101" i="1" s="1"/>
  <c r="F24" i="1"/>
  <c r="K24" i="1" s="1"/>
  <c r="F39" i="1"/>
  <c r="K39" i="1" s="1"/>
  <c r="F71" i="1"/>
  <c r="K71" i="1" s="1"/>
  <c r="F69" i="1"/>
  <c r="K69" i="1" s="1"/>
  <c r="F35" i="1"/>
  <c r="K35" i="1" s="1"/>
  <c r="F26" i="1"/>
  <c r="K26" i="1" s="1"/>
  <c r="F81" i="1"/>
  <c r="K81" i="1" s="1"/>
  <c r="F83" i="1"/>
  <c r="K83" i="1" s="1"/>
  <c r="F60" i="1"/>
  <c r="K60" i="1" s="1"/>
  <c r="F67" i="1"/>
  <c r="K67" i="1" s="1"/>
  <c r="F100" i="1"/>
  <c r="K100" i="1" s="1"/>
  <c r="F42" i="1"/>
  <c r="K42" i="1" s="1"/>
  <c r="F3" i="1"/>
  <c r="K3" i="1" s="1"/>
  <c r="F6" i="1"/>
  <c r="K6" i="1" s="1"/>
  <c r="F11" i="1"/>
  <c r="K11" i="1" s="1"/>
  <c r="F10" i="1"/>
  <c r="K10" i="1" s="1"/>
  <c r="F17" i="1"/>
  <c r="K17" i="1" s="1"/>
  <c r="F54" i="1"/>
  <c r="K54" i="1" s="1"/>
  <c r="F80" i="1"/>
  <c r="K80" i="1" s="1"/>
  <c r="F50" i="1"/>
  <c r="K50" i="1" s="1"/>
  <c r="F63" i="1"/>
  <c r="K63" i="1" s="1"/>
  <c r="F87" i="1"/>
  <c r="K87" i="1" s="1"/>
  <c r="F94" i="1"/>
  <c r="K94" i="1" s="1"/>
  <c r="F95" i="1"/>
  <c r="K95" i="1" s="1"/>
  <c r="F98" i="1"/>
  <c r="K98" i="1" s="1"/>
  <c r="F33" i="1"/>
  <c r="K33" i="1" s="1"/>
  <c r="F53" i="1"/>
  <c r="K53" i="1" s="1"/>
  <c r="F70" i="1"/>
  <c r="K70" i="1" s="1"/>
  <c r="F59" i="1"/>
  <c r="K59" i="1" s="1"/>
  <c r="F62" i="1"/>
  <c r="K62" i="1" s="1"/>
  <c r="F20" i="1"/>
  <c r="K20" i="1" s="1"/>
  <c r="F89" i="1"/>
  <c r="K89" i="1" s="1"/>
  <c r="F74" i="1"/>
  <c r="K74" i="1" s="1"/>
  <c r="F52" i="1"/>
  <c r="K52" i="1" s="1"/>
  <c r="F65" i="1"/>
  <c r="K65" i="1" s="1"/>
  <c r="F93" i="1"/>
  <c r="K93" i="1" s="1"/>
  <c r="F102" i="1"/>
  <c r="K102" i="1" s="1"/>
  <c r="F36" i="1"/>
  <c r="K36" i="1" s="1"/>
  <c r="F8" i="1"/>
  <c r="K8" i="1" s="1"/>
  <c r="F92" i="1"/>
  <c r="K92" i="1" s="1"/>
  <c r="F48" i="1"/>
  <c r="K48" i="1" s="1"/>
  <c r="F55" i="1"/>
  <c r="K55" i="1" s="1"/>
  <c r="F66" i="1"/>
  <c r="K66" i="1" s="1"/>
  <c r="F85" i="1"/>
  <c r="K85" i="1" s="1"/>
  <c r="F58" i="1"/>
  <c r="K58" i="1" s="1"/>
  <c r="F61" i="1"/>
  <c r="K61" i="1" s="1"/>
  <c r="F99" i="1"/>
  <c r="K99" i="1" s="1"/>
  <c r="F96" i="1"/>
  <c r="K96" i="1" s="1"/>
  <c r="F34" i="1"/>
  <c r="K34" i="1" s="1"/>
  <c r="F51" i="1"/>
  <c r="K51" i="1" s="1"/>
  <c r="F64" i="1"/>
  <c r="K64" i="1" s="1"/>
</calcChain>
</file>

<file path=xl/sharedStrings.xml><?xml version="1.0" encoding="utf-8"?>
<sst xmlns="http://schemas.openxmlformats.org/spreadsheetml/2006/main" count="1017" uniqueCount="506">
  <si>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</si>
  <si>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</si>
  <si>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</si>
  <si>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</si>
  <si>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</si>
  <si>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</si>
  <si>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</si>
  <si>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</si>
  <si>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</si>
  <si>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</si>
  <si>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</si>
  <si>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</si>
  <si>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Item in directory FileList</t>
  </si>
  <si>
    <t>Item full original title</t>
  </si>
  <si>
    <t>Note: related Item(s) included in folder</t>
  </si>
  <si>
    <t>Progress stage</t>
  </si>
  <si>
    <t>Online Database</t>
  </si>
  <si>
    <t>Snapshot</t>
  </si>
  <si>
    <t>Adjustment made</t>
  </si>
  <si>
    <t>Data readable file, can use this</t>
  </si>
  <si>
    <t>Source Type</t>
  </si>
  <si>
    <t>Source format</t>
  </si>
  <si>
    <t>Source URL direct access</t>
  </si>
  <si>
    <t>Source URL link</t>
  </si>
  <si>
    <t>Main Trait(s)</t>
  </si>
  <si>
    <t>Source type</t>
  </si>
  <si>
    <t>Team</t>
  </si>
  <si>
    <t>Method</t>
  </si>
  <si>
    <t>Possible Traits</t>
  </si>
  <si>
    <t>Note</t>
  </si>
  <si>
    <t>Subcategory</t>
  </si>
  <si>
    <t>Flags pre-addressed</t>
  </si>
  <si>
    <t>Flags possible</t>
  </si>
  <si>
    <t>Flags active (skips)</t>
  </si>
  <si>
    <t>Andelin, A. K., Olavarria, J. F., Fine, I., Taber, E. N., Schwartz, D., Kroenke, C. D., &amp; Stevens, A. A. (2019). The Effect of Onset Age of Visual Deprivation on Visual Cortex Surface Area Across-Species. Cereb Cortex, 29(10), 4321-4333. https://doi.org/10.1093/cercor/bhy315</t>
  </si>
  <si>
    <t>Table 4</t>
  </si>
  <si>
    <t>table</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</si>
  <si>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</si>
  <si>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</si>
  <si>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</si>
  <si>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FINISHED</t>
  </si>
  <si>
    <t>added</t>
  </si>
  <si>
    <t>AvelinodeSouza_etal_2025_TABLE1_snapshot.csv</t>
  </si>
  <si>
    <t>Y</t>
  </si>
  <si>
    <t>AvelinodeSouza_etal_2025_TABLE1.csv</t>
  </si>
  <si>
    <t>pdf</t>
  </si>
  <si>
    <t>https://onlinelibrary.wiley.com/doi/10.1002/cne.70089</t>
  </si>
  <si>
    <t>https://doi.org/10.1002/cne.70089</t>
  </si>
  <si>
    <t>neuron number</t>
  </si>
  <si>
    <t>primary</t>
  </si>
  <si>
    <t>HH</t>
  </si>
  <si>
    <t>placental mammals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</si>
  <si>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</si>
  <si>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data_figshare.xlsx</t>
  </si>
  <si>
    <t>Baron, G., Frahm, H. D., Bhatnagar, K. P., &amp; Stephan, H. (1983). Comparison of brain structure volumes in Insectivora and Primates. III. Main olfactory bulb (MOB). J Hirnforsch, 24(5), 551-568. https://www.ncbi.nlm.nih.gov/pubmed/6663055</t>
  </si>
  <si>
    <t>PMID:6663055</t>
  </si>
  <si>
    <t>Table1</t>
  </si>
  <si>
    <t>PMID%3A6663055_Table1</t>
  </si>
  <si>
    <t>NO - not digitized</t>
  </si>
  <si>
    <t>Stephan</t>
  </si>
  <si>
    <t>Baron, G., Stephan, H., &amp; Frahm, H. D. (1987). Comparison of brain structure volumes in Insectivora and Primates. VI. Paleocortical components. J Hirnforsch, 28(4), 463-477. http://www.ncbi.nlm.nih.gov/pubmed/3116076</t>
  </si>
  <si>
    <t>PMID:3116076</t>
  </si>
  <si>
    <t>PMID%3A3116076_Table1</t>
  </si>
  <si>
    <t>Brodmann, K. (1913). Neue Forschungsergebnisse der Großhirnrindenanatomie mit besonderer Berücksichtigung anthropologischer Fragen. Verhandlungen der Gesellschaft Deutscher Naturforscher und Ärzte, 85(1), 200-240</t>
  </si>
  <si>
    <t>10.0000/placeholder</t>
  </si>
  <si>
    <t>Tabelle 1</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</si>
  <si>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</si>
  <si>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</si>
  <si>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</si>
  <si>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</si>
  <si>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</si>
  <si>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</si>
  <si>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</si>
  <si>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</si>
  <si>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Brain and body size</t>
  </si>
  <si>
    <t>secondary</t>
  </si>
  <si>
    <t>derived relative brain size data are problematic</t>
  </si>
  <si>
    <t>mammals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</si>
  <si>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</si>
  <si>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</si>
  <si>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</si>
  <si>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</si>
  <si>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</si>
  <si>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primary (individual)</t>
  </si>
  <si>
    <t>number spinal cord neurons</t>
  </si>
  <si>
    <t>primates and tree shrew</t>
  </si>
  <si>
    <t>Table 1</t>
  </si>
  <si>
    <t>Table 1. Cellular composition of the spinal cord</t>
  </si>
  <si>
    <t>Burish_etal_2010_Table1_snapshot.csv</t>
  </si>
  <si>
    <t>Burish_etal_2010_Table1.csv</t>
  </si>
  <si>
    <t>https://doi.org/10.1159/000319019</t>
  </si>
  <si>
    <t>primary (averages)</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</si>
  <si>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</si>
  <si>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</si>
  <si>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</si>
  <si>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</si>
  <si>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</si>
  <si>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</si>
  <si>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</si>
  <si>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</si>
  <si>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primates</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</si>
  <si>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</si>
  <si>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</si>
  <si>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</si>
  <si>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</si>
  <si>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</si>
  <si>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Handedness derived data</t>
  </si>
  <si>
    <t>derived from primary</t>
  </si>
  <si>
    <t>perhaps useful to get raw data as well?</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</si>
  <si>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</si>
  <si>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</si>
  <si>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</si>
  <si>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</si>
  <si>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</si>
  <si>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</si>
  <si>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</si>
  <si>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</si>
  <si>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number of cortical areas</t>
  </si>
  <si>
    <t>primary (derived from published materials)</t>
  </si>
  <si>
    <t>summary to check more precise areas from ProjectKaskan</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</si>
  <si>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</si>
  <si>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</si>
  <si>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</si>
  <si>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</si>
  <si>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acoustic communication</t>
  </si>
  <si>
    <t>dial activity (Supp 4)</t>
  </si>
  <si>
    <t>maybe delete: not relevent in current dataset, unless for imputations?</t>
  </si>
  <si>
    <t>vertebrates</t>
  </si>
  <si>
    <t>Collins, C. E., Airey, D. C., Young, N. A., Leitch, D. B., &amp; Kaas, J. H. (2010). Neuron densities vary across and within cortical areas in primates. Proc Natl Acad Sci U S A, 107(36), 15927-15932. https://doi.org/10.1073/pnas.1010356107</t>
  </si>
  <si>
    <t>Dataset S1</t>
  </si>
  <si>
    <t>cortical area surface area, neuron density</t>
  </si>
  <si>
    <t>DeCasien, A. R., &amp; Higham, J. P. (2019). Primate mosaic brain evolution reflects selection on sensory and cognitive specialization. Nat Ecol Evol, 3(10), 1483-1493. https://doi.org/10.1038/s41559-019-0969-0</t>
  </si>
  <si>
    <t>Supplementary Data 1-Brain Region</t>
  </si>
  <si>
    <t>Supplementary Data 1 Brain Region Data (mm3)</t>
  </si>
  <si>
    <t>table Sheet 1</t>
  </si>
  <si>
    <t>https://www.nature.com/articles/s41559-019-0969-0#Sec13</t>
  </si>
  <si>
    <t>Brain Regions Volumes</t>
  </si>
  <si>
    <t>mostly Stephan and other Ddorf studies</t>
  </si>
  <si>
    <t>Supplementary Data 1-Activity Period</t>
  </si>
  <si>
    <t>Activity Period</t>
  </si>
  <si>
    <t>Supplementary Data 1-Diet</t>
  </si>
  <si>
    <t>Diet</t>
  </si>
  <si>
    <t>Supplementary Data 1-Social System</t>
  </si>
  <si>
    <t>Social System</t>
  </si>
  <si>
    <t>Dos Santos, S. E., Porfirio, J., da Cunha, F. B., Manger, P. R., Tavares, W., Pessoa, L., Raghanti, M. A., Sherwood, C. C., &amp; Herculano-Houzel, S. (2017). Cellular Scaling Rules for the Brains of Marsupials: Not as "Primitive" as Expected. Brain Behav Evol. https://doi.org/10.1159/000452856</t>
  </si>
  <si>
    <t>Table S1</t>
  </si>
  <si>
    <t>ERRATUM !</t>
  </si>
  <si>
    <t>DosSantos_etal_2017_TableS1_snapshot.csv</t>
  </si>
  <si>
    <t>DosSantos_etal_2017_TableS1.csv</t>
  </si>
  <si>
    <t>doc, erratum (on pdf)</t>
  </si>
  <si>
    <t>table, erratum</t>
  </si>
  <si>
    <t>https://ndownloader.figstatic.com/files/7428211</t>
  </si>
  <si>
    <t>Cell numbers, region size</t>
  </si>
  <si>
    <t>marsupials</t>
  </si>
  <si>
    <t>erratum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</si>
  <si>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</si>
  <si>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DosSantos_etal_2020_Table1_snapshot.csv</t>
  </si>
  <si>
    <t>DosSantos_etal_2020_Table1.csv</t>
  </si>
  <si>
    <t>pdf online</t>
  </si>
  <si>
    <t>primary; secondary (compiled team data)</t>
  </si>
  <si>
    <t>microglia</t>
  </si>
  <si>
    <t>unpublished</t>
  </si>
  <si>
    <t>https://doi.org/10.1523/JNEUROSCI.2339-19.2020</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</si>
  <si>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</si>
  <si>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</si>
  <si>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</si>
  <si>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</si>
  <si>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</si>
  <si>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TABLE 2</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</si>
  <si>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</si>
  <si>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</si>
  <si>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</si>
  <si>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</si>
  <si>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</si>
  <si>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</si>
  <si>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</si>
  <si>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</si>
  <si>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</si>
  <si>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</si>
  <si>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</si>
  <si>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</si>
  <si>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</si>
  <si>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</si>
  <si>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</si>
  <si>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</si>
  <si>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</si>
  <si>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</si>
  <si>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</si>
  <si>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</si>
  <si>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</si>
  <si>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</si>
  <si>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Haarlem, C. S., Hynes, C., Jackson, A. L., Mitchell, K. J., O'Connell, R. G., &amp; Healy, K. (2026). Pace of ecology drives the tempo of visual perception across the animal kingdom. Nat Ecol Evol. https://doi.org/10.1038/s41559-026-02994-7</t>
  </si>
  <si>
    <t>Heffner, R., &amp; Masterton, B. (1975). Variation in form of the pyramidal tract and its relationship to digital dexterity. Brain Behav Evol, 12(3), 161-200. https://doi.org/10.1159/000124401</t>
  </si>
  <si>
    <t>Table I</t>
  </si>
  <si>
    <t>Heffner_Masterton_1975_TableI_snapshot.xlsx</t>
  </si>
  <si>
    <t>Heffner_Masterton_1975_TableI.csv</t>
  </si>
  <si>
    <t>digital dexterity</t>
  </si>
  <si>
    <t>mostly secondary</t>
  </si>
  <si>
    <t>area of pyramidal tract; deepest lamina</t>
  </si>
  <si>
    <t>Heffner, R. S., &amp; Masterton, R. B. (1983). The role of the corticospinal tract in the evolution of human digital dexterity. Brain Behav Evol, 23(3-4), 165-183. https://doi.org/10.1159/000121494</t>
  </si>
  <si>
    <t>compare to 1975</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</si>
  <si>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</si>
  <si>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</si>
  <si>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</si>
  <si>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</si>
  <si>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Heldstab, S. A., Kosonen, Z. K., Koski, S. E., Burkart, J. M., van Schaik, C. P., &amp; Isler, K. (2016). Manipulation complexity in primates coevolved with brain size and terrestriality. Sci Rep, 6, 24528. https://doi.org/10.1038/srep24528</t>
  </si>
  <si>
    <t>manipulation complexity</t>
  </si>
  <si>
    <t>Herculano-Houzel, S. (2015). Decreasing sleep requirement with increasing numbers of neurons as a driver for bigger brains and bodies in mammalian evolution. Proc Biol Sci, 282(1816), 20151853. https://doi.org/10.1098/rspb.2015.1853</t>
  </si>
  <si>
    <t>Table 2</t>
  </si>
  <si>
    <t>Table 2. Dataset on the ontogeny of sleep and cellular composition of the rat brain used in this study.</t>
  </si>
  <si>
    <t>Per cent of hours asleep and brain size and composition</t>
  </si>
  <si>
    <t>Herculano-Houzel, S., Watson, C., &amp; Paxinos, G. (2013). Distribution of neurons in functional areas of the mouse cerebral cortex reveals quantitatively different cortical zones. Front Neuroanat, 7, 35. https://doi.org/10.3389/fnana.2013.00035</t>
  </si>
  <si>
    <t>Figure 2 Top Left</t>
  </si>
  <si>
    <t>Table 1-a</t>
  </si>
  <si>
    <t>Table 1-b</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</si>
  <si>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</si>
  <si>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</si>
  <si>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</si>
  <si>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</si>
  <si>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Table 2. Cerebellum</t>
  </si>
  <si>
    <t>HerculanoHouzel_etal_2015_Table2_snapshot.xlsx</t>
  </si>
  <si>
    <t>HerculanoHouzel_etal_2015_Table2.csv</t>
  </si>
  <si>
    <t>Table 3</t>
  </si>
  <si>
    <t>Table 3. RoB</t>
  </si>
  <si>
    <t>HerculanoHouzel_etal_2015_Table3_snapshot.xlsx</t>
  </si>
  <si>
    <t>HerculanoHouzel_etal_2015_Table3.csv</t>
  </si>
  <si>
    <t>Table 4. Olfactory bulb</t>
  </si>
  <si>
    <t>HerculanoHouzel_etal_2015_Table4_snapshot.xlsx</t>
  </si>
  <si>
    <t>HerculanoHouzel_etal_2015_Table4.csv</t>
  </si>
  <si>
    <t>Table 5</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</si>
  <si>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</si>
  <si>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</si>
  <si>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</si>
  <si>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</si>
  <si>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</si>
  <si>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</si>
  <si>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</si>
  <si>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</si>
  <si>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region size</t>
  </si>
  <si>
    <t>bats</t>
  </si>
  <si>
    <t>TABLE 2 Numbers of neurons and neuronal density (neurons/mg)</t>
  </si>
  <si>
    <t>HerculanoHouzel_etal_2020_TABLE2_snapshot.csv</t>
  </si>
  <si>
    <t>HerculanoHouzel_etal_2020_Table2.csv</t>
  </si>
  <si>
    <t>Cell numbers</t>
  </si>
  <si>
    <t>Isler, K., Christopher Kirk, E., Miller, J. M. A., Albrecht, G. A., Gelvin, B. R., &amp; Martin, R. D. (2008). Endocranial volumes of primate species: scaling analyses using a comprehensive and reliable data set. J Hum Evol, 55(6), 967. https://doi.org/10.1016/j.jhevol.2008.08.004</t>
  </si>
  <si>
    <t>Table 7</t>
  </si>
  <si>
    <t>Table S3</t>
  </si>
  <si>
    <t>Tree.nex</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</si>
  <si>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</si>
  <si>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</si>
  <si>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</si>
  <si>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Table 1 The anatomical and behavioural traits used the comparative analysis</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</si>
  <si>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</si>
  <si>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</si>
  <si>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</si>
  <si>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play</t>
  </si>
  <si>
    <t>mammal clades</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</si>
  <si>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</si>
  <si>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</si>
  <si>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</si>
  <si>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</si>
  <si>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</si>
  <si>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</si>
  <si>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</si>
  <si>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</si>
  <si>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</si>
  <si>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</si>
  <si>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</si>
  <si>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</si>
  <si>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</si>
  <si>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</si>
  <si>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</si>
  <si>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</si>
  <si>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</si>
  <si>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</si>
  <si>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</si>
  <si>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</si>
  <si>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sample size and information</t>
  </si>
  <si>
    <t>African mole-rats (Bathyergidae)</t>
  </si>
  <si>
    <t>Table S1. Brain mass and brain region volumes</t>
  </si>
  <si>
    <t>Kverkova_etal_2018_TableS1_snapshot.xlsx</t>
  </si>
  <si>
    <t>https://static-content.springer.com/esm/art%3A10.1038%2Fs41598-018-26062-8/MediaObjects/41598_2018_26062_MOESM1_ESM.docx</t>
  </si>
  <si>
    <t>primary; secondary brain and body mass</t>
  </si>
  <si>
    <t>Kverkova</t>
  </si>
  <si>
    <t>Table S5</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</si>
  <si>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</si>
  <si>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</si>
  <si>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</si>
  <si>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</si>
  <si>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</si>
  <si>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</si>
  <si>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L</t>
  </si>
  <si>
    <t>Lewitus, E., Kelava, I., Kalinka, A. T., Tomancak, P., &amp; Huttner, W. B. (2014). An adaptive threshold in mammalian neocortical evolution. PLoS Biol, 12(11), e1002000. https://doi.org/10.1371/journal.pbio.1002000</t>
  </si>
  <si>
    <t>Table S1 Physiological and life-history variables</t>
  </si>
  <si>
    <t>Table S8</t>
  </si>
  <si>
    <t>Table S8: Neocortical neuron number for Figure 3d</t>
  </si>
  <si>
    <t>MacLarnon, A. (1996). The scaling of gross dimensions of the spinal cord in primates and other species. J Hum Evol, 30(1), 71-87. https://doi.org/10.1006/jhev.1996.0005</t>
  </si>
  <si>
    <t>Table 1 Data</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</si>
  <si>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</si>
  <si>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data/species_predictors.xlsx</t>
  </si>
  <si>
    <t>need to record steps</t>
  </si>
  <si>
    <t>https://github.com/ManyPrimates/mp1_short_term_memory/raw/master/data/species_predictors.xlsx</t>
  </si>
  <si>
    <t>number of vocalizations</t>
  </si>
  <si>
    <t>various secondary and primary data, e.g., ecology</t>
  </si>
  <si>
    <t>Mota, B., &amp; Herculano-Houzel, S. (2015). Cortical folding scales universally with surface area and thickness, not number of neurons. Science, 349(6243), 74-77. https://doi.org/10.1126/science.aaa9101</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</si>
  <si>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</si>
  <si>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</si>
  <si>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</si>
  <si>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</si>
  <si>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</si>
  <si>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</si>
  <si>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</si>
  <si>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</si>
  <si>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</si>
  <si>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</si>
  <si>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</si>
  <si>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</si>
  <si>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tables</t>
  </si>
  <si>
    <t>GLI: laminar and profiles</t>
  </si>
  <si>
    <t>Table 5. Species mean values for 10 GLI profile feature vectors</t>
  </si>
  <si>
    <t>Smaers, J. B., Steele, J., Case, C. R., Cowper, A., Amunts, K., &amp; Zilles, K. (2011). Primate prefrontal cortex evolution: human brains are the extreme of a lateralized ape trend. Brain Behav Evol, 77(2), 67-78. https://doi.org/10.1159/000323671</t>
  </si>
  <si>
    <t>SupplementaryTable1</t>
  </si>
  <si>
    <t>SupplementaryTable2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</si>
  <si>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</si>
  <si>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</si>
  <si>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</si>
  <si>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Wilman, H., Belmaker, J., Simpson, J., de la Rosa, C., Rivadeneira, M. M., &amp; Jetz, W. (2014). EltonTraits 1.0: Species‐level foraging attributes of the world's birds and mammals. Ecology, 95(7), 2027-2027. https://doi.org/10.1890/13-1917.1</t>
  </si>
  <si>
    <t>MamFuncDat.txt</t>
  </si>
  <si>
    <t>Wimberly, A. N., Slater, G. J., &amp; Granatosky, M. C. (2021). Evolutionary history of quadrupedal walking gaits shows mammalian release from locomotor constraint. Proc Biol Sci, 288(1957), 20210937. https://doi.org/10.1098/rspb.2021.0937</t>
  </si>
  <si>
    <t>mammal_gait.txt</t>
  </si>
  <si>
    <t>Winkler, S. L., &amp; Bryant, G. A. (2021). Play vocalisations and human laughter: a comparative review. Bioacoustics, 1-28. https://doi.org/10.1080/09524622.2021.1905065</t>
  </si>
  <si>
    <t>Figure 1</t>
  </si>
  <si>
    <t>table and figure</t>
  </si>
  <si>
    <t>play vocalizations</t>
  </si>
  <si>
    <t>Young, N. A., Collins, C. E., &amp; Kaas, J. H. (2013). Cell and neuron densities in the primary motor cortex of primates [Original Research]. Front Neural Circuits, 7(30), 30. https://doi.org/10.3389/fncir.2013.00030</t>
  </si>
  <si>
    <t>M1 Cell count, surface area, mass</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</si>
  <si>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</si>
  <si>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</si>
  <si>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</si>
  <si>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Frahm, H. D., Stephan, H., &amp; Stephan, M. (1982). Comparison of brain structure volumes in Insectivora and Primates. I. Neocortex. J Hirnforsch, 23(4), 375-389. https://www.ncbi.nlm.nih.gov/pubmed/7161477</t>
  </si>
  <si>
    <t>PMID:7161477</t>
  </si>
  <si>
    <t>Table 1. Volume data on total neocortex and its components (in mm3).</t>
  </si>
  <si>
    <t>neocortex volume</t>
  </si>
  <si>
    <t>volumetry</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</si>
  <si>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</si>
  <si>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</si>
  <si>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</si>
  <si>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</si>
  <si>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</si>
  <si>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</si>
  <si>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</si>
  <si>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</si>
  <si>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</si>
  <si>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</si>
  <si>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</si>
  <si>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</si>
  <si>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Stephan, H., Frahm, H. D., &amp; Baron, G. (1987). Comparison of brain structure volumes in Insectivora and primates. VII. Amygdaloid components. J Hirnforsch, 28(5), 571-584. https://www.ncbi.nlm.nih.gov/pubmed/3693895</t>
  </si>
  <si>
    <t>PMID:3693895</t>
  </si>
  <si>
    <t>...VII. Amygdaloid components (Table 1)</t>
  </si>
  <si>
    <t>amygdaloid component volumes</t>
  </si>
  <si>
    <t>Baron, G., Stephan, H., &amp; Frahm, H. D. (1990). Comparison of brain structure volumes in Insectivora and primates. IX. Trigeminal complex. J Hirnforsch, 31(2), 193-200. https://www.ncbi.nlm.nih.gov/pubmed/2358663</t>
  </si>
  <si>
    <t>PMID:2358663</t>
  </si>
  <si>
    <t>...IX. Trigeminal complex (Table 1)</t>
  </si>
  <si>
    <t>trigeminal complex volume</t>
  </si>
  <si>
    <t>Stephan, H., Frahm, H., &amp; Baron, G. (1981). New and revised data on volumes of brain structures in insectivores and primates. Folia Primatol (Basel), 35(1), 1-29. https://doi.org/10.1159/000155963</t>
  </si>
  <si>
    <t>New and revised data on volumes of brain structures (Table 1)</t>
  </si>
  <si>
    <t>brain structure volumes</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</si>
  <si>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</si>
  <si>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</si>
  <si>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</si>
  <si>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</si>
  <si>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</si>
  <si>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</si>
  <si>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</si>
  <si>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</si>
  <si>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</si>
  <si>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</si>
  <si>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</si>
  <si>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</si>
  <si>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</si>
  <si>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</si>
  <si>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</si>
  <si>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de Sousa, A. A., Sherwood, C. C., Mohlberg, H., Amunts, K., Schleicher, A., MacLeod, C. E., Hof, P. R., Frahm, H., &amp; Zilles, K. (2010). Hominoid visual brain structure volumes and the position of the lunate sulcus. J Hum Evol, 58(4), 281-292. https://doi.org/10.1016/j.jhevol.2009.11.011</t>
  </si>
  <si>
    <t>Hominoid visual brain structure volumes (Table 1)</t>
  </si>
  <si>
    <t>visual brain structure volumes</t>
  </si>
  <si>
    <t>de Sousa, A. A., Sherwood, C. C., Hof, P. R., &amp; Zilles, K. (2013). Lamination of the lateral geniculate nucleus of catarrhine primates. Brain Behav Evol, 81(2), 93-108. https://doi.org/10.1159/000346495</t>
  </si>
  <si>
    <t>Lamination of the LGN of catarrhine primates (Table 1)</t>
  </si>
  <si>
    <t>LGN lamination volumes</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</si>
  <si>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</si>
  <si>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</si>
  <si>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insular cortex volumes</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</si>
  <si>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</si>
  <si>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</si>
  <si>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</si>
  <si>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</si>
  <si>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</si>
  <si>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</si>
  <si>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Kaas</t>
  </si>
  <si>
    <t>isotropic fractionator</t>
  </si>
  <si>
    <t>Karbowski, J. (2007). Global and regional brain metabolic scaling and its functional consequences. BMC Biol, 5, 18. https://doi.org/10.1186/1741-7007-5-18</t>
  </si>
  <si>
    <t>Global and regional brain metabolic scaling (Table 1)</t>
  </si>
  <si>
    <t>brain metabolic scaling</t>
  </si>
  <si>
    <t>meta-analysis</t>
  </si>
  <si>
    <t>Kaufman, J. A. (2004). Pattern and scaling of regional cerebral glucose metabolism in mammals [Doctoral dissertation, Washington University in St. Louis]. ProQuest Dissertations &amp; Theses.</t>
  </si>
  <si>
    <t>ProQuest:TBD</t>
  </si>
  <si>
    <t>brain/body scaling</t>
  </si>
  <si>
    <t>dissertation</t>
  </si>
  <si>
    <t>Doctoral dissertation (not in PubMed; no DOI). Use ProQuest Dissertations &amp; Theses number (or WashU OpenScholarship URI) as the identifier - add the actual number.</t>
  </si>
  <si>
    <t>Smaers, J. B., Gomez-Robles, A., Parks, A. N., &amp; Sherwood, C. C. (2017). Exceptional Evolutionary Expansion of Prefrontal Cortex in Great Apes and Humans. Curr Biol, 27(5), 714-720. https://doi.org/10.1016/j.cub.2017.01.020</t>
  </si>
  <si>
    <t>Exceptional expansion of prefrontal cortex (Table 1)</t>
  </si>
  <si>
    <t>prefrontal cortex size</t>
  </si>
  <si>
    <t>Smaers</t>
  </si>
  <si>
    <t>comparative/phylogenetic</t>
  </si>
  <si>
    <t>Young, N. A., Szabo, C. A., Phelix, C. F., Flaherty, D. K., Balaram, P., Foust-Yeoman, K. B., Collins, C. E., &amp; Kaas, J. H. (2013). Epileptic baboons have lower numbers of neurons in specific areas of cortex. Proc Natl Acad Sci U S A, 110(47), 19107-19112. https://doi.org/10.1073/pnas.1318894110</t>
  </si>
  <si>
    <t>Epileptic baboons: cortical neuron numbers (Table 1) [folder _b]</t>
  </si>
  <si>
    <t>cortical neuron numbers</t>
  </si>
  <si>
    <t>Zilles, K., Palomero-Gallagher, N., &amp; Amunts, K. (2013). Development of cortical folding during evolution and ontogeny. Trends Neurosci, 36(5), 275-284. https://doi.org/10.1016/j.tins.2013.01.006</t>
  </si>
  <si>
    <t>Development of cortical folding (review)</t>
  </si>
  <si>
    <t>cortical folding / gyrification</t>
  </si>
  <si>
    <t>Zilles</t>
  </si>
  <si>
    <t>review</t>
  </si>
  <si>
    <t xml:space="preserve">Flexible Data Wrangling Pipeline: </t>
  </si>
  <si>
    <t xml:space="preserve">Source </t>
  </si>
  <si>
    <t>--&gt; Snapshot</t>
  </si>
  <si>
    <t>Digitized in original layout for comparison to source. R readable, e.g., Excel or CSV. All further changes in R code. Save a reference hardcopy file even if it can be accessed through URL.</t>
  </si>
  <si>
    <t xml:space="preserve">--&gt; Data readable   </t>
  </si>
  <si>
    <t>use csv, so that there is no data content that could be lost due layout changes.  For example, copy information from merged cells into individual cells</t>
  </si>
  <si>
    <t>--&gt; Transpose</t>
  </si>
  <si>
    <t>first column should have original species information.</t>
  </si>
  <si>
    <t>--&gt; Variables</t>
  </si>
  <si>
    <t>add a new header row. variable name should be made compatible with different datasets across different species. (save old header row at bottom?)</t>
  </si>
  <si>
    <t>--&gt; Species update</t>
  </si>
  <si>
    <t>if there are typos or shorthand species names used, can update based on heading, note, text</t>
  </si>
  <si>
    <t>--&gt; Species note</t>
  </si>
  <si>
    <t xml:space="preserve">add a column to include any additional information about the species from the table legend, paper text, personal communication, etc </t>
  </si>
  <si>
    <t>--&gt; Species correction</t>
  </si>
  <si>
    <t>add a column to correct any errors in species designations (e.g., misidentified or combined different species of same genus)</t>
  </si>
  <si>
    <t>--&gt; Corrections</t>
  </si>
  <si>
    <t>correction after erratum or other note. Indicate reason for correction.</t>
  </si>
  <si>
    <t>--&gt; Species final update</t>
  </si>
  <si>
    <t>add a column with (NCBI?) species names, scientific binomial, to match across databases</t>
  </si>
  <si>
    <t>--&gt; Online database</t>
  </si>
  <si>
    <t>save as tsv with DOI plus item for file name</t>
  </si>
  <si>
    <t>Question: the tables will be matched by a column, currently "Species". Should this be renamed something more unique like "Species_NCBI_EvoGen"?</t>
  </si>
  <si>
    <t>When combining datasets, provide metadata in the files "definitions" and deal with any conflicting values by preffering values following to the order below</t>
  </si>
  <si>
    <t>implementation</t>
  </si>
  <si>
    <t>Revised paper (or datum) if the team explicitly said values have been improved. Provide a flag and a reference in Metadata</t>
  </si>
  <si>
    <t>Flag worse value in and filter</t>
  </si>
  <si>
    <t>Method and/or lab with the highest number of mammalian species represented (ANY mammals not just the focal ones)</t>
  </si>
  <si>
    <t>this may need to be done manually</t>
  </si>
  <si>
    <t>Paper with the highest number of mammalian species represented (ANY mammals not just the focal ones)</t>
  </si>
  <si>
    <t>Species N</t>
  </si>
  <si>
    <t>Paper with the most recent publication date</t>
  </si>
  <si>
    <t xml:space="preserve">Ref last </t>
  </si>
  <si>
    <t>10.1002%2Fcne.24605_TABLE1.tsv</t>
  </si>
  <si>
    <t>10.1002%2Fcne.24605_TABLE2.tsv</t>
  </si>
  <si>
    <t>10.1002%2Fcne.24985_TABLE1.tsv</t>
  </si>
  <si>
    <t>10.1002%2Fcne.24985_TABLE2.tsv</t>
  </si>
  <si>
    <t>10.1002%2Fcne.25669_TABLE1.tsv</t>
  </si>
  <si>
    <t>10.1002%2Fcne.70089_TABLE1.tsv</t>
  </si>
  <si>
    <t>10.1006%2Fjhev.1996.0005_Table1.tsv</t>
  </si>
  <si>
    <t>10.1007%2Fs004220000205_Figure3.tsv</t>
  </si>
  <si>
    <t>10.1016%2Fj.jhevol.2008.08.004_Table2.tsv</t>
  </si>
  <si>
    <t>10.1016%2Fj.jhevol.2008.08.004_Table7.tsv</t>
  </si>
  <si>
    <t>10.1016%2Fj.jhevol.2008.08.004_TableS1.tsv</t>
  </si>
  <si>
    <t>10.1016%2Fj.jhevol.2008.08.004_TableS2.tsv</t>
  </si>
  <si>
    <t>10.1016%2Fj.jhevol.2008.08.004_TableS3.tsv</t>
  </si>
  <si>
    <t>10.1016%2Fs0166-4328(98)00151-x_Table1.tsv</t>
  </si>
  <si>
    <t>10.1037%2F0735-7036.115.1.29_Table1.tsv</t>
  </si>
  <si>
    <t>10.1037%2F0735-7036.115.1.29_Table2.tsv</t>
  </si>
  <si>
    <t>10.1037%2F0735-7036.115.1.29_Table3.tsv</t>
  </si>
  <si>
    <t>10.1037%2F0735-7036.115.1.29_Table4.tsv</t>
  </si>
  <si>
    <t>10.1038%2Fs41467-020-14356-3_SupplementaryData3.tsv</t>
  </si>
  <si>
    <t>10.1038%2Fs41598-018-26062-8_Table1.tsv</t>
  </si>
  <si>
    <t>10.1038%2Fs41598-018-26062-8_TableS1.tsv</t>
  </si>
  <si>
    <t>10.1038%2Fs41598-018-26062-8_TableS5.tsv</t>
  </si>
  <si>
    <t>10.1073%2Fpnas.0905777106_TableS1.tsv</t>
  </si>
  <si>
    <t>10.1093%2Fcercor%2Fbhy315_Table4.tsv</t>
  </si>
  <si>
    <t>10.1093%2Fjmammal%2Fgyz043_SupplementaryDataSD1.tsv</t>
  </si>
  <si>
    <t>10.1093%2Foso%2F9780198568742.003.0006_Table6.1.tsv</t>
  </si>
  <si>
    <t>10.1098%2Frspb.2015.1853_Table1.tsv</t>
  </si>
  <si>
    <t>10.1126%2Fscience.aaa9101_TableS1.tsv</t>
  </si>
  <si>
    <t>10.1159%2F000124401_TableI.tsv</t>
  </si>
  <si>
    <t>10.1159%2F000319019_SupplementaryTable1.tsv</t>
  </si>
  <si>
    <t>10.1159%2F000319019_Table1.tsv</t>
  </si>
  <si>
    <t>10.1159%2F000323671_SupplementaryTable1.tsv</t>
  </si>
  <si>
    <t>10.1159%2F000323671_SupplementaryTable2.tsv</t>
  </si>
  <si>
    <t>10.1159%2F000437413_Table1.tsv</t>
  </si>
  <si>
    <t>10.1159%2F000437413_Table2.tsv</t>
  </si>
  <si>
    <t>10.1159%2F000437413_Table3.tsv</t>
  </si>
  <si>
    <t>10.1159%2F000437413_Table4.tsv</t>
  </si>
  <si>
    <t>10.1159%2F000437413_Table5.tsv</t>
  </si>
  <si>
    <t>10.1159%2F000452856_TableS1.tsv</t>
  </si>
  <si>
    <t>10.1371%2Fjournal.pbio.1002000_TableS1.tsv</t>
  </si>
  <si>
    <t>10.1371%2Fjournal.pbio.1002000_TableS8.tsv</t>
  </si>
  <si>
    <t>10.1523%2FJNEUROSCI.2339-19.2020_Table1.tsv</t>
  </si>
  <si>
    <t>10.1523%2FJNEUROSCI.2339-19.2020_unpublished.tsv</t>
  </si>
  <si>
    <t>10.3389%2Ffnana.2013.00035_Figure2TopLeft.tsv</t>
  </si>
  <si>
    <t>10.3389%2Ffnana.2013.00035_Table1-a.tsv</t>
  </si>
  <si>
    <t>10.3389%2Ffnana.2013.00035_Table1-b.tsv</t>
  </si>
  <si>
    <t>10.3389%2Ffnana.2017.00118_Table1.tsv</t>
  </si>
  <si>
    <t>10.3389%2Ffnhum.2013.00424_TableS2partial.tsv</t>
  </si>
  <si>
    <t>10.3389%2Ffnins.2021.632853_TABLE1.tsv</t>
  </si>
  <si>
    <t>10.6084%2Fm9.figshare.c.3899422.v1_Dataset1.tsv</t>
  </si>
  <si>
    <t>10.7554%2FeLife.77875_Supplementaryfile3.tsv</t>
  </si>
  <si>
    <t>10.7554%2FeLife.77875_Table1.tsv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</si>
</sst>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font>
    <font>
      <sz val="12"/>
      <color theme="1"/>
      <name val="Calibri"/>
      <family val="2"/>
    </font>
    <font>
      <i/>
      <sz val="12"/>
      <color theme="1"/>
      <name val="Calibri"/>
      <family val="2"/>
    </font>
    <font>
      <sz val="12"/>
      <color rgb="FF3F3F76"/>
      <name val="Calibri"/>
      <family val="2"/>
      <scheme val="minor"/>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4" fillId="2" borderId="1" applyNumberFormat="0" applyAlignment="0" applyProtection="0"/>
  </cellStyleXfs>
  <cellXfs count="9">
    <xf numFmtId="0" fontId="0" fillId="0" borderId="0" xfId="0"/>
    <xf numFmtId="0" fontId="1" fillId="0" borderId="0" xfId="0" applyFont="1"/>
    <xf numFmtId="0" fontId="2" fillId="0" borderId="0" xfId="0" applyFont="1" applyAlignment="1">
      <alignment wrapText="1"/>
    </xf>
    <xf numFmtId="0" fontId="2" fillId="0" borderId="0" xfId="0" applyFont="1"/>
    <xf numFmtId="0" fontId="3" fillId="0" borderId="0" xfId="0" applyFont="1"/>
    <xf numFmtId="0" fontId="4" fillId="2" borderId="1" xfId="1"/>
    <xf numFmtId="0" fontId="4" fillId="2" borderId="1" xfId="1" applyAlignment="1">
      <alignment horizontal="left"/>
    </xf>
    <xf numFmtId="49" fontId="4" fillId="2" borderId="1" xfId="1" applyNumberFormat="1"/>
    <xf numFmtId="0" fontId="4" fillId="2" borderId="1" xfId="1" applyAlignment="1">
      <alignment wrapText="1"/>
    </xf>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karger.com/bbe/article-pdf/86/3-4/145/2264694/000437413.pdf" TargetMode="External"/><Relationship Id="rId13" Type="http://schemas.openxmlformats.org/officeDocument/2006/relationships/hyperlink" Target="https://karger.com/bbe/article-pdf/86/3-4/145/2264694/000437413.pdf" TargetMode="External"/><Relationship Id="rId18" Type="http://schemas.openxmlformats.org/officeDocument/2006/relationships/hyperlink" Target="https://github.com/ManyPrimates/mp1_short_term_memory/raw/master/data/species_predictors.xlsx" TargetMode="External"/><Relationship Id="rId3" Type="http://schemas.openxmlformats.org/officeDocument/2006/relationships/hyperlink" Target="https://static-content.springer.com/esm/art%3A10.1038%2Fs41467-020-14356-3/MediaObjects/41467_2020_14356_MOESM6_ESM.xlsx" TargetMode="External"/><Relationship Id="rId7" Type="http://schemas.openxmlformats.org/officeDocument/2006/relationships/hyperlink" Target="https://www.pnas.org/doi/suppl/10.1073/pnas.0905777106/suppl_file/0905777106si.pdf" TargetMode="External"/><Relationship Id="rId12" Type="http://schemas.openxmlformats.org/officeDocument/2006/relationships/hyperlink" Target="https://karger.com/bbe/article-pdf/86/3-4/145/2264694/000437413.pdf" TargetMode="External"/><Relationship Id="rId17" Type="http://schemas.openxmlformats.org/officeDocument/2006/relationships/hyperlink" Target="https://static-content.springer.com/esm/art%3A10.1038%2Fs41598-018-26062-8/MediaObjects/41598_2018_26062_MOESM1_ESM.docx" TargetMode="External"/><Relationship Id="rId2" Type="http://schemas.openxmlformats.org/officeDocument/2006/relationships/hyperlink" Target="https://elifesciences.org/download/aHR0cHM6Ly9jZG4uZWxpZmVzY2llbmNlcy5vcmcvYXJ0aWNsZXMvNzc4NzUvZWxpZmUtNzc4NzUtdjEucGRmP2Nhbm9uaWNhbFVyaT1odHRwczovL2VsaWZlc2NpZW5jZXMub3JnL2FydGljbGVzLzc3ODc1/elife-77875-v1.pdf?_hash=NStjcL9fTlmy3AQDwSiM0YgMVB3UYjO8nDg0UbwN5gM%3D" TargetMode="External"/><Relationship Id="rId16" Type="http://schemas.openxmlformats.org/officeDocument/2006/relationships/hyperlink" Target="https://static-content.springer.com/esm/art%3A10.1038%2Fs41598-018-26062-8/MediaObjects/41598_2018_26062_MOESM1_ESM.docx" TargetMode="External"/><Relationship Id="rId1" Type="http://schemas.openxmlformats.org/officeDocument/2006/relationships/hyperlink" Target="https://cdn.elifesciences.org/articles/77875/elife-77875-supp3-v1.xlsx" TargetMode="External"/><Relationship Id="rId6" Type="http://schemas.openxmlformats.org/officeDocument/2006/relationships/hyperlink" Target="https://www.pnas.org/doi/suppl/10.1073/pnas.0905777106/suppl_file/0905777106si.pdf" TargetMode="External"/><Relationship Id="rId11" Type="http://schemas.openxmlformats.org/officeDocument/2006/relationships/hyperlink" Target="https://karger.com/bbe/article-pdf/86/3-4/145/2264694/000437413.pdf" TargetMode="External"/><Relationship Id="rId5" Type="http://schemas.openxmlformats.org/officeDocument/2006/relationships/hyperlink" Target="https://www.researchgate.net/publication/299027052_Developmental_constraints_on_or_developmental_structure_in_brain_evolution" TargetMode="External"/><Relationship Id="rId15" Type="http://schemas.openxmlformats.org/officeDocument/2006/relationships/hyperlink" Target="https://doi.org/10.3389/fnana.2017.00118" TargetMode="External"/><Relationship Id="rId10" Type="http://schemas.openxmlformats.org/officeDocument/2006/relationships/hyperlink" Target="https://karger.com/bbe/article-pdf/86/3-4/145/2264694/000437413.pdf" TargetMode="External"/><Relationship Id="rId19" Type="http://schemas.openxmlformats.org/officeDocument/2006/relationships/hyperlink" Target="https://figshare.com/ndownloader/files/9479092" TargetMode="External"/><Relationship Id="rId4" Type="http://schemas.openxmlformats.org/officeDocument/2006/relationships/hyperlink" Target="https://ndownloader.figstatic.com/files/7428211" TargetMode="External"/><Relationship Id="rId9" Type="http://schemas.openxmlformats.org/officeDocument/2006/relationships/hyperlink" Target="https://karger.com/bbe/article-pdf/86/3-4/145/2264694/000437413.pdf" TargetMode="External"/><Relationship Id="rId14" Type="http://schemas.openxmlformats.org/officeDocument/2006/relationships/hyperlink" Target="https://karger.com/bbe/article-pdf/86/3-4/145/2264694/00043741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5"/>
  <sheetViews>
    <sheetView tabSelected="1" zoomScale="93" zoomScaleNormal="93" workbookViewId="0">
      <pane xSplit="2" ySplit="1" topLeftCell="C2" activePane="bottomRight" state="frozen"/>
      <selection pane="topRight" activeCell="B1" sqref="B1"/>
      <selection pane="bottomLeft" activeCell="A2" sqref="A2"/>
      <selection pane="bottomRight" activeCell="AG7" sqref="AG7"/>
    </sheetView>
  </sheetViews>
  <sheetFormatPr baseColWidth="10" defaultRowHeight="16" x14ac:dyDescent="0.2"/>
  <cols>
    <col min="1" max="1" width="21" style="5" customWidth="1"/>
    <col min="2" max="2" width="5.5" style="5" customWidth="1"/>
    <col min="3" max="3" width="12.33203125" style="5" customWidth="1"/>
    <col min="4" max="4" width="7.1640625" style="5" customWidth="1"/>
    <col min="5" max="5" width="2" customWidth="1"/>
    <col min="6" max="6" width="23.6640625" customWidth="1"/>
    <col min="7" max="7" width="16.83203125" customWidth="1"/>
    <col min="8" max="8" width="7.33203125" customWidth="1"/>
    <col min="9" max="9" width="2.6640625" customWidth="1"/>
    <col min="10" max="10" width="22.6640625" customWidth="1"/>
    <col min="11" max="11" width="22.5" customWidth="1"/>
    <col min="12" max="12" width="46.5" customWidth="1"/>
    <col min="13" max="13" width="21.5" customWidth="1"/>
    <col min="14" max="14" width="15.33203125" style="5" customWidth="1"/>
    <col min="15" max="15" width="24" style="5" customWidth="1"/>
    <col min="16" max="16" width="10" style="5" customWidth="1"/>
    <col min="17" max="20" width="14.1640625" style="5" customWidth="1"/>
    <col min="21" max="21" width="13.83203125" style="5" customWidth="1"/>
    <col min="22" max="22" width="12.6640625" style="5" customWidth="1"/>
    <col min="23" max="23" width="22.1640625" style="5" customWidth="1"/>
    <col min="24" max="24" width="14.33203125" style="5" customWidth="1"/>
    <col min="25" max="25" width="39.5" style="5" customWidth="1"/>
    <col min="26" max="26" width="11.1640625" style="5" customWidth="1"/>
    <col min="27" max="27" width="5" style="5" customWidth="1"/>
    <col min="28" max="28" width="7.5" style="5" customWidth="1"/>
    <col min="29" max="29" width="10.6640625" style="5" customWidth="1"/>
    <col min="30" max="30" width="10.83203125" style="5" customWidth="1"/>
    <col min="31" max="31" width="11" style="5" customWidth="1"/>
    <col min="32" max="34" width="10.83203125" style="5" customWidth="1"/>
    <col min="35" max="35" width="10.83203125" customWidth="1"/>
  </cols>
  <sheetData>
    <row r="1" spans="1:34" ht="16" customHeight="1" x14ac:dyDescent="0.2">
      <c r="A1" s="5" t="s">
        <v>0</v>
      </c>
      <c r="B1" s="5" t="s">
        <v>1</v>
      </c>
      <c r="C1" s="5" t="s">
        <v>2</v>
      </c>
      <c r="D1" s="5" t="s">
        <v>3</v>
      </c>
      <c r="E1" s="1" t="s">
        <v>4</v>
      </c>
      <c r="F1" s="1" t="s">
        <v>5</v>
      </c>
      <c r="G1" s="1" t="s">
        <v>6</v>
      </c>
      <c r="H1" s="1" t="s">
        <v>7</v>
      </c>
      <c r="I1" s="1" t="s">
        <v>8</v>
      </c>
      <c r="J1" s="1" t="s">
        <v>9</v>
      </c>
      <c r="K1" s="1" t="s">
        <v>10</v>
      </c>
      <c r="L1" s="1" t="s">
        <v>11</v>
      </c>
      <c r="M1" s="1"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row>
    <row r="2" spans="1:34" ht="16" customHeight="1" x14ac:dyDescent="0.2">
      <c r="A2" s="5" t="s">
        <v>34</v>
      </c>
      <c r="D2" s="5" t="s">
        <v>35</v>
      </c>
      <c r="E2" t="str">
        <f>RIGHT(A2,1)</f>
        <v>5</v>
      </c>
      <c r="F2" t="str">
        <f>G2 &amp; IF(H2&lt;&gt;"", "_" &amp; H2, "_") &amp; IF(I2&lt;&gt;"", "_" &amp; I2, "_") &amp; IF(B2&lt;&gt;"", "_" &amp; B2, "")</f>
        <v>Andelin_etal_2019</v>
      </c>
      <c r="G2" t="str">
        <f>SUBSTITUTE(SUBSTITUTE(_xlfn.TEXTBEFORE(A2,","), "-", ""), " ", "")</f>
        <v>Andelin</v>
      </c>
      <c r="H2" t="str">
        <f>IF(ISNUMBER(FIND("&amp;", A2)),
    IF(LEN(A2)-LEN(SUBSTITUTE(A2, ",", ""))&gt;=6, "etal", MID(A2, SEARCH("&amp; ", A2)+2, SEARCH(",", A2, SEARCH("&amp; ", A2)+2) - SEARCH("&amp; ", A2)-2)),
    ""
)</f>
        <v>etal</v>
      </c>
      <c r="I2" t="str">
        <f>_xlfn.TEXTBEFORE(_xlfn.TEXTAFTER(A2, "("), ")")</f>
        <v>2019</v>
      </c>
      <c r="J2" t="str">
        <f>IF(C2&lt;&gt;"", C2, IF(C2="", _xlfn.TEXTAFTER(A2,"https://doi.org/"), C2))</f>
        <v>10.1093/cercor/bhy315</v>
      </c>
      <c r="K2" t="str">
        <f>TRIM(_xlfn.TEXTJOIN("_",FALSE,F2,(SUBSTITUTE(SUBSTITUTE(D2," ",""), "_", ""))))</f>
        <v>Andelin_etal_2019_Table4</v>
      </c>
      <c r="L2" t="str">
        <f>IF(ISBLANK(C2),TRIM(SUBSTITUTE(SUBSTITUTE(SUBSTITUTE(_xlfn.TEXTJOIN("_", FALSE, J2, SUBSTITUTE(D2,"_", "")), "/", "%2F"), ":", "%3A"), " ", "")),TRIM(SUBSTITUTE(SUBSTITUTE(SUBSTITUTE(_xlfn.TEXTJOIN("_", FALSE, C2, SUBSTITUTE(D2,"_", "")), "/", "%2F"), ":", "%3A"), " ", "")))</f>
        <v>10.1093%2Fcercor%2Fbhy315_Table4</v>
      </c>
      <c r="M2" t="str">
        <f t="array" ref="M2">IFERROR(INDEX(FileList!$A$1:$A$100, MATCH(L2, _xlfn.TEXTBEFORE(FileList!$A$1:$A$100, ".tsv"), 0)), "notfound")</f>
        <v>10.1093%2Fcercor%2Fbhy315_Table4.tsv</v>
      </c>
      <c r="V2" s="5" t="s">
        <v>36</v>
      </c>
    </row>
    <row r="3" spans="1:34" ht="16" customHeight="1" x14ac:dyDescent="0.2">
      <c r="A3" s="5" t="s">
        <v>37</v>
      </c>
      <c r="D3" s="5" t="s">
        <v>38</v>
      </c>
      <c r="E3" t="str">
        <f>RIGHT(A3,1)</f>
        <v>9</v>
      </c>
      <c r="F3" t="str">
        <f>G3 &amp; IF(H3&lt;&gt;"", "_" &amp; H3, "_") &amp; IF(I3&lt;&gt;"", "_" &amp; I3, "_") &amp; IF(B3&lt;&gt;"", "_" &amp; B3, "")</f>
        <v>AvelinodeSouza_etal_2025</v>
      </c>
      <c r="G3" t="str">
        <f>SUBSTITUTE(SUBSTITUTE(_xlfn.TEXTBEFORE(A3,","), "-", ""), " ", "")</f>
        <v>AvelinodeSouza</v>
      </c>
      <c r="H3" t="str">
        <f>IF(ISNUMBER(FIND("&amp;", A3)),
IF(LEN(A3)-LEN(SUBSTITUTE(A3, ",", ""))&gt;=6, "etal", MID(A3, SEARCH("&amp; ", A3)+2, SEARCH(",", A3, SEARCH("&amp; ", A3)+2) - SEARCH("&amp; ", A3)-2)),
""
)</f>
        <v>etal</v>
      </c>
      <c r="I3" t="str">
        <f>_xlfn.TEXTBEFORE(_xlfn.TEXTAFTER(A3, "("), ")")</f>
        <v>2025</v>
      </c>
      <c r="J3" t="str">
        <f>IF(C3&lt;&gt;"", C3, IF(C3="", _xlfn.TEXTAFTER(A3,"https://doi.org/"), C3))</f>
        <v>10.1002/cne.70089</v>
      </c>
      <c r="K3" t="str">
        <f>TRIM(_xlfn.TEXTJOIN("_",FALSE,F3,(SUBSTITUTE(SUBSTITUTE(D3," ",""), "_", ""))))</f>
        <v>AvelinodeSouza_etal_2025_TABLE1</v>
      </c>
      <c r="L3" t="str">
        <f>IF(ISBLANK(C3),TRIM(SUBSTITUTE(SUBSTITUTE(SUBSTITUTE(_xlfn.TEXTJOIN("_", FALSE, J3, SUBSTITUTE(D3,"_", "")), "/", "%2F"), ":", "%3A"), " ", "")),TRIM(SUBSTITUTE(SUBSTITUTE(SUBSTITUTE(_xlfn.TEXTJOIN("_", FALSE, C3, SUBSTITUTE(D3,"_", "")), "/", "%2F"), ":", "%3A"), " ", "")))</f>
        <v>10.1002%2Fcne.70089_TABLE1</v>
      </c>
      <c r="M3" t="str">
        <f t="array" ref="M3">IFERROR(INDEX(FileList!$A$1:$A$100, MATCH(L3, _xlfn.TEXTBEFORE(FileList!$A$1:$A$100, ".tsv"), 0)), "notfound")</f>
        <v>10.1002%2Fcne.70089_TABLE1.tsv</v>
      </c>
      <c r="N3" s="5" t="s">
        <v>39</v>
      </c>
      <c r="P3" s="5" t="s">
        <v>40</v>
      </c>
      <c r="Q3" s="5" t="s">
        <v>41</v>
      </c>
      <c r="R3" s="5" t="s">
        <v>42</v>
      </c>
      <c r="S3" s="5" t="s">
        <v>43</v>
      </c>
      <c r="T3" s="5" t="s">
        <v>44</v>
      </c>
      <c r="U3" s="5" t="s">
        <v>45</v>
      </c>
      <c r="V3" s="5" t="s">
        <v>36</v>
      </c>
      <c r="W3" s="5" t="s">
        <v>46</v>
      </c>
      <c r="X3" s="5" t="s">
        <v>47</v>
      </c>
      <c r="Y3" s="5" t="s">
        <v>48</v>
      </c>
      <c r="Z3" s="5" t="s">
        <v>49</v>
      </c>
      <c r="AA3" s="5" t="s">
        <v>50</v>
      </c>
      <c r="AB3" s="5" t="s">
        <v>50</v>
      </c>
      <c r="AE3" s="5" t="s">
        <v>51</v>
      </c>
    </row>
    <row r="4" spans="1:34" ht="16" customHeight="1" x14ac:dyDescent="0.2">
      <c r="A4" s="5" t="s">
        <v>52</v>
      </c>
      <c r="D4" s="5" t="s">
        <v>53</v>
      </c>
      <c r="E4" t="str">
        <f>RIGHT(A4,1)</f>
        <v>1</v>
      </c>
      <c r="F4" t="str">
        <f>G4 &amp; IF(H4&lt;&gt;"", "_" &amp; H4, "_") &amp; IF(I4&lt;&gt;"", "_" &amp; I4, "_") &amp; IF(B4&lt;&gt;"", "_" &amp; B4, "")</f>
        <v>BarbeitoAndres_etal_2019</v>
      </c>
      <c r="G4" t="str">
        <f>SUBSTITUTE(SUBSTITUTE(_xlfn.TEXTBEFORE(A4,","), "-", ""), " ", "")</f>
        <v>BarbeitoAndres</v>
      </c>
      <c r="H4" t="str">
        <f>IF(ISNUMBER(FIND("&amp;", A4)),
IF(LEN(A4)-LEN(SUBSTITUTE(A4, ",", ""))&gt;=6, "etal", MID(A4, SEARCH("&amp; ", A4)+2, SEARCH(",", A4, SEARCH("&amp; ", A4)+2) - SEARCH("&amp; ", A4)-2)),
""
)</f>
        <v>etal</v>
      </c>
      <c r="I4" t="str">
        <f>_xlfn.TEXTBEFORE(_xlfn.TEXTAFTER(A4, "("), ")")</f>
        <v>2019</v>
      </c>
      <c r="J4" t="str">
        <f>IF(C4&lt;&gt;"", C4, IF(C4="", _xlfn.TEXTAFTER(A4,"https://doi.org/"), C4))</f>
        <v>10.1242/jeb.204651</v>
      </c>
      <c r="K4" t="str">
        <f>TRIM(_xlfn.TEXTJOIN("_",FALSE,F4,(SUBSTITUTE(SUBSTITUTE(D4," ",""), "_", ""))))</f>
        <v>BarbeitoAndres_etal_2019_datafigshare.xlsx</v>
      </c>
      <c r="L4" t="str">
        <f>IF(ISBLANK(C4),TRIM(SUBSTITUTE(SUBSTITUTE(SUBSTITUTE(_xlfn.TEXTJOIN("_", FALSE, J4, SUBSTITUTE(D4,"_", "")), "/", "%2F"), ":", "%3A"), " ", "")),TRIM(SUBSTITUTE(SUBSTITUTE(SUBSTITUTE(_xlfn.TEXTJOIN("_", FALSE, C4, SUBSTITUTE(D4,"_", "")), "/", "%2F"), ":", "%3A"), " ", "")))</f>
        <v>10.1242%2Fjeb.204651_datafigshare.xlsx</v>
      </c>
      <c r="M4" t="str">
        <f t="array" ref="M4">IFERROR(INDEX(FileList!$A$1:$A$100, MATCH(L4, _xlfn.TEXTBEFORE(FileList!$A$1:$A$100, ".tsv"), 0)), "notfound")</f>
        <v>notfound</v>
      </c>
    </row>
    <row r="5" spans="1:34" ht="16" customHeight="1" x14ac:dyDescent="0.2">
      <c r="A5" s="5" t="s">
        <v>336</v>
      </c>
      <c r="C5" s="5" t="s">
        <v>337</v>
      </c>
      <c r="D5" s="5" t="s">
        <v>56</v>
      </c>
      <c r="E5" t="str">
        <f>RIGHT(A5,1)</f>
        <v>9</v>
      </c>
      <c r="F5" t="str">
        <f>G5 &amp; IF(H5&lt;&gt;"", "_" &amp; H5, "_") &amp; IF(I5&lt;&gt;"", "_" &amp; I5, "_") &amp; IF(B5&lt;&gt;"", "_" &amp; B5, "")</f>
        <v>Baron_etal_1988</v>
      </c>
      <c r="G5" t="str">
        <f>SUBSTITUTE(SUBSTITUTE(_xlfn.TEXTBEFORE(A5,","), "-", ""), " ", "")</f>
        <v>Baron</v>
      </c>
      <c r="H5" t="str">
        <f>IF(ISNUMBER(FIND("&amp;", A5)),
IF(LEN(A5)-LEN(SUBSTITUTE(A5, ",", ""))&gt;=6, "etal", MID(A5, SEARCH("&amp; ", A5)+2, SEARCH(",", A5, SEARCH("&amp; ", A5)+2) - SEARCH("&amp; ", A5)-2)),
""
)</f>
        <v>etal</v>
      </c>
      <c r="I5" t="str">
        <f>_xlfn.TEXTBEFORE(_xlfn.TEXTAFTER(A5, "("), ")")</f>
        <v>1988</v>
      </c>
      <c r="J5" t="str">
        <f>IF(C5&lt;&gt;"", C5, IF(C5="", _xlfn.TEXTAFTER(A5,"https://doi.org/"), C5))</f>
        <v>PMID:3216099</v>
      </c>
      <c r="K5" t="str">
        <f>TRIM(_xlfn.TEXTJOIN("_",FALSE,F5,(SUBSTITUTE(SUBSTITUTE(D5," ",""), "_", ""))))</f>
        <v>Baron_etal_1988_Table1</v>
      </c>
      <c r="L5" t="str">
        <f>IF(ISBLANK(C5),TRIM(SUBSTITUTE(SUBSTITUTE(SUBSTITUTE(_xlfn.TEXTJOIN("_", FALSE, J5, SUBSTITUTE(D5,"_", "")), "/", "%2F"), ":", "%3A"), " ", "")),TRIM(SUBSTITUTE(SUBSTITUTE(SUBSTITUTE(_xlfn.TEXTJOIN("_", FALSE, C5, SUBSTITUTE(D5,"_", "")), "/", "%2F"), ":", "%3A"), " ", "")))</f>
        <v>PMID%3A3216099_Table1</v>
      </c>
      <c r="M5" t="str">
        <f t="array" ref="M5">IFERROR(INDEX(FileList!$A$1:$A$100, MATCH(L5, _xlfn.TEXTBEFORE(FileList!$A$1:$A$100, ".tsv"), 0)), "notfound")</f>
        <v>notfound</v>
      </c>
      <c r="N5" s="5" t="s">
        <v>338</v>
      </c>
      <c r="AA5" s="5" t="s">
        <v>59</v>
      </c>
    </row>
    <row r="6" spans="1:34" ht="16" customHeight="1" x14ac:dyDescent="0.2">
      <c r="A6" s="5" t="s">
        <v>54</v>
      </c>
      <c r="C6" s="5" t="s">
        <v>55</v>
      </c>
      <c r="D6" s="5" t="s">
        <v>56</v>
      </c>
      <c r="E6" t="str">
        <f>RIGHT(A6,1)</f>
        <v>5</v>
      </c>
      <c r="F6" t="str">
        <f>G6 &amp; IF(H6&lt;&gt;"", "_" &amp; H6, "_") &amp; IF(I6&lt;&gt;"", "_" &amp; I6, "_") &amp; IF(B6&lt;&gt;"", "_" &amp; B6, "")</f>
        <v>Baron_etal_1983</v>
      </c>
      <c r="G6" t="str">
        <f>SUBSTITUTE(SUBSTITUTE(_xlfn.TEXTBEFORE(A6,","), "-", ""), " ", "")</f>
        <v>Baron</v>
      </c>
      <c r="H6" t="str">
        <f>IF(ISNUMBER(FIND("&amp;", A6)),
IF(LEN(A6)-LEN(SUBSTITUTE(A6, ",", ""))&gt;=6, "etal", MID(A6, SEARCH("&amp; ", A6)+2, SEARCH(",", A6, SEARCH("&amp; ", A6)+2) - SEARCH("&amp; ", A6)-2)),
""
)</f>
        <v>etal</v>
      </c>
      <c r="I6" t="str">
        <f>_xlfn.TEXTBEFORE(_xlfn.TEXTAFTER(A6, "("), ")")</f>
        <v>1983</v>
      </c>
      <c r="J6" t="str">
        <f>IF(C6&lt;&gt;"", C6, IF(C6="", _xlfn.TEXTAFTER(A6,"https://doi.org/"), C6))</f>
        <v>PMID:6663055</v>
      </c>
      <c r="K6" t="str">
        <f>TRIM(_xlfn.TEXTJOIN("_",FALSE,F6,(SUBSTITUTE(SUBSTITUTE(D6," ",""), "_", ""))))</f>
        <v>Baron_etal_1983_Table1</v>
      </c>
      <c r="L6" t="s">
        <v>57</v>
      </c>
      <c r="M6" t="str">
        <f t="array" ref="M6">IFERROR(INDEX(FileList!$A$1:$A$100, MATCH(L6, _xlfn.TEXTBEFORE(FileList!$A$1:$A$100, ".tsv"), 0)), "notfound")</f>
        <v>notfound</v>
      </c>
      <c r="V6" s="5" t="s">
        <v>36</v>
      </c>
      <c r="W6" s="5" t="s">
        <v>58</v>
      </c>
      <c r="Z6" s="5" t="s">
        <v>49</v>
      </c>
      <c r="AB6" s="5" t="s">
        <v>59</v>
      </c>
    </row>
    <row r="7" spans="1:34" ht="16" customHeight="1" x14ac:dyDescent="0.2">
      <c r="A7" s="5" t="s">
        <v>60</v>
      </c>
      <c r="C7" s="5" t="s">
        <v>61</v>
      </c>
      <c r="D7" s="5" t="s">
        <v>56</v>
      </c>
      <c r="E7" t="str">
        <f>RIGHT(A7,1)</f>
        <v>6</v>
      </c>
      <c r="F7" t="str">
        <f>G7 &amp; IF(H7&lt;&gt;"", "_" &amp; H7, "_") &amp; IF(I7&lt;&gt;"", "_" &amp; I7, "_") &amp; IF(B7&lt;&gt;"", "_" &amp; B7, "")</f>
        <v>Baron_etal_1987</v>
      </c>
      <c r="G7" t="str">
        <f>SUBSTITUTE(SUBSTITUTE(_xlfn.TEXTBEFORE(A7,","), "-", ""), " ", "")</f>
        <v>Baron</v>
      </c>
      <c r="H7" t="str">
        <f>IF(ISNUMBER(FIND("&amp;", A7)),
IF(LEN(A7)-LEN(SUBSTITUTE(A7, ",", ""))&gt;=6, "etal", MID(A7, SEARCH("&amp; ", A7)+2, SEARCH(",", A7, SEARCH("&amp; ", A7)+2) - SEARCH("&amp; ", A7)-2)),
""
)</f>
        <v>etal</v>
      </c>
      <c r="I7" t="str">
        <f>_xlfn.TEXTBEFORE(_xlfn.TEXTAFTER(A7, "("), ")")</f>
        <v>1987</v>
      </c>
      <c r="J7" t="str">
        <f>IF(C7&lt;&gt;"", C7, IF(C7="", _xlfn.TEXTAFTER(A7,"https://doi.org/"), C7))</f>
        <v>PMID:3116076</v>
      </c>
      <c r="K7" t="str">
        <f>TRIM(_xlfn.TEXTJOIN("_",FALSE,F7,(SUBSTITUTE(SUBSTITUTE(D7," ",""), "_", ""))))</f>
        <v>Baron_etal_1987_Table1</v>
      </c>
      <c r="L7" t="s">
        <v>62</v>
      </c>
      <c r="M7" t="str">
        <f t="array" ref="M7">IFERROR(INDEX(FileList!$A$1:$A$100, MATCH(L7, _xlfn.TEXTBEFORE(FileList!$A$1:$A$100, ".tsv"), 0)), "notfound")</f>
        <v>notfound</v>
      </c>
      <c r="V7" s="5" t="s">
        <v>36</v>
      </c>
      <c r="W7" s="5" t="s">
        <v>58</v>
      </c>
      <c r="Z7" s="5" t="s">
        <v>49</v>
      </c>
      <c r="AB7" s="5" t="s">
        <v>59</v>
      </c>
    </row>
    <row r="8" spans="1:34" ht="17" customHeight="1" x14ac:dyDescent="0.2">
      <c r="A8" s="5" t="s">
        <v>360</v>
      </c>
      <c r="C8" s="5" t="s">
        <v>361</v>
      </c>
      <c r="D8" s="5" t="s">
        <v>56</v>
      </c>
      <c r="E8" t="str">
        <f>RIGHT(A8,1)</f>
        <v>3</v>
      </c>
      <c r="F8" t="str">
        <f>G8 &amp; IF(H8&lt;&gt;"", "_" &amp; H8, "_") &amp; IF(I8&lt;&gt;"", "_" &amp; I8, "_") &amp; IF(B8&lt;&gt;"", "_" &amp; B8, "")</f>
        <v>Baron_etal_1990</v>
      </c>
      <c r="G8" t="str">
        <f>SUBSTITUTE(SUBSTITUTE(_xlfn.TEXTBEFORE(A8,","), "-", ""), " ", "")</f>
        <v>Baron</v>
      </c>
      <c r="H8" t="str">
        <f>IF(ISNUMBER(FIND("&amp;", A8)),
IF(LEN(A8)-LEN(SUBSTITUTE(A8, ",", ""))&gt;=6, "etal", MID(A8, SEARCH("&amp; ", A8)+2, SEARCH(",", A8, SEARCH("&amp; ", A8)+2) - SEARCH("&amp; ", A8)-2)),
""
)</f>
        <v>etal</v>
      </c>
      <c r="I8" t="str">
        <f>_xlfn.TEXTBEFORE(_xlfn.TEXTAFTER(A8, "("), ")")</f>
        <v>1990</v>
      </c>
      <c r="J8" t="str">
        <f>IF(C8&lt;&gt;"", C8, IF(C8="", _xlfn.TEXTAFTER(A8,"https://doi.org/"), C8))</f>
        <v>PMID:2358663</v>
      </c>
      <c r="K8" t="str">
        <f>TRIM(_xlfn.TEXTJOIN("_",FALSE,F8,(SUBSTITUTE(SUBSTITUTE(D8," ",""), "_", ""))))</f>
        <v>Baron_etal_1990_Table1</v>
      </c>
      <c r="L8" t="str">
        <f>IF(ISBLANK(C8),TRIM(SUBSTITUTE(SUBSTITUTE(SUBSTITUTE(_xlfn.TEXTJOIN("_", FALSE, J8, SUBSTITUTE(D8,"_", "")), "/", "%2F"), ":", "%3A"), " ", "")),TRIM(SUBSTITUTE(SUBSTITUTE(SUBSTITUTE(_xlfn.TEXTJOIN("_", FALSE, C8, SUBSTITUTE(D8,"_", "")), "/", "%2F"), ":", "%3A"), " ", "")))</f>
        <v>PMID%3A2358663_Table1</v>
      </c>
      <c r="M8" t="str">
        <f t="array" ref="M8">IFERROR(INDEX(FileList!$A$1:$A$100, MATCH(L8, _xlfn.TEXTBEFORE(FileList!$A$1:$A$100, ".tsv"), 0)), "notfound")</f>
        <v>notfound</v>
      </c>
      <c r="N8" s="5" t="s">
        <v>362</v>
      </c>
      <c r="V8" s="5" t="s">
        <v>36</v>
      </c>
      <c r="W8" s="5" t="s">
        <v>58</v>
      </c>
      <c r="Y8" s="5" t="s">
        <v>363</v>
      </c>
      <c r="Z8" s="5" t="s">
        <v>49</v>
      </c>
      <c r="AA8" s="5" t="s">
        <v>59</v>
      </c>
      <c r="AB8" s="5" t="s">
        <v>343</v>
      </c>
    </row>
    <row r="9" spans="1:34" ht="17" customHeight="1" x14ac:dyDescent="0.2">
      <c r="A9" s="5" t="s">
        <v>388</v>
      </c>
      <c r="D9" s="5" t="s">
        <v>56</v>
      </c>
      <c r="E9" t="str">
        <f>RIGHT(A9,1)</f>
        <v>3</v>
      </c>
      <c r="F9" t="str">
        <f>G9 &amp; IF(H9&lt;&gt;"", "_" &amp; H9, "_") &amp; IF(I9&lt;&gt;"", "_" &amp; I9, "_") &amp; IF(B9&lt;&gt;"", "_" &amp; B9, "")</f>
        <v>Bauernfeind_etal_2013</v>
      </c>
      <c r="G9" t="str">
        <f>SUBSTITUTE(SUBSTITUTE(_xlfn.TEXTBEFORE(A9,","), "-", ""), " ", "")</f>
        <v>Bauernfeind</v>
      </c>
      <c r="H9" t="str">
        <f>IF(ISNUMBER(FIND("&amp;", A9)),
IF(LEN(A9)-LEN(SUBSTITUTE(A9, ",", ""))&gt;=6, "etal", MID(A9, SEARCH("&amp; ", A9)+2, SEARCH(",", A9, SEARCH("&amp; ", A9)+2) - SEARCH("&amp; ", A9)-2)),
""
)</f>
        <v>etal</v>
      </c>
      <c r="I9" t="str">
        <f>_xlfn.TEXTBEFORE(_xlfn.TEXTAFTER(A9, "("), ")")</f>
        <v>2013</v>
      </c>
      <c r="J9" t="str">
        <f>IF(C9&lt;&gt;"", C9, IF(C9="", _xlfn.TEXTAFTER(A9,"https://doi.org/"), C9))</f>
        <v>10.1016/j.jhevol.2012.12.003</v>
      </c>
      <c r="K9" t="str">
        <f>TRIM(_xlfn.TEXTJOIN("_",FALSE,F9,(SUBSTITUTE(SUBSTITUTE(D9," ",""), "_", ""))))</f>
        <v>Bauernfeind_etal_2013_Table1</v>
      </c>
      <c r="L9" t="str">
        <f>IF(ISBLANK(C9),TRIM(SUBSTITUTE(SUBSTITUTE(SUBSTITUTE(_xlfn.TEXTJOIN("_", FALSE, J9, SUBSTITUTE(D9,"_", "")), "/", "%2F"), ":", "%3A"), " ", "")),TRIM(SUBSTITUTE(SUBSTITUTE(SUBSTITUTE(_xlfn.TEXTJOIN("_", FALSE, C9, SUBSTITUTE(D9,"_", "")), "/", "%2F"), ":", "%3A"), " ", "")))</f>
        <v>10.1016%2Fj.jhevol.2012.12.003_Table1</v>
      </c>
      <c r="M9" t="str">
        <f t="array" ref="M9">IFERROR(INDEX(FileList!$A$1:$A$100, MATCH(L9, _xlfn.TEXTBEFORE(FileList!$A$1:$A$100, ".tsv"), 0)), "notfound")</f>
        <v>notfound</v>
      </c>
      <c r="N9" s="5" t="s">
        <v>389</v>
      </c>
      <c r="V9" s="5" t="s">
        <v>36</v>
      </c>
      <c r="Y9" s="5" t="s">
        <v>390</v>
      </c>
      <c r="Z9" s="5" t="s">
        <v>49</v>
      </c>
      <c r="AA9" s="5" t="s">
        <v>59</v>
      </c>
      <c r="AB9" s="5" t="s">
        <v>343</v>
      </c>
    </row>
    <row r="10" spans="1:34" ht="16" customHeight="1" x14ac:dyDescent="0.2">
      <c r="A10" s="5" t="s">
        <v>63</v>
      </c>
      <c r="C10" s="5" t="s">
        <v>64</v>
      </c>
      <c r="D10" s="5" t="s">
        <v>65</v>
      </c>
      <c r="E10" t="str">
        <f>RIGHT(A10,1)</f>
        <v>0</v>
      </c>
      <c r="F10" t="str">
        <f>G10 &amp; IF(H10&lt;&gt;"", "_" &amp; H10, "_") &amp; IF(I10&lt;&gt;"", "_" &amp; I10, "_") &amp; IF(B10&lt;&gt;"", "_" &amp; B10, "")</f>
        <v>Brodmann__1913</v>
      </c>
      <c r="G10" t="str">
        <f>SUBSTITUTE(SUBSTITUTE(_xlfn.TEXTBEFORE(A10,","), "-", ""), " ", "")</f>
        <v>Brodmann</v>
      </c>
      <c r="H10" t="str">
        <f>IF(ISNUMBER(FIND("&amp;", A10)),
IF(LEN(A10)-LEN(SUBSTITUTE(A10, ",", ""))&gt;=6, "etal", MID(A10, SEARCH("&amp; ", A10)+2, SEARCH(",", A10, SEARCH("&amp; ", A10)+2) - SEARCH("&amp; ", A10)-2)),
""
)</f>
        <v/>
      </c>
      <c r="I10" t="str">
        <f>_xlfn.TEXTBEFORE(_xlfn.TEXTAFTER(A10, "("), ")")</f>
        <v>1913</v>
      </c>
      <c r="J10" t="str">
        <f>IF(C10&lt;&gt;"", C10, IF(C10="", _xlfn.TEXTAFTER(A10,"https://doi.org/"), C10))</f>
        <v>10.0000/placeholder</v>
      </c>
      <c r="K10" t="str">
        <f>TRIM(_xlfn.TEXTJOIN("_",FALSE,F10,(SUBSTITUTE(SUBSTITUTE(D10," ",""), "_", ""))))</f>
        <v>Brodmann__1913_Tabelle1</v>
      </c>
      <c r="L10" t="str">
        <f>IF(ISBLANK(C10),TRIM(SUBSTITUTE(SUBSTITUTE(SUBSTITUTE(_xlfn.TEXTJOIN("_", FALSE, J10, SUBSTITUTE(D10,"_", "")), "/", "%2F"), ":", "%3A"), " ", "")),TRIM(SUBSTITUTE(SUBSTITUTE(SUBSTITUTE(_xlfn.TEXTJOIN("_", FALSE, C10, SUBSTITUTE(D10,"_", "")), "/", "%2F"), ":", "%3A"), " ", "")))</f>
        <v>10.0000%2Fplaceholder_Tabelle1</v>
      </c>
      <c r="M10" t="str">
        <f t="array" ref="M10">IFERROR(INDEX(FileList!$A$1:$A$100, MATCH(L10, _xlfn.TEXTBEFORE(FileList!$A$1:$A$100, ".tsv"), 0)), "notfound")</f>
        <v>notfound</v>
      </c>
    </row>
    <row r="11" spans="1:34" ht="16" customHeight="1" x14ac:dyDescent="0.2">
      <c r="A11" s="5" t="s">
        <v>66</v>
      </c>
      <c r="D11" s="5" t="s">
        <v>67</v>
      </c>
      <c r="E11" t="str">
        <f>RIGHT(A11,1)</f>
        <v>3</v>
      </c>
      <c r="F11" t="str">
        <f>G11 &amp; IF(H11&lt;&gt;"", "_" &amp; H11, "_") &amp; IF(I11&lt;&gt;"", "_" &amp; I11, "_") &amp; IF(B11&lt;&gt;"", "_" &amp; B11, "")</f>
        <v>Burger_etal_2019</v>
      </c>
      <c r="G11" t="str">
        <f>SUBSTITUTE(SUBSTITUTE(_xlfn.TEXTBEFORE(A11,","), "-", ""), " ", "")</f>
        <v>Burger</v>
      </c>
      <c r="H11" t="str">
        <f>IF(ISNUMBER(FIND("&amp;", A11)),
IF(LEN(A11)-LEN(SUBSTITUTE(A11, ",", ""))&gt;=6, "etal", MID(A11, SEARCH("&amp; ", A11)+2, SEARCH(",", A11, SEARCH("&amp; ", A11)+2) - SEARCH("&amp; ", A11)-2)),
""
)</f>
        <v>etal</v>
      </c>
      <c r="I11" t="str">
        <f>_xlfn.TEXTBEFORE(_xlfn.TEXTAFTER(A11, "("), ")")</f>
        <v>2019</v>
      </c>
      <c r="J11" t="str">
        <f>IF(C11&lt;&gt;"", C11, IF(C11="", _xlfn.TEXTAFTER(A11,"https://doi.org/"), C11))</f>
        <v>10.1093/jmammal/gyz043</v>
      </c>
      <c r="K11" t="str">
        <f>TRIM(_xlfn.TEXTJOIN("_",FALSE,F11,(SUBSTITUTE(SUBSTITUTE(D11," ",""), "_", ""))))</f>
        <v>Burger_etal_2019_SupplementaryDataSD1</v>
      </c>
      <c r="L11" t="str">
        <f>IF(ISBLANK(C11),TRIM(SUBSTITUTE(SUBSTITUTE(SUBSTITUTE(_xlfn.TEXTJOIN("_", FALSE, J11, SUBSTITUTE(D11,"_", "")), "/", "%2F"), ":", "%3A"), " ", "")),TRIM(SUBSTITUTE(SUBSTITUTE(SUBSTITUTE(_xlfn.TEXTJOIN("_", FALSE, C11, SUBSTITUTE(D11,"_", "")), "/", "%2F"), ":", "%3A"), " ", "")))</f>
        <v>10.1093%2Fjmammal%2Fgyz043_SupplementaryDataSD1</v>
      </c>
      <c r="M11" t="str">
        <f t="array" ref="M11">IFERROR(INDEX(FileList!$A$1:$A$100, MATCH(L11, _xlfn.TEXTBEFORE(FileList!$A$1:$A$100, ".tsv"), 0)), "notfound")</f>
        <v>10.1093%2Fjmammal%2Fgyz043_SupplementaryDataSD1.tsv</v>
      </c>
      <c r="O11" s="5" t="s">
        <v>68</v>
      </c>
      <c r="P11" s="5" t="s">
        <v>40</v>
      </c>
      <c r="Q11" s="5" t="s">
        <v>69</v>
      </c>
      <c r="R11" s="5" t="s">
        <v>70</v>
      </c>
      <c r="S11" s="5" t="s">
        <v>71</v>
      </c>
      <c r="T11" s="5" t="str">
        <f>IF(S11="N", R11, "write file name")</f>
        <v>gyz043_suppl_Supplement_Data.csv</v>
      </c>
      <c r="U11" s="5" t="s">
        <v>72</v>
      </c>
      <c r="V11" s="5" t="s">
        <v>36</v>
      </c>
      <c r="W11" s="5" t="s">
        <v>73</v>
      </c>
      <c r="Y11" s="5" t="s">
        <v>74</v>
      </c>
      <c r="Z11" s="5" t="s">
        <v>75</v>
      </c>
      <c r="AD11" s="5" t="s">
        <v>76</v>
      </c>
      <c r="AE11" s="5" t="s">
        <v>77</v>
      </c>
    </row>
    <row r="12" spans="1:34" ht="16" customHeight="1" x14ac:dyDescent="0.2">
      <c r="A12" s="5" t="s">
        <v>78</v>
      </c>
      <c r="D12" s="5" t="s">
        <v>79</v>
      </c>
      <c r="E12" t="str">
        <f>RIGHT(A12,1)</f>
        <v>9</v>
      </c>
      <c r="F12" t="str">
        <f>G12 &amp; IF(H12&lt;&gt;"", "_" &amp; H12, "_") &amp; IF(I12&lt;&gt;"", "_" &amp; I12, "_") &amp; IF(B12&lt;&gt;"", "_" &amp; B12, "")</f>
        <v>Burish_etal_2010</v>
      </c>
      <c r="G12" t="str">
        <f>SUBSTITUTE(SUBSTITUTE(_xlfn.TEXTBEFORE(A12,","), "-", ""), " ", "")</f>
        <v>Burish</v>
      </c>
      <c r="H12" t="str">
        <f>IF(ISNUMBER(FIND("&amp;", A12)),
IF(LEN(A12)-LEN(SUBSTITUTE(A12, ",", ""))&gt;=6, "etal", MID(A12, SEARCH("&amp; ", A12)+2, SEARCH(",", A12, SEARCH("&amp; ", A12)+2) - SEARCH("&amp; ", A12)-2)),
""
)</f>
        <v>etal</v>
      </c>
      <c r="I12" t="str">
        <f>_xlfn.TEXTBEFORE(_xlfn.TEXTAFTER(A12, "("), ")")</f>
        <v>2010</v>
      </c>
      <c r="J12" t="str">
        <f>IF(C12&lt;&gt;"", C12, IF(C12="", _xlfn.TEXTAFTER(A12,"https://doi.org/"), C12))</f>
        <v>10.1159/000319019</v>
      </c>
      <c r="K12" t="str">
        <f>TRIM(_xlfn.TEXTJOIN("_",FALSE,F12,(SUBSTITUTE(SUBSTITUTE(D12," ",""), "_", ""))))</f>
        <v>Burish_etal_2010_SupplementaryTable1</v>
      </c>
      <c r="L12" t="str">
        <f>IF(ISBLANK(C12),TRIM(SUBSTITUTE(SUBSTITUTE(SUBSTITUTE(_xlfn.TEXTJOIN("_", FALSE, J12, SUBSTITUTE(D12,"_", "")), "/", "%2F"), ":", "%3A"), " ", "")),TRIM(SUBSTITUTE(SUBSTITUTE(SUBSTITUTE(_xlfn.TEXTJOIN("_", FALSE, C12, SUBSTITUTE(D12,"_", "")), "/", "%2F"), ":", "%3A"), " ", "")))</f>
        <v>10.1159%2F000319019_SupplementaryTable1</v>
      </c>
      <c r="M12" t="str">
        <f t="array" ref="M12">IFERROR(INDEX(FileList!$A$1:$A$100, MATCH(L12, _xlfn.TEXTBEFORE(FileList!$A$1:$A$100, ".tsv"), 0)), "notfound")</f>
        <v>10.1159%2F000319019_SupplementaryTable1.tsv</v>
      </c>
      <c r="N12" s="5" t="s">
        <v>80</v>
      </c>
      <c r="P12" s="5" t="s">
        <v>81</v>
      </c>
      <c r="R12" s="5" t="s">
        <v>82</v>
      </c>
      <c r="Z12" s="5" t="s">
        <v>83</v>
      </c>
      <c r="AC12" s="5" t="s">
        <v>84</v>
      </c>
      <c r="AE12" s="5" t="s">
        <v>85</v>
      </c>
    </row>
    <row r="13" spans="1:34" ht="16" customHeight="1" x14ac:dyDescent="0.2">
      <c r="A13" s="5" t="s">
        <v>78</v>
      </c>
      <c r="D13" s="5" t="s">
        <v>86</v>
      </c>
      <c r="E13" t="str">
        <f>RIGHT(A13,1)</f>
        <v>9</v>
      </c>
      <c r="F13" t="str">
        <f>G13 &amp; IF(H13&lt;&gt;"", "_" &amp; H13, "_") &amp; IF(I13&lt;&gt;"", "_" &amp; I13, "_") &amp; IF(B13&lt;&gt;"", "_" &amp; B13, "")</f>
        <v>Burish_etal_2010</v>
      </c>
      <c r="G13" t="str">
        <f>SUBSTITUTE(SUBSTITUTE(_xlfn.TEXTBEFORE(A13,","), "-", ""), " ", "")</f>
        <v>Burish</v>
      </c>
      <c r="H13" t="str">
        <f>IF(ISNUMBER(FIND("&amp;", A13)),
IF(LEN(A13)-LEN(SUBSTITUTE(A13, ",", ""))&gt;=6, "etal", MID(A13, SEARCH("&amp; ", A13)+2, SEARCH(",", A13, SEARCH("&amp; ", A13)+2) - SEARCH("&amp; ", A13)-2)),
""
)</f>
        <v>etal</v>
      </c>
      <c r="I13" t="str">
        <f>_xlfn.TEXTBEFORE(_xlfn.TEXTAFTER(A13, "("), ")")</f>
        <v>2010</v>
      </c>
      <c r="J13" t="str">
        <f>IF(C13&lt;&gt;"", C13, IF(C13="", _xlfn.TEXTAFTER(A13,"https://doi.org/"), C13))</f>
        <v>10.1159/000319019</v>
      </c>
      <c r="K13" t="str">
        <f>TRIM(_xlfn.TEXTJOIN("_",FALSE,F13,(SUBSTITUTE(SUBSTITUTE(D13," ",""), "_", ""))))</f>
        <v>Burish_etal_2010_Table1</v>
      </c>
      <c r="L13" t="str">
        <f>IF(ISBLANK(C13),TRIM(SUBSTITUTE(SUBSTITUTE(SUBSTITUTE(_xlfn.TEXTJOIN("_", FALSE, J13, SUBSTITUTE(D13,"_", "")), "/", "%2F"), ":", "%3A"), " ", "")),TRIM(SUBSTITUTE(SUBSTITUTE(SUBSTITUTE(_xlfn.TEXTJOIN("_", FALSE, C13, SUBSTITUTE(D13,"_", "")), "/", "%2F"), ":", "%3A"), " ", "")))</f>
        <v>10.1159%2F000319019_Table1</v>
      </c>
      <c r="M13" t="str">
        <f t="array" ref="M13">IFERROR(INDEX(FileList!$A$1:$A$100, MATCH(L13, _xlfn.TEXTBEFORE(FileList!$A$1:$A$100, ".tsv"), 0)), "notfound")</f>
        <v>10.1159%2F000319019_Table1.tsv</v>
      </c>
      <c r="N13" s="5" t="s">
        <v>87</v>
      </c>
      <c r="P13" s="5" t="s">
        <v>40</v>
      </c>
      <c r="Q13" s="5" t="s">
        <v>41</v>
      </c>
      <c r="R13" s="5" t="s">
        <v>88</v>
      </c>
      <c r="T13" s="5" t="s">
        <v>89</v>
      </c>
      <c r="U13" s="5" t="s">
        <v>45</v>
      </c>
      <c r="V13" s="5" t="s">
        <v>36</v>
      </c>
      <c r="X13" s="5" t="s">
        <v>90</v>
      </c>
      <c r="Z13" s="5" t="s">
        <v>91</v>
      </c>
      <c r="AC13" s="5" t="s">
        <v>84</v>
      </c>
      <c r="AE13" s="5" t="s">
        <v>85</v>
      </c>
    </row>
    <row r="14" spans="1:34" ht="16" customHeight="1" x14ac:dyDescent="0.2">
      <c r="A14" s="5" t="s">
        <v>92</v>
      </c>
      <c r="D14" s="5" t="s">
        <v>93</v>
      </c>
      <c r="E14" t="str">
        <f>RIGHT(A14,1)</f>
        <v>5</v>
      </c>
      <c r="F14" t="str">
        <f>G14 &amp; IF(H14&lt;&gt;"", "_" &amp; H14, "_") &amp; IF(I14&lt;&gt;"", "_" &amp; I14, "_") &amp; IF(B14&lt;&gt;"", "_" &amp; B14, "")</f>
        <v>Caspar_etal_2022</v>
      </c>
      <c r="G14" t="str">
        <f>SUBSTITUTE(SUBSTITUTE(_xlfn.TEXTBEFORE(A14,","), "-", ""), " ", "")</f>
        <v>Caspar</v>
      </c>
      <c r="H14" t="str">
        <f>IF(ISNUMBER(FIND("&amp;", A14)),
IF(LEN(A14)-LEN(SUBSTITUTE(A14, ",", ""))&gt;=6, "etal", MID(A14, SEARCH("&amp; ", A14)+2, SEARCH(",", A14, SEARCH("&amp; ", A14)+2) - SEARCH("&amp; ", A14)-2)),
""
)</f>
        <v>etal</v>
      </c>
      <c r="I14" t="str">
        <f>_xlfn.TEXTBEFORE(_xlfn.TEXTAFTER(A14, "("), ")")</f>
        <v>2022</v>
      </c>
      <c r="J14" t="str">
        <f>IF(C14&lt;&gt;"", C14, IF(C14="", _xlfn.TEXTAFTER(A14,"https://doi.org/"), C14))</f>
        <v>10.7554/eLife.77875</v>
      </c>
      <c r="K14" t="str">
        <f>TRIM(_xlfn.TEXTJOIN("_",FALSE,F14,(SUBSTITUTE(SUBSTITUTE(D14," ",""), "_", ""))))</f>
        <v>Caspar_etal_2022_Supplementaryfile3</v>
      </c>
      <c r="L14" t="str">
        <f>IF(ISBLANK(C14),TRIM(SUBSTITUTE(SUBSTITUTE(SUBSTITUTE(_xlfn.TEXTJOIN("_", FALSE, J14, SUBSTITUTE(D14,"_", "")), "/", "%2F"), ":", "%3A"), " ", "")),TRIM(SUBSTITUTE(SUBSTITUTE(SUBSTITUTE(_xlfn.TEXTJOIN("_", FALSE, C14, SUBSTITUTE(D14,"_", "")), "/", "%2F"), ":", "%3A"), " ", "")))</f>
        <v>10.7554%2FeLife.77875_Supplementaryfile3</v>
      </c>
      <c r="M14" t="str">
        <f t="array" ref="M14">IFERROR(INDEX(FileList!$A$1:$A$100, MATCH(L14, _xlfn.TEXTBEFORE(FileList!$A$1:$A$100, ".tsv"), 0)), "notfound")</f>
        <v>10.7554%2FeLife.77875_Supplementaryfile3.tsv</v>
      </c>
      <c r="N14" s="5" t="s">
        <v>94</v>
      </c>
      <c r="P14" s="5" t="s">
        <v>40</v>
      </c>
      <c r="Q14" s="5" t="s">
        <v>41</v>
      </c>
      <c r="R14" s="5" t="s">
        <v>95</v>
      </c>
      <c r="S14" s="5" t="s">
        <v>71</v>
      </c>
      <c r="T14" s="5" t="str">
        <f>IF(S14="N", R14, "write file name")</f>
        <v>elife-77875-supp3-v1.xlsx</v>
      </c>
      <c r="U14" s="5" t="s">
        <v>96</v>
      </c>
      <c r="V14" s="5" t="s">
        <v>36</v>
      </c>
      <c r="W14" s="5" t="s">
        <v>97</v>
      </c>
      <c r="X14" s="5" t="s">
        <v>98</v>
      </c>
      <c r="Y14" s="5" t="s">
        <v>99</v>
      </c>
      <c r="Z14" s="5" t="s">
        <v>75</v>
      </c>
      <c r="AE14" s="5" t="s">
        <v>100</v>
      </c>
    </row>
    <row r="15" spans="1:34" ht="16" customHeight="1" x14ac:dyDescent="0.2">
      <c r="A15" s="5" t="s">
        <v>92</v>
      </c>
      <c r="D15" s="5" t="s">
        <v>86</v>
      </c>
      <c r="E15" t="str">
        <f>RIGHT(A15,1)</f>
        <v>5</v>
      </c>
      <c r="F15" t="str">
        <f>G15 &amp; IF(H15&lt;&gt;"", "_" &amp; H15, "_") &amp; IF(I15&lt;&gt;"", "_" &amp; I15, "_") &amp; IF(B15&lt;&gt;"", "_" &amp; B15, "")</f>
        <v>Caspar_etal_2022</v>
      </c>
      <c r="G15" t="str">
        <f>SUBSTITUTE(SUBSTITUTE(_xlfn.TEXTBEFORE(A15,","), "-", ""), " ", "")</f>
        <v>Caspar</v>
      </c>
      <c r="H15" t="str">
        <f>IF(ISNUMBER(FIND("&amp;", A15)),
IF(LEN(A15)-LEN(SUBSTITUTE(A15, ",", ""))&gt;=6, "etal", MID(A15, SEARCH("&amp; ", A15)+2, SEARCH(",", A15, SEARCH("&amp; ", A15)+2) - SEARCH("&amp; ", A15)-2)),
""
)</f>
        <v>etal</v>
      </c>
      <c r="I15" t="str">
        <f>_xlfn.TEXTBEFORE(_xlfn.TEXTAFTER(A15, "("), ")")</f>
        <v>2022</v>
      </c>
      <c r="J15" t="str">
        <f>IF(C15&lt;&gt;"", C15, IF(C15="", _xlfn.TEXTAFTER(A15,"https://doi.org/"), C15))</f>
        <v>10.7554/eLife.77875</v>
      </c>
      <c r="K15" t="str">
        <f>TRIM(_xlfn.TEXTJOIN("_",FALSE,F15,(SUBSTITUTE(SUBSTITUTE(D15," ",""), "_", ""))))</f>
        <v>Caspar_etal_2022_Table1</v>
      </c>
      <c r="L15" t="str">
        <f>IF(ISBLANK(C15),TRIM(SUBSTITUTE(SUBSTITUTE(SUBSTITUTE(_xlfn.TEXTJOIN("_", FALSE, J15, SUBSTITUTE(D15,"_", "")), "/", "%2F"), ":", "%3A"), " ", "")),TRIM(SUBSTITUTE(SUBSTITUTE(SUBSTITUTE(_xlfn.TEXTJOIN("_", FALSE, C15, SUBSTITUTE(D15,"_", "")), "/", "%2F"), ":", "%3A"), " ", "")))</f>
        <v>10.7554%2FeLife.77875_Table1</v>
      </c>
      <c r="M15" t="str">
        <f t="array" ref="M15">IFERROR(INDEX(FileList!$A$1:$A$100, MATCH(L15, _xlfn.TEXTBEFORE(FileList!$A$1:$A$100, ".tsv"), 0)), "notfound")</f>
        <v>10.7554%2FeLife.77875_Table1.tsv</v>
      </c>
      <c r="N15" s="5" t="s">
        <v>101</v>
      </c>
      <c r="P15" s="5" t="s">
        <v>40</v>
      </c>
      <c r="Q15" s="5" t="s">
        <v>41</v>
      </c>
      <c r="R15" s="5" t="s">
        <v>102</v>
      </c>
      <c r="S15" s="5" t="s">
        <v>43</v>
      </c>
      <c r="T15" s="5" t="s">
        <v>103</v>
      </c>
      <c r="U15" s="5" t="s">
        <v>45</v>
      </c>
      <c r="V15" s="5" t="s">
        <v>36</v>
      </c>
      <c r="W15" s="5" t="s">
        <v>104</v>
      </c>
      <c r="X15" s="5" t="s">
        <v>105</v>
      </c>
      <c r="Y15" s="5" t="s">
        <v>106</v>
      </c>
      <c r="Z15" s="5" t="s">
        <v>107</v>
      </c>
      <c r="AD15" s="5" t="s">
        <v>108</v>
      </c>
      <c r="AE15" s="5" t="s">
        <v>100</v>
      </c>
    </row>
    <row r="16" spans="1:34" ht="16" customHeight="1" x14ac:dyDescent="0.2">
      <c r="A16" s="5" t="s">
        <v>109</v>
      </c>
      <c r="D16" s="5" t="s">
        <v>110</v>
      </c>
      <c r="E16" t="str">
        <f>RIGHT(A16,1)</f>
        <v>5</v>
      </c>
      <c r="F16" t="str">
        <f>G16 &amp; IF(H16&lt;&gt;"", "_" &amp; H16, "_") &amp; IF(I16&lt;&gt;"", "_" &amp; I16, "_") &amp; IF(B16&lt;&gt;"", "_" &amp; B16, "")</f>
        <v>Changizi__2001</v>
      </c>
      <c r="G16" t="str">
        <f>SUBSTITUTE(SUBSTITUTE(_xlfn.TEXTBEFORE(A16,","), "-", ""), " ", "")</f>
        <v>Changizi</v>
      </c>
      <c r="H16" t="str">
        <f>IF(ISNUMBER(FIND("&amp;", A16)),
IF(LEN(A16)-LEN(SUBSTITUTE(A16, ",", ""))&gt;=6, "etal", MID(A16, SEARCH("&amp; ", A16)+2, SEARCH(",", A16, SEARCH("&amp; ", A16)+2) - SEARCH("&amp; ", A16)-2)),
""
)</f>
        <v/>
      </c>
      <c r="I16" t="str">
        <f>_xlfn.TEXTBEFORE(_xlfn.TEXTAFTER(A16, "("), ")")</f>
        <v>2001</v>
      </c>
      <c r="J16" t="str">
        <f>IF(C16&lt;&gt;"", C16, IF(C16="", _xlfn.TEXTAFTER(A16,"https://doi.org/"), C16))</f>
        <v>10.1007/s004220000205</v>
      </c>
      <c r="K16" t="str">
        <f>TRIM(_xlfn.TEXTJOIN("_",FALSE,F16,(SUBSTITUTE(SUBSTITUTE(D16," ",""), "_", ""))))</f>
        <v>Changizi__2001_Figure3</v>
      </c>
      <c r="L16" t="str">
        <f>IF(ISBLANK(C16),TRIM(SUBSTITUTE(SUBSTITUTE(SUBSTITUTE(_xlfn.TEXTJOIN("_", FALSE, J16, SUBSTITUTE(D16,"_", "")), "/", "%2F"), ":", "%3A"), " ", "")),TRIM(SUBSTITUTE(SUBSTITUTE(SUBSTITUTE(_xlfn.TEXTJOIN("_", FALSE, C16, SUBSTITUTE(D16,"_", "")), "/", "%2F"), ":", "%3A"), " ", "")))</f>
        <v>10.1007%2Fs004220000205_Figure3</v>
      </c>
      <c r="M16" t="str">
        <f t="array" ref="M16">IFERROR(INDEX(FileList!$A$1:$A$100, MATCH(L16, _xlfn.TEXTBEFORE(FileList!$A$1:$A$100, ".tsv"), 0)), "notfound")</f>
        <v>10.1007%2Fs004220000205_Figure3.tsv</v>
      </c>
      <c r="P16" s="5" t="s">
        <v>111</v>
      </c>
      <c r="Q16" s="5" t="s">
        <v>112</v>
      </c>
      <c r="R16" s="5" t="s">
        <v>113</v>
      </c>
      <c r="S16" s="5" t="s">
        <v>43</v>
      </c>
      <c r="T16" s="5" t="s">
        <v>114</v>
      </c>
      <c r="U16" s="5" t="s">
        <v>45</v>
      </c>
      <c r="V16" s="5" t="s">
        <v>115</v>
      </c>
      <c r="W16" s="5" t="s">
        <v>116</v>
      </c>
      <c r="Y16" s="5" t="s">
        <v>117</v>
      </c>
      <c r="Z16" s="5" t="s">
        <v>118</v>
      </c>
      <c r="AD16" s="5" t="s">
        <v>119</v>
      </c>
    </row>
    <row r="17" spans="1:32" ht="16" customHeight="1" x14ac:dyDescent="0.2">
      <c r="A17" s="5" t="s">
        <v>120</v>
      </c>
      <c r="D17" s="5" t="s">
        <v>121</v>
      </c>
      <c r="E17" t="str">
        <f>RIGHT(A17,1)</f>
        <v>3</v>
      </c>
      <c r="F17" t="str">
        <f>G17 &amp; IF(H17&lt;&gt;"", "_" &amp; H17, "_") &amp; IF(I17&lt;&gt;"", "_" &amp; I17, "_") &amp; IF(B17&lt;&gt;"", "_" &amp; B17, "")</f>
        <v>Chen_Wiens_2020</v>
      </c>
      <c r="G17" t="str">
        <f>SUBSTITUTE(SUBSTITUTE(_xlfn.TEXTBEFORE(A17,","), "-", ""), " ", "")</f>
        <v>Chen</v>
      </c>
      <c r="H17" t="str">
        <f>IF(ISNUMBER(FIND("&amp;", A17)),
IF(LEN(A17)-LEN(SUBSTITUTE(A17, ",", ""))&gt;=6, "etal", MID(A17, SEARCH("&amp; ", A17)+2, SEARCH(",", A17, SEARCH("&amp; ", A17)+2) - SEARCH("&amp; ", A17)-2)),
""
)</f>
        <v>Wiens</v>
      </c>
      <c r="I17" t="str">
        <f>_xlfn.TEXTBEFORE(_xlfn.TEXTAFTER(A17, "("), ")")</f>
        <v>2020</v>
      </c>
      <c r="J17" t="str">
        <f>IF(C17&lt;&gt;"", C17, IF(C17="", _xlfn.TEXTAFTER(A17,"https://doi.org/"), C17))</f>
        <v>10.1038/s41467-020-14356-3</v>
      </c>
      <c r="K17" t="str">
        <f>TRIM(_xlfn.TEXTJOIN("_",FALSE,F17,(SUBSTITUTE(SUBSTITUTE(D17," ",""), "_", ""))))</f>
        <v>Chen_Wiens_2020_SupplementaryData3</v>
      </c>
      <c r="L17" t="str">
        <f>IF(ISBLANK(C17),TRIM(SUBSTITUTE(SUBSTITUTE(SUBSTITUTE(_xlfn.TEXTJOIN("_", FALSE, J17, SUBSTITUTE(D17,"_", "")), "/", "%2F"), ":", "%3A"), " ", "")),TRIM(SUBSTITUTE(SUBSTITUTE(SUBSTITUTE(_xlfn.TEXTJOIN("_", FALSE, C17, SUBSTITUTE(D17,"_", "")), "/", "%2F"), ":", "%3A"), " ", "")))</f>
        <v>10.1038%2Fs41467-020-14356-3_SupplementaryData3</v>
      </c>
      <c r="M17" t="str">
        <f t="array" ref="M17">IFERROR(INDEX(FileList!$A$1:$A$100, MATCH(L17, _xlfn.TEXTBEFORE(FileList!$A$1:$A$100, ".tsv"), 0)), "notfound")</f>
        <v>10.1038%2Fs41467-020-14356-3_SupplementaryData3.tsv</v>
      </c>
      <c r="P17" s="5" t="s">
        <v>40</v>
      </c>
      <c r="Q17" s="5" t="s">
        <v>41</v>
      </c>
      <c r="R17" s="5" t="s">
        <v>122</v>
      </c>
      <c r="S17" s="5" t="s">
        <v>71</v>
      </c>
      <c r="T17" s="5" t="str">
        <f>IF(S17="N", R17, "write file name")</f>
        <v>41467_2020_14356_MOESM6_ESM.xlsx</v>
      </c>
      <c r="U17" s="5" t="s">
        <v>96</v>
      </c>
      <c r="V17" s="5" t="s">
        <v>36</v>
      </c>
      <c r="W17" s="5" t="s">
        <v>97</v>
      </c>
      <c r="X17" s="5" t="s">
        <v>123</v>
      </c>
      <c r="Y17" s="5" t="s">
        <v>124</v>
      </c>
      <c r="Z17" s="5" t="s">
        <v>75</v>
      </c>
      <c r="AC17" s="5" t="s">
        <v>125</v>
      </c>
      <c r="AD17" s="5" t="s">
        <v>126</v>
      </c>
      <c r="AE17" s="5" t="s">
        <v>127</v>
      </c>
    </row>
    <row r="18" spans="1:32" ht="16" customHeight="1" x14ac:dyDescent="0.2">
      <c r="A18" s="5" t="s">
        <v>128</v>
      </c>
      <c r="D18" s="5" t="s">
        <v>129</v>
      </c>
      <c r="E18" t="str">
        <f>RIGHT(A18,1)</f>
        <v>7</v>
      </c>
      <c r="F18" t="str">
        <f>G18 &amp; IF(H18&lt;&gt;"", "_" &amp; H18, "_") &amp; IF(I18&lt;&gt;"", "_" &amp; I18, "_") &amp; IF(B18&lt;&gt;"", "_" &amp; B18, "")</f>
        <v>Collins_etal_2010</v>
      </c>
      <c r="G18" t="str">
        <f>SUBSTITUTE(SUBSTITUTE(_xlfn.TEXTBEFORE(A18,","), "-", ""), " ", "")</f>
        <v>Collins</v>
      </c>
      <c r="H18" t="str">
        <f>IF(ISNUMBER(FIND("&amp;", A18)),
IF(LEN(A18)-LEN(SUBSTITUTE(A18, ",", ""))&gt;=6, "etal", MID(A18, SEARCH("&amp; ", A18)+2, SEARCH(",", A18, SEARCH("&amp; ", A18)+2) - SEARCH("&amp; ", A18)-2)),
""
)</f>
        <v>etal</v>
      </c>
      <c r="I18" t="str">
        <f>_xlfn.TEXTBEFORE(_xlfn.TEXTAFTER(A18, "("), ")")</f>
        <v>2010</v>
      </c>
      <c r="J18" t="str">
        <f>IF(C18&lt;&gt;"", C18, IF(C18="", _xlfn.TEXTAFTER(A18,"https://doi.org/"), C18))</f>
        <v>10.1073/pnas.1010356107</v>
      </c>
      <c r="K18" t="str">
        <f>TRIM(_xlfn.TEXTJOIN("_",FALSE,F18,(SUBSTITUTE(SUBSTITUTE(D18," ",""), "_", ""))))</f>
        <v>Collins_etal_2010_DatasetS1</v>
      </c>
      <c r="L18" t="str">
        <f>IF(ISBLANK(C18),TRIM(SUBSTITUTE(SUBSTITUTE(SUBSTITUTE(_xlfn.TEXTJOIN("_", FALSE, J18, SUBSTITUTE(D18,"_", "")), "/", "%2F"), ":", "%3A"), " ", "")),TRIM(SUBSTITUTE(SUBSTITUTE(SUBSTITUTE(_xlfn.TEXTJOIN("_", FALSE, C18, SUBSTITUTE(D18,"_", "")), "/", "%2F"), ":", "%3A"), " ", "")))</f>
        <v>10.1073%2Fpnas.1010356107_DatasetS1</v>
      </c>
      <c r="M18" t="str">
        <f t="array" ref="M18">IFERROR(INDEX(FileList!$A$1:$A$100, MATCH(L18, _xlfn.TEXTBEFORE(FileList!$A$1:$A$100, ".tsv"), 0)), "notfound")</f>
        <v>notfound</v>
      </c>
      <c r="Y18" s="5" t="s">
        <v>130</v>
      </c>
      <c r="Z18" s="5" t="s">
        <v>49</v>
      </c>
    </row>
    <row r="19" spans="1:32" ht="16" customHeight="1" x14ac:dyDescent="0.2">
      <c r="A19" s="5" t="s">
        <v>394</v>
      </c>
      <c r="D19" s="5" t="s">
        <v>56</v>
      </c>
      <c r="E19" t="str">
        <f>RIGHT(A19,1)</f>
        <v>3</v>
      </c>
      <c r="F19" t="str">
        <f>G19 &amp; IF(H19&lt;&gt;"", "_" &amp; H19, "_") &amp; IF(I19&lt;&gt;"", "_" &amp; I19, "_") &amp; IF(B19&lt;&gt;"", "_" &amp; B19, "")</f>
        <v>Collins_etal_2016</v>
      </c>
      <c r="G19" t="str">
        <f>SUBSTITUTE(SUBSTITUTE(_xlfn.TEXTBEFORE(A19,","), "-", ""), " ", "")</f>
        <v>Collins</v>
      </c>
      <c r="H19" t="str">
        <f>IF(ISNUMBER(FIND("&amp;", A19)),
IF(LEN(A19)-LEN(SUBSTITUTE(A19, ",", ""))&gt;=6, "etal", MID(A19, SEARCH("&amp; ", A19)+2, SEARCH(",", A19, SEARCH("&amp; ", A19)+2) - SEARCH("&amp; ", A19)-2)),
""
)</f>
        <v>etal</v>
      </c>
      <c r="I19" t="str">
        <f>_xlfn.TEXTBEFORE(_xlfn.TEXTAFTER(A19, "("), ")")</f>
        <v>2016</v>
      </c>
      <c r="J19" t="str">
        <f>IF(C19&lt;&gt;"", C19, IF(C19="", _xlfn.TEXTAFTER(A19,"https://doi.org/"), C19))</f>
        <v>10.1073/pnas.1524208113</v>
      </c>
      <c r="K19" t="str">
        <f>TRIM(_xlfn.TEXTJOIN("_",FALSE,F19,(SUBSTITUTE(SUBSTITUTE(D19," ",""), "_", ""))))</f>
        <v>Collins_etal_2016_Table1</v>
      </c>
      <c r="L19" t="str">
        <f>IF(ISBLANK(C19),TRIM(SUBSTITUTE(SUBSTITUTE(SUBSTITUTE(_xlfn.TEXTJOIN("_", FALSE, J19, SUBSTITUTE(D19,"_", "")), "/", "%2F"), ":", "%3A"), " ", "")),TRIM(SUBSTITUTE(SUBSTITUTE(SUBSTITUTE(_xlfn.TEXTJOIN("_", FALSE, C19, SUBSTITUTE(D19,"_", "")), "/", "%2F"), ":", "%3A"), " ", "")))</f>
        <v>10.1073%2Fpnas.1524208113_Table1</v>
      </c>
      <c r="M19" t="str">
        <f t="array" ref="M19">IFERROR(INDEX(FileList!$A$1:$A$100, MATCH(L19, _xlfn.TEXTBEFORE(FileList!$A$1:$A$100, ".tsv"), 0)), "notfound")</f>
        <v>notfound</v>
      </c>
      <c r="N19" s="5" t="s">
        <v>395</v>
      </c>
      <c r="V19" s="5" t="s">
        <v>36</v>
      </c>
      <c r="Y19" s="5" t="s">
        <v>396</v>
      </c>
      <c r="Z19" s="5" t="s">
        <v>49</v>
      </c>
      <c r="AA19" s="5" t="s">
        <v>397</v>
      </c>
      <c r="AB19" s="5" t="s">
        <v>398</v>
      </c>
    </row>
    <row r="20" spans="1:32" ht="16" customHeight="1" x14ac:dyDescent="0.2">
      <c r="A20" s="5" t="s">
        <v>385</v>
      </c>
      <c r="D20" s="5" t="s">
        <v>56</v>
      </c>
      <c r="E20" t="str">
        <f>RIGHT(A20,1)</f>
        <v>5</v>
      </c>
      <c r="F20" t="str">
        <f>G20 &amp; IF(H20&lt;&gt;"", "_" &amp; H20, "_") &amp; IF(I20&lt;&gt;"", "_" &amp; I20, "_") &amp; IF(B20&lt;&gt;"", "_" &amp; B20, "")</f>
        <v>deSousa_etal_2013</v>
      </c>
      <c r="G20" t="str">
        <f>SUBSTITUTE(SUBSTITUTE(_xlfn.TEXTBEFORE(A20,","), "-", ""), " ", "")</f>
        <v>deSousa</v>
      </c>
      <c r="H20" t="str">
        <f>IF(ISNUMBER(FIND("&amp;", A20)),
IF(LEN(A20)-LEN(SUBSTITUTE(A20, ",", ""))&gt;=6, "etal", MID(A20, SEARCH("&amp; ", A20)+2, SEARCH(",", A20, SEARCH("&amp; ", A20)+2) - SEARCH("&amp; ", A20)-2)),
""
)</f>
        <v>etal</v>
      </c>
      <c r="I20" t="str">
        <f>_xlfn.TEXTBEFORE(_xlfn.TEXTAFTER(A20, "("), ")")</f>
        <v>2013</v>
      </c>
      <c r="J20" t="str">
        <f>IF(C20&lt;&gt;"", C20, IF(C20="", _xlfn.TEXTAFTER(A20,"https://doi.org/"), C20))</f>
        <v>10.1159/000346495</v>
      </c>
      <c r="K20" t="str">
        <f>TRIM(_xlfn.TEXTJOIN("_",FALSE,F20,(SUBSTITUTE(SUBSTITUTE(D20," ",""), "_", ""))))</f>
        <v>deSousa_etal_2013_Table1</v>
      </c>
      <c r="L20" t="str">
        <f>IF(ISBLANK(C20),TRIM(SUBSTITUTE(SUBSTITUTE(SUBSTITUTE(_xlfn.TEXTJOIN("_", FALSE, J20, SUBSTITUTE(D20,"_", "")), "/", "%2F"), ":", "%3A"), " ", "")),TRIM(SUBSTITUTE(SUBSTITUTE(SUBSTITUTE(_xlfn.TEXTJOIN("_", FALSE, C20, SUBSTITUTE(D20,"_", "")), "/", "%2F"), ":", "%3A"), " ", "")))</f>
        <v>10.1159%2F000346495_Table1</v>
      </c>
      <c r="M20" t="str">
        <f t="array" ref="M20">IFERROR(INDEX(FileList!$A$1:$A$100, MATCH(L20, _xlfn.TEXTBEFORE(FileList!$A$1:$A$100, ".tsv"), 0)), "notfound")</f>
        <v>notfound</v>
      </c>
      <c r="N20" s="5" t="s">
        <v>386</v>
      </c>
      <c r="V20" s="5" t="s">
        <v>36</v>
      </c>
      <c r="Y20" s="5" t="s">
        <v>387</v>
      </c>
      <c r="Z20" s="5" t="s">
        <v>49</v>
      </c>
      <c r="AA20" s="5" t="s">
        <v>59</v>
      </c>
      <c r="AB20" s="5" t="s">
        <v>343</v>
      </c>
    </row>
    <row r="21" spans="1:32" ht="16" customHeight="1" x14ac:dyDescent="0.2">
      <c r="A21" s="5" t="s">
        <v>382</v>
      </c>
      <c r="D21" s="5" t="s">
        <v>56</v>
      </c>
      <c r="E21" t="str">
        <f>RIGHT(A21,1)</f>
        <v>1</v>
      </c>
      <c r="F21" t="str">
        <f>G21 &amp; IF(H21&lt;&gt;"", "_" &amp; H21, "_") &amp; IF(I21&lt;&gt;"", "_" &amp; I21, "_") &amp; IF(B21&lt;&gt;"", "_" &amp; B21, "")</f>
        <v>deSousa_etal_2010</v>
      </c>
      <c r="G21" t="str">
        <f>SUBSTITUTE(SUBSTITUTE(_xlfn.TEXTBEFORE(A21,","), "-", ""), " ", "")</f>
        <v>deSousa</v>
      </c>
      <c r="H21" t="str">
        <f>IF(ISNUMBER(FIND("&amp;", A21)),
IF(LEN(A21)-LEN(SUBSTITUTE(A21, ",", ""))&gt;=6, "etal", MID(A21, SEARCH("&amp; ", A21)+2, SEARCH(",", A21, SEARCH("&amp; ", A21)+2) - SEARCH("&amp; ", A21)-2)),
""
)</f>
        <v>etal</v>
      </c>
      <c r="I21" t="str">
        <f>_xlfn.TEXTBEFORE(_xlfn.TEXTAFTER(A21, "("), ")")</f>
        <v>2010</v>
      </c>
      <c r="J21" t="str">
        <f>IF(C21&lt;&gt;"", C21, IF(C21="", _xlfn.TEXTAFTER(A21,"https://doi.org/"), C21))</f>
        <v>10.1016/j.jhevol.2009.11.011</v>
      </c>
      <c r="K21" t="str">
        <f>TRIM(_xlfn.TEXTJOIN("_",FALSE,F21,(SUBSTITUTE(SUBSTITUTE(D21," ",""), "_", ""))))</f>
        <v>deSousa_etal_2010_Table1</v>
      </c>
      <c r="L21" t="str">
        <f>IF(ISBLANK(C21),TRIM(SUBSTITUTE(SUBSTITUTE(SUBSTITUTE(_xlfn.TEXTJOIN("_", FALSE, J21, SUBSTITUTE(D21,"_", "")), "/", "%2F"), ":", "%3A"), " ", "")),TRIM(SUBSTITUTE(SUBSTITUTE(SUBSTITUTE(_xlfn.TEXTJOIN("_", FALSE, C21, SUBSTITUTE(D21,"_", "")), "/", "%2F"), ":", "%3A"), " ", "")))</f>
        <v>10.1016%2Fj.jhevol.2009.11.011_Table1</v>
      </c>
      <c r="M21" t="str">
        <f t="array" ref="M21">IFERROR(INDEX(FileList!$A$1:$A$100, MATCH(L21, _xlfn.TEXTBEFORE(FileList!$A$1:$A$100, ".tsv"), 0)), "notfound")</f>
        <v>notfound</v>
      </c>
      <c r="N21" s="5" t="s">
        <v>383</v>
      </c>
      <c r="V21" s="5" t="s">
        <v>36</v>
      </c>
      <c r="Y21" s="5" t="s">
        <v>384</v>
      </c>
      <c r="Z21" s="5" t="s">
        <v>49</v>
      </c>
      <c r="AA21" s="5" t="s">
        <v>59</v>
      </c>
      <c r="AB21" s="5" t="s">
        <v>343</v>
      </c>
    </row>
    <row r="22" spans="1:32" ht="16" customHeight="1" x14ac:dyDescent="0.2">
      <c r="A22" s="5" t="s">
        <v>131</v>
      </c>
      <c r="D22" s="5" t="s">
        <v>132</v>
      </c>
      <c r="E22" t="str">
        <f>RIGHT(A22,1)</f>
        <v>0</v>
      </c>
      <c r="F22" t="str">
        <f>G22 &amp; IF(H22&lt;&gt;"", "_" &amp; H22, "_") &amp; IF(I22&lt;&gt;"", "_" &amp; I22, "_") &amp; IF(B22&lt;&gt;"", "_" &amp; B22, "")</f>
        <v>DeCasien_Higham_2019</v>
      </c>
      <c r="G22" t="str">
        <f>SUBSTITUTE(SUBSTITUTE(_xlfn.TEXTBEFORE(A22,","), "-", ""), " ", "")</f>
        <v>DeCasien</v>
      </c>
      <c r="H22" t="str">
        <f>IF(ISNUMBER(FIND("&amp;", A22)),
IF(LEN(A22)-LEN(SUBSTITUTE(A22, ",", ""))&gt;=6, "etal", MID(A22, SEARCH("&amp; ", A22)+2, SEARCH(",", A22, SEARCH("&amp; ", A22)+2) - SEARCH("&amp; ", A22)-2)),
""
)</f>
        <v>Higham</v>
      </c>
      <c r="I22" t="str">
        <f>_xlfn.TEXTBEFORE(_xlfn.TEXTAFTER(A22, "("), ")")</f>
        <v>2019</v>
      </c>
      <c r="J22" t="str">
        <f>IF(C22&lt;&gt;"", C22, IF(C22="", _xlfn.TEXTAFTER(A22,"https://doi.org/"), C22))</f>
        <v>10.1038/s41559-019-0969-0</v>
      </c>
      <c r="K22" t="str">
        <f>TRIM(_xlfn.TEXTJOIN("_",FALSE,F22,(SUBSTITUTE(SUBSTITUTE(D22," ",""), "_", ""))))</f>
        <v>DeCasien_Higham_2019_SupplementaryData1-BrainRegion</v>
      </c>
      <c r="L22" t="str">
        <f>IF(ISBLANK(C22),TRIM(SUBSTITUTE(SUBSTITUTE(SUBSTITUTE(_xlfn.TEXTJOIN("_", FALSE, J22, SUBSTITUTE(D22,"_", "")), "/", "%2F"), ":", "%3A"), " ", "")),TRIM(SUBSTITUTE(SUBSTITUTE(SUBSTITUTE(_xlfn.TEXTJOIN("_", FALSE, C22, SUBSTITUTE(D22,"_", "")), "/", "%2F"), ":", "%3A"), " ", "")))</f>
        <v>10.1038%2Fs41559-019-0969-0_SupplementaryData1-BrainRegion</v>
      </c>
      <c r="M22" t="str">
        <f t="array" ref="M22">IFERROR(INDEX(FileList!$A$1:$A$100, MATCH(L22, _xlfn.TEXTBEFORE(FileList!$A$1:$A$100, ".tsv"), 0)), "notfound")</f>
        <v>notfound</v>
      </c>
      <c r="N22" s="5" t="s">
        <v>133</v>
      </c>
      <c r="U22" s="5" t="s">
        <v>96</v>
      </c>
      <c r="V22" s="5" t="s">
        <v>134</v>
      </c>
      <c r="W22" s="5" t="s">
        <v>97</v>
      </c>
      <c r="X22" s="5" t="s">
        <v>135</v>
      </c>
      <c r="Y22" s="5" t="s">
        <v>136</v>
      </c>
      <c r="Z22" s="5" t="s">
        <v>75</v>
      </c>
      <c r="AD22" s="5" t="s">
        <v>137</v>
      </c>
      <c r="AE22" s="5" t="s">
        <v>100</v>
      </c>
    </row>
    <row r="23" spans="1:32" ht="16" customHeight="1" x14ac:dyDescent="0.2">
      <c r="A23" s="5" t="s">
        <v>131</v>
      </c>
      <c r="D23" s="5" t="s">
        <v>138</v>
      </c>
      <c r="E23" t="str">
        <f>RIGHT(A23,1)</f>
        <v>0</v>
      </c>
      <c r="F23" t="str">
        <f>G23 &amp; IF(H23&lt;&gt;"", "_" &amp; H23, "_") &amp; IF(I23&lt;&gt;"", "_" &amp; I23, "_") &amp; IF(B23&lt;&gt;"", "_" &amp; B23, "")</f>
        <v>DeCasien_Higham_2019</v>
      </c>
      <c r="G23" t="str">
        <f>SUBSTITUTE(SUBSTITUTE(_xlfn.TEXTBEFORE(A23,","), "-", ""), " ", "")</f>
        <v>DeCasien</v>
      </c>
      <c r="H23" t="str">
        <f>IF(ISNUMBER(FIND("&amp;", A23)),
    IF(LEN(A23)-LEN(SUBSTITUTE(A23, ",", ""))&gt;=6, "etal", MID(A23, SEARCH("&amp; ", A23)+2, SEARCH(",", A23, SEARCH("&amp; ", A23)+2) - SEARCH("&amp; ", A23)-2)),
    ""
)</f>
        <v>Higham</v>
      </c>
      <c r="I23" t="str">
        <f>_xlfn.TEXTBEFORE(_xlfn.TEXTAFTER(A23, "("), ")")</f>
        <v>2019</v>
      </c>
      <c r="J23" t="str">
        <f>IF(C23&lt;&gt;"", C23, IF(C23="", _xlfn.TEXTAFTER(A23,"https://doi.org/"), C23))</f>
        <v>10.1038/s41559-019-0969-0</v>
      </c>
      <c r="K23" t="str">
        <f>TRIM(_xlfn.TEXTJOIN("_",FALSE,F23,(SUBSTITUTE(SUBSTITUTE(D24," ",""), "_", ""))))</f>
        <v>DeCasien_Higham_2019_SupplementaryData1-Diet</v>
      </c>
      <c r="L23" t="str">
        <f>IF(ISBLANK(C23),TRIM(SUBSTITUTE(SUBSTITUTE(SUBSTITUTE(_xlfn.TEXTJOIN("_", FALSE, J23, SUBSTITUTE(D24,"_", "")), "/", "%2F"), ":", "%3A"), " ", "")),TRIM(SUBSTITUTE(SUBSTITUTE(SUBSTITUTE(_xlfn.TEXTJOIN("_", FALSE, C23, SUBSTITUTE(D24,"_", "")), "/", "%2F"), ":", "%3A"), " ", "")))</f>
        <v>10.1038%2Fs41559-019-0969-0_SupplementaryData1-Diet</v>
      </c>
      <c r="M23" t="str">
        <f t="array" ref="M23">IFERROR(INDEX(FileList!$A$1:$A$100, MATCH(L23, _xlfn.TEXTBEFORE(FileList!$A$1:$A$100, ".tsv"), 0)), "notfound")</f>
        <v>notfound</v>
      </c>
      <c r="N23" s="5" t="s">
        <v>133</v>
      </c>
      <c r="U23" s="5" t="s">
        <v>96</v>
      </c>
      <c r="V23" s="5" t="s">
        <v>134</v>
      </c>
      <c r="W23" s="5" t="s">
        <v>97</v>
      </c>
      <c r="X23" s="5" t="s">
        <v>135</v>
      </c>
      <c r="Y23" s="5" t="s">
        <v>139</v>
      </c>
      <c r="Z23" s="5" t="s">
        <v>75</v>
      </c>
      <c r="AE23" s="5" t="s">
        <v>100</v>
      </c>
    </row>
    <row r="24" spans="1:32" ht="16" customHeight="1" x14ac:dyDescent="0.2">
      <c r="A24" s="5" t="s">
        <v>131</v>
      </c>
      <c r="D24" s="5" t="s">
        <v>140</v>
      </c>
      <c r="E24" t="str">
        <f>RIGHT(A24,1)</f>
        <v>0</v>
      </c>
      <c r="F24" t="str">
        <f>G24 &amp; IF(H24&lt;&gt;"", "_" &amp; H24, "_") &amp; IF(I24&lt;&gt;"", "_" &amp; I24, "_") &amp; IF(B24&lt;&gt;"", "_" &amp; B24, "")</f>
        <v>DeCasien_Higham_2019</v>
      </c>
      <c r="G24" t="str">
        <f>SUBSTITUTE(SUBSTITUTE(_xlfn.TEXTBEFORE(A24,","), "-", ""), " ", "")</f>
        <v>DeCasien</v>
      </c>
      <c r="H24" t="str">
        <f>IF(ISNUMBER(FIND("&amp;", A24)),
    IF(LEN(A24)-LEN(SUBSTITUTE(A24, ",", ""))&gt;=6, "etal", MID(A24, SEARCH("&amp; ", A24)+2, SEARCH(",", A24, SEARCH("&amp; ", A24)+2) - SEARCH("&amp; ", A24)-2)),
    ""
)</f>
        <v>Higham</v>
      </c>
      <c r="I24" t="str">
        <f>_xlfn.TEXTBEFORE(_xlfn.TEXTAFTER(A24, "("), ")")</f>
        <v>2019</v>
      </c>
      <c r="J24" t="str">
        <f>IF(C24&lt;&gt;"", C24, IF(C24="", _xlfn.TEXTAFTER(A24,"https://doi.org/"), C24))</f>
        <v>10.1038/s41559-019-0969-0</v>
      </c>
      <c r="K24" t="str">
        <f>TRIM(_xlfn.TEXTJOIN("_",FALSE,F24,(SUBSTITUTE(SUBSTITUTE(D25," ",""), "_", ""))))</f>
        <v>DeCasien_Higham_2019_SupplementaryData1-SocialSystem</v>
      </c>
      <c r="L24" t="str">
        <f>IF(ISBLANK(C24),TRIM(SUBSTITUTE(SUBSTITUTE(SUBSTITUTE(_xlfn.TEXTJOIN("_", FALSE, J24, SUBSTITUTE(D25,"_", "")), "/", "%2F"), ":", "%3A"), " ", "")),TRIM(SUBSTITUTE(SUBSTITUTE(SUBSTITUTE(_xlfn.TEXTJOIN("_", FALSE, C24, SUBSTITUTE(D25,"_", "")), "/", "%2F"), ":", "%3A"), " ", "")))</f>
        <v>10.1038%2Fs41559-019-0969-0_SupplementaryData1-SocialSystem</v>
      </c>
      <c r="M24" t="str">
        <f t="array" ref="M24">IFERROR(INDEX(FileList!$A$1:$A$100, MATCH(L24, _xlfn.TEXTBEFORE(FileList!$A$1:$A$100, ".tsv"), 0)), "notfound")</f>
        <v>notfound</v>
      </c>
      <c r="N24" s="5" t="s">
        <v>133</v>
      </c>
      <c r="U24" s="5" t="s">
        <v>96</v>
      </c>
      <c r="V24" s="5" t="s">
        <v>134</v>
      </c>
      <c r="W24" s="5" t="s">
        <v>97</v>
      </c>
      <c r="X24" s="5" t="s">
        <v>135</v>
      </c>
      <c r="Y24" s="5" t="s">
        <v>141</v>
      </c>
      <c r="Z24" s="5" t="s">
        <v>75</v>
      </c>
      <c r="AE24" s="5" t="s">
        <v>100</v>
      </c>
    </row>
    <row r="25" spans="1:32" ht="16" customHeight="1" x14ac:dyDescent="0.2">
      <c r="A25" s="5" t="s">
        <v>131</v>
      </c>
      <c r="D25" s="5" t="s">
        <v>142</v>
      </c>
      <c r="E25" t="str">
        <f>RIGHT(A25,1)</f>
        <v>0</v>
      </c>
      <c r="F25" t="str">
        <f>G25 &amp; IF(H25&lt;&gt;"", "_" &amp; H25, "_") &amp; IF(I25&lt;&gt;"", "_" &amp; I25, "_") &amp; IF(B25&lt;&gt;"", "_" &amp; B25, "")</f>
        <v>DeCasien_Higham_2019</v>
      </c>
      <c r="G25" t="str">
        <f>SUBSTITUTE(SUBSTITUTE(_xlfn.TEXTBEFORE(A25,","), "-", ""), " ", "")</f>
        <v>DeCasien</v>
      </c>
      <c r="H25" t="str">
        <f>IF(ISNUMBER(FIND("&amp;", A25)),
    IF(LEN(A25)-LEN(SUBSTITUTE(A25, ",", ""))&gt;=6, "etal", MID(A25, SEARCH("&amp; ", A25)+2, SEARCH(",", A25, SEARCH("&amp; ", A25)+2) - SEARCH("&amp; ", A25)-2)),
    ""
)</f>
        <v>Higham</v>
      </c>
      <c r="I25" t="str">
        <f>_xlfn.TEXTBEFORE(_xlfn.TEXTAFTER(A25, "("), ")")</f>
        <v>2019</v>
      </c>
      <c r="J25" t="str">
        <f>IF(C25&lt;&gt;"", C25, IF(C25="", _xlfn.TEXTAFTER(A25,"https://doi.org/"), C25))</f>
        <v>10.1038/s41559-019-0969-0</v>
      </c>
      <c r="K25" t="str">
        <f>TRIM(_xlfn.TEXTJOIN("_",FALSE,F25,(SUBSTITUTE(SUBSTITUTE(D25," ",""), "_", ""))))</f>
        <v>DeCasien_Higham_2019_SupplementaryData1-SocialSystem</v>
      </c>
      <c r="L25" t="str">
        <f>IF(ISBLANK(C25),TRIM(SUBSTITUTE(SUBSTITUTE(SUBSTITUTE(_xlfn.TEXTJOIN("_", FALSE, J25, SUBSTITUTE(D25,"_", "")), "/", "%2F"), ":", "%3A"), " ", "")),TRIM(SUBSTITUTE(SUBSTITUTE(SUBSTITUTE(_xlfn.TEXTJOIN("_", FALSE, C25, SUBSTITUTE(D25,"_", "")), "/", "%2F"), ":", "%3A"), " ", "")))</f>
        <v>10.1038%2Fs41559-019-0969-0_SupplementaryData1-SocialSystem</v>
      </c>
      <c r="M25" t="str">
        <f t="array" ref="M25">IFERROR(INDEX(FileList!$A$1:$A$100, MATCH(L25, _xlfn.TEXTBEFORE(FileList!$A$1:$A$100, ".tsv"), 0)), "notfound")</f>
        <v>notfound</v>
      </c>
      <c r="N25" s="5" t="s">
        <v>133</v>
      </c>
      <c r="U25" s="5" t="s">
        <v>96</v>
      </c>
      <c r="V25" s="5" t="s">
        <v>134</v>
      </c>
      <c r="W25" s="5" t="s">
        <v>97</v>
      </c>
      <c r="X25" s="5" t="s">
        <v>135</v>
      </c>
      <c r="Y25" s="5" t="s">
        <v>143</v>
      </c>
      <c r="Z25" s="5" t="s">
        <v>75</v>
      </c>
      <c r="AE25" s="5" t="s">
        <v>100</v>
      </c>
    </row>
    <row r="26" spans="1:32" ht="16" customHeight="1" x14ac:dyDescent="0.2">
      <c r="A26" s="5" t="s">
        <v>155</v>
      </c>
      <c r="D26" s="5" t="s">
        <v>86</v>
      </c>
      <c r="E26" t="str">
        <f>RIGHT(A26,1)</f>
        <v>0</v>
      </c>
      <c r="F26" t="str">
        <f>G26 &amp; IF(H26&lt;&gt;"", "_" &amp; H26, "_") &amp; IF(I26&lt;&gt;"", "_" &amp; I26, "_") &amp; IF(B26&lt;&gt;"", "_" &amp; B26, "")</f>
        <v>DosSantos_etal_2020</v>
      </c>
      <c r="G26" t="str">
        <f>SUBSTITUTE(SUBSTITUTE(_xlfn.TEXTBEFORE(A26,","), "-", ""), " ", "")</f>
        <v>DosSantos</v>
      </c>
      <c r="H26" t="str">
        <f>IF(ISNUMBER(FIND("&amp;", A26)),
IF(LEN(A26)-LEN(SUBSTITUTE(A26, ",", ""))&gt;=6, "etal", MID(A26, SEARCH("&amp; ", A26)+2, SEARCH(",", A26, SEARCH("&amp; ", A26)+2) - SEARCH("&amp; ", A26)-2)),
""
)</f>
        <v>etal</v>
      </c>
      <c r="I26" t="str">
        <f>_xlfn.TEXTBEFORE(_xlfn.TEXTAFTER(A26, "("), ")")</f>
        <v>2020</v>
      </c>
      <c r="J26" t="str">
        <f>IF(C26&lt;&gt;"", C26, IF(C26="", _xlfn.TEXTAFTER(A26,"https://doi.org/"), C26))</f>
        <v>10.1523/JNEUROSCI.2339-19.2020</v>
      </c>
      <c r="K26" t="str">
        <f>TRIM(_xlfn.TEXTJOIN("_",FALSE,F26,(SUBSTITUTE(SUBSTITUTE(D26," ",""), "_", ""))))</f>
        <v>DosSantos_etal_2020_Table1</v>
      </c>
      <c r="L26" t="str">
        <f>IF(ISBLANK(C26),TRIM(SUBSTITUTE(SUBSTITUTE(SUBSTITUTE(_xlfn.TEXTJOIN("_", FALSE, J26, SUBSTITUTE(D26,"_", "")), "/", "%2F"), ":", "%3A"), " ", "")),TRIM(SUBSTITUTE(SUBSTITUTE(SUBSTITUTE(_xlfn.TEXTJOIN("_", FALSE, C26, SUBSTITUTE(D26,"_", "")), "/", "%2F"), ":", "%3A"), " ", "")))</f>
        <v>10.1523%2FJNEUROSCI.2339-19.2020_Table1</v>
      </c>
      <c r="M26" t="str">
        <f t="array" ref="M26">IFERROR(INDEX(FileList!$A$1:$A$100, MATCH(L26, _xlfn.TEXTBEFORE(FileList!$A$1:$A$100, ".tsv"), 0)), "notfound")</f>
        <v>10.1523%2FJNEUROSCI.2339-19.2020_Table1.tsv</v>
      </c>
      <c r="P26" s="5" t="s">
        <v>40</v>
      </c>
      <c r="Q26" s="5" t="s">
        <v>41</v>
      </c>
      <c r="R26" s="7" t="s">
        <v>156</v>
      </c>
      <c r="S26" s="5" t="s">
        <v>43</v>
      </c>
      <c r="T26" s="5" t="s">
        <v>157</v>
      </c>
      <c r="U26" s="5" t="s">
        <v>158</v>
      </c>
      <c r="V26" s="5" t="s">
        <v>36</v>
      </c>
      <c r="Y26" s="5" t="s">
        <v>152</v>
      </c>
      <c r="Z26" s="5" t="s">
        <v>159</v>
      </c>
      <c r="AA26" s="5" t="s">
        <v>50</v>
      </c>
      <c r="AB26" s="5" t="s">
        <v>50</v>
      </c>
      <c r="AE26" s="5" t="s">
        <v>160</v>
      </c>
    </row>
    <row r="27" spans="1:32" ht="16" customHeight="1" x14ac:dyDescent="0.2">
      <c r="A27" s="5" t="s">
        <v>155</v>
      </c>
      <c r="D27" s="5" t="s">
        <v>161</v>
      </c>
      <c r="E27" t="str">
        <f>RIGHT(A27,1)</f>
        <v>0</v>
      </c>
      <c r="F27" t="str">
        <f>G27 &amp; IF(H27&lt;&gt;"", "_" &amp; H27, "_") &amp; IF(I27&lt;&gt;"", "_" &amp; I27, "_") &amp; IF(B27&lt;&gt;"", "_" &amp; B27, "")</f>
        <v>DosSantos_etal_2020</v>
      </c>
      <c r="G27" t="str">
        <f>SUBSTITUTE(SUBSTITUTE(_xlfn.TEXTBEFORE(A27,","), "-", ""), " ", "")</f>
        <v>DosSantos</v>
      </c>
      <c r="H27" t="str">
        <f>IF(ISNUMBER(FIND("&amp;", A27)),
    IF(LEN(A27)-LEN(SUBSTITUTE(A27, ",", ""))&gt;=6, "etal", MID(A27, SEARCH("&amp; ", A27)+2, SEARCH(",", A27, SEARCH("&amp; ", A27)+2) - SEARCH("&amp; ", A27)-2)),
    ""
)</f>
        <v>etal</v>
      </c>
      <c r="I27" t="str">
        <f>_xlfn.TEXTBEFORE(_xlfn.TEXTAFTER(A27, "("), ")")</f>
        <v>2020</v>
      </c>
      <c r="J27" t="str">
        <f>IF(C27&lt;&gt;"", C27, IF(C27="", _xlfn.TEXTAFTER(A27,"https://doi.org/"), C27))</f>
        <v>10.1523/JNEUROSCI.2339-19.2020</v>
      </c>
      <c r="K27" t="str">
        <f>TRIM(_xlfn.TEXTJOIN("_",FALSE,F27,(SUBSTITUTE(SUBSTITUTE(D27," ",""), "_", ""))))</f>
        <v>DosSantos_etal_2020_unpublished</v>
      </c>
      <c r="L27" t="str">
        <f>IF(ISBLANK(C27),TRIM(SUBSTITUTE(SUBSTITUTE(SUBSTITUTE(_xlfn.TEXTJOIN("_", FALSE, J27, SUBSTITUTE(D27,"_", "")), "/", "%2F"), ":", "%3A"), " ", "")),TRIM(SUBSTITUTE(SUBSTITUTE(SUBSTITUTE(_xlfn.TEXTJOIN("_", FALSE, C27, SUBSTITUTE(D27,"_", "")), "/", "%2F"), ":", "%3A"), " ", "")))</f>
        <v>10.1523%2FJNEUROSCI.2339-19.2020_unpublished</v>
      </c>
      <c r="M27" t="str">
        <f t="array" ref="M27">IFERROR(INDEX(FileList!$A$1:$A$100, MATCH(L27, _xlfn.TEXTBEFORE(FileList!$A$1:$A$100, ".tsv"), 0)), "notfound")</f>
        <v>10.1523%2FJNEUROSCI.2339-19.2020_unpublished.tsv</v>
      </c>
      <c r="P27" s="5" t="s">
        <v>40</v>
      </c>
      <c r="Q27" s="5" t="s">
        <v>41</v>
      </c>
      <c r="R27" s="7" t="s">
        <v>156</v>
      </c>
      <c r="S27" s="5" t="s">
        <v>43</v>
      </c>
      <c r="T27" s="5" t="s">
        <v>157</v>
      </c>
      <c r="U27" s="5" t="s">
        <v>158</v>
      </c>
      <c r="V27" s="5" t="s">
        <v>36</v>
      </c>
      <c r="X27" s="5" t="s">
        <v>162</v>
      </c>
      <c r="Y27" s="5" t="s">
        <v>152</v>
      </c>
      <c r="Z27" s="5" t="s">
        <v>159</v>
      </c>
      <c r="AA27" s="5" t="s">
        <v>50</v>
      </c>
      <c r="AB27" s="5" t="s">
        <v>50</v>
      </c>
      <c r="AE27" s="5" t="s">
        <v>160</v>
      </c>
    </row>
    <row r="28" spans="1:32" ht="15" customHeight="1" x14ac:dyDescent="0.2">
      <c r="A28" s="5" t="s">
        <v>144</v>
      </c>
      <c r="D28" s="5" t="s">
        <v>145</v>
      </c>
      <c r="E28" t="str">
        <f>RIGHT(A28,1)</f>
        <v>6</v>
      </c>
      <c r="F28" t="str">
        <f>G28 &amp; IF(H28&lt;&gt;"", "_" &amp; H28, "_") &amp; IF(I28&lt;&gt;"", "_" &amp; I28, "_") &amp; IF(B28&lt;&gt;"", "_" &amp; B28, "")</f>
        <v>DosSantos_etal_2017</v>
      </c>
      <c r="G28" t="str">
        <f>SUBSTITUTE(SUBSTITUTE(_xlfn.TEXTBEFORE(A28,","), "-", ""), " ", "")</f>
        <v>DosSantos</v>
      </c>
      <c r="H28" t="str">
        <f>IF(ISNUMBER(FIND("&amp;", A28)),
IF(LEN(A28)-LEN(SUBSTITUTE(A28, ",", ""))&gt;=6, "etal", MID(A28, SEARCH("&amp; ", A28)+2, SEARCH(",", A28, SEARCH("&amp; ", A28)+2) - SEARCH("&amp; ", A28)-2)),
""
)</f>
        <v>etal</v>
      </c>
      <c r="I28" t="str">
        <f>_xlfn.TEXTBEFORE(_xlfn.TEXTAFTER(A28, "("), ")")</f>
        <v>2017</v>
      </c>
      <c r="J28" t="str">
        <f>IF(C28&lt;&gt;"", C28, IF(C28="", _xlfn.TEXTAFTER(A28,"https://doi.org/"), C28))</f>
        <v>10.1159/000452856</v>
      </c>
      <c r="K28" t="str">
        <f>TRIM(_xlfn.TEXTJOIN("_",FALSE,F28,(SUBSTITUTE(SUBSTITUTE(D28," ",""), "_", ""))))</f>
        <v>DosSantos_etal_2017_TableS1</v>
      </c>
      <c r="L28" t="str">
        <f>IF(ISBLANK(C28),TRIM(SUBSTITUTE(SUBSTITUTE(SUBSTITUTE(_xlfn.TEXTJOIN("_", FALSE, J28, SUBSTITUTE(D28,"_", "")), "/", "%2F"), ":", "%3A"), " ", "")),TRIM(SUBSTITUTE(SUBSTITUTE(SUBSTITUTE(_xlfn.TEXTJOIN("_", FALSE, C28, SUBSTITUTE(D28,"_", "")), "/", "%2F"), ":", "%3A"), " ", "")))</f>
        <v>10.1159%2F000452856_TableS1</v>
      </c>
      <c r="M28" t="str">
        <f t="array" ref="M28">IFERROR(INDEX(FileList!$A$1:$A$100, MATCH(L28, _xlfn.TEXTBEFORE(FileList!$A$1:$A$100, ".tsv"), 0)), "notfound")</f>
        <v>10.1159%2F000452856_TableS1.tsv</v>
      </c>
      <c r="O28" s="5" t="s">
        <v>146</v>
      </c>
      <c r="P28" s="5" t="s">
        <v>40</v>
      </c>
      <c r="Q28" s="5" t="s">
        <v>41</v>
      </c>
      <c r="R28" s="5" t="s">
        <v>147</v>
      </c>
      <c r="S28" s="5" t="s">
        <v>43</v>
      </c>
      <c r="T28" s="5" t="s">
        <v>148</v>
      </c>
      <c r="U28" s="5" t="s">
        <v>149</v>
      </c>
      <c r="V28" s="5" t="s">
        <v>150</v>
      </c>
      <c r="W28" s="5" t="s">
        <v>97</v>
      </c>
      <c r="X28" s="5" t="s">
        <v>151</v>
      </c>
      <c r="Y28" s="5" t="s">
        <v>152</v>
      </c>
      <c r="Z28" s="5" t="s">
        <v>49</v>
      </c>
      <c r="AA28" s="5" t="s">
        <v>50</v>
      </c>
      <c r="AB28" s="5" t="s">
        <v>50</v>
      </c>
      <c r="AE28" s="5" t="s">
        <v>153</v>
      </c>
      <c r="AF28" s="5" t="s">
        <v>154</v>
      </c>
    </row>
    <row r="29" spans="1:32" ht="16" customHeight="1" x14ac:dyDescent="0.2">
      <c r="A29" s="6" t="s">
        <v>163</v>
      </c>
      <c r="D29" s="5" t="s">
        <v>38</v>
      </c>
      <c r="E29" t="str">
        <f>RIGHT(A29,1)</f>
        <v>3</v>
      </c>
      <c r="F29" t="str">
        <f>G29 &amp; IF(H29&lt;&gt;"", "_" &amp; H29, "_") &amp; IF(I29&lt;&gt;"", "_" &amp; I29, "_") &amp; IF(B29&lt;&gt;"", "_" &amp; B29, "")</f>
        <v>Eagleman_Vaughn_2021</v>
      </c>
      <c r="G29" t="str">
        <f>SUBSTITUTE(SUBSTITUTE(_xlfn.TEXTBEFORE(A29,","), "-", ""), " ", "")</f>
        <v>Eagleman</v>
      </c>
      <c r="H29" t="str">
        <f>IF(ISNUMBER(FIND("&amp;", A29)),
    IF(LEN(A29)-LEN(SUBSTITUTE(A29, ",", ""))&gt;=6, "etal", MID(A29, SEARCH("&amp; ", A29)+2, SEARCH(",", A29, SEARCH("&amp; ", A29)+2) - SEARCH("&amp; ", A29)-2)),
    ""
)</f>
        <v>Vaughn</v>
      </c>
      <c r="I29" t="str">
        <f>_xlfn.TEXTBEFORE(_xlfn.TEXTAFTER(A29, "("), ")")</f>
        <v>2021</v>
      </c>
      <c r="J29" t="str">
        <f>IF(C29&lt;&gt;"", C29, IF(C29="", _xlfn.TEXTAFTER(A29,"https://doi.org/"), C29))</f>
        <v>10.3389/fnins.2021.632853</v>
      </c>
      <c r="K29" t="str">
        <f>TRIM(_xlfn.TEXTJOIN("_",FALSE,F29,(SUBSTITUTE(SUBSTITUTE(D29," ",""), "_", ""))))</f>
        <v>Eagleman_Vaughn_2021_TABLE1</v>
      </c>
      <c r="L29" t="str">
        <f>IF(ISBLANK(C29),TRIM(SUBSTITUTE(SUBSTITUTE(SUBSTITUTE(_xlfn.TEXTJOIN("_", FALSE, J29, SUBSTITUTE(D29,"_", "")), "/", "%2F"), ":", "%3A"), " ", "")),TRIM(SUBSTITUTE(SUBSTITUTE(SUBSTITUTE(_xlfn.TEXTJOIN("_", FALSE, C29, SUBSTITUTE(D29,"_", "")), "/", "%2F"), ":", "%3A"), " ", "")))</f>
        <v>10.3389%2Ffnins.2021.632853_TABLE1</v>
      </c>
      <c r="M29" t="str">
        <f t="array" ref="M29">IFERROR(INDEX(FileList!$A$1:$A$100, MATCH(L29, _xlfn.TEXTBEFORE(FileList!$A$1:$A$100, ".tsv"), 0)), "notfound")</f>
        <v>10.3389%2Ffnins.2021.632853_TABLE1.tsv</v>
      </c>
      <c r="N29" s="5" t="s">
        <v>164</v>
      </c>
      <c r="R29" s="7"/>
      <c r="U29" s="5" t="s">
        <v>45</v>
      </c>
      <c r="Y29" s="5" t="s">
        <v>165</v>
      </c>
      <c r="Z29" s="5" t="s">
        <v>75</v>
      </c>
    </row>
    <row r="30" spans="1:32" ht="16" customHeight="1" x14ac:dyDescent="0.2">
      <c r="A30" s="5" t="s">
        <v>166</v>
      </c>
      <c r="D30" s="5" t="s">
        <v>38</v>
      </c>
      <c r="E30" t="str">
        <f>RIGHT(A30,1)</f>
        <v>5</v>
      </c>
      <c r="F30" t="str">
        <f>G30 &amp; IF(H30&lt;&gt;"", "_" &amp; H30, "_") &amp; IF(I30&lt;&gt;"", "_" &amp; I30, "_") &amp; IF(B30&lt;&gt;"", "_" &amp; B30, "")</f>
        <v>Falcone_etal_2019</v>
      </c>
      <c r="G30" t="str">
        <f>SUBSTITUTE(SUBSTITUTE(_xlfn.TEXTBEFORE(A30,","), "-", ""), " ", "")</f>
        <v>Falcone</v>
      </c>
      <c r="H30" t="str">
        <f>IF(ISNUMBER(FIND("&amp;", A30)),
IF(LEN(A30)-LEN(SUBSTITUTE(A30, ",", ""))&gt;=6, "etal", MID(A30, SEARCH("&amp; ", A30)+2, SEARCH(",", A30, SEARCH("&amp; ", A30)+2) - SEARCH("&amp; ", A30)-2)),
""
)</f>
        <v>etal</v>
      </c>
      <c r="I30" t="str">
        <f>_xlfn.TEXTBEFORE(_xlfn.TEXTAFTER(A30, "("), ")")</f>
        <v>2019</v>
      </c>
      <c r="J30" t="str">
        <f>IF(C30&lt;&gt;"", C30, IF(C30="", _xlfn.TEXTAFTER(A30,"https://doi.org/"), C30))</f>
        <v>10.1002/cne.24605</v>
      </c>
      <c r="K30" t="str">
        <f>TRIM(_xlfn.TEXTJOIN("_",FALSE,F30,(SUBSTITUTE(SUBSTITUTE(D30," ",""), "_", ""))))</f>
        <v>Falcone_etal_2019_TABLE1</v>
      </c>
      <c r="L30" t="str">
        <f>IF(ISBLANK(C30),TRIM(SUBSTITUTE(SUBSTITUTE(SUBSTITUTE(_xlfn.TEXTJOIN("_", FALSE, J30, SUBSTITUTE(D30,"_", "")), "/", "%2F"), ":", "%3A"), " ", "")),TRIM(SUBSTITUTE(SUBSTITUTE(SUBSTITUTE(_xlfn.TEXTJOIN("_", FALSE, C30, SUBSTITUTE(D30,"_", "")), "/", "%2F"), ":", "%3A"), " ", "")))</f>
        <v>10.1002%2Fcne.24605_TABLE1</v>
      </c>
      <c r="M30" t="str">
        <f t="array" ref="M30">IFERROR(INDEX(FileList!$A$1:$A$100, MATCH(L30, _xlfn.TEXTBEFORE(FileList!$A$1:$A$100, ".tsv"), 0)), "notfound")</f>
        <v>10.1002%2Fcne.24605_TABLE1.tsv</v>
      </c>
      <c r="N30" s="5" t="s">
        <v>167</v>
      </c>
      <c r="R30" s="7"/>
      <c r="U30" s="5" t="s">
        <v>45</v>
      </c>
      <c r="Z30" s="5" t="s">
        <v>49</v>
      </c>
    </row>
    <row r="31" spans="1:32" ht="16" customHeight="1" x14ac:dyDescent="0.2">
      <c r="A31" s="5" t="s">
        <v>166</v>
      </c>
      <c r="D31" s="5" t="s">
        <v>168</v>
      </c>
      <c r="E31" t="str">
        <f>RIGHT(A31,1)</f>
        <v>5</v>
      </c>
      <c r="F31" t="str">
        <f>G31 &amp; IF(H31&lt;&gt;"", "_" &amp; H31, "_") &amp; IF(I31&lt;&gt;"", "_" &amp; I31, "_") &amp; IF(B31&lt;&gt;"", "_" &amp; B31, "")</f>
        <v>Falcone_etal_2019</v>
      </c>
      <c r="G31" t="str">
        <f>SUBSTITUTE(SUBSTITUTE(_xlfn.TEXTBEFORE(A31,","), "-", ""), " ", "")</f>
        <v>Falcone</v>
      </c>
      <c r="H31" t="str">
        <f>IF(ISNUMBER(FIND("&amp;", A31)),
    IF(LEN(A31)-LEN(SUBSTITUTE(A31, ",", ""))&gt;=6, "etal", MID(A31, SEARCH("&amp; ", A31)+2, SEARCH(",", A31, SEARCH("&amp; ", A31)+2) - SEARCH("&amp; ", A31)-2)),
    ""
)</f>
        <v>etal</v>
      </c>
      <c r="I31" t="str">
        <f>_xlfn.TEXTBEFORE(_xlfn.TEXTAFTER(A31, "("), ")")</f>
        <v>2019</v>
      </c>
      <c r="J31" t="str">
        <f>IF(C31&lt;&gt;"", C31, IF(C31="", _xlfn.TEXTAFTER(A31,"https://doi.org/"), C31))</f>
        <v>10.1002/cne.24605</v>
      </c>
      <c r="K31" t="str">
        <f>TRIM(_xlfn.TEXTJOIN("_",FALSE,F31,(SUBSTITUTE(SUBSTITUTE(D31," ",""), "_", ""))))</f>
        <v>Falcone_etal_2019_TABLE2</v>
      </c>
      <c r="L31" t="str">
        <f>IF(ISBLANK(C31),TRIM(SUBSTITUTE(SUBSTITUTE(SUBSTITUTE(_xlfn.TEXTJOIN("_", FALSE, J31, SUBSTITUTE(D31,"_", "")), "/", "%2F"), ":", "%3A"), " ", "")),TRIM(SUBSTITUTE(SUBSTITUTE(SUBSTITUTE(_xlfn.TEXTJOIN("_", FALSE, C31, SUBSTITUTE(D31,"_", "")), "/", "%2F"), ":", "%3A"), " ", "")))</f>
        <v>10.1002%2Fcne.24605_TABLE2</v>
      </c>
      <c r="M31" t="str">
        <f t="array" ref="M31">IFERROR(INDEX(FileList!$A$1:$A$100, MATCH(L31, _xlfn.TEXTBEFORE(FileList!$A$1:$A$100, ".tsv"), 0)), "notfound")</f>
        <v>10.1002%2Fcne.24605_TABLE2.tsv</v>
      </c>
      <c r="N31" s="5" t="s">
        <v>169</v>
      </c>
      <c r="R31" s="7"/>
      <c r="U31" s="5" t="s">
        <v>45</v>
      </c>
      <c r="Z31" s="5" t="s">
        <v>49</v>
      </c>
    </row>
    <row r="32" spans="1:32" ht="16" customHeight="1" x14ac:dyDescent="0.2">
      <c r="A32" s="5" t="s">
        <v>170</v>
      </c>
      <c r="D32" s="5" t="s">
        <v>171</v>
      </c>
      <c r="E32" t="str">
        <f>RIGHT(A32,1)</f>
        <v>6</v>
      </c>
      <c r="F32" t="str">
        <f>G32 &amp; IF(H32&lt;&gt;"", "_" &amp; H32, "_") &amp; IF(I32&lt;&gt;"", "_" &amp; I32, "_") &amp; IF(B32&lt;&gt;"", "_" &amp; B32, "")</f>
        <v>Finlay_etal_2006</v>
      </c>
      <c r="G32" t="str">
        <f>SUBSTITUTE(SUBSTITUTE(_xlfn.TEXTBEFORE(A32,","), "-", ""), " ", "")</f>
        <v>Finlay</v>
      </c>
      <c r="H32" t="str">
        <f>IF(ISNUMBER(FIND("&amp;", A32)),
IF(LEN(A32)-LEN(SUBSTITUTE(A32, ",", ""))&gt;=6, "etal", MID(A32, SEARCH("&amp; ", A32)+2, SEARCH(",", A32, SEARCH("&amp; ", A32)+2) - SEARCH("&amp; ", A32)-2)),
""
)</f>
        <v>etal</v>
      </c>
      <c r="I32" t="str">
        <f>_xlfn.TEXTBEFORE(_xlfn.TEXTAFTER(A32, "("), ")")</f>
        <v>2006</v>
      </c>
      <c r="J32" t="str">
        <f>IF(C32&lt;&gt;"", C32, IF(C32="", _xlfn.TEXTAFTER(A32,"https://doi.org/"), C32))</f>
        <v>10.1093/oso/9780198568742.003.0006</v>
      </c>
      <c r="K32" t="str">
        <f>TRIM(_xlfn.TEXTJOIN("_",FALSE,F32,(SUBSTITUTE(SUBSTITUTE(D32," ",""), "_", ""))))</f>
        <v>Finlay_etal_2006_Table6.1</v>
      </c>
      <c r="L32" t="str">
        <f>IF(ISBLANK(C32),TRIM(SUBSTITUTE(SUBSTITUTE(SUBSTITUTE(_xlfn.TEXTJOIN("_", FALSE, J32, SUBSTITUTE(D32,"_", "")), "/", "%2F"), ":", "%3A"), " ", "")),TRIM(SUBSTITUTE(SUBSTITUTE(SUBSTITUTE(_xlfn.TEXTJOIN("_", FALSE, C32, SUBSTITUTE(D32,"_", "")), "/", "%2F"), ":", "%3A"), " ", "")))</f>
        <v>10.1093%2Foso%2F9780198568742.003.0006_Table6.1</v>
      </c>
      <c r="M32" t="str">
        <f t="array" ref="M32">IFERROR(INDEX(FileList!$A$1:$A$100, MATCH(L32, _xlfn.TEXTBEFORE(FileList!$A$1:$A$100, ".tsv"), 0)), "notfound")</f>
        <v>10.1093%2Foso%2F9780198568742.003.0006_Table6.1.tsv</v>
      </c>
      <c r="N32" s="8"/>
      <c r="P32" s="5" t="s">
        <v>111</v>
      </c>
      <c r="Q32" s="5" t="s">
        <v>112</v>
      </c>
      <c r="R32" s="5" t="s">
        <v>172</v>
      </c>
      <c r="S32" s="5" t="s">
        <v>43</v>
      </c>
      <c r="T32" s="5" t="s">
        <v>173</v>
      </c>
      <c r="U32" s="5" t="s">
        <v>45</v>
      </c>
      <c r="V32" s="5" t="s">
        <v>36</v>
      </c>
      <c r="W32" s="5" t="s">
        <v>104</v>
      </c>
      <c r="X32" s="5" t="s">
        <v>174</v>
      </c>
      <c r="Y32" s="5" t="s">
        <v>175</v>
      </c>
      <c r="Z32" s="5" t="s">
        <v>118</v>
      </c>
      <c r="AD32" s="5" t="s">
        <v>119</v>
      </c>
      <c r="AE32" s="5" t="s">
        <v>77</v>
      </c>
    </row>
    <row r="33" spans="1:33" ht="16" customHeight="1" x14ac:dyDescent="0.2">
      <c r="A33" s="5" t="s">
        <v>370</v>
      </c>
      <c r="C33" s="5" t="s">
        <v>371</v>
      </c>
      <c r="D33" s="5" t="s">
        <v>56</v>
      </c>
      <c r="E33" t="str">
        <f>RIGHT(A33,1)</f>
        <v>8</v>
      </c>
      <c r="F33" t="str">
        <f>G33 &amp; IF(H33&lt;&gt;"", "_" &amp; H33, "_") &amp; IF(I33&lt;&gt;"", "_" &amp; I33, "_") &amp; IF(B33&lt;&gt;"", "_" &amp; B33, "")</f>
        <v>Frahm_Zilles_1994</v>
      </c>
      <c r="G33" t="str">
        <f>SUBSTITUTE(SUBSTITUTE(_xlfn.TEXTBEFORE(A33,","), "-", ""), " ", "")</f>
        <v>Frahm</v>
      </c>
      <c r="H33" t="str">
        <f>IF(ISNUMBER(FIND("&amp;", A33)),
IF(LEN(A33)-LEN(SUBSTITUTE(A33, ",", ""))&gt;=6, "etal", MID(A33, SEARCH("&amp; ", A33)+2, SEARCH(",", A33, SEARCH("&amp; ", A33)+2) - SEARCH("&amp; ", A33)-2)),
""
)</f>
        <v>Zilles</v>
      </c>
      <c r="I33" t="str">
        <f>_xlfn.TEXTBEFORE(_xlfn.TEXTAFTER(A33, "("), ")")</f>
        <v>1994</v>
      </c>
      <c r="J33" t="str">
        <f>IF(C33&lt;&gt;"", C33, IF(C33="", _xlfn.TEXTAFTER(A33,"https://doi.org/"), C33))</f>
        <v>PMID:7983368</v>
      </c>
      <c r="K33" t="str">
        <f>TRIM(_xlfn.TEXTJOIN("_",FALSE,F33,(SUBSTITUTE(SUBSTITUTE(D33," ",""), "_", ""))))</f>
        <v>Frahm_Zilles_1994_Table1</v>
      </c>
      <c r="L33" t="str">
        <f>IF(ISBLANK(C33),TRIM(SUBSTITUTE(SUBSTITUTE(SUBSTITUTE(_xlfn.TEXTJOIN("_", FALSE, J33, SUBSTITUTE(D33,"_", "")), "/", "%2F"), ":", "%3A"), " ", "")),TRIM(SUBSTITUTE(SUBSTITUTE(SUBSTITUTE(_xlfn.TEXTJOIN("_", FALSE, C33, SUBSTITUTE(D33,"_", "")), "/", "%2F"), ":", "%3A"), " ", "")))</f>
        <v>PMID%3A7983368_Table1</v>
      </c>
      <c r="M33" t="str">
        <f t="array" ref="M33">IFERROR(INDEX(FileList!$A$1:$A$100, MATCH(L33, _xlfn.TEXTBEFORE(FileList!$A$1:$A$100, ".tsv"), 0)), "notfound")</f>
        <v>notfound</v>
      </c>
      <c r="N33" s="5" t="s">
        <v>372</v>
      </c>
      <c r="V33" s="5" t="s">
        <v>36</v>
      </c>
      <c r="W33" s="5" t="s">
        <v>58</v>
      </c>
      <c r="Y33" s="5" t="s">
        <v>373</v>
      </c>
      <c r="Z33" s="5" t="s">
        <v>49</v>
      </c>
      <c r="AA33" s="5" t="s">
        <v>59</v>
      </c>
      <c r="AB33" s="5" t="s">
        <v>343</v>
      </c>
    </row>
    <row r="34" spans="1:33" ht="16" customHeight="1" x14ac:dyDescent="0.2">
      <c r="A34" s="5" t="s">
        <v>374</v>
      </c>
      <c r="C34" s="5" t="s">
        <v>375</v>
      </c>
      <c r="D34" s="5" t="s">
        <v>56</v>
      </c>
      <c r="E34" t="str">
        <f>RIGHT(A34,1)</f>
        <v>3</v>
      </c>
      <c r="F34" t="str">
        <f>G34 &amp; IF(H34&lt;&gt;"", "_" &amp; H34, "_") &amp; IF(I34&lt;&gt;"", "_" &amp; I34, "_") &amp; IF(B34&lt;&gt;"", "_" &amp; B34, "")</f>
        <v>Frahm_etal_1997</v>
      </c>
      <c r="G34" t="str">
        <f>SUBSTITUTE(SUBSTITUTE(_xlfn.TEXTBEFORE(A34,","), "-", ""), " ", "")</f>
        <v>Frahm</v>
      </c>
      <c r="H34" t="str">
        <f>IF(ISNUMBER(FIND("&amp;", A34)),
IF(LEN(A34)-LEN(SUBSTITUTE(A34, ",", ""))&gt;=6, "etal", MID(A34, SEARCH("&amp; ", A34)+2, SEARCH(",", A34, SEARCH("&amp; ", A34)+2) - SEARCH("&amp; ", A34)-2)),
""
)</f>
        <v>etal</v>
      </c>
      <c r="I34" t="str">
        <f>_xlfn.TEXTBEFORE(_xlfn.TEXTAFTER(A34, "("), ")")</f>
        <v>1997</v>
      </c>
      <c r="J34" t="str">
        <f>IF(C34&lt;&gt;"", C34, IF(C34="", _xlfn.TEXTAFTER(A34,"https://doi.org/"), C34))</f>
        <v>PMID:9176733</v>
      </c>
      <c r="K34" t="str">
        <f>TRIM(_xlfn.TEXTJOIN("_",FALSE,F34,(SUBSTITUTE(SUBSTITUTE(D34," ",""), "_", ""))))</f>
        <v>Frahm_etal_1997_Table1</v>
      </c>
      <c r="L34" t="str">
        <f>IF(ISBLANK(C34),TRIM(SUBSTITUTE(SUBSTITUTE(SUBSTITUTE(_xlfn.TEXTJOIN("_", FALSE, J34, SUBSTITUTE(D34,"_", "")), "/", "%2F"), ":", "%3A"), " ", "")),TRIM(SUBSTITUTE(SUBSTITUTE(SUBSTITUTE(_xlfn.TEXTJOIN("_", FALSE, C34, SUBSTITUTE(D34,"_", "")), "/", "%2F"), ":", "%3A"), " ", "")))</f>
        <v>PMID%3A9176733_Table1</v>
      </c>
      <c r="M34" t="str">
        <f t="array" ref="M34">IFERROR(INDEX(FileList!$A$1:$A$100, MATCH(L34, _xlfn.TEXTBEFORE(FileList!$A$1:$A$100, ".tsv"), 0)), "notfound")</f>
        <v>notfound</v>
      </c>
      <c r="N34" s="5" t="s">
        <v>376</v>
      </c>
      <c r="V34" s="5" t="s">
        <v>36</v>
      </c>
      <c r="W34" s="5" t="s">
        <v>58</v>
      </c>
      <c r="Y34" s="5" t="s">
        <v>377</v>
      </c>
      <c r="Z34" s="5" t="s">
        <v>49</v>
      </c>
      <c r="AA34" s="5" t="s">
        <v>59</v>
      </c>
      <c r="AB34" s="5" t="s">
        <v>343</v>
      </c>
    </row>
    <row r="35" spans="1:33" ht="16" customHeight="1" x14ac:dyDescent="0.2">
      <c r="A35" s="5" t="s">
        <v>352</v>
      </c>
      <c r="C35" s="5" t="s">
        <v>353</v>
      </c>
      <c r="D35" s="5" t="s">
        <v>86</v>
      </c>
      <c r="E35" t="str">
        <f>RIGHT(A35,1)</f>
        <v>9</v>
      </c>
      <c r="F35" t="str">
        <f>G35 &amp; IF(H35&lt;&gt;"", "_" &amp; H35, "_") &amp; IF(I35&lt;&gt;"", "_" &amp; I35, "_") &amp; IF(B35&lt;&gt;"", "_" &amp; B35, "")</f>
        <v>Frahm_etal_1984</v>
      </c>
      <c r="G35" t="str">
        <f>SUBSTITUTE(SUBSTITUTE(_xlfn.TEXTBEFORE(A35,","), "-", ""), " ", "")</f>
        <v>Frahm</v>
      </c>
      <c r="H35" t="str">
        <f>IF(ISNUMBER(FIND("&amp;", A35)),
IF(LEN(A35)-LEN(SUBSTITUTE(A35, ",", ""))&gt;=6, "etal", MID(A35, SEARCH("&amp; ", A35)+2, SEARCH(",", A35, SEARCH("&amp; ", A35)+2) - SEARCH("&amp; ", A35)-2)),
""
)</f>
        <v>etal</v>
      </c>
      <c r="I35" t="str">
        <f>_xlfn.TEXTBEFORE(_xlfn.TEXTAFTER(A35, "("), ")")</f>
        <v>1984</v>
      </c>
      <c r="J35" t="str">
        <f>IF(C35&lt;&gt;"", C35, IF(C35="", _xlfn.TEXTAFTER(A35,"https://doi.org/"), C35))</f>
        <v>PMID:6501869</v>
      </c>
      <c r="K35" t="str">
        <f>TRIM(_xlfn.TEXTJOIN("_",FALSE,F35,(SUBSTITUTE(SUBSTITUTE(D35," ",""), "_", ""))))</f>
        <v>Frahm_etal_1984_Table1</v>
      </c>
      <c r="L35" t="str">
        <f>IF(ISBLANK(C35),TRIM(SUBSTITUTE(SUBSTITUTE(SUBSTITUTE(_xlfn.TEXTJOIN("_", FALSE, J35, SUBSTITUTE(D35,"_", "")), "/", "%2F"), ":", "%3A"), " ", "")),TRIM(SUBSTITUTE(SUBSTITUTE(SUBSTITUTE(_xlfn.TEXTJOIN("_", FALSE, C35, SUBSTITUTE(D35,"_", "")), "/", "%2F"), ":", "%3A"), " ", "")))</f>
        <v>PMID%3A6501869_Table1</v>
      </c>
      <c r="M35" t="str">
        <f t="array" ref="M35">IFERROR(INDEX(FileList!$A$1:$A$100, MATCH(L35, _xlfn.TEXTBEFORE(FileList!$A$1:$A$100, ".tsv"), 0)), "notfound")</f>
        <v>notfound</v>
      </c>
      <c r="N35" s="5" t="s">
        <v>354</v>
      </c>
      <c r="V35" s="5" t="s">
        <v>36</v>
      </c>
      <c r="W35" s="5" t="s">
        <v>58</v>
      </c>
      <c r="Y35" s="5" t="s">
        <v>355</v>
      </c>
      <c r="Z35" s="5" t="s">
        <v>49</v>
      </c>
      <c r="AA35" s="5" t="s">
        <v>59</v>
      </c>
      <c r="AB35" s="5" t="s">
        <v>343</v>
      </c>
    </row>
    <row r="36" spans="1:33" ht="16" customHeight="1" x14ac:dyDescent="0.2">
      <c r="A36" s="5" t="s">
        <v>339</v>
      </c>
      <c r="C36" s="5" t="s">
        <v>340</v>
      </c>
      <c r="D36" s="5" t="s">
        <v>86</v>
      </c>
      <c r="E36" t="str">
        <f>RIGHT(A36,1)</f>
        <v>7</v>
      </c>
      <c r="F36" t="str">
        <f>G36 &amp; IF(H36&lt;&gt;"", "_" &amp; H36, "_") &amp; IF(I36&lt;&gt;"", "_" &amp; I36, "_") &amp; IF(B36&lt;&gt;"", "_" &amp; B36, "")</f>
        <v>Frahm_etal_1982</v>
      </c>
      <c r="G36" t="str">
        <f>SUBSTITUTE(SUBSTITUTE(_xlfn.TEXTBEFORE(A36,","), "-", ""), " ", "")</f>
        <v>Frahm</v>
      </c>
      <c r="H36" t="str">
        <f>IF(ISNUMBER(FIND("&amp;", A36)),
IF(LEN(A36)-LEN(SUBSTITUTE(A36, ",", ""))&gt;=6, "etal", MID(A36, SEARCH("&amp; ", A36)+2, SEARCH(",", A36, SEARCH("&amp; ", A36)+2) - SEARCH("&amp; ", A36)-2)),
""
)</f>
        <v>etal</v>
      </c>
      <c r="I36" t="str">
        <f>_xlfn.TEXTBEFORE(_xlfn.TEXTAFTER(A36, "("), ")")</f>
        <v>1982</v>
      </c>
      <c r="J36" t="str">
        <f>IF(C36&lt;&gt;"", C36, IF(C36="", _xlfn.TEXTAFTER(A36,"https://doi.org/"), C36))</f>
        <v>PMID:7161477</v>
      </c>
      <c r="K36" t="str">
        <f>TRIM(_xlfn.TEXTJOIN("_",FALSE,F36,(SUBSTITUTE(SUBSTITUTE(D36," ",""), "_", ""))))</f>
        <v>Frahm_etal_1982_Table1</v>
      </c>
      <c r="L36" t="str">
        <f>IF(ISBLANK(C36),TRIM(SUBSTITUTE(SUBSTITUTE(SUBSTITUTE(_xlfn.TEXTJOIN("_", FALSE, J36, SUBSTITUTE(D36,"_", "")), "/", "%2F"), ":", "%3A"), " ", "")),TRIM(SUBSTITUTE(SUBSTITUTE(SUBSTITUTE(_xlfn.TEXTJOIN("_", FALSE, C36, SUBSTITUTE(D36,"_", "")), "/", "%2F"), ":", "%3A"), " ", "")))</f>
        <v>PMID%3A7161477_Table1</v>
      </c>
      <c r="M36" t="str">
        <f t="array" ref="M36">IFERROR(INDEX(FileList!$A$1:$A$100, MATCH(L36, _xlfn.TEXTBEFORE(FileList!$A$1:$A$100, ".tsv"), 0)), "notfound")</f>
        <v>notfound</v>
      </c>
      <c r="N36" s="5" t="s">
        <v>341</v>
      </c>
      <c r="V36" s="5" t="s">
        <v>36</v>
      </c>
      <c r="W36" s="5" t="s">
        <v>58</v>
      </c>
      <c r="Y36" s="5" t="s">
        <v>342</v>
      </c>
      <c r="Z36" s="5" t="s">
        <v>49</v>
      </c>
      <c r="AA36" s="5" t="s">
        <v>59</v>
      </c>
      <c r="AB36" s="5" t="s">
        <v>343</v>
      </c>
    </row>
    <row r="37" spans="1:33" ht="16" customHeight="1" x14ac:dyDescent="0.2">
      <c r="A37" s="5" t="s">
        <v>378</v>
      </c>
      <c r="C37" s="5" t="s">
        <v>379</v>
      </c>
      <c r="D37" s="5" t="s">
        <v>56</v>
      </c>
      <c r="E37" t="str">
        <f>RIGHT(A37,1)</f>
        <v>0</v>
      </c>
      <c r="F37" t="str">
        <f>G37 &amp; IF(H37&lt;&gt;"", "_" &amp; H37, "_") &amp; IF(I37&lt;&gt;"", "_" &amp; I37, "_") &amp; IF(B37&lt;&gt;"", "_" &amp; B37, "")</f>
        <v>Frahm_etal_1998</v>
      </c>
      <c r="G37" t="str">
        <f>SUBSTITUTE(SUBSTITUTE(_xlfn.TEXTBEFORE(A37,","), "-", ""), " ", "")</f>
        <v>Frahm</v>
      </c>
      <c r="H37" t="str">
        <f>IF(ISNUMBER(FIND("&amp;", A37)),
IF(LEN(A37)-LEN(SUBSTITUTE(A37, ",", ""))&gt;=6, "etal", MID(A37, SEARCH("&amp; ", A37)+2, SEARCH(",", A37, SEARCH("&amp; ", A37)+2) - SEARCH("&amp; ", A37)-2)),
""
)</f>
        <v>etal</v>
      </c>
      <c r="I37" t="str">
        <f>_xlfn.TEXTBEFORE(_xlfn.TEXTAFTER(A37, "("), ")")</f>
        <v>1998</v>
      </c>
      <c r="J37" t="str">
        <f>IF(C37&lt;&gt;"", C37, IF(C37="", _xlfn.TEXTAFTER(A37,"https://doi.org/"), C37))</f>
        <v>PMID:9672110</v>
      </c>
      <c r="K37" t="str">
        <f>TRIM(_xlfn.TEXTJOIN("_",FALSE,F37,(SUBSTITUTE(SUBSTITUTE(D37," ",""), "_", ""))))</f>
        <v>Frahm_etal_1998_Table1</v>
      </c>
      <c r="L37" t="str">
        <f>IF(ISBLANK(C37),TRIM(SUBSTITUTE(SUBSTITUTE(SUBSTITUTE(_xlfn.TEXTJOIN("_", FALSE, J37, SUBSTITUTE(D37,"_", "")), "/", "%2F"), ":", "%3A"), " ", "")),TRIM(SUBSTITUTE(SUBSTITUTE(SUBSTITUTE(_xlfn.TEXTJOIN("_", FALSE, C37, SUBSTITUTE(D37,"_", "")), "/", "%2F"), ":", "%3A"), " ", "")))</f>
        <v>PMID%3A9672110_Table1</v>
      </c>
      <c r="M37" t="str">
        <f t="array" ref="M37">IFERROR(INDEX(FileList!$A$1:$A$100, MATCH(L37, _xlfn.TEXTBEFORE(FileList!$A$1:$A$100, ".tsv"), 0)), "notfound")</f>
        <v>notfound</v>
      </c>
      <c r="N37" s="5" t="s">
        <v>380</v>
      </c>
      <c r="V37" s="5" t="s">
        <v>36</v>
      </c>
      <c r="W37" s="5" t="s">
        <v>58</v>
      </c>
      <c r="Y37" s="5" t="s">
        <v>381</v>
      </c>
      <c r="Z37" s="5" t="s">
        <v>49</v>
      </c>
      <c r="AA37" s="5" t="s">
        <v>59</v>
      </c>
      <c r="AB37" s="5" t="s">
        <v>343</v>
      </c>
    </row>
    <row r="38" spans="1:33" ht="16" customHeight="1" x14ac:dyDescent="0.2">
      <c r="A38" s="5" t="s">
        <v>176</v>
      </c>
      <c r="D38" s="5" t="s">
        <v>86</v>
      </c>
      <c r="E38" t="str">
        <f>RIGHT(A38,1)</f>
        <v>x</v>
      </c>
      <c r="F38" t="str">
        <f>G38 &amp; IF(H38&lt;&gt;"", "_" &amp; H38, "_") &amp; IF(I38&lt;&gt;"", "_" &amp; I38, "_") &amp; IF(B38&lt;&gt;"", "_" &amp; B38, "")</f>
        <v>Fu_etal_2013</v>
      </c>
      <c r="G38" t="str">
        <f>SUBSTITUTE(SUBSTITUTE(_xlfn.TEXTBEFORE(A38,","), "-", ""), " ", "")</f>
        <v>Fu</v>
      </c>
      <c r="H38" t="str">
        <f>IF(ISNUMBER(FIND("&amp;", A38)),
IF(LEN(A38)-LEN(SUBSTITUTE(A38, ",", ""))&gt;=6, "etal", MID(A38, SEARCH("&amp; ", A38)+2, SEARCH(",", A38, SEARCH("&amp; ", A38)+2) - SEARCH("&amp; ", A38)-2)),
""
)</f>
        <v>etal</v>
      </c>
      <c r="I38" t="str">
        <f>_xlfn.TEXTBEFORE(_xlfn.TEXTAFTER(A38, "("), ")")</f>
        <v>2013</v>
      </c>
      <c r="J38" t="str">
        <f>IF(C38&lt;&gt;"", C38, IF(C38="", _xlfn.TEXTAFTER(A38,"https://doi.org/"), C38))</f>
        <v>10.1007/s00429-012-0462-x</v>
      </c>
      <c r="K38" t="str">
        <f>TRIM(_xlfn.TEXTJOIN("_",FALSE,F38,(SUBSTITUTE(SUBSTITUTE(D38," ",""), "_", ""))))</f>
        <v>Fu_etal_2013_Table1</v>
      </c>
      <c r="L38" t="str">
        <f>IF(ISBLANK(C38),TRIM(SUBSTITUTE(SUBSTITUTE(SUBSTITUTE(_xlfn.TEXTJOIN("_", FALSE, J38, SUBSTITUTE(D38,"_", "")), "/", "%2F"), ":", "%3A"), " ", "")),TRIM(SUBSTITUTE(SUBSTITUTE(SUBSTITUTE(_xlfn.TEXTJOIN("_", FALSE, C38, SUBSTITUTE(D38,"_", "")), "/", "%2F"), ":", "%3A"), " ", "")))</f>
        <v>10.1007%2Fs00429-012-0462-x_Table1</v>
      </c>
      <c r="M38" t="str">
        <f t="array" ref="M38">IFERROR(INDEX(FileList!$A$1:$A$100, MATCH(L38, _xlfn.TEXTBEFORE(FileList!$A$1:$A$100, ".tsv"), 0)), "notfound")</f>
        <v>notfound</v>
      </c>
      <c r="N38" s="5" t="s">
        <v>177</v>
      </c>
      <c r="P38" s="5" t="s">
        <v>178</v>
      </c>
      <c r="Z38" s="5" t="s">
        <v>179</v>
      </c>
      <c r="AC38" s="5" t="s">
        <v>84</v>
      </c>
    </row>
    <row r="39" spans="1:33" ht="16" customHeight="1" x14ac:dyDescent="0.2">
      <c r="A39" s="5" t="s">
        <v>180</v>
      </c>
      <c r="D39" s="5" t="s">
        <v>145</v>
      </c>
      <c r="E39" t="str">
        <f>RIGHT(A39,1)</f>
        <v>6</v>
      </c>
      <c r="F39" t="str">
        <f>G39 &amp; IF(H39&lt;&gt;"", "_" &amp; H39, "_") &amp; IF(I39&lt;&gt;"", "_" &amp; I39, "_") &amp; IF(B39&lt;&gt;"", "_" &amp; B39, "")</f>
        <v>Garwicz_etal_2009</v>
      </c>
      <c r="G39" t="str">
        <f>SUBSTITUTE(SUBSTITUTE(_xlfn.TEXTBEFORE(A39,","), "-", ""), " ", "")</f>
        <v>Garwicz</v>
      </c>
      <c r="H39" t="str">
        <f>IF(ISNUMBER(FIND("&amp;", A39)),
IF(LEN(A39)-LEN(SUBSTITUTE(A39, ",", ""))&gt;=6, "etal", MID(A39, SEARCH("&amp; ", A39)+2, SEARCH(",", A39, SEARCH("&amp; ", A39)+2) - SEARCH("&amp; ", A39)-2)),
""
)</f>
        <v>etal</v>
      </c>
      <c r="I39" t="str">
        <f>_xlfn.TEXTBEFORE(_xlfn.TEXTAFTER(A39, "("), ")")</f>
        <v>2009</v>
      </c>
      <c r="J39" t="str">
        <f>IF(C39&lt;&gt;"", C39, IF(C39="", _xlfn.TEXTAFTER(A39,"https://doi.org/"), C39))</f>
        <v>10.1073/pnas.0905777106</v>
      </c>
      <c r="K39" t="str">
        <f>TRIM(_xlfn.TEXTJOIN("_",FALSE,F39,(SUBSTITUTE(SUBSTITUTE(D39," ",""), "_", ""))))</f>
        <v>Garwicz_etal_2009_TableS1</v>
      </c>
      <c r="L39" t="str">
        <f>IF(ISBLANK(C39),TRIM(SUBSTITUTE(SUBSTITUTE(SUBSTITUTE(_xlfn.TEXTJOIN("_", FALSE, J39, SUBSTITUTE(D39,"_", "")), "/", "%2F"), ":", "%3A"), " ", "")),TRIM(SUBSTITUTE(SUBSTITUTE(SUBSTITUTE(_xlfn.TEXTJOIN("_", FALSE, C39, SUBSTITUTE(D39,"_", "")), "/", "%2F"), ":", "%3A"), " ", "")))</f>
        <v>10.1073%2Fpnas.0905777106_TableS1</v>
      </c>
      <c r="M39" t="str">
        <f t="array" ref="M39">IFERROR(INDEX(FileList!$A$1:$A$100, MATCH(L39, _xlfn.TEXTBEFORE(FileList!$A$1:$A$100, ".tsv"), 0)), "notfound")</f>
        <v>10.1073%2Fpnas.0905777106_TableS1.tsv</v>
      </c>
      <c r="N39" s="5" t="s">
        <v>181</v>
      </c>
      <c r="U39" s="5" t="s">
        <v>45</v>
      </c>
      <c r="W39" s="5" t="s">
        <v>97</v>
      </c>
      <c r="X39" s="5" t="s">
        <v>182</v>
      </c>
    </row>
    <row r="40" spans="1:33" ht="19" customHeight="1" x14ac:dyDescent="0.2">
      <c r="A40" s="5" t="s">
        <v>180</v>
      </c>
      <c r="D40" s="5" t="s">
        <v>183</v>
      </c>
      <c r="E40" t="str">
        <f>RIGHT(A40,1)</f>
        <v>6</v>
      </c>
      <c r="F40" t="str">
        <f>G40 &amp; IF(H40&lt;&gt;"", "_" &amp; H40, "_") &amp; IF(I40&lt;&gt;"", "_" &amp; I40, "_") &amp; IF(B40&lt;&gt;"", "_" &amp; B40, "")</f>
        <v>Garwicz_etal_2009</v>
      </c>
      <c r="G40" t="str">
        <f>SUBSTITUTE(SUBSTITUTE(_xlfn.TEXTBEFORE(A40,","), "-", ""), " ", "")</f>
        <v>Garwicz</v>
      </c>
      <c r="H40" t="str">
        <f>IF(ISNUMBER(FIND("&amp;", A40)),
IF(LEN(A40)-LEN(SUBSTITUTE(A40, ",", ""))&gt;=6, "etal", MID(A40, SEARCH("&amp; ", A40)+2, SEARCH(",", A40, SEARCH("&amp; ", A40)+2) - SEARCH("&amp; ", A40)-2)),
""
)</f>
        <v>etal</v>
      </c>
      <c r="I40" t="str">
        <f>_xlfn.TEXTBEFORE(_xlfn.TEXTAFTER(A40, "("), ")")</f>
        <v>2009</v>
      </c>
      <c r="J40" t="str">
        <f>IF(C40&lt;&gt;"", C40, IF(C40="", _xlfn.TEXTAFTER(A40,"https://doi.org/"), C40))</f>
        <v>10.1073/pnas.0905777106</v>
      </c>
      <c r="K40" t="str">
        <f>TRIM(_xlfn.TEXTJOIN("_",FALSE,F40,(SUBSTITUTE(SUBSTITUTE(D40," ",""), "_", ""))))</f>
        <v>Garwicz_etal_2009_TableS2</v>
      </c>
      <c r="L40" t="str">
        <f>IF(ISBLANK(C40),TRIM(SUBSTITUTE(SUBSTITUTE(SUBSTITUTE(_xlfn.TEXTJOIN("_", FALSE, J40, SUBSTITUTE(D40,"_", "")), "/", "%2F"), ":", "%3A"), " ", "")),TRIM(SUBSTITUTE(SUBSTITUTE(SUBSTITUTE(_xlfn.TEXTJOIN("_", FALSE, C40, SUBSTITUTE(D40,"_", "")), "/", "%2F"), ":", "%3A"), " ", "")))</f>
        <v>10.1073%2Fpnas.0905777106_TableS2</v>
      </c>
      <c r="M40" t="str">
        <f t="array" ref="M40">IFERROR(INDEX(FileList!$A$1:$A$100, MATCH(L40, _xlfn.TEXTBEFORE(FileList!$A$1:$A$100, ".tsv"), 0)), "notfound")</f>
        <v>notfound</v>
      </c>
      <c r="N40" s="5" t="s">
        <v>184</v>
      </c>
      <c r="U40" s="5" t="s">
        <v>45</v>
      </c>
      <c r="W40" s="5" t="s">
        <v>97</v>
      </c>
      <c r="X40" s="5" t="s">
        <v>182</v>
      </c>
    </row>
    <row r="41" spans="1:33" ht="17" customHeight="1" x14ac:dyDescent="0.2">
      <c r="A41" s="5" t="s">
        <v>185</v>
      </c>
      <c r="D41" s="5" t="s">
        <v>183</v>
      </c>
      <c r="E41" t="str">
        <f>RIGHT(A41,1)</f>
        <v>0</v>
      </c>
      <c r="F41" t="str">
        <f>G41 &amp; IF(H41&lt;&gt;"", "_" &amp; H41, "_") &amp; IF(I41&lt;&gt;"", "_" &amp; I41, "_") &amp; IF(B41&lt;&gt;"", "_" &amp; B41, "")</f>
        <v>Genoud_etal_2018</v>
      </c>
      <c r="G41" t="str">
        <f>SUBSTITUTE(SUBSTITUTE(_xlfn.TEXTBEFORE(A41,","), "-", ""), " ", "")</f>
        <v>Genoud</v>
      </c>
      <c r="H41" t="str">
        <f>IF(ISNUMBER(FIND("&amp;", A41)),
IF(LEN(A41)-LEN(SUBSTITUTE(A41, ",", ""))&gt;=6, "etal", MID(A41, SEARCH("&amp; ", A41)+2, SEARCH(",", A41, SEARCH("&amp; ", A41)+2) - SEARCH("&amp; ", A41)-2)),
""
)</f>
        <v>etal</v>
      </c>
      <c r="I41" t="str">
        <f>_xlfn.TEXTBEFORE(_xlfn.TEXTAFTER(A41, "("), ")")</f>
        <v>2018</v>
      </c>
      <c r="J41" t="str">
        <f>IF(C41&lt;&gt;"", C41, IF(C41="", _xlfn.TEXTAFTER(A41,"https://doi.org/"), C41))</f>
        <v>10.1111/brv.12350</v>
      </c>
      <c r="K41" t="str">
        <f>TRIM(_xlfn.TEXTJOIN("_",FALSE,F41,(SUBSTITUTE(SUBSTITUTE(D41," ",""), "_", ""))))</f>
        <v>Genoud_etal_2018_TableS2</v>
      </c>
      <c r="L41" t="str">
        <f>IF(ISBLANK(C41),TRIM(SUBSTITUTE(SUBSTITUTE(SUBSTITUTE(_xlfn.TEXTJOIN("_", FALSE, J41, SUBSTITUTE(D41,"_", "")), "/", "%2F"), ":", "%3A"), " ", "")),TRIM(SUBSTITUTE(SUBSTITUTE(SUBSTITUTE(_xlfn.TEXTJOIN("_", FALSE, C41, SUBSTITUTE(D41,"_", "")), "/", "%2F"), ":", "%3A"), " ", "")))</f>
        <v>10.1111%2Fbrv.12350_TableS2</v>
      </c>
      <c r="M41" t="str">
        <f t="array" ref="M41">IFERROR(INDEX(FileList!$A$1:$A$100, MATCH(L41, _xlfn.TEXTBEFORE(FileList!$A$1:$A$100, ".tsv"), 0)), "notfound")</f>
        <v>notfound</v>
      </c>
      <c r="N41" s="5" t="s">
        <v>186</v>
      </c>
      <c r="P41" s="5" t="s">
        <v>178</v>
      </c>
      <c r="AC41" s="5" t="s">
        <v>187</v>
      </c>
    </row>
    <row r="42" spans="1:33" ht="17" customHeight="1" x14ac:dyDescent="0.2">
      <c r="A42" s="5" t="s">
        <v>188</v>
      </c>
      <c r="D42" s="5" t="s">
        <v>145</v>
      </c>
      <c r="E42" t="str">
        <f>RIGHT(A42,1)</f>
        <v>8</v>
      </c>
      <c r="F42" t="str">
        <f>G42 &amp; IF(H42&lt;&gt;"", "_" &amp; H42, "_") &amp; IF(I42&lt;&gt;"", "_" &amp; I42, "_") &amp; IF(B42&lt;&gt;"", "_" &amp; B42, "")</f>
        <v>Granatosky__2018</v>
      </c>
      <c r="G42" t="str">
        <f>SUBSTITUTE(SUBSTITUTE(_xlfn.TEXTBEFORE(A42,","), "-", ""), " ", "")</f>
        <v>Granatosky</v>
      </c>
      <c r="H42" t="str">
        <f>IF(ISNUMBER(FIND("&amp;", A42)),
IF(LEN(A42)-LEN(SUBSTITUTE(A42, ",", ""))&gt;=6, "etal", MID(A42, SEARCH("&amp; ", A42)+2, SEARCH(",", A42, SEARCH("&amp; ", A42)+2) - SEARCH("&amp; ", A42)-2)),
""
)</f>
        <v/>
      </c>
      <c r="I42" t="str">
        <f>_xlfn.TEXTBEFORE(_xlfn.TEXTAFTER(A42, "("), ")")</f>
        <v>2018</v>
      </c>
      <c r="J42" t="str">
        <f>IF(C42&lt;&gt;"", C42, IF(C42="", _xlfn.TEXTAFTER(A42,"https://doi.org/"), C42))</f>
        <v>10.1111/jzo.12608</v>
      </c>
      <c r="K42" t="str">
        <f>TRIM(_xlfn.TEXTJOIN("_",FALSE,F42,(SUBSTITUTE(SUBSTITUTE(D42," ",""), "_", ""))))</f>
        <v>Granatosky__2018_TableS1</v>
      </c>
      <c r="L42" t="str">
        <f>IF(ISBLANK(C42),TRIM(SUBSTITUTE(SUBSTITUTE(SUBSTITUTE(_xlfn.TEXTJOIN("_", FALSE, J42, SUBSTITUTE(D42,"_", "")), "/", "%2F"), ":", "%3A"), " ", "")),TRIM(SUBSTITUTE(SUBSTITUTE(SUBSTITUTE(_xlfn.TEXTJOIN("_", FALSE, C42, SUBSTITUTE(D42,"_", "")), "/", "%2F"), ":", "%3A"), " ", "")))</f>
        <v>10.1111%2Fjzo.12608_TableS1</v>
      </c>
      <c r="M42" t="str">
        <f t="array" ref="M42">IFERROR(INDEX(FileList!$A$1:$A$100, MATCH(L42, _xlfn.TEXTBEFORE(FileList!$A$1:$A$100, ".tsv"), 0)), "notfound")</f>
        <v>notfound</v>
      </c>
      <c r="N42" s="5" t="s">
        <v>189</v>
      </c>
      <c r="P42" s="5" t="s">
        <v>178</v>
      </c>
      <c r="X42" s="5" t="s">
        <v>190</v>
      </c>
    </row>
    <row r="43" spans="1:33" ht="17" customHeight="1" x14ac:dyDescent="0.2">
      <c r="A43" s="5" t="s">
        <v>191</v>
      </c>
      <c r="E43" t="str">
        <f>RIGHT(A43,1)</f>
        <v>7</v>
      </c>
      <c r="F43" t="str">
        <f>G43 &amp; IF(H43&lt;&gt;"", "_" &amp; H43, "_") &amp; IF(I43&lt;&gt;"", "_" &amp; I43, "_") &amp; IF(B43&lt;&gt;"", "_" &amp; B43, "")</f>
        <v>Haarlem_etal_2026</v>
      </c>
      <c r="G43" t="str">
        <f>SUBSTITUTE(SUBSTITUTE(_xlfn.TEXTBEFORE(A43,","), "-", ""), " ", "")</f>
        <v>Haarlem</v>
      </c>
      <c r="H43" t="str">
        <f>IF(ISNUMBER(FIND("&amp;", A43)),
    IF(LEN(A43)-LEN(SUBSTITUTE(A43, ",", ""))&gt;=6, "etal", MID(A43, SEARCH("&amp; ", A43)+2, SEARCH(",", A43, SEARCH("&amp; ", A43)+2) - SEARCH("&amp; ", A43)-2)),
    ""
)</f>
        <v>etal</v>
      </c>
      <c r="I43" t="str">
        <f>_xlfn.TEXTBEFORE(_xlfn.TEXTAFTER(A43, "("), ")")</f>
        <v>2026</v>
      </c>
      <c r="J43" t="str">
        <f>IF(C43&lt;&gt;"", C43, IF(C43="", _xlfn.TEXTAFTER(A43,"https://doi.org/"), C43))</f>
        <v>10.1038/s41559-026-02994-7</v>
      </c>
      <c r="K43" t="str">
        <f>TRIM(_xlfn.TEXTJOIN("_",FALSE,F43,(SUBSTITUTE(SUBSTITUTE(D43," ",""), "_", ""))))</f>
        <v>Haarlem_etal_2026_</v>
      </c>
      <c r="L43" t="str">
        <f>IF(ISBLANK(C43),TRIM(SUBSTITUTE(SUBSTITUTE(SUBSTITUTE(_xlfn.TEXTJOIN("_", FALSE, J43, SUBSTITUTE(D43,"_", "")), "/", "%2F"), ":", "%3A"), " ", "")),TRIM(SUBSTITUTE(SUBSTITUTE(SUBSTITUTE(_xlfn.TEXTJOIN("_", FALSE, C43, SUBSTITUTE(D43,"_", "")), "/", "%2F"), ":", "%3A"), " ", "")))</f>
        <v>10.1038%2Fs41559-026-02994-7_</v>
      </c>
      <c r="M43" t="str">
        <f t="array" ref="M43">IFERROR(INDEX(FileList!$A$1:$A$100, MATCH(L43, _xlfn.TEXTBEFORE(FileList!$A$1:$A$100, ".tsv"), 0)), "notfound")</f>
        <v>notfound</v>
      </c>
      <c r="X43" s="5" t="s">
        <v>190</v>
      </c>
    </row>
    <row r="44" spans="1:33" ht="17" customHeight="1" x14ac:dyDescent="0.2">
      <c r="A44" s="5" t="s">
        <v>199</v>
      </c>
      <c r="D44" s="5" t="s">
        <v>193</v>
      </c>
      <c r="E44" t="str">
        <f>RIGHT(A44,1)</f>
        <v>4</v>
      </c>
      <c r="F44" t="str">
        <f>G44 &amp; IF(H44&lt;&gt;"", "_" &amp; H44, "_") &amp; IF(I44&lt;&gt;"", "_" &amp; I44, "_") &amp; IF(B44&lt;&gt;"", "_" &amp; B44, "")</f>
        <v>Heffner_Masterton_1983</v>
      </c>
      <c r="G44" t="str">
        <f>SUBSTITUTE(SUBSTITUTE(_xlfn.TEXTBEFORE(A44,","), "-", ""), " ", "")</f>
        <v>Heffner</v>
      </c>
      <c r="H44" t="str">
        <f>IF(ISNUMBER(FIND("&amp;", A44)),
IF(LEN(A44)-LEN(SUBSTITUTE(A44, ",", ""))&gt;=6, "etal", MID(A44, SEARCH("&amp; ", A44)+2, SEARCH(",", A44, SEARCH("&amp; ", A44)+2) - SEARCH("&amp; ", A44)-2)),
""
)</f>
        <v>Masterton</v>
      </c>
      <c r="I44" t="str">
        <f>_xlfn.TEXTBEFORE(_xlfn.TEXTAFTER(A44, "("), ")")</f>
        <v>1983</v>
      </c>
      <c r="J44" t="str">
        <f>IF(C44&lt;&gt;"", C44, IF(C44="", _xlfn.TEXTAFTER(A44,"https://doi.org/"), C44))</f>
        <v>10.1159/000121494</v>
      </c>
      <c r="K44" t="str">
        <f>TRIM(_xlfn.TEXTJOIN("_",FALSE,F44,(SUBSTITUTE(SUBSTITUTE(D44," ",""), "_", ""))))</f>
        <v>Heffner_Masterton_1983_TableI</v>
      </c>
      <c r="L44" t="str">
        <f>IF(ISBLANK(C44),TRIM(SUBSTITUTE(SUBSTITUTE(SUBSTITUTE(_xlfn.TEXTJOIN("_", FALSE, J44, SUBSTITUTE(D44,"_", "")), "/", "%2F"), ":", "%3A"), " ", "")),TRIM(SUBSTITUTE(SUBSTITUTE(SUBSTITUTE(_xlfn.TEXTJOIN("_", FALSE, C44, SUBSTITUTE(D44,"_", "")), "/", "%2F"), ":", "%3A"), " ", "")))</f>
        <v>10.1159%2F000121494_TableI</v>
      </c>
      <c r="M44" t="str">
        <f t="array" ref="M44">IFERROR(INDEX(FileList!$A$1:$A$100, MATCH(L44, _xlfn.TEXTBEFORE(FileList!$A$1:$A$100, ".tsv"), 0)), "notfound")</f>
        <v>notfound</v>
      </c>
      <c r="P44" s="5" t="s">
        <v>178</v>
      </c>
      <c r="Q44" s="5" t="s">
        <v>112</v>
      </c>
      <c r="R44" s="7"/>
      <c r="T44" s="5" t="str">
        <f>IF(S44="N", R44, "write file name")</f>
        <v>write file name</v>
      </c>
      <c r="U44" s="5" t="s">
        <v>45</v>
      </c>
      <c r="V44" s="5" t="s">
        <v>36</v>
      </c>
      <c r="W44" s="5" t="s">
        <v>116</v>
      </c>
      <c r="X44" s="5" t="s">
        <v>190</v>
      </c>
      <c r="Y44" s="5" t="s">
        <v>196</v>
      </c>
      <c r="AE44" s="5" t="s">
        <v>77</v>
      </c>
      <c r="AG44" s="5" t="s">
        <v>200</v>
      </c>
    </row>
    <row r="45" spans="1:33" ht="16" customHeight="1" x14ac:dyDescent="0.2">
      <c r="A45" s="5" t="s">
        <v>192</v>
      </c>
      <c r="D45" s="5" t="s">
        <v>193</v>
      </c>
      <c r="E45" t="str">
        <f>RIGHT(A45,1)</f>
        <v>1</v>
      </c>
      <c r="F45" t="str">
        <f>G45 &amp; IF(H45&lt;&gt;"", "_" &amp; H45, "_") &amp; IF(I45&lt;&gt;"", "_" &amp; I45, "_") &amp; IF(B45&lt;&gt;"", "_" &amp; B45, "")</f>
        <v>Heffner_Masterton_1975</v>
      </c>
      <c r="G45" t="str">
        <f>SUBSTITUTE(SUBSTITUTE(_xlfn.TEXTBEFORE(A45,","), "-", ""), " ", "")</f>
        <v>Heffner</v>
      </c>
      <c r="H45" t="str">
        <f>IF(ISNUMBER(FIND("&amp;", A45)),
IF(LEN(A45)-LEN(SUBSTITUTE(A45, ",", ""))&gt;=6, "etal", MID(A45, SEARCH("&amp; ", A45)+2, SEARCH(",", A45, SEARCH("&amp; ", A45)+2) - SEARCH("&amp; ", A45)-2)),
""
)</f>
        <v>Masterton</v>
      </c>
      <c r="I45" t="str">
        <f>_xlfn.TEXTBEFORE(_xlfn.TEXTAFTER(A45, "("), ")")</f>
        <v>1975</v>
      </c>
      <c r="J45" t="str">
        <f>IF(C45&lt;&gt;"", C45, IF(C45="", _xlfn.TEXTAFTER(A45,"https://doi.org/"), C45))</f>
        <v>10.1159/000124401</v>
      </c>
      <c r="K45" t="str">
        <f>TRIM(_xlfn.TEXTJOIN("_",FALSE,F45,(SUBSTITUTE(SUBSTITUTE(D45," ",""), "_", ""))))</f>
        <v>Heffner_Masterton_1975_TableI</v>
      </c>
      <c r="L45" t="str">
        <f>IF(ISBLANK(C45),TRIM(SUBSTITUTE(SUBSTITUTE(SUBSTITUTE(_xlfn.TEXTJOIN("_", FALSE, J45, SUBSTITUTE(D45,"_", "")), "/", "%2F"), ":", "%3A"), " ", "")),TRIM(SUBSTITUTE(SUBSTITUTE(SUBSTITUTE(_xlfn.TEXTJOIN("_", FALSE, C45, SUBSTITUTE(D45,"_", "")), "/", "%2F"), ":", "%3A"), " ", "")))</f>
        <v>10.1159%2F000124401_TableI</v>
      </c>
      <c r="M45" t="str">
        <f t="array" ref="M45">IFERROR(INDEX(FileList!$A$1:$A$100, MATCH(L45, _xlfn.TEXTBEFORE(FileList!$A$1:$A$100, ".tsv"), 0)), "notfound")</f>
        <v>10.1159%2F000124401_TableI.tsv</v>
      </c>
      <c r="P45" s="5" t="s">
        <v>40</v>
      </c>
      <c r="Q45" s="5" t="s">
        <v>41</v>
      </c>
      <c r="R45" s="5" t="s">
        <v>194</v>
      </c>
      <c r="S45" s="5" t="s">
        <v>43</v>
      </c>
      <c r="T45" s="5" t="s">
        <v>195</v>
      </c>
      <c r="U45" s="5" t="s">
        <v>45</v>
      </c>
      <c r="V45" s="5" t="s">
        <v>36</v>
      </c>
      <c r="W45" s="5" t="s">
        <v>116</v>
      </c>
      <c r="X45" s="5" t="s">
        <v>190</v>
      </c>
      <c r="Y45" s="5" t="s">
        <v>196</v>
      </c>
      <c r="Z45" s="5" t="s">
        <v>197</v>
      </c>
      <c r="AC45" s="5" t="s">
        <v>198</v>
      </c>
      <c r="AE45" s="5" t="s">
        <v>77</v>
      </c>
    </row>
    <row r="46" spans="1:33" ht="16" customHeight="1" x14ac:dyDescent="0.2">
      <c r="A46" s="5" t="s">
        <v>201</v>
      </c>
      <c r="C46" s="5" t="s">
        <v>202</v>
      </c>
      <c r="D46" s="5" t="s">
        <v>38</v>
      </c>
      <c r="E46" t="str">
        <f>RIGHT(A46,1)</f>
        <v>8</v>
      </c>
      <c r="F46" t="str">
        <f>G46 &amp; IF(H46&lt;&gt;"", "_" &amp; H46, "_") &amp; IF(I46&lt;&gt;"", "_" &amp; I46, "_") &amp; IF(B46&lt;&gt;"", "_" &amp; B46, "")</f>
        <v>Heiss_etal_2004</v>
      </c>
      <c r="G46" t="str">
        <f>SUBSTITUTE(SUBSTITUTE(_xlfn.TEXTBEFORE(A46,","), "-", ""), " ", "")</f>
        <v>Heiss</v>
      </c>
      <c r="H46" t="str">
        <f>IF(ISNUMBER(FIND("&amp;", A46)),
    IF(LEN(A46)-LEN(SUBSTITUTE(A46, ",", ""))&gt;=6, "etal", MID(A46, SEARCH("&amp; ", A46)+2, SEARCH(",", A46, SEARCH("&amp; ", A46)+2) - SEARCH("&amp; ", A46)-2)),
    ""
)</f>
        <v>etal</v>
      </c>
      <c r="I46" t="str">
        <f>_xlfn.TEXTBEFORE(_xlfn.TEXTAFTER(A46, "("), ")")</f>
        <v>2004</v>
      </c>
      <c r="J46" t="str">
        <f>IF(C46&lt;&gt;"", C46, IF(C46="", _xlfn.TEXTAFTER(A46,"https://doi.org/"), C46))</f>
        <v>PMID:15534048</v>
      </c>
      <c r="K46" t="str">
        <f>TRIM(_xlfn.TEXTJOIN("_",FALSE,F46,(SUBSTITUTE(SUBSTITUTE(D46," ",""), "_", ""))))</f>
        <v>Heiss_etal_2004_TABLE1</v>
      </c>
      <c r="L46" t="str">
        <f>IF(ISBLANK(C46),TRIM(SUBSTITUTE(SUBSTITUTE(SUBSTITUTE(_xlfn.TEXTJOIN("_", FALSE, J46, SUBSTITUTE(D46,"_", "")), "/", "%2F"), ":", "%3A"), " ", "")),TRIM(SUBSTITUTE(SUBSTITUTE(SUBSTITUTE(_xlfn.TEXTJOIN("_", FALSE, C46, SUBSTITUTE(D46,"_", "")), "/", "%2F"), ":", "%3A"), " ", "")))</f>
        <v>PMID%3A15534048_TABLE1</v>
      </c>
      <c r="M46" t="str">
        <f t="array" ref="M46">IFERROR(INDEX(FileList!$A$1:$A$100, MATCH(L46, _xlfn.TEXTBEFORE(FileList!$A$1:$A$100, ".tsv"), 0)), "notfound")</f>
        <v>notfound</v>
      </c>
      <c r="N46" s="5" t="s">
        <v>203</v>
      </c>
      <c r="R46" s="7"/>
      <c r="X46" s="5" t="s">
        <v>190</v>
      </c>
      <c r="Y46" s="5" t="s">
        <v>204</v>
      </c>
    </row>
    <row r="47" spans="1:33" ht="16" customHeight="1" x14ac:dyDescent="0.2">
      <c r="A47" s="5" t="s">
        <v>205</v>
      </c>
      <c r="D47" s="5" t="s">
        <v>145</v>
      </c>
      <c r="E47" t="str">
        <f>RIGHT(A47,1)</f>
        <v>8</v>
      </c>
      <c r="F47" t="str">
        <f>G47 &amp; IF(H47&lt;&gt;"", "_" &amp; H47, "_") &amp; IF(I47&lt;&gt;"", "_" &amp; I47, "_") &amp; IF(B47&lt;&gt;"", "_" &amp; B47, "")</f>
        <v>Heldstab_etal_2016</v>
      </c>
      <c r="G47" t="str">
        <f>SUBSTITUTE(SUBSTITUTE(_xlfn.TEXTBEFORE(A47,","), "-", ""), " ", "")</f>
        <v>Heldstab</v>
      </c>
      <c r="H47" t="str">
        <f>IF(ISNUMBER(FIND("&amp;", A47)),
IF(LEN(A47)-LEN(SUBSTITUTE(A47, ",", ""))&gt;=6, "etal", MID(A47, SEARCH("&amp; ", A47)+2, SEARCH(",", A47, SEARCH("&amp; ", A47)+2) - SEARCH("&amp; ", A47)-2)),
""
)</f>
        <v>etal</v>
      </c>
      <c r="I47" t="str">
        <f>_xlfn.TEXTBEFORE(_xlfn.TEXTAFTER(A47, "("), ")")</f>
        <v>2016</v>
      </c>
      <c r="J47" t="str">
        <f>IF(C47&lt;&gt;"", C47, IF(C47="", _xlfn.TEXTAFTER(A47,"https://doi.org/"), C47))</f>
        <v>10.1038/srep24528</v>
      </c>
      <c r="K47" t="str">
        <f>TRIM(_xlfn.TEXTJOIN("_",FALSE,F47,(SUBSTITUTE(SUBSTITUTE(D47," ",""), "_", ""))))</f>
        <v>Heldstab_etal_2016_TableS1</v>
      </c>
      <c r="L47" t="str">
        <f>IF(ISBLANK(C47),TRIM(SUBSTITUTE(SUBSTITUTE(SUBSTITUTE(_xlfn.TEXTJOIN("_", FALSE, J47, SUBSTITUTE(D47,"_", "")), "/", "%2F"), ":", "%3A"), " ", "")),TRIM(SUBSTITUTE(SUBSTITUTE(SUBSTITUTE(_xlfn.TEXTJOIN("_", FALSE, C47, SUBSTITUTE(D47,"_", "")), "/", "%2F"), ":", "%3A"), " ", "")))</f>
        <v>10.1038%2Fsrep24528_TableS1</v>
      </c>
      <c r="M47" t="str">
        <f t="array" ref="M47">IFERROR(INDEX(FileList!$A$1:$A$100, MATCH(L47, _xlfn.TEXTBEFORE(FileList!$A$1:$A$100, ".tsv"), 0)), "notfound")</f>
        <v>notfound</v>
      </c>
      <c r="P47" s="5" t="s">
        <v>178</v>
      </c>
      <c r="Q47" s="5" t="s">
        <v>112</v>
      </c>
      <c r="R47" s="7"/>
      <c r="T47" s="5" t="str">
        <f>IF(S47="N", R47, "write file name")</f>
        <v>write file name</v>
      </c>
      <c r="U47" s="5" t="s">
        <v>45</v>
      </c>
      <c r="V47" s="5" t="s">
        <v>36</v>
      </c>
      <c r="X47" s="5" t="s">
        <v>190</v>
      </c>
      <c r="Y47" s="5" t="s">
        <v>206</v>
      </c>
      <c r="AE47" s="5" t="s">
        <v>100</v>
      </c>
    </row>
    <row r="48" spans="1:33" ht="16" customHeight="1" x14ac:dyDescent="0.2">
      <c r="A48" s="5" t="s">
        <v>207</v>
      </c>
      <c r="D48" s="5" t="s">
        <v>86</v>
      </c>
      <c r="E48" t="str">
        <f>RIGHT(A48,1)</f>
        <v>3</v>
      </c>
      <c r="F48" t="str">
        <f>G48 &amp; IF(H48&lt;&gt;"", "_" &amp; H48, "_") &amp; IF(I48&lt;&gt;"", "_" &amp; I48, "_") &amp; IF(B48&lt;&gt;"", "_" &amp; B48, "")</f>
        <v>HerculanoHouzel__2015</v>
      </c>
      <c r="G48" t="str">
        <f>SUBSTITUTE(SUBSTITUTE(_xlfn.TEXTBEFORE(A48,","), "-", ""), " ", "")</f>
        <v>HerculanoHouzel</v>
      </c>
      <c r="H48" t="str">
        <f>IF(ISNUMBER(FIND("&amp;", A48)),
IF(LEN(A48)-LEN(SUBSTITUTE(A48, ",", ""))&gt;=6, "etal", MID(A48, SEARCH("&amp; ", A48)+2, SEARCH(",", A48, SEARCH("&amp; ", A48)+2) - SEARCH("&amp; ", A48)-2)),
""
)</f>
        <v/>
      </c>
      <c r="I48" t="str">
        <f>_xlfn.TEXTBEFORE(_xlfn.TEXTAFTER(A48, "("), ")")</f>
        <v>2015</v>
      </c>
      <c r="J48" t="str">
        <f>IF(C48&lt;&gt;"", C48, IF(C48="", _xlfn.TEXTAFTER(A48,"https://doi.org/"), C48))</f>
        <v>10.1098/rspb.2015.1853</v>
      </c>
      <c r="K48" t="str">
        <f>TRIM(_xlfn.TEXTJOIN("_",FALSE,F48,(SUBSTITUTE(SUBSTITUTE(D48," ",""), "_", ""))))</f>
        <v>HerculanoHouzel__2015_Table1</v>
      </c>
      <c r="L48" t="str">
        <f>IF(ISBLANK(C48),TRIM(SUBSTITUTE(SUBSTITUTE(SUBSTITUTE(_xlfn.TEXTJOIN("_", FALSE, J48, SUBSTITUTE(D48,"_", "")), "/", "%2F"), ":", "%3A"), " ", "")),TRIM(SUBSTITUTE(SUBSTITUTE(SUBSTITUTE(_xlfn.TEXTJOIN("_", FALSE, C48, SUBSTITUTE(D48,"_", "")), "/", "%2F"), ":", "%3A"), " ", "")))</f>
        <v>10.1098%2Frspb.2015.1853_Table1</v>
      </c>
      <c r="M48" t="str">
        <f t="array" ref="M48">IFERROR(INDEX(FileList!$A$1:$A$100, MATCH(L48, _xlfn.TEXTBEFORE(FileList!$A$1:$A$100, ".tsv"), 0)), "notfound")</f>
        <v>10.1098%2Frspb.2015.1853_Table1.tsv</v>
      </c>
      <c r="R48" s="7"/>
      <c r="U48" s="5" t="s">
        <v>45</v>
      </c>
      <c r="V48" s="5" t="s">
        <v>36</v>
      </c>
    </row>
    <row r="49" spans="1:31" ht="16" customHeight="1" x14ac:dyDescent="0.2">
      <c r="A49" s="5" t="s">
        <v>207</v>
      </c>
      <c r="D49" s="5" t="s">
        <v>208</v>
      </c>
      <c r="E49" t="str">
        <f>RIGHT(A49,1)</f>
        <v>3</v>
      </c>
      <c r="F49" t="str">
        <f>G49 &amp; IF(H49&lt;&gt;"", "_" &amp; H49, "_") &amp; IF(I49&lt;&gt;"", "_" &amp; I49, "_") &amp; IF(B49&lt;&gt;"", "_" &amp; B49, "")</f>
        <v>HerculanoHouzel__2015</v>
      </c>
      <c r="G49" t="str">
        <f>SUBSTITUTE(SUBSTITUTE(_xlfn.TEXTBEFORE(A49,","), "-", ""), " ", "")</f>
        <v>HerculanoHouzel</v>
      </c>
      <c r="H49" t="str">
        <f>IF(ISNUMBER(FIND("&amp;", A49)),
    IF(LEN(A49)-LEN(SUBSTITUTE(A49, ",", ""))&gt;=6, "etal", MID(A49, SEARCH("&amp; ", A49)+2, SEARCH(",", A49, SEARCH("&amp; ", A49)+2) - SEARCH("&amp; ", A49)-2)),
    ""
)</f>
        <v/>
      </c>
      <c r="I49" t="str">
        <f>_xlfn.TEXTBEFORE(_xlfn.TEXTAFTER(A49, "("), ")")</f>
        <v>2015</v>
      </c>
      <c r="J49" t="str">
        <f>IF(C49&lt;&gt;"", C49, IF(C49="", _xlfn.TEXTAFTER(A49,"https://doi.org/"), C49))</f>
        <v>10.1098/rspb.2015.1853</v>
      </c>
      <c r="K49" t="str">
        <f>TRIM(_xlfn.TEXTJOIN("_",FALSE,F49,(SUBSTITUTE(SUBSTITUTE(D49," ",""), "_", ""))))</f>
        <v>HerculanoHouzel__2015_Table2</v>
      </c>
      <c r="L49" t="str">
        <f>IF(ISBLANK(C49),TRIM(SUBSTITUTE(SUBSTITUTE(SUBSTITUTE(_xlfn.TEXTJOIN("_", FALSE, J49, SUBSTITUTE(D49,"_", "")), "/", "%2F"), ":", "%3A"), " ", "")),TRIM(SUBSTITUTE(SUBSTITUTE(SUBSTITUTE(_xlfn.TEXTJOIN("_", FALSE, C49, SUBSTITUTE(D49,"_", "")), "/", "%2F"), ":", "%3A"), " ", "")))</f>
        <v>10.1098%2Frspb.2015.1853_Table2</v>
      </c>
      <c r="M49" t="str">
        <f t="array" ref="M49">IFERROR(INDEX(FileList!$A$1:$A$100, MATCH(L49, _xlfn.TEXTBEFORE(FileList!$A$1:$A$100, ".tsv"), 0)), "notfound")</f>
        <v>notfound</v>
      </c>
      <c r="N49" s="5" t="s">
        <v>209</v>
      </c>
      <c r="R49" s="7"/>
      <c r="U49" s="5" t="s">
        <v>45</v>
      </c>
      <c r="V49" s="5" t="s">
        <v>36</v>
      </c>
      <c r="Y49" s="5" t="s">
        <v>210</v>
      </c>
      <c r="Z49" s="5" t="s">
        <v>75</v>
      </c>
    </row>
    <row r="50" spans="1:31" ht="16" customHeight="1" x14ac:dyDescent="0.2">
      <c r="A50" s="5" t="s">
        <v>215</v>
      </c>
      <c r="D50" s="5" t="s">
        <v>86</v>
      </c>
      <c r="E50" t="str">
        <f>RIGHT(A50,1)</f>
        <v>3</v>
      </c>
      <c r="F50" t="str">
        <f>G50 &amp; IF(H50&lt;&gt;"", "_" &amp; H50, "_") &amp; IF(I50&lt;&gt;"", "_" &amp; I50, "_") &amp; IF(B50&lt;&gt;"", "_" &amp; B50, "")</f>
        <v>HerculanoHouzel_etal_2015</v>
      </c>
      <c r="G50" t="str">
        <f>SUBSTITUTE(SUBSTITUTE(_xlfn.TEXTBEFORE(A50,","), "-", ""), " ", "")</f>
        <v>HerculanoHouzel</v>
      </c>
      <c r="H50" t="str">
        <f>IF(ISNUMBER(FIND("&amp;", A50)),
IF(LEN(A50)-LEN(SUBSTITUTE(A50, ",", ""))&gt;=6, "etal", MID(A50, SEARCH("&amp; ", A50)+2, SEARCH(",", A50, SEARCH("&amp; ", A50)+2) - SEARCH("&amp; ", A50)-2)),
""
)</f>
        <v>etal</v>
      </c>
      <c r="I50" t="str">
        <f>_xlfn.TEXTBEFORE(_xlfn.TEXTAFTER(A50, "("), ")")</f>
        <v>2015</v>
      </c>
      <c r="J50" t="str">
        <f>IF(C50&lt;&gt;"", C50, IF(C50="", _xlfn.TEXTAFTER(A50,"https://doi.org/"), C50))</f>
        <v>10.1159/000437413</v>
      </c>
      <c r="K50" t="str">
        <f>TRIM(_xlfn.TEXTJOIN("_",FALSE,F50,(SUBSTITUTE(SUBSTITUTE(D50," ",""), "_", ""))))</f>
        <v>HerculanoHouzel_etal_2015_Table1</v>
      </c>
      <c r="L50" t="str">
        <f>IF(ISBLANK(C50),TRIM(SUBSTITUTE(SUBSTITUTE(SUBSTITUTE(_xlfn.TEXTJOIN("_", FALSE, J50, SUBSTITUTE(D50,"_", "")), "/", "%2F"), ":", "%3A"), " ", "")),TRIM(SUBSTITUTE(SUBSTITUTE(SUBSTITUTE(_xlfn.TEXTJOIN("_", FALSE, C50, SUBSTITUTE(D50,"_", "")), "/", "%2F"), ":", "%3A"), " ", "")))</f>
        <v>10.1159%2F000437413_Table1</v>
      </c>
      <c r="M50" t="str">
        <f t="array" ref="M50">IFERROR(INDEX(FileList!$A$1:$A$100, MATCH(L50, _xlfn.TEXTBEFORE(FileList!$A$1:$A$100, ".tsv"), 0)), "notfound")</f>
        <v>10.1159%2F000437413_Table1.tsv</v>
      </c>
      <c r="N50" s="5" t="s">
        <v>216</v>
      </c>
      <c r="P50" s="5" t="s">
        <v>40</v>
      </c>
      <c r="Q50" s="5" t="s">
        <v>41</v>
      </c>
      <c r="R50" s="7" t="s">
        <v>217</v>
      </c>
      <c r="S50" s="5" t="s">
        <v>43</v>
      </c>
      <c r="T50" s="5" t="s">
        <v>218</v>
      </c>
      <c r="U50" s="5" t="s">
        <v>45</v>
      </c>
      <c r="V50" s="5" t="s">
        <v>36</v>
      </c>
      <c r="W50" s="5" t="s">
        <v>104</v>
      </c>
      <c r="X50" s="5" t="s">
        <v>190</v>
      </c>
      <c r="Y50" s="5" t="s">
        <v>152</v>
      </c>
      <c r="AA50" s="5" t="s">
        <v>50</v>
      </c>
      <c r="AB50" s="5" t="s">
        <v>50</v>
      </c>
      <c r="AE50" s="5" t="s">
        <v>51</v>
      </c>
    </row>
    <row r="51" spans="1:31" ht="16" customHeight="1" x14ac:dyDescent="0.2">
      <c r="A51" s="5" t="s">
        <v>215</v>
      </c>
      <c r="D51" s="5" t="s">
        <v>208</v>
      </c>
      <c r="E51" t="str">
        <f>RIGHT(A51,1)</f>
        <v>3</v>
      </c>
      <c r="F51" t="str">
        <f>G51 &amp; IF(H51&lt;&gt;"", "_" &amp; H51, "_") &amp; IF(I51&lt;&gt;"", "_" &amp; I51, "_") &amp; IF(B51&lt;&gt;"", "_" &amp; B51, "")</f>
        <v>HerculanoHouzel_etal_2015</v>
      </c>
      <c r="G51" t="str">
        <f>SUBSTITUTE(SUBSTITUTE(_xlfn.TEXTBEFORE(A51,","), "-", ""), " ", "")</f>
        <v>HerculanoHouzel</v>
      </c>
      <c r="H51" t="str">
        <f>IF(ISNUMBER(FIND("&amp;", A51)),
IF(LEN(A51)-LEN(SUBSTITUTE(A51, ",", ""))&gt;=6, "etal", MID(A51, SEARCH("&amp; ", A51)+2, SEARCH(",", A51, SEARCH("&amp; ", A51)+2) - SEARCH("&amp; ", A51)-2)),
""
)</f>
        <v>etal</v>
      </c>
      <c r="I51" t="str">
        <f>_xlfn.TEXTBEFORE(_xlfn.TEXTAFTER(A51, "("), ")")</f>
        <v>2015</v>
      </c>
      <c r="J51" t="str">
        <f>IF(C51&lt;&gt;"", C51, IF(C51="", _xlfn.TEXTAFTER(A51,"https://doi.org/"), C51))</f>
        <v>10.1159/000437413</v>
      </c>
      <c r="K51" t="str">
        <f>TRIM(_xlfn.TEXTJOIN("_",FALSE,F51,(SUBSTITUTE(SUBSTITUTE(D51," ",""), "_", ""))))</f>
        <v>HerculanoHouzel_etal_2015_Table2</v>
      </c>
      <c r="L51" t="str">
        <f>IF(ISBLANK(C51),TRIM(SUBSTITUTE(SUBSTITUTE(SUBSTITUTE(_xlfn.TEXTJOIN("_", FALSE, J51, SUBSTITUTE(D51,"_", "")), "/", "%2F"), ":", "%3A"), " ", "")),TRIM(SUBSTITUTE(SUBSTITUTE(SUBSTITUTE(_xlfn.TEXTJOIN("_", FALSE, C51, SUBSTITUTE(D51,"_", "")), "/", "%2F"), ":", "%3A"), " ", "")))</f>
        <v>10.1159%2F000437413_Table2</v>
      </c>
      <c r="M51" t="str">
        <f t="array" ref="M51">IFERROR(INDEX(FileList!$A$1:$A$100, MATCH(L51, _xlfn.TEXTBEFORE(FileList!$A$1:$A$100, ".tsv"), 0)), "notfound")</f>
        <v>10.1159%2F000437413_Table2.tsv</v>
      </c>
      <c r="N51" s="5" t="s">
        <v>219</v>
      </c>
      <c r="P51" s="5" t="s">
        <v>40</v>
      </c>
      <c r="Q51" s="5" t="s">
        <v>41</v>
      </c>
      <c r="R51" s="7" t="s">
        <v>220</v>
      </c>
      <c r="S51" s="5" t="s">
        <v>43</v>
      </c>
      <c r="T51" s="5" t="s">
        <v>221</v>
      </c>
      <c r="U51" s="5" t="s">
        <v>45</v>
      </c>
      <c r="V51" s="5" t="s">
        <v>36</v>
      </c>
      <c r="W51" s="5" t="s">
        <v>104</v>
      </c>
      <c r="X51" s="5" t="s">
        <v>190</v>
      </c>
      <c r="Y51" s="5" t="s">
        <v>152</v>
      </c>
      <c r="AA51" s="5" t="s">
        <v>50</v>
      </c>
      <c r="AB51" s="5" t="s">
        <v>50</v>
      </c>
      <c r="AE51" s="5" t="s">
        <v>51</v>
      </c>
    </row>
    <row r="52" spans="1:31" ht="16" customHeight="1" x14ac:dyDescent="0.2">
      <c r="A52" s="5" t="s">
        <v>215</v>
      </c>
      <c r="D52" s="5" t="s">
        <v>222</v>
      </c>
      <c r="E52" t="str">
        <f>RIGHT(A52,1)</f>
        <v>3</v>
      </c>
      <c r="F52" t="str">
        <f>G52 &amp; IF(H52&lt;&gt;"", "_" &amp; H52, "_") &amp; IF(I52&lt;&gt;"", "_" &amp; I52, "_") &amp; IF(B52&lt;&gt;"", "_" &amp; B52, "")</f>
        <v>HerculanoHouzel_etal_2015</v>
      </c>
      <c r="G52" t="str">
        <f>SUBSTITUTE(SUBSTITUTE(_xlfn.TEXTBEFORE(A52,","), "-", ""), " ", "")</f>
        <v>HerculanoHouzel</v>
      </c>
      <c r="H52" t="str">
        <f>IF(ISNUMBER(FIND("&amp;", A52)),
IF(LEN(A52)-LEN(SUBSTITUTE(A52, ",", ""))&gt;=6, "etal", MID(A52, SEARCH("&amp; ", A52)+2, SEARCH(",", A52, SEARCH("&amp; ", A52)+2) - SEARCH("&amp; ", A52)-2)),
""
)</f>
        <v>etal</v>
      </c>
      <c r="I52" t="str">
        <f>_xlfn.TEXTBEFORE(_xlfn.TEXTAFTER(A52, "("), ")")</f>
        <v>2015</v>
      </c>
      <c r="J52" t="str">
        <f>IF(C52&lt;&gt;"", C52, IF(C52="", _xlfn.TEXTAFTER(A52,"https://doi.org/"), C52))</f>
        <v>10.1159/000437413</v>
      </c>
      <c r="K52" t="str">
        <f>TRIM(_xlfn.TEXTJOIN("_",FALSE,F52,(SUBSTITUTE(SUBSTITUTE(D52," ",""), "_", ""))))</f>
        <v>HerculanoHouzel_etal_2015_Table3</v>
      </c>
      <c r="L52" t="str">
        <f>IF(ISBLANK(C52),TRIM(SUBSTITUTE(SUBSTITUTE(SUBSTITUTE(_xlfn.TEXTJOIN("_", FALSE, J52, SUBSTITUTE(D52,"_", "")), "/", "%2F"), ":", "%3A"), " ", "")),TRIM(SUBSTITUTE(SUBSTITUTE(SUBSTITUTE(_xlfn.TEXTJOIN("_", FALSE, C52, SUBSTITUTE(D52,"_", "")), "/", "%2F"), ":", "%3A"), " ", "")))</f>
        <v>10.1159%2F000437413_Table3</v>
      </c>
      <c r="M52" t="str">
        <f t="array" ref="M52">IFERROR(INDEX(FileList!$A$1:$A$100, MATCH(L52, _xlfn.TEXTBEFORE(FileList!$A$1:$A$100, ".tsv"), 0)), "notfound")</f>
        <v>10.1159%2F000437413_Table3.tsv</v>
      </c>
      <c r="N52" s="5" t="s">
        <v>223</v>
      </c>
      <c r="P52" s="5" t="s">
        <v>40</v>
      </c>
      <c r="Q52" s="5" t="s">
        <v>41</v>
      </c>
      <c r="R52" s="7" t="s">
        <v>224</v>
      </c>
      <c r="S52" s="5" t="s">
        <v>43</v>
      </c>
      <c r="T52" s="5" t="s">
        <v>225</v>
      </c>
      <c r="U52" s="5" t="s">
        <v>45</v>
      </c>
      <c r="V52" s="5" t="s">
        <v>36</v>
      </c>
      <c r="W52" s="5" t="s">
        <v>104</v>
      </c>
      <c r="X52" s="5" t="s">
        <v>190</v>
      </c>
      <c r="Y52" s="5" t="s">
        <v>152</v>
      </c>
      <c r="AA52" s="5" t="s">
        <v>50</v>
      </c>
      <c r="AB52" s="5" t="s">
        <v>50</v>
      </c>
      <c r="AE52" s="5" t="s">
        <v>51</v>
      </c>
    </row>
    <row r="53" spans="1:31" ht="16" customHeight="1" x14ac:dyDescent="0.2">
      <c r="A53" s="5" t="s">
        <v>215</v>
      </c>
      <c r="D53" s="5" t="s">
        <v>35</v>
      </c>
      <c r="E53" t="str">
        <f>RIGHT(A53,1)</f>
        <v>3</v>
      </c>
      <c r="F53" t="str">
        <f>G53 &amp; IF(H53&lt;&gt;"", "_" &amp; H53, "_") &amp; IF(I53&lt;&gt;"", "_" &amp; I53, "_") &amp; IF(B53&lt;&gt;"", "_" &amp; B53, "")</f>
        <v>HerculanoHouzel_etal_2015</v>
      </c>
      <c r="G53" t="str">
        <f>SUBSTITUTE(SUBSTITUTE(_xlfn.TEXTBEFORE(A53,","), "-", ""), " ", "")</f>
        <v>HerculanoHouzel</v>
      </c>
      <c r="H53" t="str">
        <f>IF(ISNUMBER(FIND("&amp;", A53)),
IF(LEN(A53)-LEN(SUBSTITUTE(A53, ",", ""))&gt;=6, "etal", MID(A53, SEARCH("&amp; ", A53)+2, SEARCH(",", A53, SEARCH("&amp; ", A53)+2) - SEARCH("&amp; ", A53)-2)),
""
)</f>
        <v>etal</v>
      </c>
      <c r="I53" t="str">
        <f>_xlfn.TEXTBEFORE(_xlfn.TEXTAFTER(A53, "("), ")")</f>
        <v>2015</v>
      </c>
      <c r="J53" t="str">
        <f>IF(C53&lt;&gt;"", C53, IF(C53="", _xlfn.TEXTAFTER(A53,"https://doi.org/"), C53))</f>
        <v>10.1159/000437413</v>
      </c>
      <c r="K53" t="str">
        <f>TRIM(_xlfn.TEXTJOIN("_",FALSE,F53,(SUBSTITUTE(SUBSTITUTE(D53," ",""), "_", ""))))</f>
        <v>HerculanoHouzel_etal_2015_Table4</v>
      </c>
      <c r="L53" t="str">
        <f>IF(ISBLANK(C53),TRIM(SUBSTITUTE(SUBSTITUTE(SUBSTITUTE(_xlfn.TEXTJOIN("_", FALSE, J53, SUBSTITUTE(D53,"_", "")), "/", "%2F"), ":", "%3A"), " ", "")),TRIM(SUBSTITUTE(SUBSTITUTE(SUBSTITUTE(_xlfn.TEXTJOIN("_", FALSE, C53, SUBSTITUTE(D53,"_", "")), "/", "%2F"), ":", "%3A"), " ", "")))</f>
        <v>10.1159%2F000437413_Table4</v>
      </c>
      <c r="M53" t="str">
        <f t="array" ref="M53">IFERROR(INDEX(FileList!$A$1:$A$100, MATCH(L53, _xlfn.TEXTBEFORE(FileList!$A$1:$A$100, ".tsv"), 0)), "notfound")</f>
        <v>10.1159%2F000437413_Table4.tsv</v>
      </c>
      <c r="N53" s="5" t="s">
        <v>226</v>
      </c>
      <c r="P53" s="5" t="s">
        <v>40</v>
      </c>
      <c r="Q53" s="5" t="s">
        <v>41</v>
      </c>
      <c r="R53" s="7" t="s">
        <v>227</v>
      </c>
      <c r="S53" s="5" t="s">
        <v>43</v>
      </c>
      <c r="T53" s="5" t="s">
        <v>228</v>
      </c>
      <c r="U53" s="5" t="s">
        <v>45</v>
      </c>
      <c r="V53" s="5" t="s">
        <v>36</v>
      </c>
      <c r="W53" s="5" t="s">
        <v>104</v>
      </c>
      <c r="X53" s="5" t="s">
        <v>190</v>
      </c>
      <c r="Y53" s="5" t="s">
        <v>152</v>
      </c>
      <c r="AA53" s="5" t="s">
        <v>50</v>
      </c>
      <c r="AB53" s="5" t="s">
        <v>50</v>
      </c>
      <c r="AE53" s="5" t="s">
        <v>51</v>
      </c>
    </row>
    <row r="54" spans="1:31" ht="16" customHeight="1" x14ac:dyDescent="0.2">
      <c r="A54" s="5" t="s">
        <v>215</v>
      </c>
      <c r="D54" s="5" t="s">
        <v>229</v>
      </c>
      <c r="E54" t="str">
        <f>RIGHT(A54,1)</f>
        <v>3</v>
      </c>
      <c r="F54" t="str">
        <f>G54 &amp; IF(H54&lt;&gt;"", "_" &amp; H54, "_") &amp; IF(I54&lt;&gt;"", "_" &amp; I54, "_") &amp; IF(B54&lt;&gt;"", "_" &amp; B54, "")</f>
        <v>HerculanoHouzel_etal_2015</v>
      </c>
      <c r="G54" t="str">
        <f>SUBSTITUTE(SUBSTITUTE(_xlfn.TEXTBEFORE(A54,","), "-", ""), " ", "")</f>
        <v>HerculanoHouzel</v>
      </c>
      <c r="H54" t="str">
        <f>IF(ISNUMBER(FIND("&amp;", A54)),
IF(LEN(A54)-LEN(SUBSTITUTE(A54, ",", ""))&gt;=6, "etal", MID(A54, SEARCH("&amp; ", A54)+2, SEARCH(",", A54, SEARCH("&amp; ", A54)+2) - SEARCH("&amp; ", A54)-2)),
""
)</f>
        <v>etal</v>
      </c>
      <c r="I54" t="str">
        <f>_xlfn.TEXTBEFORE(_xlfn.TEXTAFTER(A54, "("), ")")</f>
        <v>2015</v>
      </c>
      <c r="J54" t="str">
        <f>IF(C54&lt;&gt;"", C54, IF(C54="", _xlfn.TEXTAFTER(A54,"https://doi.org/"), C54))</f>
        <v>10.1159/000437413</v>
      </c>
      <c r="K54" t="str">
        <f>TRIM(_xlfn.TEXTJOIN("_",FALSE,F54,(SUBSTITUTE(SUBSTITUTE(D54," ",""), "_", ""))))</f>
        <v>HerculanoHouzel_etal_2015_Table5</v>
      </c>
      <c r="L54" t="str">
        <f>IF(ISBLANK(C54),TRIM(SUBSTITUTE(SUBSTITUTE(SUBSTITUTE(_xlfn.TEXTJOIN("_", FALSE, J54, SUBSTITUTE(D54,"_", "")), "/", "%2F"), ":", "%3A"), " ", "")),TRIM(SUBSTITUTE(SUBSTITUTE(SUBSTITUTE(_xlfn.TEXTJOIN("_", FALSE, C54, SUBSTITUTE(D54,"_", "")), "/", "%2F"), ":", "%3A"), " ", "")))</f>
        <v>10.1159%2F000437413_Table5</v>
      </c>
      <c r="M54" t="str">
        <f t="array" ref="M54">IFERROR(INDEX(FileList!$A$1:$A$100, MATCH(L54, _xlfn.TEXTBEFORE(FileList!$A$1:$A$100, ".tsv"), 0)), "notfound")</f>
        <v>10.1159%2F000437413_Table5.tsv</v>
      </c>
      <c r="N54" s="5" t="s">
        <v>230</v>
      </c>
      <c r="P54" s="5" t="s">
        <v>40</v>
      </c>
      <c r="Q54" s="5" t="s">
        <v>41</v>
      </c>
      <c r="R54" s="7" t="s">
        <v>231</v>
      </c>
      <c r="S54" s="5" t="s">
        <v>43</v>
      </c>
      <c r="T54" s="5" t="s">
        <v>232</v>
      </c>
      <c r="U54" s="5" t="s">
        <v>45</v>
      </c>
      <c r="V54" s="5" t="s">
        <v>36</v>
      </c>
      <c r="W54" s="5" t="s">
        <v>104</v>
      </c>
      <c r="X54" s="5" t="s">
        <v>190</v>
      </c>
      <c r="Y54" s="5" t="s">
        <v>152</v>
      </c>
      <c r="AA54" s="5" t="s">
        <v>50</v>
      </c>
      <c r="AB54" s="5" t="s">
        <v>50</v>
      </c>
      <c r="AE54" s="5" t="s">
        <v>51</v>
      </c>
    </row>
    <row r="55" spans="1:31" ht="16" customHeight="1" x14ac:dyDescent="0.2">
      <c r="A55" s="5" t="s">
        <v>233</v>
      </c>
      <c r="D55" s="5" t="s">
        <v>38</v>
      </c>
      <c r="E55" t="str">
        <f>RIGHT(A55,1)</f>
        <v>5</v>
      </c>
      <c r="F55" t="str">
        <f>G55 &amp; IF(H55&lt;&gt;"", "_" &amp; H55, "_") &amp; IF(I55&lt;&gt;"", "_" &amp; I55, "_") &amp; IF(B55&lt;&gt;"", "_" &amp; B55, "")</f>
        <v>HerculanoHouzel_etal_2020</v>
      </c>
      <c r="G55" t="str">
        <f>SUBSTITUTE(SUBSTITUTE(_xlfn.TEXTBEFORE(A55,","), "-", ""), " ", "")</f>
        <v>HerculanoHouzel</v>
      </c>
      <c r="H55" t="str">
        <f>IF(ISNUMBER(FIND("&amp;", A55)),
IF(LEN(A55)-LEN(SUBSTITUTE(A55, ",", ""))&gt;=6, "etal", MID(A55, SEARCH("&amp; ", A55)+2, SEARCH(",", A55, SEARCH("&amp; ", A55)+2) - SEARCH("&amp; ", A55)-2)),
""
)</f>
        <v>etal</v>
      </c>
      <c r="I55" t="str">
        <f>_xlfn.TEXTBEFORE(_xlfn.TEXTAFTER(A55, "("), ")")</f>
        <v>2020</v>
      </c>
      <c r="J55" t="str">
        <f>IF(C55&lt;&gt;"", C55, IF(C55="", _xlfn.TEXTAFTER(A55,"https://doi.org/"), C55))</f>
        <v>10.1002/cne.24985</v>
      </c>
      <c r="K55" t="str">
        <f>TRIM(_xlfn.TEXTJOIN("_",FALSE,F55,(SUBSTITUTE(SUBSTITUTE(D55," ",""), "_", ""))))</f>
        <v>HerculanoHouzel_etal_2020_TABLE1</v>
      </c>
      <c r="L55" t="str">
        <f>IF(ISBLANK(C55),TRIM(SUBSTITUTE(SUBSTITUTE(SUBSTITUTE(_xlfn.TEXTJOIN("_", FALSE, J55, SUBSTITUTE(D55,"_", "")), "/", "%2F"), ":", "%3A"), " ", "")),TRIM(SUBSTITUTE(SUBSTITUTE(SUBSTITUTE(_xlfn.TEXTJOIN("_", FALSE, C55, SUBSTITUTE(D55,"_", "")), "/", "%2F"), ":", "%3A"), " ", "")))</f>
        <v>10.1002%2Fcne.24985_TABLE1</v>
      </c>
      <c r="M55" t="str">
        <f t="array" ref="M55">IFERROR(INDEX(FileList!$A$1:$A$100, MATCH(L55, _xlfn.TEXTBEFORE(FileList!$A$1:$A$100, ".tsv"), 0)), "notfound")</f>
        <v>10.1002%2Fcne.24985_TABLE1.tsv</v>
      </c>
      <c r="N55" s="5" t="s">
        <v>234</v>
      </c>
      <c r="P55" s="5" t="s">
        <v>40</v>
      </c>
      <c r="Q55" s="5" t="s">
        <v>41</v>
      </c>
      <c r="R55" s="7" t="s">
        <v>235</v>
      </c>
      <c r="S55" s="5" t="s">
        <v>43</v>
      </c>
      <c r="T55" s="5" t="s">
        <v>236</v>
      </c>
      <c r="U55" s="5" t="s">
        <v>45</v>
      </c>
      <c r="V55" s="5" t="s">
        <v>36</v>
      </c>
      <c r="W55" s="5" t="s">
        <v>116</v>
      </c>
      <c r="X55" s="5" t="s">
        <v>237</v>
      </c>
      <c r="Y55" s="5" t="s">
        <v>238</v>
      </c>
      <c r="AA55" s="5" t="s">
        <v>50</v>
      </c>
      <c r="AB55" s="5" t="s">
        <v>50</v>
      </c>
      <c r="AE55" s="5" t="s">
        <v>239</v>
      </c>
    </row>
    <row r="56" spans="1:31" ht="16" customHeight="1" x14ac:dyDescent="0.2">
      <c r="A56" s="5" t="s">
        <v>233</v>
      </c>
      <c r="D56" s="5" t="s">
        <v>168</v>
      </c>
      <c r="E56" t="str">
        <f>RIGHT(A56,1)</f>
        <v>5</v>
      </c>
      <c r="F56" t="str">
        <f>G56 &amp; IF(H56&lt;&gt;"", "_" &amp; H56, "_") &amp; IF(I56&lt;&gt;"", "_" &amp; I56, "_") &amp; IF(B56&lt;&gt;"", "_" &amp; B56, "")</f>
        <v>HerculanoHouzel_etal_2020</v>
      </c>
      <c r="G56" t="str">
        <f>SUBSTITUTE(SUBSTITUTE(_xlfn.TEXTBEFORE(A56,","), "-", ""), " ", "")</f>
        <v>HerculanoHouzel</v>
      </c>
      <c r="H56" t="str">
        <f>IF(ISNUMBER(FIND("&amp;", A56)),
IF(LEN(A56)-LEN(SUBSTITUTE(A56, ",", ""))&gt;=6, "etal", MID(A56, SEARCH("&amp; ", A56)+2, SEARCH(",", A56, SEARCH("&amp; ", A56)+2) - SEARCH("&amp; ", A56)-2)),
""
)</f>
        <v>etal</v>
      </c>
      <c r="I56" t="str">
        <f>_xlfn.TEXTBEFORE(_xlfn.TEXTAFTER(A56, "("), ")")</f>
        <v>2020</v>
      </c>
      <c r="J56" t="str">
        <f>IF(C56&lt;&gt;"", C56, IF(C56="", _xlfn.TEXTAFTER(A56,"https://doi.org/"), C56))</f>
        <v>10.1002/cne.24985</v>
      </c>
      <c r="K56" t="str">
        <f>TRIM(_xlfn.TEXTJOIN("_",FALSE,F56,(SUBSTITUTE(SUBSTITUTE(D56," ",""), "_", ""))))</f>
        <v>HerculanoHouzel_etal_2020_TABLE2</v>
      </c>
      <c r="L56" t="str">
        <f>IF(ISBLANK(C56),TRIM(SUBSTITUTE(SUBSTITUTE(SUBSTITUTE(_xlfn.TEXTJOIN("_", FALSE, J56, SUBSTITUTE(D56,"_", "")), "/", "%2F"), ":", "%3A"), " ", "")),TRIM(SUBSTITUTE(SUBSTITUTE(SUBSTITUTE(_xlfn.TEXTJOIN("_", FALSE, C56, SUBSTITUTE(D56,"_", "")), "/", "%2F"), ":", "%3A"), " ", "")))</f>
        <v>10.1002%2Fcne.24985_TABLE2</v>
      </c>
      <c r="M56" t="str">
        <f t="array" ref="M56">IFERROR(INDEX(FileList!$A$1:$A$100, MATCH(L56, _xlfn.TEXTBEFORE(FileList!$A$1:$A$100, ".tsv"), 0)), "notfound")</f>
        <v>10.1002%2Fcne.24985_TABLE2.tsv</v>
      </c>
      <c r="N56" s="5" t="s">
        <v>240</v>
      </c>
      <c r="P56" s="5" t="s">
        <v>40</v>
      </c>
      <c r="Q56" s="5" t="s">
        <v>41</v>
      </c>
      <c r="R56" s="7" t="s">
        <v>241</v>
      </c>
      <c r="S56" s="5" t="s">
        <v>43</v>
      </c>
      <c r="T56" s="5" t="s">
        <v>242</v>
      </c>
      <c r="U56" s="5" t="s">
        <v>45</v>
      </c>
      <c r="V56" s="5" t="s">
        <v>36</v>
      </c>
      <c r="W56" s="5" t="s">
        <v>116</v>
      </c>
      <c r="X56" s="5" t="s">
        <v>237</v>
      </c>
      <c r="Y56" s="5" t="s">
        <v>243</v>
      </c>
      <c r="AA56" s="5" t="s">
        <v>50</v>
      </c>
      <c r="AB56" s="5" t="s">
        <v>50</v>
      </c>
      <c r="AE56" s="5" t="s">
        <v>239</v>
      </c>
    </row>
    <row r="57" spans="1:31" ht="16" customHeight="1" x14ac:dyDescent="0.2">
      <c r="A57" s="5" t="s">
        <v>211</v>
      </c>
      <c r="D57" s="5" t="s">
        <v>212</v>
      </c>
      <c r="E57" t="str">
        <f>RIGHT(A57,1)</f>
        <v>5</v>
      </c>
      <c r="F57" t="str">
        <f>G57 &amp; IF(H57&lt;&gt;"", "_" &amp; H57, "_") &amp; IF(I57&lt;&gt;"", "_" &amp; I57, "_") &amp; IF(B57&lt;&gt;"", "_" &amp; B57, "")</f>
        <v>HerculanoHouzel_etal_2013</v>
      </c>
      <c r="G57" t="str">
        <f>SUBSTITUTE(SUBSTITUTE(_xlfn.TEXTBEFORE(A57,","), "-", ""), " ", "")</f>
        <v>HerculanoHouzel</v>
      </c>
      <c r="H57" t="str">
        <f>IF(ISNUMBER(FIND("&amp;", A57)),
IF(LEN(A57)-LEN(SUBSTITUTE(A57, ",", ""))&gt;=6, "etal", MID(A57, SEARCH("&amp; ", A57)+2, SEARCH(",", A57, SEARCH("&amp; ", A57)+2) - SEARCH("&amp; ", A57)-2)),
""
)</f>
        <v>etal</v>
      </c>
      <c r="I57" t="str">
        <f>_xlfn.TEXTBEFORE(_xlfn.TEXTAFTER(A57, "("), ")")</f>
        <v>2013</v>
      </c>
      <c r="J57" t="str">
        <f>IF(C57&lt;&gt;"", C57, IF(C57="", _xlfn.TEXTAFTER(A57,"https://doi.org/"), C57))</f>
        <v>10.3389/fnana.2013.00035</v>
      </c>
      <c r="K57" t="str">
        <f>TRIM(_xlfn.TEXTJOIN("_",FALSE,F57,(SUBSTITUTE(SUBSTITUTE(D57," ",""), "_", ""))))</f>
        <v>HerculanoHouzel_etal_2013_Figure2TopLeft</v>
      </c>
      <c r="L57" t="str">
        <f>IF(ISBLANK(C57),TRIM(SUBSTITUTE(SUBSTITUTE(SUBSTITUTE(_xlfn.TEXTJOIN("_", FALSE, J57, SUBSTITUTE(D57,"_", "")), "/", "%2F"), ":", "%3A"), " ", "")),TRIM(SUBSTITUTE(SUBSTITUTE(SUBSTITUTE(_xlfn.TEXTJOIN("_", FALSE, C57, SUBSTITUTE(D57,"_", "")), "/", "%2F"), ":", "%3A"), " ", "")))</f>
        <v>10.3389%2Ffnana.2013.00035_Figure2TopLeft</v>
      </c>
      <c r="M57" t="str">
        <f t="array" ref="M57">IFERROR(INDEX(FileList!$A$1:$A$100, MATCH(L57, _xlfn.TEXTBEFORE(FileList!$A$1:$A$100, ".tsv"), 0)), "notfound")</f>
        <v>10.3389%2Ffnana.2013.00035_Figure2TopLeft.tsv</v>
      </c>
      <c r="Q57" s="5" t="s">
        <v>69</v>
      </c>
    </row>
    <row r="58" spans="1:31" ht="16" customHeight="1" x14ac:dyDescent="0.2">
      <c r="A58" s="5" t="s">
        <v>211</v>
      </c>
      <c r="D58" s="5" t="s">
        <v>213</v>
      </c>
      <c r="E58" t="str">
        <f>RIGHT(A58,1)</f>
        <v>5</v>
      </c>
      <c r="F58" t="str">
        <f>G58 &amp; IF(H58&lt;&gt;"", "_" &amp; H58, "_") &amp; IF(I58&lt;&gt;"", "_" &amp; I58, "_") &amp; IF(B58&lt;&gt;"", "_" &amp; B58, "")</f>
        <v>HerculanoHouzel_etal_2013</v>
      </c>
      <c r="G58" t="str">
        <f>SUBSTITUTE(SUBSTITUTE(_xlfn.TEXTBEFORE(A58,","), "-", ""), " ", "")</f>
        <v>HerculanoHouzel</v>
      </c>
      <c r="H58" t="str">
        <f>IF(ISNUMBER(FIND("&amp;", A58)),
IF(LEN(A58)-LEN(SUBSTITUTE(A58, ",", ""))&gt;=6, "etal", MID(A58, SEARCH("&amp; ", A58)+2, SEARCH(",", A58, SEARCH("&amp; ", A58)+2) - SEARCH("&amp; ", A58)-2)),
""
)</f>
        <v>etal</v>
      </c>
      <c r="I58" t="str">
        <f>_xlfn.TEXTBEFORE(_xlfn.TEXTAFTER(A58, "("), ")")</f>
        <v>2013</v>
      </c>
      <c r="J58" t="str">
        <f>IF(C58&lt;&gt;"", C58, IF(C58="", _xlfn.TEXTAFTER(A58,"https://doi.org/"), C58))</f>
        <v>10.3389/fnana.2013.00035</v>
      </c>
      <c r="K58" t="str">
        <f>TRIM(_xlfn.TEXTJOIN("_",FALSE,F58,(SUBSTITUTE(SUBSTITUTE(D58," ",""), "_", ""))))</f>
        <v>HerculanoHouzel_etal_2013_Table1-a</v>
      </c>
      <c r="L58" t="str">
        <f>IF(ISBLANK(C58),TRIM(SUBSTITUTE(SUBSTITUTE(SUBSTITUTE(_xlfn.TEXTJOIN("_", FALSE, J58, SUBSTITUTE(D58,"_", "")), "/", "%2F"), ":", "%3A"), " ", "")),TRIM(SUBSTITUTE(SUBSTITUTE(SUBSTITUTE(_xlfn.TEXTJOIN("_", FALSE, C58, SUBSTITUTE(D58,"_", "")), "/", "%2F"), ":", "%3A"), " ", "")))</f>
        <v>10.3389%2Ffnana.2013.00035_Table1-a</v>
      </c>
      <c r="M58" t="str">
        <f t="array" ref="M58">IFERROR(INDEX(FileList!$A$1:$A$100, MATCH(L58, _xlfn.TEXTBEFORE(FileList!$A$1:$A$100, ".tsv"), 0)), "notfound")</f>
        <v>10.3389%2Ffnana.2013.00035_Table1-a.tsv</v>
      </c>
      <c r="Q58" s="5" t="s">
        <v>69</v>
      </c>
    </row>
    <row r="59" spans="1:31" ht="16" customHeight="1" x14ac:dyDescent="0.2">
      <c r="A59" s="5" t="s">
        <v>211</v>
      </c>
      <c r="D59" s="5" t="s">
        <v>214</v>
      </c>
      <c r="E59" t="str">
        <f>RIGHT(A59,1)</f>
        <v>5</v>
      </c>
      <c r="F59" t="str">
        <f>G59 &amp; IF(H59&lt;&gt;"", "_" &amp; H59, "_") &amp; IF(I59&lt;&gt;"", "_" &amp; I59, "_") &amp; IF(B59&lt;&gt;"", "_" &amp; B59, "")</f>
        <v>HerculanoHouzel_etal_2013</v>
      </c>
      <c r="G59" t="str">
        <f>SUBSTITUTE(SUBSTITUTE(_xlfn.TEXTBEFORE(A59,","), "-", ""), " ", "")</f>
        <v>HerculanoHouzel</v>
      </c>
      <c r="H59" t="str">
        <f>IF(ISNUMBER(FIND("&amp;", A59)),
IF(LEN(A59)-LEN(SUBSTITUTE(A59, ",", ""))&gt;=6, "etal", MID(A59, SEARCH("&amp; ", A59)+2, SEARCH(",", A59, SEARCH("&amp; ", A59)+2) - SEARCH("&amp; ", A59)-2)),
""
)</f>
        <v>etal</v>
      </c>
      <c r="I59" t="str">
        <f>_xlfn.TEXTBEFORE(_xlfn.TEXTAFTER(A59, "("), ")")</f>
        <v>2013</v>
      </c>
      <c r="J59" t="str">
        <f>IF(C59&lt;&gt;"", C59, IF(C59="", _xlfn.TEXTAFTER(A59,"https://doi.org/"), C59))</f>
        <v>10.3389/fnana.2013.00035</v>
      </c>
      <c r="K59" t="str">
        <f>TRIM(_xlfn.TEXTJOIN("_",FALSE,F59,(SUBSTITUTE(SUBSTITUTE(D59," ",""), "_", ""))))</f>
        <v>HerculanoHouzel_etal_2013_Table1-b</v>
      </c>
      <c r="L59" t="str">
        <f>IF(ISBLANK(C59),TRIM(SUBSTITUTE(SUBSTITUTE(SUBSTITUTE(_xlfn.TEXTJOIN("_", FALSE, J59, SUBSTITUTE(D59,"_", "")), "/", "%2F"), ":", "%3A"), " ", "")),TRIM(SUBSTITUTE(SUBSTITUTE(SUBSTITUTE(_xlfn.TEXTJOIN("_", FALSE, C59, SUBSTITUTE(D59,"_", "")), "/", "%2F"), ":", "%3A"), " ", "")))</f>
        <v>10.3389%2Ffnana.2013.00035_Table1-b</v>
      </c>
      <c r="M59" t="str">
        <f t="array" ref="M59">IFERROR(INDEX(FileList!$A$1:$A$100, MATCH(L59, _xlfn.TEXTBEFORE(FileList!$A$1:$A$100, ".tsv"), 0)), "notfound")</f>
        <v>10.3389%2Ffnana.2013.00035_Table1-b.tsv</v>
      </c>
      <c r="Q59" s="5" t="s">
        <v>69</v>
      </c>
    </row>
    <row r="60" spans="1:31" ht="16" customHeight="1" x14ac:dyDescent="0.2">
      <c r="A60" s="5" t="s">
        <v>244</v>
      </c>
      <c r="D60" s="5" t="s">
        <v>208</v>
      </c>
      <c r="E60" t="str">
        <f>RIGHT(A60,1)</f>
        <v>4</v>
      </c>
      <c r="F60" t="str">
        <f>G60 &amp; IF(H60&lt;&gt;"", "_" &amp; H60, "_") &amp; IF(I60&lt;&gt;"", "_" &amp; I60, "_") &amp; IF(B60&lt;&gt;"", "_" &amp; B60, "")</f>
        <v>Isler_etal_2008</v>
      </c>
      <c r="G60" t="str">
        <f>SUBSTITUTE(SUBSTITUTE(_xlfn.TEXTBEFORE(A60,","), "-", ""), " ", "")</f>
        <v>Isler</v>
      </c>
      <c r="H60" t="str">
        <f>IF(ISNUMBER(FIND("&amp;", A60)),
IF(LEN(A60)-LEN(SUBSTITUTE(A60, ",", ""))&gt;=6, "etal", MID(A60, SEARCH("&amp; ", A60)+2, SEARCH(",", A60, SEARCH("&amp; ", A60)+2) - SEARCH("&amp; ", A60)-2)),
""
)</f>
        <v>etal</v>
      </c>
      <c r="I60" t="str">
        <f>_xlfn.TEXTBEFORE(_xlfn.TEXTAFTER(A60, "("), ")")</f>
        <v>2008</v>
      </c>
      <c r="J60" t="str">
        <f>IF(C60&lt;&gt;"", C60, IF(C60="", _xlfn.TEXTAFTER(A60,"https://doi.org/"), C60))</f>
        <v>10.1016/j.jhevol.2008.08.004</v>
      </c>
      <c r="K60" t="str">
        <f>TRIM(_xlfn.TEXTJOIN("_",FALSE,F60,(SUBSTITUTE(SUBSTITUTE(D60," ",""), "_", ""))))</f>
        <v>Isler_etal_2008_Table2</v>
      </c>
      <c r="L60" t="str">
        <f>IF(ISBLANK(C60),TRIM(SUBSTITUTE(SUBSTITUTE(SUBSTITUTE(_xlfn.TEXTJOIN("_", FALSE, J60, SUBSTITUTE(D60,"_", "")), "/", "%2F"), ":", "%3A"), " ", "")),TRIM(SUBSTITUTE(SUBSTITUTE(SUBSTITUTE(_xlfn.TEXTJOIN("_", FALSE, C60, SUBSTITUTE(D60,"_", "")), "/", "%2F"), ":", "%3A"), " ", "")))</f>
        <v>10.1016%2Fj.jhevol.2008.08.004_Table2</v>
      </c>
      <c r="M60" t="str">
        <f t="array" ref="M60">IFERROR(INDEX(FileList!$A$1:$A$100, MATCH(L60, _xlfn.TEXTBEFORE(FileList!$A$1:$A$100, ".tsv"), 0)), "notfound")</f>
        <v>10.1016%2Fj.jhevol.2008.08.004_Table2.tsv</v>
      </c>
      <c r="Q60" s="5" t="s">
        <v>69</v>
      </c>
    </row>
    <row r="61" spans="1:31" ht="16" customHeight="1" x14ac:dyDescent="0.2">
      <c r="A61" s="5" t="s">
        <v>244</v>
      </c>
      <c r="D61" s="5" t="s">
        <v>245</v>
      </c>
      <c r="E61" t="str">
        <f>RIGHT(A61,1)</f>
        <v>4</v>
      </c>
      <c r="F61" t="str">
        <f>G61 &amp; IF(H61&lt;&gt;"", "_" &amp; H61, "_") &amp; IF(I61&lt;&gt;"", "_" &amp; I61, "_") &amp; IF(B61&lt;&gt;"", "_" &amp; B61, "")</f>
        <v>Isler_etal_2008</v>
      </c>
      <c r="G61" t="str">
        <f>SUBSTITUTE(SUBSTITUTE(_xlfn.TEXTBEFORE(A61,","), "-", ""), " ", "")</f>
        <v>Isler</v>
      </c>
      <c r="H61" t="str">
        <f>IF(ISNUMBER(FIND("&amp;", A61)),
IF(LEN(A61)-LEN(SUBSTITUTE(A61, ",", ""))&gt;=6, "etal", MID(A61, SEARCH("&amp; ", A61)+2, SEARCH(",", A61, SEARCH("&amp; ", A61)+2) - SEARCH("&amp; ", A61)-2)),
""
)</f>
        <v>etal</v>
      </c>
      <c r="I61" t="str">
        <f>_xlfn.TEXTBEFORE(_xlfn.TEXTAFTER(A61, "("), ")")</f>
        <v>2008</v>
      </c>
      <c r="J61" t="str">
        <f>IF(C61&lt;&gt;"", C61, IF(C61="", _xlfn.TEXTAFTER(A61,"https://doi.org/"), C61))</f>
        <v>10.1016/j.jhevol.2008.08.004</v>
      </c>
      <c r="K61" t="str">
        <f>TRIM(_xlfn.TEXTJOIN("_",FALSE,F61,(SUBSTITUTE(SUBSTITUTE(D61," ",""), "_", ""))))</f>
        <v>Isler_etal_2008_Table7</v>
      </c>
      <c r="L61" t="str">
        <f>IF(ISBLANK(C61),TRIM(SUBSTITUTE(SUBSTITUTE(SUBSTITUTE(_xlfn.TEXTJOIN("_", FALSE, J61, SUBSTITUTE(D61,"_", "")), "/", "%2F"), ":", "%3A"), " ", "")),TRIM(SUBSTITUTE(SUBSTITUTE(SUBSTITUTE(_xlfn.TEXTJOIN("_", FALSE, C61, SUBSTITUTE(D61,"_", "")), "/", "%2F"), ":", "%3A"), " ", "")))</f>
        <v>10.1016%2Fj.jhevol.2008.08.004_Table7</v>
      </c>
      <c r="M61" t="str">
        <f t="array" ref="M61">IFERROR(INDEX(FileList!$A$1:$A$100, MATCH(L61, _xlfn.TEXTBEFORE(FileList!$A$1:$A$100, ".tsv"), 0)), "notfound")</f>
        <v>10.1016%2Fj.jhevol.2008.08.004_Table7.tsv</v>
      </c>
      <c r="Q61" s="5" t="s">
        <v>69</v>
      </c>
    </row>
    <row r="62" spans="1:31" ht="16" customHeight="1" x14ac:dyDescent="0.2">
      <c r="A62" s="5" t="s">
        <v>244</v>
      </c>
      <c r="D62" s="5" t="s">
        <v>145</v>
      </c>
      <c r="E62" t="str">
        <f>RIGHT(A62,1)</f>
        <v>4</v>
      </c>
      <c r="F62" t="str">
        <f>G62 &amp; IF(H62&lt;&gt;"", "_" &amp; H62, "_") &amp; IF(I62&lt;&gt;"", "_" &amp; I62, "_") &amp; IF(B62&lt;&gt;"", "_" &amp; B62, "")</f>
        <v>Isler_etal_2008</v>
      </c>
      <c r="G62" t="str">
        <f>SUBSTITUTE(SUBSTITUTE(_xlfn.TEXTBEFORE(A62,","), "-", ""), " ", "")</f>
        <v>Isler</v>
      </c>
      <c r="H62" t="str">
        <f>IF(ISNUMBER(FIND("&amp;", A62)),
    IF(LEN(A62)-LEN(SUBSTITUTE(A62, ",", ""))&gt;=6, "etal", MID(A62, SEARCH("&amp; ", A62)+2, SEARCH(",", A62, SEARCH("&amp; ", A62)+2) - SEARCH("&amp; ", A62)-2)),
    ""
)</f>
        <v>etal</v>
      </c>
      <c r="I62" t="str">
        <f>_xlfn.TEXTBEFORE(_xlfn.TEXTAFTER(A62, "("), ")")</f>
        <v>2008</v>
      </c>
      <c r="J62" t="str">
        <f>IF(C62&lt;&gt;"", C62, IF(C62="", _xlfn.TEXTAFTER(A62,"https://doi.org/"), C62))</f>
        <v>10.1016/j.jhevol.2008.08.004</v>
      </c>
      <c r="K62" t="str">
        <f>TRIM(_xlfn.TEXTJOIN("_",FALSE,F62,(SUBSTITUTE(SUBSTITUTE(D62," ",""), "_", ""))))</f>
        <v>Isler_etal_2008_TableS1</v>
      </c>
      <c r="L62" t="str">
        <f>IF(ISBLANK(C62),TRIM(SUBSTITUTE(SUBSTITUTE(SUBSTITUTE(_xlfn.TEXTJOIN("_", FALSE, J62, SUBSTITUTE(D62,"_", "")), "/", "%2F"), ":", "%3A"), " ", "")),TRIM(SUBSTITUTE(SUBSTITUTE(SUBSTITUTE(_xlfn.TEXTJOIN("_", FALSE, C62, SUBSTITUTE(D62,"_", "")), "/", "%2F"), ":", "%3A"), " ", "")))</f>
        <v>10.1016%2Fj.jhevol.2008.08.004_TableS1</v>
      </c>
      <c r="M62" t="str">
        <f t="array" ref="M62">IFERROR(INDEX(FileList!$A$1:$A$100, MATCH(L62, _xlfn.TEXTBEFORE(FileList!$A$1:$A$100, ".tsv"), 0)), "notfound")</f>
        <v>10.1016%2Fj.jhevol.2008.08.004_TableS1.tsv</v>
      </c>
      <c r="Q62" s="5" t="s">
        <v>69</v>
      </c>
    </row>
    <row r="63" spans="1:31" ht="16" customHeight="1" x14ac:dyDescent="0.2">
      <c r="A63" s="5" t="s">
        <v>244</v>
      </c>
      <c r="D63" s="5" t="s">
        <v>183</v>
      </c>
      <c r="E63" t="str">
        <f>RIGHT(A63,1)</f>
        <v>4</v>
      </c>
      <c r="F63" t="str">
        <f>G63 &amp; IF(H63&lt;&gt;"", "_" &amp; H63, "_") &amp; IF(I63&lt;&gt;"", "_" &amp; I63, "_") &amp; IF(B63&lt;&gt;"", "_" &amp; B63, "")</f>
        <v>Isler_etal_2008</v>
      </c>
      <c r="G63" t="str">
        <f>SUBSTITUTE(SUBSTITUTE(_xlfn.TEXTBEFORE(A63,","), "-", ""), " ", "")</f>
        <v>Isler</v>
      </c>
      <c r="H63" t="str">
        <f>IF(ISNUMBER(FIND("&amp;", A63)),
IF(LEN(A63)-LEN(SUBSTITUTE(A63, ",", ""))&gt;=6, "etal", MID(A63, SEARCH("&amp; ", A63)+2, SEARCH(",", A63, SEARCH("&amp; ", A63)+2) - SEARCH("&amp; ", A63)-2)),
""
)</f>
        <v>etal</v>
      </c>
      <c r="I63" t="str">
        <f>_xlfn.TEXTBEFORE(_xlfn.TEXTAFTER(A63, "("), ")")</f>
        <v>2008</v>
      </c>
      <c r="J63" t="str">
        <f>IF(C63&lt;&gt;"", C63, IF(C63="", _xlfn.TEXTAFTER(A63,"https://doi.org/"), C63))</f>
        <v>10.1016/j.jhevol.2008.08.004</v>
      </c>
      <c r="K63" t="str">
        <f>TRIM(_xlfn.TEXTJOIN("_",FALSE,F63,(SUBSTITUTE(SUBSTITUTE(D63," ",""), "_", ""))))</f>
        <v>Isler_etal_2008_TableS2</v>
      </c>
      <c r="L63" t="str">
        <f>IF(ISBLANK(C63),TRIM(SUBSTITUTE(SUBSTITUTE(SUBSTITUTE(_xlfn.TEXTJOIN("_", FALSE, J63, SUBSTITUTE(D63,"_", "")), "/", "%2F"), ":", "%3A"), " ", "")),TRIM(SUBSTITUTE(SUBSTITUTE(SUBSTITUTE(_xlfn.TEXTJOIN("_", FALSE, C63, SUBSTITUTE(D63,"_", "")), "/", "%2F"), ":", "%3A"), " ", "")))</f>
        <v>10.1016%2Fj.jhevol.2008.08.004_TableS2</v>
      </c>
      <c r="M63" t="str">
        <f t="array" ref="M63">IFERROR(INDEX(FileList!$A$1:$A$100, MATCH(L63, _xlfn.TEXTBEFORE(FileList!$A$1:$A$100, ".tsv"), 0)), "notfound")</f>
        <v>10.1016%2Fj.jhevol.2008.08.004_TableS2.tsv</v>
      </c>
      <c r="Q63" s="5" t="s">
        <v>69</v>
      </c>
    </row>
    <row r="64" spans="1:31" ht="16" customHeight="1" x14ac:dyDescent="0.2">
      <c r="A64" s="5" t="s">
        <v>244</v>
      </c>
      <c r="D64" s="5" t="s">
        <v>246</v>
      </c>
      <c r="E64" t="str">
        <f>RIGHT(A64,1)</f>
        <v>4</v>
      </c>
      <c r="F64" t="str">
        <f>G64 &amp; IF(H64&lt;&gt;"", "_" &amp; H64, "_") &amp; IF(I64&lt;&gt;"", "_" &amp; I64, "_") &amp; IF(B64&lt;&gt;"", "_" &amp; B64, "")</f>
        <v>Isler_etal_2008</v>
      </c>
      <c r="G64" t="str">
        <f>SUBSTITUTE(SUBSTITUTE(_xlfn.TEXTBEFORE(A64,","), "-", ""), " ", "")</f>
        <v>Isler</v>
      </c>
      <c r="H64" t="str">
        <f>IF(ISNUMBER(FIND("&amp;", A64)),
IF(LEN(A64)-LEN(SUBSTITUTE(A64, ",", ""))&gt;=6, "etal", MID(A64, SEARCH("&amp; ", A64)+2, SEARCH(",", A64, SEARCH("&amp; ", A64)+2) - SEARCH("&amp; ", A64)-2)),
""
)</f>
        <v>etal</v>
      </c>
      <c r="I64" t="str">
        <f>_xlfn.TEXTBEFORE(_xlfn.TEXTAFTER(A64, "("), ")")</f>
        <v>2008</v>
      </c>
      <c r="J64" t="str">
        <f>IF(C64&lt;&gt;"", C64, IF(C64="", _xlfn.TEXTAFTER(A64,"https://doi.org/"), C64))</f>
        <v>10.1016/j.jhevol.2008.08.004</v>
      </c>
      <c r="K64" t="str">
        <f>TRIM(_xlfn.TEXTJOIN("_",FALSE,F64,(SUBSTITUTE(SUBSTITUTE(D64," ",""), "_", ""))))</f>
        <v>Isler_etal_2008_TableS3</v>
      </c>
      <c r="L64" t="str">
        <f>IF(ISBLANK(C64),TRIM(SUBSTITUTE(SUBSTITUTE(SUBSTITUTE(_xlfn.TEXTJOIN("_", FALSE, J64, SUBSTITUTE(D64,"_", "")), "/", "%2F"), ":", "%3A"), " ", "")),TRIM(SUBSTITUTE(SUBSTITUTE(SUBSTITUTE(_xlfn.TEXTJOIN("_", FALSE, C64, SUBSTITUTE(D64,"_", "")), "/", "%2F"), ":", "%3A"), " ", "")))</f>
        <v>10.1016%2Fj.jhevol.2008.08.004_TableS3</v>
      </c>
      <c r="M64" t="str">
        <f t="array" ref="M64">IFERROR(INDEX(FileList!$A$1:$A$100, MATCH(L64, _xlfn.TEXTBEFORE(FileList!$A$1:$A$100, ".tsv"), 0)), "notfound")</f>
        <v>10.1016%2Fj.jhevol.2008.08.004_TableS3.tsv</v>
      </c>
      <c r="Q64" s="5" t="s">
        <v>69</v>
      </c>
    </row>
    <row r="65" spans="1:31" ht="16" customHeight="1" x14ac:dyDescent="0.2">
      <c r="A65" s="5" t="s">
        <v>244</v>
      </c>
      <c r="D65" s="5" t="s">
        <v>247</v>
      </c>
      <c r="E65" t="str">
        <f>RIGHT(A65,1)</f>
        <v>4</v>
      </c>
      <c r="F65" t="str">
        <f>G65 &amp; IF(H65&lt;&gt;"", "_" &amp; H65, "_") &amp; IF(I65&lt;&gt;"", "_" &amp; I65, "_") &amp; IF(B65&lt;&gt;"", "_" &amp; B65, "")</f>
        <v>Isler_etal_2008</v>
      </c>
      <c r="G65" t="str">
        <f>SUBSTITUTE(SUBSTITUTE(_xlfn.TEXTBEFORE(A65,","), "-", ""), " ", "")</f>
        <v>Isler</v>
      </c>
      <c r="H65" t="str">
        <f>IF(ISNUMBER(FIND("&amp;", A65)),
IF(LEN(A65)-LEN(SUBSTITUTE(A65, ",", ""))&gt;=6, "etal", MID(A65, SEARCH("&amp; ", A65)+2, SEARCH(",", A65, SEARCH("&amp; ", A65)+2) - SEARCH("&amp; ", A65)-2)),
""
)</f>
        <v>etal</v>
      </c>
      <c r="I65" t="str">
        <f>_xlfn.TEXTBEFORE(_xlfn.TEXTAFTER(A65, "("), ")")</f>
        <v>2008</v>
      </c>
      <c r="J65" t="str">
        <f>IF(C65&lt;&gt;"", C65, IF(C65="", _xlfn.TEXTAFTER(A65,"https://doi.org/"), C65))</f>
        <v>10.1016/j.jhevol.2008.08.004</v>
      </c>
      <c r="K65" t="str">
        <f>TRIM(_xlfn.TEXTJOIN("_",FALSE,F65,(SUBSTITUTE(SUBSTITUTE(D65," ",""), "_", ""))))</f>
        <v>Isler_etal_2008_Tree.nex</v>
      </c>
      <c r="L65" t="str">
        <f>IF(ISBLANK(C65),TRIM(SUBSTITUTE(SUBSTITUTE(SUBSTITUTE(_xlfn.TEXTJOIN("_", FALSE, J65, SUBSTITUTE(D65,"_", "")), "/", "%2F"), ":", "%3A"), " ", "")),TRIM(SUBSTITUTE(SUBSTITUTE(SUBSTITUTE(_xlfn.TEXTJOIN("_", FALSE, C65, SUBSTITUTE(D65,"_", "")), "/", "%2F"), ":", "%3A"), " ", "")))</f>
        <v>10.1016%2Fj.jhevol.2008.08.004_Tree.nex</v>
      </c>
      <c r="M65" t="str">
        <f t="array" ref="M65">IFERROR(INDEX(FileList!$A$1:$A$100, MATCH(L65, _xlfn.TEXTBEFORE(FileList!$A$1:$A$100, ".tsv"), 0)), "notfound")</f>
        <v>notfound</v>
      </c>
      <c r="Q65" s="5" t="s">
        <v>69</v>
      </c>
    </row>
    <row r="66" spans="1:31" ht="16" customHeight="1" x14ac:dyDescent="0.2">
      <c r="A66" s="5" t="s">
        <v>252</v>
      </c>
      <c r="D66" s="5" t="s">
        <v>86</v>
      </c>
      <c r="E66" t="str">
        <f>RIGHT(A66,1)</f>
        <v>9</v>
      </c>
      <c r="F66" t="str">
        <f>G66 &amp; IF(H66&lt;&gt;"", "_" &amp; H66, "_") &amp; IF(I66&lt;&gt;"", "_" &amp; I66, "_") &amp; IF(B66&lt;&gt;"", "_" &amp; B66, "")</f>
        <v>Iwaniuk_etal_2001</v>
      </c>
      <c r="G66" t="str">
        <f>SUBSTITUTE(SUBSTITUTE(_xlfn.TEXTBEFORE(A66,","), "-", ""), " ", "")</f>
        <v>Iwaniuk</v>
      </c>
      <c r="H66" t="str">
        <f>IF(ISNUMBER(FIND("&amp;", A66)),
IF(LEN(A66)-LEN(SUBSTITUTE(A66, ",", ""))&gt;=6, "etal", MID(A66, SEARCH("&amp; ", A66)+2, SEARCH(",", A66, SEARCH("&amp; ", A66)+2) - SEARCH("&amp; ", A66)-2)),
""
)</f>
        <v>etal</v>
      </c>
      <c r="I66" t="str">
        <f>_xlfn.TEXTBEFORE(_xlfn.TEXTAFTER(A66, "("), ")")</f>
        <v>2001</v>
      </c>
      <c r="J66" t="str">
        <f>IF(C66&lt;&gt;"", C66, IF(C66="", _xlfn.TEXTAFTER(A66,"https://doi.org/"), C66))</f>
        <v>10.1037/0735-7036.115.1.29</v>
      </c>
      <c r="K66" t="str">
        <f>TRIM(_xlfn.TEXTJOIN("_",FALSE,F66,(SUBSTITUTE(SUBSTITUTE(D66," ",""), "_", ""))))</f>
        <v>Iwaniuk_etal_2001_Table1</v>
      </c>
      <c r="L66" t="str">
        <f>IF(ISBLANK(C66),TRIM(SUBSTITUTE(SUBSTITUTE(SUBSTITUTE(_xlfn.TEXTJOIN("_", FALSE, J66, SUBSTITUTE(D66,"_", "")), "/", "%2F"), ":", "%3A"), " ", "")),TRIM(SUBSTITUTE(SUBSTITUTE(SUBSTITUTE(_xlfn.TEXTJOIN("_", FALSE, C66, SUBSTITUTE(D66,"_", "")), "/", "%2F"), ":", "%3A"), " ", "")))</f>
        <v>10.1037%2F0735-7036.115.1.29_Table1</v>
      </c>
      <c r="M66" t="str">
        <f t="array" ref="M66">IFERROR(INDEX(FileList!$A$1:$A$100, MATCH(L66, _xlfn.TEXTBEFORE(FileList!$A$1:$A$100, ".tsv"), 0)), "notfound")</f>
        <v>10.1037%2F0735-7036.115.1.29_Table1.tsv</v>
      </c>
      <c r="N66" s="5" t="s">
        <v>253</v>
      </c>
      <c r="P66" s="5" t="s">
        <v>254</v>
      </c>
      <c r="Q66" s="5" t="s">
        <v>112</v>
      </c>
      <c r="R66" s="7"/>
      <c r="T66" s="5" t="str">
        <f>IF(S66="N", R66, "write file name")</f>
        <v>write file name</v>
      </c>
      <c r="U66" s="5" t="s">
        <v>45</v>
      </c>
      <c r="V66" s="5" t="s">
        <v>36</v>
      </c>
      <c r="Y66" s="5" t="s">
        <v>255</v>
      </c>
      <c r="AE66" s="5" t="s">
        <v>256</v>
      </c>
    </row>
    <row r="67" spans="1:31" ht="16" customHeight="1" x14ac:dyDescent="0.2">
      <c r="A67" s="5" t="s">
        <v>252</v>
      </c>
      <c r="D67" s="5" t="s">
        <v>208</v>
      </c>
      <c r="E67" t="str">
        <f>RIGHT(A67,1)</f>
        <v>9</v>
      </c>
      <c r="F67" t="str">
        <f>G67 &amp; IF(H67&lt;&gt;"", "_" &amp; H67, "_") &amp; IF(I67&lt;&gt;"", "_" &amp; I67, "_") &amp; IF(B67&lt;&gt;"", "_" &amp; B67, "")</f>
        <v>Iwaniuk_etal_2001</v>
      </c>
      <c r="G67" t="str">
        <f>SUBSTITUTE(SUBSTITUTE(_xlfn.TEXTBEFORE(A67,","), "-", ""), " ", "")</f>
        <v>Iwaniuk</v>
      </c>
      <c r="H67" t="str">
        <f>IF(ISNUMBER(FIND("&amp;", A67)),
IF(LEN(A67)-LEN(SUBSTITUTE(A67, ",", ""))&gt;=6, "etal", MID(A67, SEARCH("&amp; ", A67)+2, SEARCH(",", A67, SEARCH("&amp; ", A67)+2) - SEARCH("&amp; ", A67)-2)),
""
)</f>
        <v>etal</v>
      </c>
      <c r="I67" t="str">
        <f>_xlfn.TEXTBEFORE(_xlfn.TEXTAFTER(A67, "("), ")")</f>
        <v>2001</v>
      </c>
      <c r="J67" t="str">
        <f>IF(C67&lt;&gt;"", C67, IF(C67="", _xlfn.TEXTAFTER(A67,"https://doi.org/"), C67))</f>
        <v>10.1037/0735-7036.115.1.29</v>
      </c>
      <c r="K67" t="str">
        <f>TRIM(_xlfn.TEXTJOIN("_",FALSE,F67,(SUBSTITUTE(SUBSTITUTE(D67," ",""), "_", ""))))</f>
        <v>Iwaniuk_etal_2001_Table2</v>
      </c>
      <c r="L67" t="str">
        <f>IF(ISBLANK(C67),TRIM(SUBSTITUTE(SUBSTITUTE(SUBSTITUTE(_xlfn.TEXTJOIN("_", FALSE, J67, SUBSTITUTE(D67,"_", "")), "/", "%2F"), ":", "%3A"), " ", "")),TRIM(SUBSTITUTE(SUBSTITUTE(SUBSTITUTE(_xlfn.TEXTJOIN("_", FALSE, C67, SUBSTITUTE(D67,"_", "")), "/", "%2F"), ":", "%3A"), " ", "")))</f>
        <v>10.1037%2F0735-7036.115.1.29_Table2</v>
      </c>
      <c r="M67" t="str">
        <f t="array" ref="M67">IFERROR(INDEX(FileList!$A$1:$A$100, MATCH(L67, _xlfn.TEXTBEFORE(FileList!$A$1:$A$100, ".tsv"), 0)), "notfound")</f>
        <v>10.1037%2F0735-7036.115.1.29_Table2.tsv</v>
      </c>
      <c r="N67" s="5" t="s">
        <v>257</v>
      </c>
      <c r="P67" s="5" t="s">
        <v>254</v>
      </c>
      <c r="Q67" s="5" t="s">
        <v>112</v>
      </c>
      <c r="R67" s="7"/>
      <c r="T67" s="5" t="str">
        <f>IF(S67="N", R67, "write file name")</f>
        <v>write file name</v>
      </c>
      <c r="U67" s="5" t="s">
        <v>45</v>
      </c>
      <c r="V67" s="5" t="s">
        <v>36</v>
      </c>
      <c r="Y67" s="5" t="s">
        <v>255</v>
      </c>
      <c r="AE67" s="5" t="s">
        <v>256</v>
      </c>
    </row>
    <row r="68" spans="1:31" ht="16" customHeight="1" x14ac:dyDescent="0.2">
      <c r="A68" s="5" t="s">
        <v>252</v>
      </c>
      <c r="D68" s="5" t="s">
        <v>222</v>
      </c>
      <c r="E68" t="str">
        <f>RIGHT(A68,1)</f>
        <v>9</v>
      </c>
      <c r="F68" t="str">
        <f>G68 &amp; IF(H68&lt;&gt;"", "_" &amp; H68, "_") &amp; IF(I68&lt;&gt;"", "_" &amp; I68, "_") &amp; IF(B68&lt;&gt;"", "_" &amp; B68, "")</f>
        <v>Iwaniuk_etal_2001</v>
      </c>
      <c r="G68" t="str">
        <f>SUBSTITUTE(SUBSTITUTE(_xlfn.TEXTBEFORE(A68,","), "-", ""), " ", "")</f>
        <v>Iwaniuk</v>
      </c>
      <c r="H68" t="str">
        <f>IF(ISNUMBER(FIND("&amp;", A68)),
IF(LEN(A68)-LEN(SUBSTITUTE(A68, ",", ""))&gt;=6, "etal", MID(A68, SEARCH("&amp; ", A68)+2, SEARCH(",", A68, SEARCH("&amp; ", A68)+2) - SEARCH("&amp; ", A68)-2)),
""
)</f>
        <v>etal</v>
      </c>
      <c r="I68" t="str">
        <f>_xlfn.TEXTBEFORE(_xlfn.TEXTAFTER(A68, "("), ")")</f>
        <v>2001</v>
      </c>
      <c r="J68" t="str">
        <f>IF(C68&lt;&gt;"", C68, IF(C68="", _xlfn.TEXTAFTER(A68,"https://doi.org/"), C68))</f>
        <v>10.1037/0735-7036.115.1.29</v>
      </c>
      <c r="K68" t="str">
        <f>TRIM(_xlfn.TEXTJOIN("_",FALSE,F68,(SUBSTITUTE(SUBSTITUTE(D68," ",""), "_", ""))))</f>
        <v>Iwaniuk_etal_2001_Table3</v>
      </c>
      <c r="L68" t="str">
        <f>IF(ISBLANK(C68),TRIM(SUBSTITUTE(SUBSTITUTE(SUBSTITUTE(_xlfn.TEXTJOIN("_", FALSE, J68, SUBSTITUTE(D68,"_", "")), "/", "%2F"), ":", "%3A"), " ", "")),TRIM(SUBSTITUTE(SUBSTITUTE(SUBSTITUTE(_xlfn.TEXTJOIN("_", FALSE, C68, SUBSTITUTE(D68,"_", "")), "/", "%2F"), ":", "%3A"), " ", "")))</f>
        <v>10.1037%2F0735-7036.115.1.29_Table3</v>
      </c>
      <c r="M68" t="str">
        <f t="array" ref="M68">IFERROR(INDEX(FileList!$A$1:$A$100, MATCH(L68, _xlfn.TEXTBEFORE(FileList!$A$1:$A$100, ".tsv"), 0)), "notfound")</f>
        <v>10.1037%2F0735-7036.115.1.29_Table3.tsv</v>
      </c>
      <c r="N68" s="5" t="s">
        <v>258</v>
      </c>
      <c r="P68" s="5" t="s">
        <v>254</v>
      </c>
      <c r="Q68" s="5" t="s">
        <v>112</v>
      </c>
      <c r="R68" s="7"/>
      <c r="T68" s="5" t="str">
        <f>IF(S68="N", R68, "write file name")</f>
        <v>write file name</v>
      </c>
      <c r="U68" s="5" t="s">
        <v>45</v>
      </c>
      <c r="V68" s="5" t="s">
        <v>36</v>
      </c>
      <c r="Y68" s="5" t="s">
        <v>255</v>
      </c>
      <c r="AE68" s="5" t="s">
        <v>256</v>
      </c>
    </row>
    <row r="69" spans="1:31" ht="16" customHeight="1" x14ac:dyDescent="0.2">
      <c r="A69" s="5" t="s">
        <v>252</v>
      </c>
      <c r="D69" s="5" t="s">
        <v>35</v>
      </c>
      <c r="E69" t="str">
        <f>RIGHT(A69,1)</f>
        <v>9</v>
      </c>
      <c r="F69" t="str">
        <f>G69 &amp; IF(H69&lt;&gt;"", "_" &amp; H69, "_") &amp; IF(I69&lt;&gt;"", "_" &amp; I69, "_") &amp; IF(B69&lt;&gt;"", "_" &amp; B69, "")</f>
        <v>Iwaniuk_etal_2001</v>
      </c>
      <c r="G69" t="str">
        <f>SUBSTITUTE(SUBSTITUTE(_xlfn.TEXTBEFORE(A69,","), "-", ""), " ", "")</f>
        <v>Iwaniuk</v>
      </c>
      <c r="H69" t="str">
        <f>IF(ISNUMBER(FIND("&amp;", A69)),
IF(LEN(A69)-LEN(SUBSTITUTE(A69, ",", ""))&gt;=6, "etal", MID(A69, SEARCH("&amp; ", A69)+2, SEARCH(",", A69, SEARCH("&amp; ", A69)+2) - SEARCH("&amp; ", A69)-2)),
""
)</f>
        <v>etal</v>
      </c>
      <c r="I69" t="str">
        <f>_xlfn.TEXTBEFORE(_xlfn.TEXTAFTER(A69, "("), ")")</f>
        <v>2001</v>
      </c>
      <c r="J69" t="str">
        <f>IF(C69&lt;&gt;"", C69, IF(C69="", _xlfn.TEXTAFTER(A69,"https://doi.org/"), C69))</f>
        <v>10.1037/0735-7036.115.1.29</v>
      </c>
      <c r="K69" t="str">
        <f>TRIM(_xlfn.TEXTJOIN("_",FALSE,F69,(SUBSTITUTE(SUBSTITUTE(D69," ",""), "_", ""))))</f>
        <v>Iwaniuk_etal_2001_Table4</v>
      </c>
      <c r="L69" t="str">
        <f>IF(ISBLANK(C69),TRIM(SUBSTITUTE(SUBSTITUTE(SUBSTITUTE(_xlfn.TEXTJOIN("_", FALSE, J69, SUBSTITUTE(D69,"_", "")), "/", "%2F"), ":", "%3A"), " ", "")),TRIM(SUBSTITUTE(SUBSTITUTE(SUBSTITUTE(_xlfn.TEXTJOIN("_", FALSE, C69, SUBSTITUTE(D69,"_", "")), "/", "%2F"), ":", "%3A"), " ", "")))</f>
        <v>10.1037%2F0735-7036.115.1.29_Table4</v>
      </c>
      <c r="M69" t="str">
        <f t="array" ref="M69">IFERROR(INDEX(FileList!$A$1:$A$100, MATCH(L69, _xlfn.TEXTBEFORE(FileList!$A$1:$A$100, ".tsv"), 0)), "notfound")</f>
        <v>10.1037%2F0735-7036.115.1.29_Table4.tsv</v>
      </c>
      <c r="N69" s="5" t="s">
        <v>259</v>
      </c>
      <c r="P69" s="5" t="s">
        <v>254</v>
      </c>
      <c r="Q69" s="5" t="s">
        <v>112</v>
      </c>
      <c r="R69" s="7"/>
      <c r="T69" s="5" t="str">
        <f>IF(S69="N", R69, "write file name")</f>
        <v>write file name</v>
      </c>
      <c r="U69" s="5" t="s">
        <v>45</v>
      </c>
      <c r="V69" s="5" t="s">
        <v>36</v>
      </c>
      <c r="Y69" s="5" t="s">
        <v>255</v>
      </c>
      <c r="AE69" s="5" t="s">
        <v>256</v>
      </c>
    </row>
    <row r="70" spans="1:31" ht="15.75" customHeight="1" x14ac:dyDescent="0.2">
      <c r="A70" s="5" t="s">
        <v>248</v>
      </c>
      <c r="D70" s="5" t="s">
        <v>249</v>
      </c>
      <c r="E70" t="str">
        <f>RIGHT(A70,1)</f>
        <v>x</v>
      </c>
      <c r="F70" t="str">
        <f>G70 &amp; IF(H70&lt;&gt;"", "_" &amp; H70, "_") &amp; IF(I70&lt;&gt;"", "_" &amp; I70, "_") &amp; IF(B70&lt;&gt;"", "_" &amp; B70, "")</f>
        <v>Iwaniuk_etal_1999</v>
      </c>
      <c r="G70" t="str">
        <f>SUBSTITUTE(SUBSTITUTE(_xlfn.TEXTBEFORE(A70,","), "-", ""), " ", "")</f>
        <v>Iwaniuk</v>
      </c>
      <c r="H70" t="str">
        <f>IF(ISNUMBER(FIND("&amp;", A70)),
IF(LEN(A70)-LEN(SUBSTITUTE(A70, ",", ""))&gt;=6, "etal", MID(A70, SEARCH("&amp; ", A70)+2, SEARCH(",", A70, SEARCH("&amp; ", A70)+2) - SEARCH("&amp; ", A70)-2)),
""
)</f>
        <v>etal</v>
      </c>
      <c r="I70" t="str">
        <f>_xlfn.TEXTBEFORE(_xlfn.TEXTAFTER(A70, "("), ")")</f>
        <v>1999</v>
      </c>
      <c r="J70" t="str">
        <f>IF(C70&lt;&gt;"", C70, IF(C70="", _xlfn.TEXTAFTER(A70,"https://doi.org/"), C70))</f>
        <v>10.1016/s0166-4328(98)00151-x</v>
      </c>
      <c r="K70" t="str">
        <f>TRIM(_xlfn.TEXTJOIN("_",FALSE,F70,(SUBSTITUTE(SUBSTITUTE(D70," ",""), "_", ""))))</f>
        <v>Iwaniuk_etal_1999_References</v>
      </c>
      <c r="L70" t="str">
        <f>IF(ISBLANK(C70),TRIM(SUBSTITUTE(SUBSTITUTE(SUBSTITUTE(_xlfn.TEXTJOIN("_", FALSE, J70, SUBSTITUTE(D70,"_", "")), "/", "%2F"), ":", "%3A"), " ", "")),TRIM(SUBSTITUTE(SUBSTITUTE(SUBSTITUTE(_xlfn.TEXTJOIN("_", FALSE, C70, SUBSTITUTE(D70,"_", "")), "/", "%2F"), ":", "%3A"), " ", "")))</f>
        <v>10.1016%2Fs0166-4328(98)00151-x_References</v>
      </c>
      <c r="M70" t="str">
        <f t="array" ref="M70">IFERROR(INDEX(FileList!$A$1:$A$100, MATCH(L70, _xlfn.TEXTBEFORE(FileList!$A$1:$A$100, ".tsv"), 0)), "notfound")</f>
        <v>notfound</v>
      </c>
      <c r="N70" s="5" t="s">
        <v>249</v>
      </c>
      <c r="P70" s="5" t="s">
        <v>178</v>
      </c>
      <c r="V70" s="5" t="s">
        <v>250</v>
      </c>
      <c r="W70" s="5" t="s">
        <v>116</v>
      </c>
    </row>
    <row r="71" spans="1:31" ht="15.75" customHeight="1" x14ac:dyDescent="0.2">
      <c r="A71" s="5" t="s">
        <v>248</v>
      </c>
      <c r="D71" s="5" t="s">
        <v>86</v>
      </c>
      <c r="E71" t="str">
        <f>RIGHT(A71,1)</f>
        <v>x</v>
      </c>
      <c r="F71" t="str">
        <f>G71 &amp; IF(H71&lt;&gt;"", "_" &amp; H71, "_") &amp; IF(I71&lt;&gt;"", "_" &amp; I71, "_") &amp; IF(B71&lt;&gt;"", "_" &amp; B71, "")</f>
        <v>Iwaniuk_etal_1999</v>
      </c>
      <c r="G71" t="str">
        <f>SUBSTITUTE(SUBSTITUTE(_xlfn.TEXTBEFORE(A71,","), "-", ""), " ", "")</f>
        <v>Iwaniuk</v>
      </c>
      <c r="H71" t="str">
        <f>IF(ISNUMBER(FIND("&amp;", A71)),
IF(LEN(A71)-LEN(SUBSTITUTE(A71, ",", ""))&gt;=6, "etal", MID(A71, SEARCH("&amp; ", A71)+2, SEARCH(",", A71, SEARCH("&amp; ", A71)+2) - SEARCH("&amp; ", A71)-2)),
""
)</f>
        <v>etal</v>
      </c>
      <c r="I71" t="str">
        <f>_xlfn.TEXTBEFORE(_xlfn.TEXTAFTER(A71, "("), ")")</f>
        <v>1999</v>
      </c>
      <c r="J71" t="str">
        <f>IF(C71&lt;&gt;"", C71, IF(C71="", _xlfn.TEXTAFTER(A71,"https://doi.org/"), C71))</f>
        <v>10.1016/s0166-4328(98)00151-x</v>
      </c>
      <c r="K71" t="str">
        <f>TRIM(_xlfn.TEXTJOIN("_",FALSE,F71,(SUBSTITUTE(SUBSTITUTE(D71," ",""), "_", ""))))</f>
        <v>Iwaniuk_etal_1999_Table1</v>
      </c>
      <c r="L71" t="str">
        <f>IF(ISBLANK(C71),TRIM(SUBSTITUTE(SUBSTITUTE(SUBSTITUTE(_xlfn.TEXTJOIN("_", FALSE, J71, SUBSTITUTE(D71,"_", "")), "/", "%2F"), ":", "%3A"), " ", "")),TRIM(SUBSTITUTE(SUBSTITUTE(SUBSTITUTE(_xlfn.TEXTJOIN("_", FALSE, C71, SUBSTITUTE(D71,"_", "")), "/", "%2F"), ":", "%3A"), " ", "")))</f>
        <v>10.1016%2Fs0166-4328(98)00151-x_Table1</v>
      </c>
      <c r="M71" t="str">
        <f t="array" ref="M71">IFERROR(INDEX(FileList!$A$1:$A$100, MATCH(L71, _xlfn.TEXTBEFORE(FileList!$A$1:$A$100, ".tsv"), 0)), "notfound")</f>
        <v>10.1016%2Fs0166-4328(98)00151-x_Table1.tsv</v>
      </c>
      <c r="N71" s="5" t="s">
        <v>251</v>
      </c>
      <c r="P71" s="5" t="s">
        <v>178</v>
      </c>
      <c r="V71" s="5" t="s">
        <v>36</v>
      </c>
      <c r="W71" s="5" t="s">
        <v>116</v>
      </c>
    </row>
    <row r="72" spans="1:31" ht="15.75" customHeight="1" x14ac:dyDescent="0.2">
      <c r="A72" s="5" t="s">
        <v>260</v>
      </c>
      <c r="D72" s="5" t="s">
        <v>86</v>
      </c>
      <c r="E72" t="str">
        <f>RIGHT(A72,1)</f>
        <v>8</v>
      </c>
      <c r="F72" t="str">
        <f>G72 &amp; IF(H72&lt;&gt;"", "_" &amp; H72, "_") &amp; IF(I72&lt;&gt;"", "_" &amp; I72, "_") &amp; IF(B72&lt;&gt;"", "_" &amp; B72, "")</f>
        <v>JardimMesseder_etal_2017</v>
      </c>
      <c r="G72" t="str">
        <f>SUBSTITUTE(SUBSTITUTE(_xlfn.TEXTBEFORE(A72,","), "-", ""), " ", "")</f>
        <v>JardimMesseder</v>
      </c>
      <c r="H72" t="str">
        <f>IF(ISNUMBER(FIND("&amp;", A72)),
IF(LEN(A72)-LEN(SUBSTITUTE(A72, ",", ""))&gt;=6, "etal", MID(A72, SEARCH("&amp; ", A72)+2, SEARCH(",", A72, SEARCH("&amp; ", A72)+2) - SEARCH("&amp; ", A72)-2)),
""
)</f>
        <v>etal</v>
      </c>
      <c r="I72" t="str">
        <f>_xlfn.TEXTBEFORE(_xlfn.TEXTAFTER(A72, "("), ")")</f>
        <v>2017</v>
      </c>
      <c r="J72" t="str">
        <f>IF(C72&lt;&gt;"", C72, IF(C72="", _xlfn.TEXTAFTER(A72,"https://doi.org/"), C72))</f>
        <v>10.3389/fnana.2017.00118</v>
      </c>
      <c r="K72" t="str">
        <f>TRIM(_xlfn.TEXTJOIN("_",FALSE,F72,(SUBSTITUTE(SUBSTITUTE(D72," ",""), "_", ""))))</f>
        <v>JardimMesseder_etal_2017_Table1</v>
      </c>
      <c r="L72" t="str">
        <f>IF(ISBLANK(C72),TRIM(SUBSTITUTE(SUBSTITUTE(SUBSTITUTE(_xlfn.TEXTJOIN("_", FALSE, J72, SUBSTITUTE(D72,"_", "")), "/", "%2F"), ":", "%3A"), " ", "")),TRIM(SUBSTITUTE(SUBSTITUTE(SUBSTITUTE(_xlfn.TEXTJOIN("_", FALSE, C72, SUBSTITUTE(D72,"_", "")), "/", "%2F"), ":", "%3A"), " ", "")))</f>
        <v>10.3389%2Ffnana.2017.00118_Table1</v>
      </c>
      <c r="M72" t="str">
        <f t="array" ref="M72">IFERROR(INDEX(FileList!$A$1:$A$100, MATCH(L72, _xlfn.TEXTBEFORE(FileList!$A$1:$A$100, ".tsv"), 0)), "notfound")</f>
        <v>10.3389%2Ffnana.2017.00118_Table1.tsv</v>
      </c>
      <c r="N72" s="5" t="s">
        <v>261</v>
      </c>
      <c r="P72" s="5" t="s">
        <v>40</v>
      </c>
      <c r="Q72" s="5" t="s">
        <v>41</v>
      </c>
      <c r="R72" s="7" t="s">
        <v>262</v>
      </c>
      <c r="S72" s="5" t="s">
        <v>43</v>
      </c>
      <c r="T72" s="5" t="s">
        <v>263</v>
      </c>
      <c r="U72" s="5" t="s">
        <v>45</v>
      </c>
      <c r="V72" s="5" t="s">
        <v>36</v>
      </c>
      <c r="W72" s="5" t="s">
        <v>104</v>
      </c>
      <c r="X72" s="5" t="s">
        <v>264</v>
      </c>
      <c r="Y72" s="5" t="s">
        <v>152</v>
      </c>
      <c r="Z72" s="5" t="s">
        <v>49</v>
      </c>
      <c r="AA72" s="5" t="s">
        <v>50</v>
      </c>
      <c r="AB72" s="5" t="s">
        <v>50</v>
      </c>
      <c r="AE72" s="5" t="s">
        <v>265</v>
      </c>
    </row>
    <row r="73" spans="1:31" ht="15.75" customHeight="1" x14ac:dyDescent="0.2">
      <c r="A73" s="5" t="s">
        <v>266</v>
      </c>
      <c r="D73" s="5" t="s">
        <v>208</v>
      </c>
      <c r="E73" t="str">
        <f>RIGHT(A73,1)</f>
        <v>4</v>
      </c>
      <c r="F73" t="str">
        <f>G73 &amp; IF(H73&lt;&gt;"", "_" &amp; H73, "_") &amp; IF(I73&lt;&gt;"", "_" &amp; I73, "_") &amp; IF(B73&lt;&gt;"", "_" &amp; B73, "")</f>
        <v>Johansen_etal_2024</v>
      </c>
      <c r="G73" t="str">
        <f>SUBSTITUTE(SUBSTITUTE(_xlfn.TEXTBEFORE(A73,","), "-", ""), " ", "")</f>
        <v>Johansen</v>
      </c>
      <c r="H73" t="str">
        <f>IF(ISNUMBER(FIND("&amp;", A73)),
    IF(LEN(A73)-LEN(SUBSTITUTE(A73, ",", ""))&gt;=6, "etal", MID(A73, SEARCH("&amp; ", A73)+2, SEARCH(",", A73, SEARCH("&amp; ", A73)+2) - SEARCH("&amp; ", A73)-2)),
    ""
)</f>
        <v>etal</v>
      </c>
      <c r="I73" t="str">
        <f>_xlfn.TEXTBEFORE(_xlfn.TEXTAFTER(A73, "("), ")")</f>
        <v>2024</v>
      </c>
      <c r="J73" t="str">
        <f>IF(C73&lt;&gt;"", C73, IF(C73="", _xlfn.TEXTAFTER(A73,"https://doi.org/"), C73))</f>
        <v>10.1523/JNEUROSCI.1750-23.2024</v>
      </c>
      <c r="K73" t="str">
        <f>TRIM(_xlfn.TEXTJOIN("_",FALSE,F73,(SUBSTITUTE(SUBSTITUTE(D73," ",""), "_", ""))))</f>
        <v>Johansen_etal_2024_Table2</v>
      </c>
      <c r="L73" t="str">
        <f>IF(ISBLANK(C73),TRIM(SUBSTITUTE(SUBSTITUTE(SUBSTITUTE(_xlfn.TEXTJOIN("_", FALSE, J73, SUBSTITUTE(D73,"_", "")), "/", "%2F"), ":", "%3A"), " ", "")),TRIM(SUBSTITUTE(SUBSTITUTE(SUBSTITUTE(_xlfn.TEXTJOIN("_", FALSE, C73, SUBSTITUTE(D73,"_", "")), "/", "%2F"), ":", "%3A"), " ", "")))</f>
        <v>10.1523%2FJNEUROSCI.1750-23.2024_Table2</v>
      </c>
      <c r="M73" t="str">
        <f t="array" ref="M73">IFERROR(INDEX(FileList!$A$1:$A$100, MATCH(L73, _xlfn.TEXTBEFORE(FileList!$A$1:$A$100, ".tsv"), 0)), "notfound")</f>
        <v>notfound</v>
      </c>
      <c r="N73" s="5" t="s">
        <v>267</v>
      </c>
      <c r="R73" s="7"/>
      <c r="Y73" s="5" t="s">
        <v>268</v>
      </c>
    </row>
    <row r="74" spans="1:31" ht="15.75" customHeight="1" x14ac:dyDescent="0.2">
      <c r="A74" s="5" t="s">
        <v>399</v>
      </c>
      <c r="D74" s="5" t="s">
        <v>56</v>
      </c>
      <c r="E74" t="str">
        <f>RIGHT(A74,1)</f>
        <v>8</v>
      </c>
      <c r="F74" t="str">
        <f>G74 &amp; IF(H74&lt;&gt;"", "_" &amp; H74, "_") &amp; IF(I74&lt;&gt;"", "_" &amp; I74, "_") &amp; IF(B74&lt;&gt;"", "_" &amp; B74, "")</f>
        <v>Karbowski__2007</v>
      </c>
      <c r="G74" t="str">
        <f>SUBSTITUTE(SUBSTITUTE(_xlfn.TEXTBEFORE(A74,","), "-", ""), " ", "")</f>
        <v>Karbowski</v>
      </c>
      <c r="H74" t="str">
        <f>IF(ISNUMBER(FIND("&amp;", A74)),
IF(LEN(A74)-LEN(SUBSTITUTE(A74, ",", ""))&gt;=6, "etal", MID(A74, SEARCH("&amp; ", A74)+2, SEARCH(",", A74, SEARCH("&amp; ", A74)+2) - SEARCH("&amp; ", A74)-2)),
""
)</f>
        <v/>
      </c>
      <c r="I74" t="str">
        <f>_xlfn.TEXTBEFORE(_xlfn.TEXTAFTER(A74, "("), ")")</f>
        <v>2007</v>
      </c>
      <c r="J74" t="str">
        <f>IF(C74&lt;&gt;"", C74, IF(C74="", _xlfn.TEXTAFTER(A74,"https://doi.org/"), C74))</f>
        <v>10.1186/1741-7007-5-18</v>
      </c>
      <c r="K74" t="str">
        <f>TRIM(_xlfn.TEXTJOIN("_",FALSE,F74,(SUBSTITUTE(SUBSTITUTE(D74," ",""), "_", ""))))</f>
        <v>Karbowski__2007_Table1</v>
      </c>
      <c r="L74" t="str">
        <f>IF(ISBLANK(C74),TRIM(SUBSTITUTE(SUBSTITUTE(SUBSTITUTE(_xlfn.TEXTJOIN("_", FALSE, J74, SUBSTITUTE(D74,"_", "")), "/", "%2F"), ":", "%3A"), " ", "")),TRIM(SUBSTITUTE(SUBSTITUTE(SUBSTITUTE(_xlfn.TEXTJOIN("_", FALSE, C74, SUBSTITUTE(D74,"_", "")), "/", "%2F"), ":", "%3A"), " ", "")))</f>
        <v>10.1186%2F1741-7007-5-18_Table1</v>
      </c>
      <c r="M74" t="str">
        <f t="array" ref="M74">IFERROR(INDEX(FileList!$A$1:$A$100, MATCH(L74, _xlfn.TEXTBEFORE(FileList!$A$1:$A$100, ".tsv"), 0)), "notfound")</f>
        <v>notfound</v>
      </c>
      <c r="N74" s="5" t="s">
        <v>400</v>
      </c>
      <c r="V74" s="5" t="s">
        <v>36</v>
      </c>
      <c r="Y74" s="5" t="s">
        <v>401</v>
      </c>
      <c r="Z74" s="5" t="s">
        <v>49</v>
      </c>
      <c r="AB74" s="5" t="s">
        <v>402</v>
      </c>
    </row>
    <row r="75" spans="1:31" ht="15.75" customHeight="1" x14ac:dyDescent="0.2">
      <c r="A75" s="5" t="s">
        <v>269</v>
      </c>
      <c r="D75" s="5" t="s">
        <v>38</v>
      </c>
      <c r="E75" t="str">
        <f>RIGHT(A75,1)</f>
        <v>9</v>
      </c>
      <c r="F75" t="str">
        <f>G75 &amp; IF(H75&lt;&gt;"", "_" &amp; H75, "_") &amp; IF(I75&lt;&gt;"", "_" &amp; I75, "_") &amp; IF(B75&lt;&gt;"", "_" &amp; B75, "")</f>
        <v>Karl_etal_2024</v>
      </c>
      <c r="G75" t="str">
        <f>SUBSTITUTE(SUBSTITUTE(_xlfn.TEXTBEFORE(A75,","), "-", ""), " ", "")</f>
        <v>Karl</v>
      </c>
      <c r="H75" t="str">
        <f>IF(ISNUMBER(FIND("&amp;", A75)),
IF(LEN(A75)-LEN(SUBSTITUTE(A75, ",", ""))&gt;=6, "etal", MID(A75, SEARCH("&amp; ", A75)+2, SEARCH(",", A75, SEARCH("&amp; ", A75)+2) - SEARCH("&amp; ", A75)-2)),
""
)</f>
        <v>etal</v>
      </c>
      <c r="I75" t="str">
        <f>_xlfn.TEXTBEFORE(_xlfn.TEXTAFTER(A75, "("), ")")</f>
        <v>2024</v>
      </c>
      <c r="J75" t="str">
        <f>IF(C75&lt;&gt;"", C75, IF(C75="", _xlfn.TEXTAFTER(A75,"https://doi.org/"), C75))</f>
        <v>10.1002/cne.25669</v>
      </c>
      <c r="K75" t="str">
        <f>TRIM(_xlfn.TEXTJOIN("_",FALSE,F75,(SUBSTITUTE(SUBSTITUTE(D75," ",""), "_", ""))))</f>
        <v>Karl_etal_2024_TABLE1</v>
      </c>
      <c r="L75" t="str">
        <f>IF(ISBLANK(C75),TRIM(SUBSTITUTE(SUBSTITUTE(SUBSTITUTE(_xlfn.TEXTJOIN("_", FALSE, J75, SUBSTITUTE(D75,"_", "")), "/", "%2F"), ":", "%3A"), " ", "")),TRIM(SUBSTITUTE(SUBSTITUTE(SUBSTITUTE(_xlfn.TEXTJOIN("_", FALSE, C75, SUBSTITUTE(D75,"_", "")), "/", "%2F"), ":", "%3A"), " ", "")))</f>
        <v>10.1002%2Fcne.25669_TABLE1</v>
      </c>
      <c r="M75" t="str">
        <f t="array" ref="M75">IFERROR(INDEX(FileList!$A$1:$A$100, MATCH(L75, _xlfn.TEXTBEFORE(FileList!$A$1:$A$100, ".tsv"), 0)), "notfound")</f>
        <v>10.1002%2Fcne.25669_TABLE1.tsv</v>
      </c>
      <c r="N75" s="5" t="s">
        <v>270</v>
      </c>
      <c r="R75" s="7"/>
      <c r="U75" s="5" t="s">
        <v>45</v>
      </c>
      <c r="V75" s="5" t="s">
        <v>36</v>
      </c>
      <c r="W75" s="5" t="s">
        <v>116</v>
      </c>
      <c r="Y75" s="5" t="s">
        <v>271</v>
      </c>
      <c r="Z75" s="5" t="s">
        <v>49</v>
      </c>
    </row>
    <row r="76" spans="1:31" ht="15.75" customHeight="1" x14ac:dyDescent="0.2">
      <c r="A76" s="5" t="s">
        <v>403</v>
      </c>
      <c r="C76" s="5" t="s">
        <v>404</v>
      </c>
      <c r="D76" s="5" t="s">
        <v>56</v>
      </c>
      <c r="E76" t="str">
        <f>RIGHT(A76,1)</f>
        <v>.</v>
      </c>
      <c r="F76" t="e">
        <f>G76 &amp; IF(H76&lt;&gt;"", "_" &amp; H76, "_") &amp; IF(I76&lt;&gt;"", "_" &amp; I76, "_") &amp; IF(B76&lt;&gt;"", "_" &amp; B76, "")</f>
        <v>#VALUE!</v>
      </c>
      <c r="G76" t="str">
        <f>SUBSTITUTE(SUBSTITUTE(_xlfn.TEXTBEFORE(A76,","), "-", ""), " ", "")</f>
        <v>Kaufman</v>
      </c>
      <c r="H76" t="e">
        <f>IF(ISNUMBER(FIND("&amp;", A76)),
IF(LEN(A76)-LEN(SUBSTITUTE(A76, ",", ""))&gt;=6, "etal", MID(A76, SEARCH("&amp; ", A76)+2, SEARCH(",", A76, SEARCH("&amp; ", A76)+2) - SEARCH("&amp; ", A76)-2)),
""
)</f>
        <v>#VALUE!</v>
      </c>
      <c r="I76" t="str">
        <f>_xlfn.TEXTBEFORE(_xlfn.TEXTAFTER(A76, "("), ")")</f>
        <v>2004</v>
      </c>
      <c r="J76" t="str">
        <f>IF(C76&lt;&gt;"", C76, IF(C76="", _xlfn.TEXTAFTER(A76,"https://doi.org/"), C76))</f>
        <v>ProQuest:TBD</v>
      </c>
      <c r="K76" t="e">
        <f>TRIM(_xlfn.TEXTJOIN("_",FALSE,F76,(SUBSTITUTE(SUBSTITUTE(D76," ",""), "_", ""))))</f>
        <v>#VALUE!</v>
      </c>
      <c r="L76" t="str">
        <f>IF(ISBLANK(C76),TRIM(SUBSTITUTE(SUBSTITUTE(SUBSTITUTE(_xlfn.TEXTJOIN("_", FALSE, J76, SUBSTITUTE(D76,"_", "")), "/", "%2F"), ":", "%3A"), " ", "")),TRIM(SUBSTITUTE(SUBSTITUTE(SUBSTITUTE(_xlfn.TEXTJOIN("_", FALSE, C76, SUBSTITUTE(D76,"_", "")), "/", "%2F"), ":", "%3A"), " ", "")))</f>
        <v>ProQuest%3ATBD_Table1</v>
      </c>
      <c r="M76" t="str">
        <f t="array" ref="M76">IFERROR(INDEX(FileList!$A$1:$A$100, MATCH(L76, _xlfn.TEXTBEFORE(FileList!$A$1:$A$100, ".tsv"), 0)), "notfound")</f>
        <v>notfound</v>
      </c>
      <c r="V76" s="5" t="s">
        <v>36</v>
      </c>
      <c r="Y76" s="5" t="s">
        <v>405</v>
      </c>
      <c r="Z76" s="5" t="s">
        <v>49</v>
      </c>
      <c r="AB76" s="5" t="s">
        <v>406</v>
      </c>
      <c r="AD76" s="5" t="s">
        <v>407</v>
      </c>
    </row>
    <row r="77" spans="1:31" ht="15.75" customHeight="1" x14ac:dyDescent="0.2">
      <c r="A77" s="5" t="s">
        <v>272</v>
      </c>
      <c r="D77" s="5" t="s">
        <v>86</v>
      </c>
      <c r="E77" t="str">
        <f>RIGHT(A77,1)</f>
        <v>8</v>
      </c>
      <c r="F77" t="str">
        <f>G77 &amp; IF(H77&lt;&gt;"", "_" &amp; H77, "_") &amp; IF(I77&lt;&gt;"", "_" &amp; I77, "_") &amp; IF(B77&lt;&gt;"", "_" &amp; B77, "")</f>
        <v>Kverkova_etal_2018</v>
      </c>
      <c r="G77" t="str">
        <f>SUBSTITUTE(SUBSTITUTE(_xlfn.TEXTBEFORE(A77,","), "-", ""), " ", "")</f>
        <v>Kverkova</v>
      </c>
      <c r="H77" t="str">
        <f>IF(ISNUMBER(FIND("&amp;", A77)),
IF(LEN(A77)-LEN(SUBSTITUTE(A77, ",", ""))&gt;=6, "etal", MID(A77, SEARCH("&amp; ", A77)+2, SEARCH(",", A77, SEARCH("&amp; ", A77)+2) - SEARCH("&amp; ", A77)-2)),
""
)</f>
        <v>etal</v>
      </c>
      <c r="I77" t="str">
        <f>_xlfn.TEXTBEFORE(_xlfn.TEXTAFTER(A77, "("), ")")</f>
        <v>2018</v>
      </c>
      <c r="J77" t="str">
        <f>IF(C77&lt;&gt;"", C77, IF(C77="", _xlfn.TEXTAFTER(A77,"https://doi.org/"), C77))</f>
        <v>10.1038/s41598-018-26062-8</v>
      </c>
      <c r="K77" t="str">
        <f>TRIM(_xlfn.TEXTJOIN("_",FALSE,F77,(SUBSTITUTE(SUBSTITUTE(D77," ",""), "_", ""))))</f>
        <v>Kverkova_etal_2018_Table1</v>
      </c>
      <c r="L77" t="str">
        <f>IF(ISBLANK(C77),TRIM(SUBSTITUTE(SUBSTITUTE(SUBSTITUTE(_xlfn.TEXTJOIN("_", FALSE, J77, SUBSTITUTE(D77,"_", "")), "/", "%2F"), ":", "%3A"), " ", "")),TRIM(SUBSTITUTE(SUBSTITUTE(SUBSTITUTE(_xlfn.TEXTJOIN("_", FALSE, C77, SUBSTITUTE(D77,"_", "")), "/", "%2F"), ":", "%3A"), " ", "")))</f>
        <v>10.1038%2Fs41598-018-26062-8_Table1</v>
      </c>
      <c r="M77" t="str">
        <f t="array" ref="M77">IFERROR(INDEX(FileList!$A$1:$A$100, MATCH(L77, _xlfn.TEXTBEFORE(FileList!$A$1:$A$100, ".tsv"), 0)), "notfound")</f>
        <v>10.1038%2Fs41598-018-26062-8_Table1.tsv</v>
      </c>
      <c r="N77" s="5" t="s">
        <v>273</v>
      </c>
      <c r="P77" s="5" t="s">
        <v>40</v>
      </c>
      <c r="Q77" s="5" t="s">
        <v>41</v>
      </c>
      <c r="R77" s="7" t="s">
        <v>274</v>
      </c>
      <c r="S77" s="5" t="s">
        <v>43</v>
      </c>
      <c r="T77" s="5" t="s">
        <v>275</v>
      </c>
      <c r="U77" s="5" t="s">
        <v>276</v>
      </c>
      <c r="V77" s="5" t="s">
        <v>36</v>
      </c>
      <c r="Y77" s="5" t="s">
        <v>277</v>
      </c>
      <c r="Z77" s="5" t="s">
        <v>49</v>
      </c>
      <c r="AB77" s="5" t="s">
        <v>50</v>
      </c>
      <c r="AE77" s="5" t="s">
        <v>278</v>
      </c>
    </row>
    <row r="78" spans="1:31" ht="15.75" customHeight="1" x14ac:dyDescent="0.2">
      <c r="A78" s="5" t="s">
        <v>272</v>
      </c>
      <c r="D78" s="5" t="s">
        <v>145</v>
      </c>
      <c r="E78" t="str">
        <f>RIGHT(A78,1)</f>
        <v>8</v>
      </c>
      <c r="F78" t="str">
        <f>G78 &amp; IF(H78&lt;&gt;"", "_" &amp; H78, "_") &amp; IF(I78&lt;&gt;"", "_" &amp; I78, "_") &amp; IF(B78&lt;&gt;"", "_" &amp; B78, "")</f>
        <v>Kverkova_etal_2018</v>
      </c>
      <c r="G78" t="str">
        <f>SUBSTITUTE(SUBSTITUTE(_xlfn.TEXTBEFORE(A78,","), "-", ""), " ", "")</f>
        <v>Kverkova</v>
      </c>
      <c r="H78" t="str">
        <f>IF(ISNUMBER(FIND("&amp;", A78)),
IF(LEN(A78)-LEN(SUBSTITUTE(A78, ",", ""))&gt;=6, "etal", MID(A78, SEARCH("&amp; ", A78)+2, SEARCH(",", A78, SEARCH("&amp; ", A78)+2) - SEARCH("&amp; ", A78)-2)),
""
)</f>
        <v>etal</v>
      </c>
      <c r="I78" t="str">
        <f>_xlfn.TEXTBEFORE(_xlfn.TEXTAFTER(A78, "("), ")")</f>
        <v>2018</v>
      </c>
      <c r="J78" t="str">
        <f>IF(C78&lt;&gt;"", C78, IF(C78="", _xlfn.TEXTAFTER(A78,"https://doi.org/"), C78))</f>
        <v>10.1038/s41598-018-26062-8</v>
      </c>
      <c r="K78" t="str">
        <f>TRIM(_xlfn.TEXTJOIN("_",FALSE,F78,(SUBSTITUTE(SUBSTITUTE(D78," ",""), "_", ""))))</f>
        <v>Kverkova_etal_2018_TableS1</v>
      </c>
      <c r="L78" t="str">
        <f>IF(ISBLANK(C78),TRIM(SUBSTITUTE(SUBSTITUTE(SUBSTITUTE(_xlfn.TEXTJOIN("_", FALSE, J78, SUBSTITUTE(D78,"_", "")), "/", "%2F"), ":", "%3A"), " ", "")),TRIM(SUBSTITUTE(SUBSTITUTE(SUBSTITUTE(_xlfn.TEXTJOIN("_", FALSE, C78, SUBSTITUTE(D78,"_", "")), "/", "%2F"), ":", "%3A"), " ", "")))</f>
        <v>10.1038%2Fs41598-018-26062-8_TableS1</v>
      </c>
      <c r="M78" t="str">
        <f t="array" ref="M78">IFERROR(INDEX(FileList!$A$1:$A$100, MATCH(L78, _xlfn.TEXTBEFORE(FileList!$A$1:$A$100, ".tsv"), 0)), "notfound")</f>
        <v>10.1038%2Fs41598-018-26062-8_TableS1.tsv</v>
      </c>
      <c r="N78" s="5" t="s">
        <v>279</v>
      </c>
      <c r="P78" s="5" t="s">
        <v>40</v>
      </c>
      <c r="Q78" s="5" t="s">
        <v>41</v>
      </c>
      <c r="R78" s="7" t="s">
        <v>280</v>
      </c>
      <c r="S78" s="5" t="s">
        <v>43</v>
      </c>
      <c r="T78" s="5" t="s">
        <v>275</v>
      </c>
      <c r="U78" s="5" t="s">
        <v>276</v>
      </c>
      <c r="V78" s="5" t="s">
        <v>36</v>
      </c>
      <c r="W78" s="5" t="s">
        <v>104</v>
      </c>
      <c r="X78" s="5" t="s">
        <v>281</v>
      </c>
      <c r="Y78" s="5" t="s">
        <v>238</v>
      </c>
      <c r="Z78" s="5" t="s">
        <v>282</v>
      </c>
      <c r="AA78" s="5" t="s">
        <v>283</v>
      </c>
      <c r="AB78" s="5" t="s">
        <v>50</v>
      </c>
      <c r="AE78" s="5" t="s">
        <v>278</v>
      </c>
    </row>
    <row r="79" spans="1:31" ht="15.75" customHeight="1" x14ac:dyDescent="0.2">
      <c r="A79" s="5" t="s">
        <v>272</v>
      </c>
      <c r="D79" s="5" t="s">
        <v>284</v>
      </c>
      <c r="E79" t="str">
        <f>RIGHT(A79,1)</f>
        <v>8</v>
      </c>
      <c r="F79" t="str">
        <f>G79 &amp; IF(H79&lt;&gt;"", "_" &amp; H79, "_") &amp; IF(I79&lt;&gt;"", "_" &amp; I79, "_") &amp; IF(B79&lt;&gt;"", "_" &amp; B79, "")</f>
        <v>Kverkova_etal_2018</v>
      </c>
      <c r="G79" t="str">
        <f>SUBSTITUTE(SUBSTITUTE(_xlfn.TEXTBEFORE(A79,","), "-", ""), " ", "")</f>
        <v>Kverkova</v>
      </c>
      <c r="H79" t="str">
        <f>IF(ISNUMBER(FIND("&amp;", A79)),
IF(LEN(A79)-LEN(SUBSTITUTE(A79, ",", ""))&gt;=6, "etal", MID(A79, SEARCH("&amp; ", A79)+2, SEARCH(",", A79, SEARCH("&amp; ", A79)+2) - SEARCH("&amp; ", A79)-2)),
""
)</f>
        <v>etal</v>
      </c>
      <c r="I79" t="str">
        <f>_xlfn.TEXTBEFORE(_xlfn.TEXTAFTER(A79, "("), ")")</f>
        <v>2018</v>
      </c>
      <c r="J79" t="str">
        <f>IF(C79&lt;&gt;"", C79, IF(C79="", _xlfn.TEXTAFTER(A79,"https://doi.org/"), C79))</f>
        <v>10.1038/s41598-018-26062-8</v>
      </c>
      <c r="K79" t="str">
        <f>TRIM(_xlfn.TEXTJOIN("_",FALSE,F79,(SUBSTITUTE(SUBSTITUTE(D79," ",""), "_", ""))))</f>
        <v>Kverkova_etal_2018_TableS5</v>
      </c>
      <c r="L79" t="str">
        <f>IF(ISBLANK(C79),TRIM(SUBSTITUTE(SUBSTITUTE(SUBSTITUTE(_xlfn.TEXTJOIN("_", FALSE, J79, SUBSTITUTE(D79,"_", "")), "/", "%2F"), ":", "%3A"), " ", "")),TRIM(SUBSTITUTE(SUBSTITUTE(SUBSTITUTE(_xlfn.TEXTJOIN("_", FALSE, C79, SUBSTITUTE(D79,"_", "")), "/", "%2F"), ":", "%3A"), " ", "")))</f>
        <v>10.1038%2Fs41598-018-26062-8_TableS5</v>
      </c>
      <c r="M79" t="str">
        <f t="array" ref="M79">IFERROR(INDEX(FileList!$A$1:$A$100, MATCH(L79, _xlfn.TEXTBEFORE(FileList!$A$1:$A$100, ".tsv"), 0)), "notfound")</f>
        <v>10.1038%2Fs41598-018-26062-8_TableS5.tsv</v>
      </c>
      <c r="N79" s="5" t="s">
        <v>285</v>
      </c>
      <c r="P79" s="5" t="s">
        <v>40</v>
      </c>
      <c r="Q79" s="5" t="s">
        <v>41</v>
      </c>
      <c r="R79" s="7" t="s">
        <v>286</v>
      </c>
      <c r="S79" s="5" t="s">
        <v>43</v>
      </c>
      <c r="T79" s="5" t="s">
        <v>287</v>
      </c>
      <c r="U79" s="5" t="s">
        <v>288</v>
      </c>
      <c r="V79" s="5" t="s">
        <v>36</v>
      </c>
      <c r="W79" s="5" t="s">
        <v>104</v>
      </c>
      <c r="X79" s="5" t="s">
        <v>281</v>
      </c>
      <c r="Y79" s="5" t="s">
        <v>243</v>
      </c>
      <c r="Z79" s="5" t="s">
        <v>49</v>
      </c>
      <c r="AA79" s="5" t="s">
        <v>283</v>
      </c>
      <c r="AB79" s="5" t="s">
        <v>50</v>
      </c>
      <c r="AE79" s="5" t="s">
        <v>278</v>
      </c>
    </row>
    <row r="80" spans="1:31" ht="15.75" customHeight="1" x14ac:dyDescent="0.2">
      <c r="A80" s="5" t="s">
        <v>289</v>
      </c>
      <c r="D80" s="5" t="s">
        <v>290</v>
      </c>
      <c r="E80" t="str">
        <f>RIGHT(A80,1)</f>
        <v>4</v>
      </c>
      <c r="F80" t="str">
        <f>G80 &amp; IF(H80&lt;&gt;"", "_" &amp; H80, "_") &amp; IF(I80&lt;&gt;"", "_" &amp; I80, "_") &amp; IF(B80&lt;&gt;"", "_" &amp; B80, "")</f>
        <v>Lewitus_etal_2013</v>
      </c>
      <c r="G80" t="str">
        <f>SUBSTITUTE(SUBSTITUTE(_xlfn.TEXTBEFORE(A80,","), "-", ""), " ", "")</f>
        <v>Lewitus</v>
      </c>
      <c r="H80" t="str">
        <f>IF(ISNUMBER(FIND("&amp;", A80)),
IF(LEN(A80)-LEN(SUBSTITUTE(A80, ",", ""))&gt;=6, "etal", MID(A80, SEARCH("&amp; ", A80)+2, SEARCH(",", A80, SEARCH("&amp; ", A80)+2) - SEARCH("&amp; ", A80)-2)),
""
)</f>
        <v>etal</v>
      </c>
      <c r="I80" t="str">
        <f>_xlfn.TEXTBEFORE(_xlfn.TEXTAFTER(A80, "("), ")")</f>
        <v>2013</v>
      </c>
      <c r="J80" t="str">
        <f>IF(C80&lt;&gt;"", C80, IF(C80="", _xlfn.TEXTAFTER(A80,"https://doi.org/"), C80))</f>
        <v>10.3389/fnhum.2013.00424</v>
      </c>
      <c r="K80" t="str">
        <f>TRIM(_xlfn.TEXTJOIN("_",FALSE,F80,(SUBSTITUTE(SUBSTITUTE(D80," ",""), "_", ""))))</f>
        <v>Lewitus_etal_2013_TableS2partial</v>
      </c>
      <c r="L80" t="str">
        <f>IF(ISBLANK(C80),TRIM(SUBSTITUTE(SUBSTITUTE(SUBSTITUTE(_xlfn.TEXTJOIN("_", FALSE, J80, SUBSTITUTE(D80,"_", "")), "/", "%2F"), ":", "%3A"), " ", "")),TRIM(SUBSTITUTE(SUBSTITUTE(SUBSTITUTE(_xlfn.TEXTJOIN("_", FALSE, C80, SUBSTITUTE(D80,"_", "")), "/", "%2F"), ":", "%3A"), " ", "")))</f>
        <v>10.3389%2Ffnhum.2013.00424_TableS2partial</v>
      </c>
      <c r="M80" t="str">
        <f t="array" ref="M80">IFERROR(INDEX(FileList!$A$1:$A$100, MATCH(L80, _xlfn.TEXTBEFORE(FileList!$A$1:$A$100, ".tsv"), 0)), "notfound")</f>
        <v>10.3389%2Ffnhum.2013.00424_TableS2partial.tsv</v>
      </c>
      <c r="Q80" s="5" t="s">
        <v>69</v>
      </c>
      <c r="AA80" s="5" t="s">
        <v>291</v>
      </c>
    </row>
    <row r="81" spans="1:31" ht="15.75" customHeight="1" x14ac:dyDescent="0.2">
      <c r="A81" s="5" t="s">
        <v>292</v>
      </c>
      <c r="D81" s="5" t="s">
        <v>145</v>
      </c>
      <c r="E81" t="str">
        <f>RIGHT(A81,1)</f>
        <v>0</v>
      </c>
      <c r="F81" t="str">
        <f>G81 &amp; IF(H81&lt;&gt;"", "_" &amp; H81, "_") &amp; IF(I81&lt;&gt;"", "_" &amp; I81, "_") &amp; IF(B81&lt;&gt;"", "_" &amp; B81, "")</f>
        <v>Lewitus_etal_2014</v>
      </c>
      <c r="G81" t="str">
        <f>SUBSTITUTE(SUBSTITUTE(_xlfn.TEXTBEFORE(A81,","), "-", ""), " ", "")</f>
        <v>Lewitus</v>
      </c>
      <c r="H81" t="str">
        <f>IF(ISNUMBER(FIND("&amp;", A81)),
IF(LEN(A81)-LEN(SUBSTITUTE(A81, ",", ""))&gt;=6, "etal", MID(A81, SEARCH("&amp; ", A81)+2, SEARCH(",", A81, SEARCH("&amp; ", A81)+2) - SEARCH("&amp; ", A81)-2)),
""
)</f>
        <v>etal</v>
      </c>
      <c r="I81" t="str">
        <f>_xlfn.TEXTBEFORE(_xlfn.TEXTAFTER(A81, "("), ")")</f>
        <v>2014</v>
      </c>
      <c r="J81" t="str">
        <f>IF(C81&lt;&gt;"", C81, IF(C81="", _xlfn.TEXTAFTER(A81,"https://doi.org/"), C81))</f>
        <v>10.1371/journal.pbio.1002000</v>
      </c>
      <c r="K81" t="str">
        <f>TRIM(_xlfn.TEXTJOIN("_",FALSE,F81,(SUBSTITUTE(SUBSTITUTE(D81," ",""), "_", ""))))</f>
        <v>Lewitus_etal_2014_TableS1</v>
      </c>
      <c r="L81" t="str">
        <f>IF(ISBLANK(C81),TRIM(SUBSTITUTE(SUBSTITUTE(SUBSTITUTE(_xlfn.TEXTJOIN("_", FALSE, J81, SUBSTITUTE(D81,"_", "")), "/", "%2F"), ":", "%3A"), " ", "")),TRIM(SUBSTITUTE(SUBSTITUTE(SUBSTITUTE(_xlfn.TEXTJOIN("_", FALSE, C81, SUBSTITUTE(D81,"_", "")), "/", "%2F"), ":", "%3A"), " ", "")))</f>
        <v>10.1371%2Fjournal.pbio.1002000_TableS1</v>
      </c>
      <c r="M81" t="str">
        <f t="array" ref="M81">IFERROR(INDEX(FileList!$A$1:$A$100, MATCH(L81, _xlfn.TEXTBEFORE(FileList!$A$1:$A$100, ".tsv"), 0)), "notfound")</f>
        <v>10.1371%2Fjournal.pbio.1002000_TableS1.tsv</v>
      </c>
      <c r="N81" s="5" t="s">
        <v>293</v>
      </c>
      <c r="Q81" s="5" t="s">
        <v>69</v>
      </c>
      <c r="AA81" s="5" t="s">
        <v>291</v>
      </c>
    </row>
    <row r="82" spans="1:31" x14ac:dyDescent="0.2">
      <c r="A82" s="5" t="s">
        <v>292</v>
      </c>
      <c r="D82" s="5" t="s">
        <v>294</v>
      </c>
      <c r="E82" t="str">
        <f>RIGHT(A82,1)</f>
        <v>0</v>
      </c>
      <c r="F82" t="str">
        <f>G82 &amp; IF(H82&lt;&gt;"", "_" &amp; H82, "_") &amp; IF(I82&lt;&gt;"", "_" &amp; I82, "_") &amp; IF(B82&lt;&gt;"", "_" &amp; B82, "")</f>
        <v>Lewitus_etal_2014</v>
      </c>
      <c r="G82" t="str">
        <f>SUBSTITUTE(SUBSTITUTE(_xlfn.TEXTBEFORE(A82,","), "-", ""), " ", "")</f>
        <v>Lewitus</v>
      </c>
      <c r="H82" t="str">
        <f>IF(ISNUMBER(FIND("&amp;", A82)),
IF(LEN(A82)-LEN(SUBSTITUTE(A82, ",", ""))&gt;=6, "etal", MID(A82, SEARCH("&amp; ", A82)+2, SEARCH(",", A82, SEARCH("&amp; ", A82)+2) - SEARCH("&amp; ", A82)-2)),
""
)</f>
        <v>etal</v>
      </c>
      <c r="I82" t="str">
        <f>_xlfn.TEXTBEFORE(_xlfn.TEXTAFTER(A82, "("), ")")</f>
        <v>2014</v>
      </c>
      <c r="J82" t="str">
        <f>IF(C82&lt;&gt;"", C82, IF(C82="", _xlfn.TEXTAFTER(A82,"https://doi.org/"), C82))</f>
        <v>10.1371/journal.pbio.1002000</v>
      </c>
      <c r="K82" t="str">
        <f>TRIM(_xlfn.TEXTJOIN("_",FALSE,F82,(SUBSTITUTE(SUBSTITUTE(D82," ",""), "_", ""))))</f>
        <v>Lewitus_etal_2014_TableS8</v>
      </c>
      <c r="L82" t="str">
        <f>IF(ISBLANK(C82),TRIM(SUBSTITUTE(SUBSTITUTE(SUBSTITUTE(_xlfn.TEXTJOIN("_", FALSE, J82, SUBSTITUTE(D82,"_", "")), "/", "%2F"), ":", "%3A"), " ", "")),TRIM(SUBSTITUTE(SUBSTITUTE(SUBSTITUTE(_xlfn.TEXTJOIN("_", FALSE, C82, SUBSTITUTE(D82,"_", "")), "/", "%2F"), ":", "%3A"), " ", "")))</f>
        <v>10.1371%2Fjournal.pbio.1002000_TableS8</v>
      </c>
      <c r="M82" t="str">
        <f t="array" ref="M82">IFERROR(INDEX(FileList!$A$1:$A$100, MATCH(L82, _xlfn.TEXTBEFORE(FileList!$A$1:$A$100, ".tsv"), 0)), "notfound")</f>
        <v>10.1371%2Fjournal.pbio.1002000_TableS8.tsv</v>
      </c>
      <c r="N82" s="5" t="s">
        <v>295</v>
      </c>
      <c r="Q82" s="5" t="s">
        <v>69</v>
      </c>
      <c r="AA82" s="5" t="s">
        <v>291</v>
      </c>
    </row>
    <row r="83" spans="1:31" x14ac:dyDescent="0.2">
      <c r="A83" s="5" t="s">
        <v>296</v>
      </c>
      <c r="D83" s="5" t="s">
        <v>86</v>
      </c>
      <c r="E83" t="str">
        <f>RIGHT(A83,1)</f>
        <v>5</v>
      </c>
      <c r="F83" t="str">
        <f>G83 &amp; IF(H83&lt;&gt;"", "_" &amp; H83, "_") &amp; IF(I83&lt;&gt;"", "_" &amp; I83, "_") &amp; IF(B83&lt;&gt;"", "_" &amp; B83, "")</f>
        <v>MacLarnon__1996</v>
      </c>
      <c r="G83" t="str">
        <f>SUBSTITUTE(SUBSTITUTE(_xlfn.TEXTBEFORE(A83,","), "-", ""), " ", "")</f>
        <v>MacLarnon</v>
      </c>
      <c r="H83" t="str">
        <f>IF(ISNUMBER(FIND("&amp;", A83)),
IF(LEN(A83)-LEN(SUBSTITUTE(A83, ",", ""))&gt;=6, "etal", MID(A83, SEARCH("&amp; ", A83)+2, SEARCH(",", A83, SEARCH("&amp; ", A83)+2) - SEARCH("&amp; ", A83)-2)),
""
)</f>
        <v/>
      </c>
      <c r="I83" t="str">
        <f>_xlfn.TEXTBEFORE(_xlfn.TEXTAFTER(A83, "("), ")")</f>
        <v>1996</v>
      </c>
      <c r="J83" t="str">
        <f>IF(C83&lt;&gt;"", C83, IF(C83="", _xlfn.TEXTAFTER(A83,"https://doi.org/"), C83))</f>
        <v>10.1006/jhev.1996.0005</v>
      </c>
      <c r="K83" t="str">
        <f>TRIM(_xlfn.TEXTJOIN("_",FALSE,F83,(SUBSTITUTE(SUBSTITUTE(D83," ",""), "_", ""))))</f>
        <v>MacLarnon__1996_Table1</v>
      </c>
      <c r="L83" t="str">
        <f>IF(ISBLANK(C83),TRIM(SUBSTITUTE(SUBSTITUTE(SUBSTITUTE(_xlfn.TEXTJOIN("_", FALSE, J83, SUBSTITUTE(D83,"_", "")), "/", "%2F"), ":", "%3A"), " ", "")),TRIM(SUBSTITUTE(SUBSTITUTE(SUBSTITUTE(_xlfn.TEXTJOIN("_", FALSE, C83, SUBSTITUTE(D83,"_", "")), "/", "%2F"), ":", "%3A"), " ", "")))</f>
        <v>10.1006%2Fjhev.1996.0005_Table1</v>
      </c>
      <c r="M83" t="str">
        <f t="array" ref="M83">IFERROR(INDEX(FileList!$A$1:$A$100, MATCH(L83, _xlfn.TEXTBEFORE(FileList!$A$1:$A$100, ".tsv"), 0)), "notfound")</f>
        <v>10.1006%2Fjhev.1996.0005_Table1.tsv</v>
      </c>
      <c r="N83" s="5" t="s">
        <v>297</v>
      </c>
      <c r="P83" s="5" t="s">
        <v>178</v>
      </c>
    </row>
    <row r="84" spans="1:31" x14ac:dyDescent="0.2">
      <c r="A84" s="5" t="s">
        <v>298</v>
      </c>
      <c r="D84" s="5" t="s">
        <v>299</v>
      </c>
      <c r="E84" t="str">
        <f>RIGHT(A84,1)</f>
        <v>2</v>
      </c>
      <c r="F84" t="str">
        <f>G84 &amp; IF(H84&lt;&gt;"", "_" &amp; H84, "_") &amp; IF(I84&lt;&gt;"", "_" &amp; I84, "_") &amp; IF(B84&lt;&gt;"", "_" &amp; B84, "")</f>
        <v>ManyPrimates__2022</v>
      </c>
      <c r="G84" t="str">
        <f>SUBSTITUTE(SUBSTITUTE(_xlfn.TEXTBEFORE(A84,","), "-", ""), " ", "")</f>
        <v>ManyPrimates</v>
      </c>
      <c r="H84" t="str">
        <f>IF(ISNUMBER(FIND("&amp;", A84)),
IF(LEN(A84)-LEN(SUBSTITUTE(A84, ",", ""))&gt;=6, "etal", MID(A84, SEARCH("&amp; ", A84)+2, SEARCH(",", A84, SEARCH("&amp; ", A84)+2) - SEARCH("&amp; ", A84)-2)),
""
)</f>
        <v/>
      </c>
      <c r="I84" t="str">
        <f>_xlfn.TEXTBEFORE(_xlfn.TEXTAFTER(A84, "("), ")")</f>
        <v>2022</v>
      </c>
      <c r="J84" t="str">
        <f>IF(C84&lt;&gt;"", C84, IF(C84="", _xlfn.TEXTAFTER(A84,"https://doi.org/"), C84))</f>
        <v>10.26451/abc.09.04.06.2022</v>
      </c>
      <c r="K84" t="str">
        <f>TRIM(_xlfn.TEXTJOIN("_",FALSE,F84,(SUBSTITUTE(SUBSTITUTE(D84," ",""), "_", ""))))</f>
        <v>ManyPrimates__2022_data/speciespredictors.xlsx</v>
      </c>
      <c r="L84" t="str">
        <f>IF(ISBLANK(C84),TRIM(SUBSTITUTE(SUBSTITUTE(SUBSTITUTE(_xlfn.TEXTJOIN("_", FALSE, J84, SUBSTITUTE(D84,"_", "")), "/", "%2F"), ":", "%3A"), " ", "")),TRIM(SUBSTITUTE(SUBSTITUTE(SUBSTITUTE(_xlfn.TEXTJOIN("_", FALSE, C84, SUBSTITUTE(D84,"_", "")), "/", "%2F"), ":", "%3A"), " ", "")))</f>
        <v>10.26451%2Fabc.09.04.06.2022_data%2Fspeciespredictors.xlsx</v>
      </c>
      <c r="M84" t="str">
        <f t="array" ref="M84">IFERROR(INDEX(FileList!$A$1:$A$100, MATCH(L84, _xlfn.TEXTBEFORE(FileList!$A$1:$A$100, ".tsv"), 0)), "notfound")</f>
        <v>notfound</v>
      </c>
      <c r="P84" s="5" t="s">
        <v>300</v>
      </c>
      <c r="Q84" s="5" t="s">
        <v>112</v>
      </c>
      <c r="R84" s="7"/>
      <c r="T84" s="5" t="str">
        <f>IF(S84="N", R84, "write file name")</f>
        <v>write file name</v>
      </c>
      <c r="U84" s="5" t="s">
        <v>96</v>
      </c>
      <c r="V84" s="5" t="s">
        <v>36</v>
      </c>
      <c r="W84" s="5" t="s">
        <v>97</v>
      </c>
      <c r="X84" s="5" t="s">
        <v>301</v>
      </c>
      <c r="Y84" s="5" t="s">
        <v>302</v>
      </c>
      <c r="Z84" s="5" t="s">
        <v>75</v>
      </c>
      <c r="AC84" s="5" t="s">
        <v>303</v>
      </c>
      <c r="AE84" s="5" t="s">
        <v>100</v>
      </c>
    </row>
    <row r="85" spans="1:31" x14ac:dyDescent="0.2">
      <c r="A85" s="5" t="s">
        <v>367</v>
      </c>
      <c r="D85" s="5" t="s">
        <v>56</v>
      </c>
      <c r="E85" t="str">
        <f>RIGHT(A85,1)</f>
        <v>2</v>
      </c>
      <c r="F85" t="str">
        <f>G85 &amp; IF(H85&lt;&gt;"", "_" &amp; H85, "_") &amp; IF(I85&lt;&gt;"", "_" &amp; I85, "_") &amp; IF(B85&lt;&gt;"", "_" &amp; B85, "")</f>
        <v>Matano_etal_1985</v>
      </c>
      <c r="G85" t="str">
        <f>SUBSTITUTE(SUBSTITUTE(_xlfn.TEXTBEFORE(A85,","), "-", ""), " ", "")</f>
        <v>Matano</v>
      </c>
      <c r="H85" t="str">
        <f>IF(ISNUMBER(FIND("&amp;", A85)),
IF(LEN(A85)-LEN(SUBSTITUTE(A85, ",", ""))&gt;=6, "etal", MID(A85, SEARCH("&amp; ", A85)+2, SEARCH(",", A85, SEARCH("&amp; ", A85)+2) - SEARCH("&amp; ", A85)-2)),
""
)</f>
        <v>etal</v>
      </c>
      <c r="I85" t="str">
        <f>_xlfn.TEXTBEFORE(_xlfn.TEXTAFTER(A85, "("), ")")</f>
        <v>1985</v>
      </c>
      <c r="J85" t="str">
        <f>IF(C85&lt;&gt;"", C85, IF(C85="", _xlfn.TEXTAFTER(A85,"https://doi.org/"), C85))</f>
        <v>10.1159/000156212</v>
      </c>
      <c r="K85" t="str">
        <f>TRIM(_xlfn.TEXTJOIN("_",FALSE,F85,(SUBSTITUTE(SUBSTITUTE(D85," ",""), "_", ""))))</f>
        <v>Matano_etal_1985_Table1</v>
      </c>
      <c r="L85" t="str">
        <f>IF(ISBLANK(C85),TRIM(SUBSTITUTE(SUBSTITUTE(SUBSTITUTE(_xlfn.TEXTJOIN("_", FALSE, J85, SUBSTITUTE(D85,"_", "")), "/", "%2F"), ":", "%3A"), " ", "")),TRIM(SUBSTITUTE(SUBSTITUTE(SUBSTITUTE(_xlfn.TEXTJOIN("_", FALSE, C85, SUBSTITUTE(D85,"_", "")), "/", "%2F"), ":", "%3A"), " ", "")))</f>
        <v>10.1159%2F000156212_Table1</v>
      </c>
      <c r="M85" t="str">
        <f t="array" ref="M85">IFERROR(INDEX(FileList!$A$1:$A$100, MATCH(L85, _xlfn.TEXTBEFORE(FileList!$A$1:$A$100, ".tsv"), 0)), "notfound")</f>
        <v>notfound</v>
      </c>
      <c r="N85" s="5" t="s">
        <v>368</v>
      </c>
      <c r="V85" s="5" t="s">
        <v>36</v>
      </c>
      <c r="Y85" s="5" t="s">
        <v>369</v>
      </c>
      <c r="Z85" s="5" t="s">
        <v>49</v>
      </c>
      <c r="AA85" s="5" t="s">
        <v>59</v>
      </c>
      <c r="AB85" s="5" t="s">
        <v>343</v>
      </c>
    </row>
    <row r="86" spans="1:31" x14ac:dyDescent="0.2">
      <c r="A86" s="5" t="s">
        <v>304</v>
      </c>
      <c r="D86" s="5" t="s">
        <v>145</v>
      </c>
      <c r="E86" t="str">
        <f>RIGHT(A86,1)</f>
        <v>1</v>
      </c>
      <c r="F86" t="str">
        <f>G86 &amp; IF(H86&lt;&gt;"", "_" &amp; H86, "_") &amp; IF(I86&lt;&gt;"", "_" &amp; I86, "_") &amp; IF(B86&lt;&gt;"", "_" &amp; B86, "")</f>
        <v>Mota_etal_2015</v>
      </c>
      <c r="G86" t="str">
        <f>SUBSTITUTE(SUBSTITUTE(_xlfn.TEXTBEFORE(A86,","), "-", ""), " ", "")</f>
        <v>Mota</v>
      </c>
      <c r="H86" t="str">
        <f>IF(ISNUMBER(FIND("&amp;", A86)),
IF(LEN(A86)-LEN(SUBSTITUTE(A86, ",", ""))&gt;=6, "etal", MID(A86, SEARCH("&amp; ", A86)+2, SEARCH(",", A86, SEARCH("&amp; ", A86)+2) - SEARCH("&amp; ", A86)-2)),
""
)</f>
        <v>etal</v>
      </c>
      <c r="I86" t="str">
        <f>_xlfn.TEXTBEFORE(_xlfn.TEXTAFTER(A86, "("), ")")</f>
        <v>2015</v>
      </c>
      <c r="J86" t="str">
        <f>IF(C86&lt;&gt;"", C86, IF(C86="", _xlfn.TEXTAFTER(A86,"https://doi.org/"), C86))</f>
        <v>10.1126/science.aaa9101</v>
      </c>
      <c r="K86" t="str">
        <f>TRIM(_xlfn.TEXTJOIN("_",FALSE,F86,(SUBSTITUTE(SUBSTITUTE(D86," ",""), "_", ""))))</f>
        <v>Mota_etal_2015_TableS1</v>
      </c>
      <c r="L86" t="str">
        <f>IF(ISBLANK(C86),TRIM(SUBSTITUTE(SUBSTITUTE(SUBSTITUTE(_xlfn.TEXTJOIN("_", FALSE, J86, SUBSTITUTE(D86,"_", "")), "/", "%2F"), ":", "%3A"), " ", "")),TRIM(SUBSTITUTE(SUBSTITUTE(SUBSTITUTE(_xlfn.TEXTJOIN("_", FALSE, C86, SUBSTITUTE(D86,"_", "")), "/", "%2F"), ":", "%3A"), " ", "")))</f>
        <v>10.1126%2Fscience.aaa9101_TableS1</v>
      </c>
      <c r="M86" t="str">
        <f t="array" ref="M86">IFERROR(INDEX(FileList!$A$1:$A$100, MATCH(L86, _xlfn.TEXTBEFORE(FileList!$A$1:$A$100, ".tsv"), 0)), "notfound")</f>
        <v>10.1126%2Fscience.aaa9101_TableS1.tsv</v>
      </c>
      <c r="Q86" s="5" t="s">
        <v>69</v>
      </c>
    </row>
    <row r="87" spans="1:31" x14ac:dyDescent="0.2">
      <c r="A87" s="5" t="s">
        <v>305</v>
      </c>
      <c r="D87" s="5" t="s">
        <v>306</v>
      </c>
      <c r="E87" t="str">
        <f>RIGHT(A87,1)</f>
        <v>6</v>
      </c>
      <c r="F87" t="str">
        <f>G87 &amp; IF(H87&lt;&gt;"", "_" &amp; H87, "_") &amp; IF(I87&lt;&gt;"", "_" &amp; I87, "_") &amp; IF(B87&lt;&gt;"", "_" &amp; B87, "")</f>
        <v>Mota_etal_2019</v>
      </c>
      <c r="G87" t="str">
        <f>SUBSTITUTE(SUBSTITUTE(_xlfn.TEXTBEFORE(A87,","), "-", ""), " ", "")</f>
        <v>Mota</v>
      </c>
      <c r="H87" t="str">
        <f>IF(ISNUMBER(FIND("&amp;", A87)),
IF(LEN(A87)-LEN(SUBSTITUTE(A87, ",", ""))&gt;=6, "etal", MID(A87, SEARCH("&amp; ", A87)+2, SEARCH(",", A87, SEARCH("&amp; ", A87)+2) - SEARCH("&amp; ", A87)-2)),
""
)</f>
        <v>etal</v>
      </c>
      <c r="I87" t="str">
        <f>_xlfn.TEXTBEFORE(_xlfn.TEXTAFTER(A87, "("), ")")</f>
        <v>2019</v>
      </c>
      <c r="J87" t="str">
        <f>IF(C87&lt;&gt;"", C87, IF(C87="", _xlfn.TEXTAFTER(A87,"https://doi.org/"), C87))</f>
        <v>10.1073/pnas.1716956116</v>
      </c>
      <c r="K87" t="str">
        <f>TRIM(_xlfn.TEXTJOIN("_",FALSE,F87,(SUBSTITUTE(SUBSTITUTE(D87," ",""), "_", ""))))</f>
        <v>Mota_etal_2019_SupplementaryTableS1</v>
      </c>
      <c r="L87" t="str">
        <f>IF(ISBLANK(C87),TRIM(SUBSTITUTE(SUBSTITUTE(SUBSTITUTE(_xlfn.TEXTJOIN("_", FALSE, J87, SUBSTITUTE(D87,"_", "")), "/", "%2F"), ":", "%3A"), " ", "")),TRIM(SUBSTITUTE(SUBSTITUTE(SUBSTITUTE(_xlfn.TEXTJOIN("_", FALSE, C87, SUBSTITUTE(D87,"_", "")), "/", "%2F"), ":", "%3A"), " ", "")))</f>
        <v>10.1073%2Fpnas.1716956116_SupplementaryTableS1</v>
      </c>
      <c r="M87" t="str">
        <f t="array" ref="M87">IFERROR(INDEX(FileList!$A$1:$A$100, MATCH(L87, _xlfn.TEXTBEFORE(FileList!$A$1:$A$100, ".tsv"), 0)), "notfound")</f>
        <v>notfound</v>
      </c>
      <c r="N87" s="5" t="s">
        <v>307</v>
      </c>
      <c r="P87" s="5" t="s">
        <v>178</v>
      </c>
      <c r="AC87" s="5" t="s">
        <v>308</v>
      </c>
    </row>
    <row r="88" spans="1:31" x14ac:dyDescent="0.2">
      <c r="A88" s="5" t="s">
        <v>309</v>
      </c>
      <c r="C88" s="5" t="s">
        <v>310</v>
      </c>
      <c r="D88" s="5" t="s">
        <v>311</v>
      </c>
      <c r="E88" t="str">
        <f>RIGHT(A88,1)</f>
        <v>5</v>
      </c>
      <c r="F88" t="str">
        <f>G88 &amp; IF(H88&lt;&gt;"", "_" &amp; H88, "_") &amp; IF(I88&lt;&gt;"", "_" &amp; I88, "_") &amp; IF(B88&lt;&gt;"", "_" &amp; B88, "")</f>
        <v>Powell_etal_2017</v>
      </c>
      <c r="G88" t="str">
        <f>SUBSTITUTE(SUBSTITUTE(_xlfn.TEXTBEFORE(A88,","), "-", ""), " ", "")</f>
        <v>Powell</v>
      </c>
      <c r="H88" t="str">
        <f>IF(ISNUMBER(FIND("&amp;", A88)),
IF(LEN(A88)-LEN(SUBSTITUTE(A88, ",", ""))&gt;=6, "etal", MID(A88, SEARCH("&amp; ", A88)+2, SEARCH(",", A88, SEARCH("&amp; ", A88)+2) - SEARCH("&amp; ", A88)-2)),
""
)</f>
        <v>etal</v>
      </c>
      <c r="I88" t="str">
        <f>_xlfn.TEXTBEFORE(_xlfn.TEXTAFTER(A88, "("), ")")</f>
        <v>2017</v>
      </c>
      <c r="J88" t="str">
        <f>IF(C88&lt;&gt;"", C88, IF(C88="", _xlfn.TEXTAFTER(A88,"https://doi.org/"), C88))</f>
        <v>10.6084/m9.figshare.c.3899422.v1</v>
      </c>
      <c r="K88" t="str">
        <f>TRIM(_xlfn.TEXTJOIN("_",FALSE,F88,(SUBSTITUTE(SUBSTITUTE(D88," ",""), "_", ""))))</f>
        <v>Powell_etal_2017_Dataset1</v>
      </c>
      <c r="L88" t="str">
        <f>IF(ISBLANK(C88),TRIM(SUBSTITUTE(SUBSTITUTE(SUBSTITUTE(_xlfn.TEXTJOIN("_", FALSE, J88, SUBSTITUTE(D88,"_", "")), "/", "%2F"), ":", "%3A"), " ", "")),TRIM(SUBSTITUTE(SUBSTITUTE(SUBSTITUTE(_xlfn.TEXTJOIN("_", FALSE, C88, SUBSTITUTE(D88,"_", "")), "/", "%2F"), ":", "%3A"), " ", "")))</f>
        <v>10.6084%2Fm9.figshare.c.3899422.v1_Dataset1</v>
      </c>
      <c r="M88" t="str">
        <f t="array" ref="M88">IFERROR(INDEX(FileList!$A$1:$A$100, MATCH(L88, _xlfn.TEXTBEFORE(FileList!$A$1:$A$100, ".tsv"), 0)), "notfound")</f>
        <v>10.6084%2Fm9.figshare.c.3899422.v1_Dataset1.tsv</v>
      </c>
      <c r="P88" s="5" t="s">
        <v>178</v>
      </c>
      <c r="Q88" s="5" t="s">
        <v>112</v>
      </c>
      <c r="R88" s="7"/>
      <c r="T88" s="5" t="str">
        <f>IF(S88="N", R88, "write file name")</f>
        <v>write file name</v>
      </c>
      <c r="U88" s="5" t="s">
        <v>96</v>
      </c>
      <c r="V88" s="5" t="s">
        <v>36</v>
      </c>
      <c r="W88" s="5" t="s">
        <v>97</v>
      </c>
      <c r="X88" s="5" t="s">
        <v>312</v>
      </c>
      <c r="Y88" s="5" t="s">
        <v>313</v>
      </c>
      <c r="Z88" s="5" t="s">
        <v>75</v>
      </c>
      <c r="AC88" s="5" t="s">
        <v>74</v>
      </c>
      <c r="AE88" s="5" t="s">
        <v>100</v>
      </c>
    </row>
    <row r="89" spans="1:31" x14ac:dyDescent="0.2">
      <c r="A89" s="5" t="s">
        <v>391</v>
      </c>
      <c r="D89" s="5" t="s">
        <v>56</v>
      </c>
      <c r="E89" t="str">
        <f>RIGHT(A89,1)</f>
        <v>3</v>
      </c>
      <c r="F89" t="str">
        <f>G89 &amp; IF(H89&lt;&gt;"", "_" &amp; H89, "_") &amp; IF(I89&lt;&gt;"", "_" &amp; I89, "_") &amp; IF(B89&lt;&gt;"", "_" &amp; B89, "")</f>
        <v>Sherwood_etal_2005</v>
      </c>
      <c r="G89" t="str">
        <f>SUBSTITUTE(SUBSTITUTE(_xlfn.TEXTBEFORE(A89,","), "-", ""), " ", "")</f>
        <v>Sherwood</v>
      </c>
      <c r="H89" t="str">
        <f>IF(ISNUMBER(FIND("&amp;", A89)),
IF(LEN(A89)-LEN(SUBSTITUTE(A89, ",", ""))&gt;=6, "etal", MID(A89, SEARCH("&amp; ", A89)+2, SEARCH(",", A89, SEARCH("&amp; ", A89)+2) - SEARCH("&amp; ", A89)-2)),
""
)</f>
        <v>etal</v>
      </c>
      <c r="I89" t="str">
        <f>_xlfn.TEXTBEFORE(_xlfn.TEXTAFTER(A89, "("), ")")</f>
        <v>2005</v>
      </c>
      <c r="J89" t="str">
        <f>IF(C89&lt;&gt;"", C89, IF(C89="", _xlfn.TEXTAFTER(A89,"https://doi.org/"), C89))</f>
        <v>10.1016/j.jhevol.2004.10.003</v>
      </c>
      <c r="K89" t="str">
        <f>TRIM(_xlfn.TEXTJOIN("_",FALSE,F89,(SUBSTITUTE(SUBSTITUTE(D89," ",""), "_", ""))))</f>
        <v>Sherwood_etal_2005_Table1</v>
      </c>
      <c r="L89" t="str">
        <f>IF(ISBLANK(C89),TRIM(SUBSTITUTE(SUBSTITUTE(SUBSTITUTE(_xlfn.TEXTJOIN("_", FALSE, J89, SUBSTITUTE(D89,"_", "")), "/", "%2F"), ":", "%3A"), " ", "")),TRIM(SUBSTITUTE(SUBSTITUTE(SUBSTITUTE(_xlfn.TEXTJOIN("_", FALSE, C89, SUBSTITUTE(D89,"_", "")), "/", "%2F"), ":", "%3A"), " ", "")))</f>
        <v>10.1016%2Fj.jhevol.2004.10.003_Table1</v>
      </c>
      <c r="M89" t="str">
        <f t="array" ref="M89">IFERROR(INDEX(FileList!$A$1:$A$100, MATCH(L89, _xlfn.TEXTBEFORE(FileList!$A$1:$A$100, ".tsv"), 0)), "notfound")</f>
        <v>notfound</v>
      </c>
      <c r="N89" s="5" t="s">
        <v>392</v>
      </c>
      <c r="V89" s="5" t="s">
        <v>36</v>
      </c>
      <c r="Y89" s="5" t="s">
        <v>393</v>
      </c>
      <c r="Z89" s="5" t="s">
        <v>49</v>
      </c>
      <c r="AA89" s="5" t="s">
        <v>59</v>
      </c>
      <c r="AB89" s="5" t="s">
        <v>343</v>
      </c>
    </row>
    <row r="90" spans="1:31" x14ac:dyDescent="0.2">
      <c r="A90" s="5" t="s">
        <v>314</v>
      </c>
      <c r="B90" s="5" t="s">
        <v>315</v>
      </c>
      <c r="D90" s="5" t="s">
        <v>35</v>
      </c>
      <c r="E90" t="str">
        <f>RIGHT(A90,1)</f>
        <v>2</v>
      </c>
      <c r="F90" t="str">
        <f>G90 &amp; IF(H90&lt;&gt;"", "_" &amp; H90, "_") &amp; IF(I90&lt;&gt;"", "_" &amp; I90, "_") &amp; IF(B90&lt;&gt;"", "_" &amp; B90, "")</f>
        <v>Sherwood_etal_2004_I</v>
      </c>
      <c r="G90" t="str">
        <f>SUBSTITUTE(SUBSTITUTE(_xlfn.TEXTBEFORE(A90,","), "-", ""), " ", "")</f>
        <v>Sherwood</v>
      </c>
      <c r="H90" t="str">
        <f>IF(ISNUMBER(FIND("&amp;", A90)),
IF(LEN(A90)-LEN(SUBSTITUTE(A90, ",", ""))&gt;=6, "etal", MID(A90, SEARCH("&amp; ", A90)+2, SEARCH(",", A90, SEARCH("&amp; ", A90)+2) - SEARCH("&amp; ", A90)-2)),
""
)</f>
        <v>etal</v>
      </c>
      <c r="I90" t="str">
        <f>_xlfn.TEXTBEFORE(_xlfn.TEXTAFTER(A90, "("), ")")</f>
        <v>2004</v>
      </c>
      <c r="J90" t="str">
        <f>IF(C90&lt;&gt;"", C90, IF(C90="", _xlfn.TEXTAFTER(A90,"https://doi.org/"), C90))</f>
        <v>10.1159/000075672</v>
      </c>
      <c r="K90" t="str">
        <f>TRIM(_xlfn.TEXTJOIN("_",FALSE,F90,(SUBSTITUTE(SUBSTITUTE(D90," ",""), "_", ""))))</f>
        <v>Sherwood_etal_2004_I_Table4</v>
      </c>
      <c r="L90" t="str">
        <f>IF(ISBLANK(C90),TRIM(SUBSTITUTE(SUBSTITUTE(SUBSTITUTE(_xlfn.TEXTJOIN("_", FALSE, J90, SUBSTITUTE(D90,"_", "")), "/", "%2F"), ":", "%3A"), " ", "")),TRIM(SUBSTITUTE(SUBSTITUTE(SUBSTITUTE(_xlfn.TEXTJOIN("_", FALSE, C90, SUBSTITUTE(D90,"_", "")), "/", "%2F"), ":", "%3A"), " ", "")))</f>
        <v>10.1159%2F000075672_Table4</v>
      </c>
      <c r="M90" t="str">
        <f t="array" ref="M90">IFERROR(INDEX(FileList!$A$1:$A$100, MATCH(L90, _xlfn.TEXTBEFORE(FileList!$A$1:$A$100, ".tsv"), 0)), "notfound")</f>
        <v>notfound</v>
      </c>
      <c r="N90" s="5" t="s">
        <v>316</v>
      </c>
      <c r="P90" s="5" t="s">
        <v>300</v>
      </c>
      <c r="Q90" s="5" t="s">
        <v>112</v>
      </c>
      <c r="R90" s="7"/>
      <c r="T90" s="5" t="str">
        <f>IF(S90="N", R90, "write file name")</f>
        <v>write file name</v>
      </c>
      <c r="U90" s="5" t="s">
        <v>45</v>
      </c>
      <c r="V90" s="5" t="s">
        <v>317</v>
      </c>
      <c r="Y90" s="5" t="s">
        <v>318</v>
      </c>
      <c r="Z90" s="5" t="s">
        <v>49</v>
      </c>
      <c r="AE90" s="5" t="s">
        <v>100</v>
      </c>
    </row>
    <row r="91" spans="1:31" x14ac:dyDescent="0.2">
      <c r="A91" s="5" t="s">
        <v>314</v>
      </c>
      <c r="B91" s="5" t="s">
        <v>315</v>
      </c>
      <c r="D91" s="5" t="s">
        <v>229</v>
      </c>
      <c r="E91" t="str">
        <f>RIGHT(A91,1)</f>
        <v>2</v>
      </c>
      <c r="F91" t="str">
        <f>G91 &amp; IF(H91&lt;&gt;"", "_" &amp; H91, "_") &amp; IF(I91&lt;&gt;"", "_" &amp; I91, "_") &amp; IF(B91&lt;&gt;"", "_" &amp; B91, "")</f>
        <v>Sherwood_etal_2004_I</v>
      </c>
      <c r="G91" t="str">
        <f>SUBSTITUTE(SUBSTITUTE(_xlfn.TEXTBEFORE(A91,","), "-", ""), " ", "")</f>
        <v>Sherwood</v>
      </c>
      <c r="H91" t="str">
        <f>IF(ISNUMBER(FIND("&amp;", A91)),
IF(LEN(A91)-LEN(SUBSTITUTE(A91, ",", ""))&gt;=6, "etal", MID(A91, SEARCH("&amp; ", A91)+2, SEARCH(",", A91, SEARCH("&amp; ", A91)+2) - SEARCH("&amp; ", A91)-2)),
""
)</f>
        <v>etal</v>
      </c>
      <c r="I91" t="str">
        <f>_xlfn.TEXTBEFORE(_xlfn.TEXTAFTER(A91, "("), ")")</f>
        <v>2004</v>
      </c>
      <c r="J91" t="str">
        <f>IF(C91&lt;&gt;"", C91, IF(C91="", _xlfn.TEXTAFTER(A91,"https://doi.org/"), C91))</f>
        <v>10.1159/000075672</v>
      </c>
      <c r="K91" t="str">
        <f>TRIM(_xlfn.TEXTJOIN("_",FALSE,F91,(SUBSTITUTE(SUBSTITUTE(D91," ",""), "_", ""))))</f>
        <v>Sherwood_etal_2004_I_Table5</v>
      </c>
      <c r="L91" t="str">
        <f>IF(ISBLANK(C91),TRIM(SUBSTITUTE(SUBSTITUTE(SUBSTITUTE(_xlfn.TEXTJOIN("_", FALSE, J91, SUBSTITUTE(D91,"_", "")), "/", "%2F"), ":", "%3A"), " ", "")),TRIM(SUBSTITUTE(SUBSTITUTE(SUBSTITUTE(_xlfn.TEXTJOIN("_", FALSE, C91, SUBSTITUTE(D91,"_", "")), "/", "%2F"), ":", "%3A"), " ", "")))</f>
        <v>10.1159%2F000075672_Table5</v>
      </c>
      <c r="M91" t="str">
        <f t="array" ref="M91">IFERROR(INDEX(FileList!$A$1:$A$100, MATCH(L91, _xlfn.TEXTBEFORE(FileList!$A$1:$A$100, ".tsv"), 0)), "notfound")</f>
        <v>notfound</v>
      </c>
      <c r="N91" s="5" t="s">
        <v>319</v>
      </c>
      <c r="P91" s="5" t="s">
        <v>300</v>
      </c>
      <c r="Q91" s="5" t="s">
        <v>112</v>
      </c>
      <c r="R91" s="7"/>
      <c r="T91" s="5" t="str">
        <f>IF(S91="N", R91, "write file name")</f>
        <v>write file name</v>
      </c>
      <c r="U91" s="5" t="s">
        <v>45</v>
      </c>
      <c r="V91" s="5" t="s">
        <v>317</v>
      </c>
      <c r="Y91" s="5" t="s">
        <v>318</v>
      </c>
      <c r="Z91" s="5" t="s">
        <v>49</v>
      </c>
      <c r="AE91" s="5" t="s">
        <v>100</v>
      </c>
    </row>
    <row r="92" spans="1:31" x14ac:dyDescent="0.2">
      <c r="A92" s="5" t="s">
        <v>408</v>
      </c>
      <c r="D92" s="5" t="s">
        <v>56</v>
      </c>
      <c r="E92" t="str">
        <f>RIGHT(A92,1)</f>
        <v>0</v>
      </c>
      <c r="F92" t="str">
        <f>G92 &amp; IF(H92&lt;&gt;"", "_" &amp; H92, "_") &amp; IF(I92&lt;&gt;"", "_" &amp; I92, "_") &amp; IF(B92&lt;&gt;"", "_" &amp; B92, "")</f>
        <v>Smaers_etal_2017</v>
      </c>
      <c r="G92" t="str">
        <f>SUBSTITUTE(SUBSTITUTE(_xlfn.TEXTBEFORE(A92,","), "-", ""), " ", "")</f>
        <v>Smaers</v>
      </c>
      <c r="H92" t="str">
        <f>IF(ISNUMBER(FIND("&amp;", A92)),
IF(LEN(A92)-LEN(SUBSTITUTE(A92, ",", ""))&gt;=6, "etal", MID(A92, SEARCH("&amp; ", A92)+2, SEARCH(",", A92, SEARCH("&amp; ", A92)+2) - SEARCH("&amp; ", A92)-2)),
""
)</f>
        <v>etal</v>
      </c>
      <c r="I92" t="str">
        <f>_xlfn.TEXTBEFORE(_xlfn.TEXTAFTER(A92, "("), ")")</f>
        <v>2017</v>
      </c>
      <c r="J92" t="str">
        <f>IF(C92&lt;&gt;"", C92, IF(C92="", _xlfn.TEXTAFTER(A92,"https://doi.org/"), C92))</f>
        <v>10.1016/j.cub.2017.01.020</v>
      </c>
      <c r="K92" t="str">
        <f>TRIM(_xlfn.TEXTJOIN("_",FALSE,F92,(SUBSTITUTE(SUBSTITUTE(D92," ",""), "_", ""))))</f>
        <v>Smaers_etal_2017_Table1</v>
      </c>
      <c r="L92" t="str">
        <f>IF(ISBLANK(C92),TRIM(SUBSTITUTE(SUBSTITUTE(SUBSTITUTE(_xlfn.TEXTJOIN("_", FALSE, J92, SUBSTITUTE(D92,"_", "")), "/", "%2F"), ":", "%3A"), " ", "")),TRIM(SUBSTITUTE(SUBSTITUTE(SUBSTITUTE(_xlfn.TEXTJOIN("_", FALSE, C92, SUBSTITUTE(D92,"_", "")), "/", "%2F"), ":", "%3A"), " ", "")))</f>
        <v>10.1016%2Fj.cub.2017.01.020_Table1</v>
      </c>
      <c r="M92" t="str">
        <f t="array" ref="M92">IFERROR(INDEX(FileList!$A$1:$A$100, MATCH(L92, _xlfn.TEXTBEFORE(FileList!$A$1:$A$100, ".tsv"), 0)), "notfound")</f>
        <v>notfound</v>
      </c>
      <c r="N92" s="5" t="s">
        <v>409</v>
      </c>
      <c r="V92" s="5" t="s">
        <v>36</v>
      </c>
      <c r="Y92" s="5" t="s">
        <v>410</v>
      </c>
      <c r="Z92" s="5" t="s">
        <v>49</v>
      </c>
      <c r="AA92" s="5" t="s">
        <v>411</v>
      </c>
      <c r="AB92" s="5" t="s">
        <v>412</v>
      </c>
    </row>
    <row r="93" spans="1:31" x14ac:dyDescent="0.2">
      <c r="A93" s="5" t="s">
        <v>320</v>
      </c>
      <c r="D93" s="5" t="s">
        <v>321</v>
      </c>
      <c r="E93" t="str">
        <f>RIGHT(A93,1)</f>
        <v>1</v>
      </c>
      <c r="F93" t="str">
        <f>G93 &amp; IF(H93&lt;&gt;"", "_" &amp; H93, "_") &amp; IF(I93&lt;&gt;"", "_" &amp; I93, "_") &amp; IF(B93&lt;&gt;"", "_" &amp; B93, "")</f>
        <v>Smaers_etal_2011</v>
      </c>
      <c r="G93" t="str">
        <f>SUBSTITUTE(SUBSTITUTE(_xlfn.TEXTBEFORE(A93,","), "-", ""), " ", "")</f>
        <v>Smaers</v>
      </c>
      <c r="H93" t="str">
        <f>IF(ISNUMBER(FIND("&amp;", A93)),
IF(LEN(A93)-LEN(SUBSTITUTE(A93, ",", ""))&gt;=6, "etal", MID(A93, SEARCH("&amp; ", A93)+2, SEARCH(",", A93, SEARCH("&amp; ", A93)+2) - SEARCH("&amp; ", A93)-2)),
""
)</f>
        <v>etal</v>
      </c>
      <c r="I93" t="str">
        <f>_xlfn.TEXTBEFORE(_xlfn.TEXTAFTER(A93, "("), ")")</f>
        <v>2011</v>
      </c>
      <c r="J93" t="str">
        <f>IF(C93&lt;&gt;"", C93, IF(C93="", _xlfn.TEXTAFTER(A93,"https://doi.org/"), C93))</f>
        <v>10.1159/000323671</v>
      </c>
      <c r="K93" t="str">
        <f>TRIM(_xlfn.TEXTJOIN("_",FALSE,F93,(SUBSTITUTE(SUBSTITUTE(D93," ",""), "_", ""))))</f>
        <v>Smaers_etal_2011_SupplementaryTable1</v>
      </c>
      <c r="L93" t="str">
        <f>IF(ISBLANK(C93),TRIM(SUBSTITUTE(SUBSTITUTE(SUBSTITUTE(_xlfn.TEXTJOIN("_", FALSE, J93, SUBSTITUTE(D93,"_", "")), "/", "%2F"), ":", "%3A"), " ", "")),TRIM(SUBSTITUTE(SUBSTITUTE(SUBSTITUTE(_xlfn.TEXTJOIN("_", FALSE, C93, SUBSTITUTE(D93,"_", "")), "/", "%2F"), ":", "%3A"), " ", "")))</f>
        <v>10.1159%2F000323671_SupplementaryTable1</v>
      </c>
      <c r="M93" t="str">
        <f t="array" ref="M93">IFERROR(INDEX(FileList!$A$1:$A$100, MATCH(L93, _xlfn.TEXTBEFORE(FileList!$A$1:$A$100, ".tsv"), 0)), "notfound")</f>
        <v>10.1159%2F000323671_SupplementaryTable1.tsv</v>
      </c>
      <c r="Q93" s="5" t="s">
        <v>69</v>
      </c>
    </row>
    <row r="94" spans="1:31" x14ac:dyDescent="0.2">
      <c r="A94" s="5" t="s">
        <v>320</v>
      </c>
      <c r="D94" s="5" t="s">
        <v>322</v>
      </c>
      <c r="E94" t="str">
        <f>RIGHT(A94,1)</f>
        <v>1</v>
      </c>
      <c r="F94" t="str">
        <f>G94 &amp; IF(H94&lt;&gt;"", "_" &amp; H94, "_") &amp; IF(I94&lt;&gt;"", "_" &amp; I94, "_") &amp; IF(B94&lt;&gt;"", "_" &amp; B94, "")</f>
        <v>Smaers_etal_2011</v>
      </c>
      <c r="G94" t="str">
        <f>SUBSTITUTE(SUBSTITUTE(_xlfn.TEXTBEFORE(A94,","), "-", ""), " ", "")</f>
        <v>Smaers</v>
      </c>
      <c r="H94" t="str">
        <f>IF(ISNUMBER(FIND("&amp;", A94)),
IF(LEN(A94)-LEN(SUBSTITUTE(A94, ",", ""))&gt;=6, "etal", MID(A94, SEARCH("&amp; ", A94)+2, SEARCH(",", A94, SEARCH("&amp; ", A94)+2) - SEARCH("&amp; ", A94)-2)),
""
)</f>
        <v>etal</v>
      </c>
      <c r="I94" t="str">
        <f>_xlfn.TEXTBEFORE(_xlfn.TEXTAFTER(A94, "("), ")")</f>
        <v>2011</v>
      </c>
      <c r="J94" t="str">
        <f>IF(C94&lt;&gt;"", C94, IF(C94="", _xlfn.TEXTAFTER(A94,"https://doi.org/"), C94))</f>
        <v>10.1159/000323671</v>
      </c>
      <c r="K94" t="str">
        <f>TRIM(_xlfn.TEXTJOIN("_",FALSE,F94,(SUBSTITUTE(SUBSTITUTE(D94," ",""), "_", ""))))</f>
        <v>Smaers_etal_2011_SupplementaryTable2</v>
      </c>
      <c r="L94" t="str">
        <f>IF(ISBLANK(C94),TRIM(SUBSTITUTE(SUBSTITUTE(SUBSTITUTE(_xlfn.TEXTJOIN("_", FALSE, J94, SUBSTITUTE(D94,"_", "")), "/", "%2F"), ":", "%3A"), " ", "")),TRIM(SUBSTITUTE(SUBSTITUTE(SUBSTITUTE(_xlfn.TEXTJOIN("_", FALSE, C94, SUBSTITUTE(D94,"_", "")), "/", "%2F"), ":", "%3A"), " ", "")))</f>
        <v>10.1159%2F000323671_SupplementaryTable2</v>
      </c>
      <c r="M94" t="str">
        <f t="array" ref="M94">IFERROR(INDEX(FileList!$A$1:$A$100, MATCH(L94, _xlfn.TEXTBEFORE(FileList!$A$1:$A$100, ".tsv"), 0)), "notfound")</f>
        <v>10.1159%2F000323671_SupplementaryTable2.tsv</v>
      </c>
      <c r="Q94" s="5" t="s">
        <v>69</v>
      </c>
    </row>
    <row r="95" spans="1:31" x14ac:dyDescent="0.2">
      <c r="A95" s="5" t="s">
        <v>344</v>
      </c>
      <c r="C95" s="5" t="s">
        <v>345</v>
      </c>
      <c r="D95" s="5" t="s">
        <v>86</v>
      </c>
      <c r="E95" t="str">
        <f>RIGHT(A95,1)</f>
        <v>3</v>
      </c>
      <c r="F95" t="str">
        <f>G95 &amp; IF(H95&lt;&gt;"", "_" &amp; H95, "_") &amp; IF(I95&lt;&gt;"", "_" &amp; I95, "_") &amp; IF(B95&lt;&gt;"", "_" &amp; B95, "")</f>
        <v>Stephan_etal_1982</v>
      </c>
      <c r="G95" t="str">
        <f>SUBSTITUTE(SUBSTITUTE(_xlfn.TEXTBEFORE(A95,","), "-", ""), " ", "")</f>
        <v>Stephan</v>
      </c>
      <c r="H95" t="str">
        <f>IF(ISNUMBER(FIND("&amp;", A95)),
IF(LEN(A95)-LEN(SUBSTITUTE(A95, ",", ""))&gt;=6, "etal", MID(A95, SEARCH("&amp; ", A95)+2, SEARCH(",", A95, SEARCH("&amp; ", A95)+2) - SEARCH("&amp; ", A95)-2)),
""
)</f>
        <v>etal</v>
      </c>
      <c r="I95" t="str">
        <f>_xlfn.TEXTBEFORE(_xlfn.TEXTAFTER(A95, "("), ")")</f>
        <v>1982</v>
      </c>
      <c r="J95" t="str">
        <f>IF(C95&lt;&gt;"", C95, IF(C95="", _xlfn.TEXTAFTER(A95,"https://doi.org/"), C95))</f>
        <v>PMID:7161483</v>
      </c>
      <c r="K95" t="str">
        <f>TRIM(_xlfn.TEXTJOIN("_",FALSE,F95,(SUBSTITUTE(SUBSTITUTE(D95," ",""), "_", ""))))</f>
        <v>Stephan_etal_1982_Table1</v>
      </c>
      <c r="L95" t="str">
        <f>IF(ISBLANK(C95),TRIM(SUBSTITUTE(SUBSTITUTE(SUBSTITUTE(_xlfn.TEXTJOIN("_", FALSE, J95, SUBSTITUTE(D95,"_", "")), "/", "%2F"), ":", "%3A"), " ", "")),TRIM(SUBSTITUTE(SUBSTITUTE(SUBSTITUTE(_xlfn.TEXTJOIN("_", FALSE, C95, SUBSTITUTE(D95,"_", "")), "/", "%2F"), ":", "%3A"), " ", "")))</f>
        <v>PMID%3A7161483_Table1</v>
      </c>
      <c r="M95" t="str">
        <f t="array" ref="M95">IFERROR(INDEX(FileList!$A$1:$A$100, MATCH(L95, _xlfn.TEXTBEFORE(FileList!$A$1:$A$100, ".tsv"), 0)), "notfound")</f>
        <v>notfound</v>
      </c>
      <c r="N95" s="5" t="s">
        <v>346</v>
      </c>
      <c r="V95" s="5" t="s">
        <v>36</v>
      </c>
      <c r="W95" s="5" t="s">
        <v>58</v>
      </c>
      <c r="Y95" s="5" t="s">
        <v>347</v>
      </c>
      <c r="Z95" s="5" t="s">
        <v>49</v>
      </c>
      <c r="AA95" s="5" t="s">
        <v>59</v>
      </c>
      <c r="AB95" s="5" t="s">
        <v>343</v>
      </c>
    </row>
    <row r="96" spans="1:31" x14ac:dyDescent="0.2">
      <c r="A96" s="5" t="s">
        <v>348</v>
      </c>
      <c r="C96" s="5" t="s">
        <v>349</v>
      </c>
      <c r="D96" s="5" t="s">
        <v>86</v>
      </c>
      <c r="E96" t="str">
        <f>RIGHT(A96,1)</f>
        <v>4</v>
      </c>
      <c r="F96" t="str">
        <f>G96 &amp; IF(H96&lt;&gt;"", "_" &amp; H96, "_") &amp; IF(I96&lt;&gt;"", "_" &amp; I96, "_") &amp; IF(B96&lt;&gt;"", "_" &amp; B96, "")</f>
        <v>Stephan_etal_1984</v>
      </c>
      <c r="G96" t="str">
        <f>SUBSTITUTE(SUBSTITUTE(_xlfn.TEXTBEFORE(A96,","), "-", ""), " ", "")</f>
        <v>Stephan</v>
      </c>
      <c r="H96" t="str">
        <f>IF(ISNUMBER(FIND("&amp;", A96)),
IF(LEN(A96)-LEN(SUBSTITUTE(A96, ",", ""))&gt;=6, "etal", MID(A96, SEARCH("&amp; ", A96)+2, SEARCH(",", A96, SEARCH("&amp; ", A96)+2) - SEARCH("&amp; ", A96)-2)),
""
)</f>
        <v>etal</v>
      </c>
      <c r="I96" t="str">
        <f>_xlfn.TEXTBEFORE(_xlfn.TEXTAFTER(A96, "("), ")")</f>
        <v>1984</v>
      </c>
      <c r="J96" t="str">
        <f>IF(C96&lt;&gt;"", C96, IF(C96="", _xlfn.TEXTAFTER(A96,"https://doi.org/"), C96))</f>
        <v>PMID:6481154</v>
      </c>
      <c r="K96" t="str">
        <f>TRIM(_xlfn.TEXTJOIN("_",FALSE,F96,(SUBSTITUTE(SUBSTITUTE(D96," ",""), "_", ""))))</f>
        <v>Stephan_etal_1984_Table1</v>
      </c>
      <c r="L96" t="str">
        <f>IF(ISBLANK(C96),TRIM(SUBSTITUTE(SUBSTITUTE(SUBSTITUTE(_xlfn.TEXTJOIN("_", FALSE, J96, SUBSTITUTE(D96,"_", "")), "/", "%2F"), ":", "%3A"), " ", "")),TRIM(SUBSTITUTE(SUBSTITUTE(SUBSTITUTE(_xlfn.TEXTJOIN("_", FALSE, C96, SUBSTITUTE(D96,"_", "")), "/", "%2F"), ":", "%3A"), " ", "")))</f>
        <v>PMID%3A6481154_Table1</v>
      </c>
      <c r="M96" t="str">
        <f t="array" ref="M96">IFERROR(INDEX(FileList!$A$1:$A$100, MATCH(L96, _xlfn.TEXTBEFORE(FileList!$A$1:$A$100, ".tsv"), 0)), "notfound")</f>
        <v>notfound</v>
      </c>
      <c r="N96" s="5" t="s">
        <v>350</v>
      </c>
      <c r="V96" s="5" t="s">
        <v>36</v>
      </c>
      <c r="W96" s="5" t="s">
        <v>58</v>
      </c>
      <c r="Y96" s="5" t="s">
        <v>351</v>
      </c>
      <c r="Z96" s="5" t="s">
        <v>49</v>
      </c>
      <c r="AA96" s="5" t="s">
        <v>59</v>
      </c>
      <c r="AB96" s="5" t="s">
        <v>343</v>
      </c>
    </row>
    <row r="97" spans="1:31" x14ac:dyDescent="0.2">
      <c r="A97" s="5" t="s">
        <v>356</v>
      </c>
      <c r="C97" s="5" t="s">
        <v>357</v>
      </c>
      <c r="D97" s="5" t="s">
        <v>56</v>
      </c>
      <c r="E97" t="str">
        <f>RIGHT(A97,1)</f>
        <v>5</v>
      </c>
      <c r="F97" t="str">
        <f>G97 &amp; IF(H97&lt;&gt;"", "_" &amp; H97, "_") &amp; IF(I97&lt;&gt;"", "_" &amp; I97, "_") &amp; IF(B97&lt;&gt;"", "_" &amp; B97, "")</f>
        <v>Stephan_etal_1987</v>
      </c>
      <c r="G97" t="str">
        <f>SUBSTITUTE(SUBSTITUTE(_xlfn.TEXTBEFORE(A97,","), "-", ""), " ", "")</f>
        <v>Stephan</v>
      </c>
      <c r="H97" t="str">
        <f>IF(ISNUMBER(FIND("&amp;", A97)),
IF(LEN(A97)-LEN(SUBSTITUTE(A97, ",", ""))&gt;=6, "etal", MID(A97, SEARCH("&amp; ", A97)+2, SEARCH(",", A97, SEARCH("&amp; ", A97)+2) - SEARCH("&amp; ", A97)-2)),
""
)</f>
        <v>etal</v>
      </c>
      <c r="I97" t="str">
        <f>_xlfn.TEXTBEFORE(_xlfn.TEXTAFTER(A97, "("), ")")</f>
        <v>1987</v>
      </c>
      <c r="J97" t="str">
        <f>IF(C97&lt;&gt;"", C97, IF(C97="", _xlfn.TEXTAFTER(A97,"https://doi.org/"), C97))</f>
        <v>PMID:3693895</v>
      </c>
      <c r="K97" t="str">
        <f>TRIM(_xlfn.TEXTJOIN("_",FALSE,F97,(SUBSTITUTE(SUBSTITUTE(D97," ",""), "_", ""))))</f>
        <v>Stephan_etal_1987_Table1</v>
      </c>
      <c r="L97" t="str">
        <f>IF(ISBLANK(C97),TRIM(SUBSTITUTE(SUBSTITUTE(SUBSTITUTE(_xlfn.TEXTJOIN("_", FALSE, J97, SUBSTITUTE(D97,"_", "")), "/", "%2F"), ":", "%3A"), " ", "")),TRIM(SUBSTITUTE(SUBSTITUTE(SUBSTITUTE(_xlfn.TEXTJOIN("_", FALSE, C97, SUBSTITUTE(D97,"_", "")), "/", "%2F"), ":", "%3A"), " ", "")))</f>
        <v>PMID%3A3693895_Table1</v>
      </c>
      <c r="M97" t="str">
        <f t="array" ref="M97">IFERROR(INDEX(FileList!$A$1:$A$100, MATCH(L97, _xlfn.TEXTBEFORE(FileList!$A$1:$A$100, ".tsv"), 0)), "notfound")</f>
        <v>notfound</v>
      </c>
      <c r="N97" s="5" t="s">
        <v>358</v>
      </c>
      <c r="V97" s="5" t="s">
        <v>36</v>
      </c>
      <c r="W97" s="5" t="s">
        <v>58</v>
      </c>
      <c r="Y97" s="5" t="s">
        <v>359</v>
      </c>
      <c r="Z97" s="5" t="s">
        <v>49</v>
      </c>
      <c r="AA97" s="5" t="s">
        <v>59</v>
      </c>
      <c r="AB97" s="5" t="s">
        <v>343</v>
      </c>
    </row>
    <row r="98" spans="1:31" x14ac:dyDescent="0.2">
      <c r="A98" s="5" t="s">
        <v>364</v>
      </c>
      <c r="D98" s="5" t="s">
        <v>56</v>
      </c>
      <c r="E98" t="str">
        <f>RIGHT(A98,1)</f>
        <v>3</v>
      </c>
      <c r="F98" t="str">
        <f>G98 &amp; IF(H98&lt;&gt;"", "_" &amp; H98, "_") &amp; IF(I98&lt;&gt;"", "_" &amp; I98, "_") &amp; IF(B98&lt;&gt;"", "_" &amp; B98, "")</f>
        <v>Stephan_etal_1981</v>
      </c>
      <c r="G98" t="str">
        <f>SUBSTITUTE(SUBSTITUTE(_xlfn.TEXTBEFORE(A98,","), "-", ""), " ", "")</f>
        <v>Stephan</v>
      </c>
      <c r="H98" t="str">
        <f>IF(ISNUMBER(FIND("&amp;", A98)),
IF(LEN(A98)-LEN(SUBSTITUTE(A98, ",", ""))&gt;=6, "etal", MID(A98, SEARCH("&amp; ", A98)+2, SEARCH(",", A98, SEARCH("&amp; ", A98)+2) - SEARCH("&amp; ", A98)-2)),
""
)</f>
        <v>etal</v>
      </c>
      <c r="I98" t="str">
        <f>_xlfn.TEXTBEFORE(_xlfn.TEXTAFTER(A98, "("), ")")</f>
        <v>1981</v>
      </c>
      <c r="J98" t="str">
        <f>IF(C98&lt;&gt;"", C98, IF(C98="", _xlfn.TEXTAFTER(A98,"https://doi.org/"), C98))</f>
        <v>10.1159/000155963</v>
      </c>
      <c r="K98" t="str">
        <f>TRIM(_xlfn.TEXTJOIN("_",FALSE,F98,(SUBSTITUTE(SUBSTITUTE(D98," ",""), "_", ""))))</f>
        <v>Stephan_etal_1981_Table1</v>
      </c>
      <c r="L98" t="str">
        <f>IF(ISBLANK(C98),TRIM(SUBSTITUTE(SUBSTITUTE(SUBSTITUTE(_xlfn.TEXTJOIN("_", FALSE, J98, SUBSTITUTE(D98,"_", "")), "/", "%2F"), ":", "%3A"), " ", "")),TRIM(SUBSTITUTE(SUBSTITUTE(SUBSTITUTE(_xlfn.TEXTJOIN("_", FALSE, C98, SUBSTITUTE(D98,"_", "")), "/", "%2F"), ":", "%3A"), " ", "")))</f>
        <v>10.1159%2F000155963_Table1</v>
      </c>
      <c r="M98" t="str">
        <f t="array" ref="M98">IFERROR(INDEX(FileList!$A$1:$A$100, MATCH(L98, _xlfn.TEXTBEFORE(FileList!$A$1:$A$100, ".tsv"), 0)), "notfound")</f>
        <v>notfound</v>
      </c>
      <c r="N98" s="5" t="s">
        <v>365</v>
      </c>
      <c r="V98" s="5" t="s">
        <v>36</v>
      </c>
      <c r="Y98" s="5" t="s">
        <v>366</v>
      </c>
      <c r="Z98" s="5" t="s">
        <v>49</v>
      </c>
      <c r="AA98" s="5" t="s">
        <v>59</v>
      </c>
      <c r="AB98" s="5" t="s">
        <v>343</v>
      </c>
    </row>
    <row r="99" spans="1:31" x14ac:dyDescent="0.2">
      <c r="A99" s="5" t="s">
        <v>323</v>
      </c>
      <c r="D99" s="5" t="s">
        <v>86</v>
      </c>
      <c r="E99" t="str">
        <f>RIGHT(A99,1)</f>
        <v>2</v>
      </c>
      <c r="F99" t="str">
        <f>G99 &amp; IF(H99&lt;&gt;"", "_" &amp; H99, "_") &amp; IF(I99&lt;&gt;"", "_" &amp; I99, "_") &amp; IF(B99&lt;&gt;"", "_" &amp; B99, "")</f>
        <v>Turner_etal_2016</v>
      </c>
      <c r="G99" t="str">
        <f>SUBSTITUTE(SUBSTITUTE(_xlfn.TEXTBEFORE(A99,","), "-", ""), " ", "")</f>
        <v>Turner</v>
      </c>
      <c r="H99" t="str">
        <f>IF(ISNUMBER(FIND("&amp;", A99)),
IF(LEN(A99)-LEN(SUBSTITUTE(A99, ",", ""))&gt;=6, "etal", MID(A99, SEARCH("&amp; ", A99)+2, SEARCH(",", A99, SEARCH("&amp; ", A99)+2) - SEARCH("&amp; ", A99)-2)),
""
)</f>
        <v>etal</v>
      </c>
      <c r="I99" t="str">
        <f>_xlfn.TEXTBEFORE(_xlfn.TEXTAFTER(A99, "("), ")")</f>
        <v>2016</v>
      </c>
      <c r="J99" t="str">
        <f>IF(C99&lt;&gt;"", C99, IF(C99="", _xlfn.TEXTAFTER(A99,"https://doi.org/"), C99))</f>
        <v>10.1159/000446762</v>
      </c>
      <c r="K99" t="str">
        <f>TRIM(_xlfn.TEXTJOIN("_",FALSE,F99,(SUBSTITUTE(SUBSTITUTE(D99," ",""), "_", ""))))</f>
        <v>Turner_etal_2016_Table1</v>
      </c>
      <c r="L99" t="str">
        <f>IF(ISBLANK(C99),TRIM(SUBSTITUTE(SUBSTITUTE(SUBSTITUTE(_xlfn.TEXTJOIN("_", FALSE, J99, SUBSTITUTE(D99,"_", "")), "/", "%2F"), ":", "%3A"), " ", "")),TRIM(SUBSTITUTE(SUBSTITUTE(SUBSTITUTE(_xlfn.TEXTJOIN("_", FALSE, C99, SUBSTITUTE(D99,"_", "")), "/", "%2F"), ":", "%3A"), " ", "")))</f>
        <v>10.1159%2F000446762_Table1</v>
      </c>
      <c r="M99" t="str">
        <f t="array" ref="M99">IFERROR(INDEX(FileList!$A$1:$A$100, MATCH(L99, _xlfn.TEXTBEFORE(FileList!$A$1:$A$100, ".tsv"), 0)), "notfound")</f>
        <v>notfound</v>
      </c>
      <c r="N99" s="5" t="s">
        <v>324</v>
      </c>
      <c r="Y99" s="5" t="s">
        <v>325</v>
      </c>
    </row>
    <row r="100" spans="1:31" x14ac:dyDescent="0.2">
      <c r="A100" s="5" t="s">
        <v>326</v>
      </c>
      <c r="D100" s="5" t="s">
        <v>327</v>
      </c>
      <c r="E100" t="str">
        <f>RIGHT(A100,1)</f>
        <v>1</v>
      </c>
      <c r="F100" t="str">
        <f>G100 &amp; IF(H100&lt;&gt;"", "_" &amp; H100, "_") &amp; IF(I100&lt;&gt;"", "_" &amp; I100, "_") &amp; IF(B100&lt;&gt;"", "_" &amp; B100, "")</f>
        <v>Wilman_etal_2014</v>
      </c>
      <c r="G100" t="str">
        <f>SUBSTITUTE(SUBSTITUTE(_xlfn.TEXTBEFORE(A100,","), "-", ""), " ", "")</f>
        <v>Wilman</v>
      </c>
      <c r="H100" t="str">
        <f>IF(ISNUMBER(FIND("&amp;", A100)),
IF(LEN(A100)-LEN(SUBSTITUTE(A100, ",", ""))&gt;=6, "etal", MID(A100, SEARCH("&amp; ", A100)+2, SEARCH(",", A100, SEARCH("&amp; ", A100)+2) - SEARCH("&amp; ", A100)-2)),
""
)</f>
        <v>etal</v>
      </c>
      <c r="I100" t="str">
        <f>_xlfn.TEXTBEFORE(_xlfn.TEXTAFTER(A100, "("), ")")</f>
        <v>2014</v>
      </c>
      <c r="J100" t="str">
        <f>IF(C100&lt;&gt;"", C100, IF(C100="", _xlfn.TEXTAFTER(A100,"https://doi.org/"), C100))</f>
        <v>10.1890/13-1917.1</v>
      </c>
      <c r="K100" t="str">
        <f>TRIM(_xlfn.TEXTJOIN("_",FALSE,F100,(SUBSTITUTE(SUBSTITUTE(D100," ",""), "_", ""))))</f>
        <v>Wilman_etal_2014_MamFuncDat.txt</v>
      </c>
      <c r="L100" t="str">
        <f>IF(ISBLANK(C100),TRIM(SUBSTITUTE(SUBSTITUTE(SUBSTITUTE(_xlfn.TEXTJOIN("_", FALSE, J100, SUBSTITUTE(D100,"_", "")), "/", "%2F"), ":", "%3A"), " ", "")),TRIM(SUBSTITUTE(SUBSTITUTE(SUBSTITUTE(_xlfn.TEXTJOIN("_", FALSE, C100, SUBSTITUTE(D100,"_", "")), "/", "%2F"), ":", "%3A"), " ", "")))</f>
        <v>10.1890%2F13-1917.1_MamFuncDat.txt</v>
      </c>
      <c r="M100" t="str">
        <f t="array" ref="M100">IFERROR(INDEX(FileList!$A$1:$A$100, MATCH(L100, _xlfn.TEXTBEFORE(FileList!$A$1:$A$100, ".tsv"), 0)), "notfound")</f>
        <v>notfound</v>
      </c>
    </row>
    <row r="101" spans="1:31" x14ac:dyDescent="0.2">
      <c r="A101" s="5" t="s">
        <v>328</v>
      </c>
      <c r="D101" s="5" t="s">
        <v>329</v>
      </c>
      <c r="E101" t="str">
        <f>RIGHT(A101,1)</f>
        <v>7</v>
      </c>
      <c r="F101" t="str">
        <f>G101 &amp; IF(H101&lt;&gt;"", "_" &amp; H101, "_") &amp; IF(I101&lt;&gt;"", "_" &amp; I101, "_") &amp; IF(B101&lt;&gt;"", "_" &amp; B101, "")</f>
        <v>Wimberly_etal_2021</v>
      </c>
      <c r="G101" t="str">
        <f>SUBSTITUTE(SUBSTITUTE(_xlfn.TEXTBEFORE(A101,","), "-", ""), " ", "")</f>
        <v>Wimberly</v>
      </c>
      <c r="H101" t="str">
        <f>IF(ISNUMBER(FIND("&amp;", A101)),
IF(LEN(A101)-LEN(SUBSTITUTE(A101, ",", ""))&gt;=6, "etal", MID(A101, SEARCH("&amp; ", A101)+2, SEARCH(",", A101, SEARCH("&amp; ", A101)+2) - SEARCH("&amp; ", A101)-2)),
""
)</f>
        <v>etal</v>
      </c>
      <c r="I101" t="str">
        <f>_xlfn.TEXTBEFORE(_xlfn.TEXTAFTER(A101, "("), ")")</f>
        <v>2021</v>
      </c>
      <c r="J101" t="str">
        <f>IF(C101&lt;&gt;"", C101, IF(C101="", _xlfn.TEXTAFTER(A101,"https://doi.org/"), C101))</f>
        <v>10.1098/rspb.2021.0937</v>
      </c>
      <c r="K101" t="str">
        <f>TRIM(_xlfn.TEXTJOIN("_",FALSE,F101,(SUBSTITUTE(SUBSTITUTE(D101," ",""), "_", ""))))</f>
        <v>Wimberly_etal_2021_mammalgait.txt</v>
      </c>
      <c r="L101" t="str">
        <f>IF(ISBLANK(C101),TRIM(SUBSTITUTE(SUBSTITUTE(SUBSTITUTE(_xlfn.TEXTJOIN("_", FALSE, J101, SUBSTITUTE(D101,"_", "")), "/", "%2F"), ":", "%3A"), " ", "")),TRIM(SUBSTITUTE(SUBSTITUTE(SUBSTITUTE(_xlfn.TEXTJOIN("_", FALSE, C101, SUBSTITUTE(D101,"_", "")), "/", "%2F"), ":", "%3A"), " ", "")))</f>
        <v>10.1098%2Frspb.2021.0937_mammalgait.txt</v>
      </c>
      <c r="M101" t="str">
        <f t="array" ref="M101">IFERROR(INDEX(FileList!$A$1:$A$100, MATCH(L101, _xlfn.TEXTBEFORE(FileList!$A$1:$A$100, ".tsv"), 0)), "notfound")</f>
        <v>notfound</v>
      </c>
      <c r="P101" s="5" t="s">
        <v>178</v>
      </c>
    </row>
    <row r="102" spans="1:31" x14ac:dyDescent="0.2">
      <c r="A102" s="5" t="s">
        <v>330</v>
      </c>
      <c r="D102" s="5" t="s">
        <v>331</v>
      </c>
      <c r="E102" t="str">
        <f>RIGHT(A102,1)</f>
        <v>5</v>
      </c>
      <c r="F102" t="str">
        <f>G102 &amp; IF(H102&lt;&gt;"", "_" &amp; H102, "_") &amp; IF(I102&lt;&gt;"", "_" &amp; I102, "_") &amp; IF(B102&lt;&gt;"", "_" &amp; B102, "")</f>
        <v>Winkler_Bryant_2021</v>
      </c>
      <c r="G102" t="str">
        <f>SUBSTITUTE(SUBSTITUTE(_xlfn.TEXTBEFORE(A102,","), "-", ""), " ", "")</f>
        <v>Winkler</v>
      </c>
      <c r="H102" t="str">
        <f>IF(ISNUMBER(FIND("&amp;", A102)),
IF(LEN(A102)-LEN(SUBSTITUTE(A102, ",", ""))&gt;=6, "etal", MID(A102, SEARCH("&amp; ", A102)+2, SEARCH(",", A102, SEARCH("&amp; ", A102)+2) - SEARCH("&amp; ", A102)-2)),
""
)</f>
        <v>Bryant</v>
      </c>
      <c r="I102" t="str">
        <f>_xlfn.TEXTBEFORE(_xlfn.TEXTAFTER(A102, "("), ")")</f>
        <v>2021</v>
      </c>
      <c r="J102" t="str">
        <f>IF(C102&lt;&gt;"", C102, IF(C102="", _xlfn.TEXTAFTER(A102,"https://doi.org/"), C102))</f>
        <v>10.1080/09524622.2021.1905065</v>
      </c>
      <c r="K102" t="str">
        <f>TRIM(_xlfn.TEXTJOIN("_",FALSE,F102,(SUBSTITUTE(SUBSTITUTE(D102," ",""), "_", ""))))</f>
        <v>Winkler_Bryant_2021_Figure1</v>
      </c>
      <c r="L102" t="str">
        <f>IF(ISBLANK(C102),TRIM(SUBSTITUTE(SUBSTITUTE(SUBSTITUTE(_xlfn.TEXTJOIN("_", FALSE, J102, SUBSTITUTE(D102,"_", "")), "/", "%2F"), ":", "%3A"), " ", "")),TRIM(SUBSTITUTE(SUBSTITUTE(SUBSTITUTE(_xlfn.TEXTJOIN("_", FALSE, C102, SUBSTITUTE(D102,"_", "")), "/", "%2F"), ":", "%3A"), " ", "")))</f>
        <v>10.1080%2F09524622.2021.1905065_Figure1</v>
      </c>
      <c r="M102" t="str">
        <f t="array" ref="M102">IFERROR(INDEX(FileList!$A$1:$A$100, MATCH(L102, _xlfn.TEXTBEFORE(FileList!$A$1:$A$100, ".tsv"), 0)), "notfound")</f>
        <v>notfound</v>
      </c>
      <c r="P102" s="5" t="s">
        <v>178</v>
      </c>
      <c r="Q102" s="5" t="s">
        <v>112</v>
      </c>
      <c r="R102" s="7"/>
      <c r="T102" s="5" t="str">
        <f>IF(S102="N", R102, "write file name")</f>
        <v>write file name</v>
      </c>
      <c r="U102" s="5" t="s">
        <v>45</v>
      </c>
      <c r="V102" s="5" t="s">
        <v>332</v>
      </c>
      <c r="Y102" s="5" t="s">
        <v>333</v>
      </c>
      <c r="AE102" s="5" t="s">
        <v>77</v>
      </c>
    </row>
    <row r="103" spans="1:31" x14ac:dyDescent="0.2">
      <c r="A103" s="5" t="s">
        <v>334</v>
      </c>
      <c r="D103" s="5" t="s">
        <v>86</v>
      </c>
      <c r="E103" t="str">
        <f>RIGHT(A103,1)</f>
        <v>0</v>
      </c>
      <c r="F103" t="str">
        <f>G103 &amp; IF(H103&lt;&gt;"", "_" &amp; H103, "_") &amp; IF(I103&lt;&gt;"", "_" &amp; I103, "_") &amp; IF(B103&lt;&gt;"", "_" &amp; B103, "")</f>
        <v>Young_etal_2013</v>
      </c>
      <c r="G103" t="str">
        <f>SUBSTITUTE(SUBSTITUTE(_xlfn.TEXTBEFORE(A103,","), "-", ""), " ", "")</f>
        <v>Young</v>
      </c>
      <c r="H103" t="str">
        <f>IF(ISNUMBER(FIND("&amp;", A103)),
IF(LEN(A103)-LEN(SUBSTITUTE(A103, ",", ""))&gt;=6, "etal", MID(A103, SEARCH("&amp; ", A103)+2, SEARCH(",", A103, SEARCH("&amp; ", A103)+2) - SEARCH("&amp; ", A103)-2)),
""
)</f>
        <v>etal</v>
      </c>
      <c r="I103" t="str">
        <f>_xlfn.TEXTBEFORE(_xlfn.TEXTAFTER(A103, "("), ")")</f>
        <v>2013</v>
      </c>
      <c r="J103" t="str">
        <f>IF(C103&lt;&gt;"", C103, IF(C103="", _xlfn.TEXTAFTER(A103,"https://doi.org/"), C103))</f>
        <v>10.3389/fncir.2013.00030</v>
      </c>
      <c r="K103" t="str">
        <f>TRIM(_xlfn.TEXTJOIN("_",FALSE,F103,(SUBSTITUTE(SUBSTITUTE(D103," ",""), "_", ""))))</f>
        <v>Young_etal_2013_Table1</v>
      </c>
      <c r="L103" t="str">
        <f>IF(ISBLANK(C103),TRIM(SUBSTITUTE(SUBSTITUTE(SUBSTITUTE(_xlfn.TEXTJOIN("_", FALSE, J103, SUBSTITUTE(D103,"_", "")), "/", "%2F"), ":", "%3A"), " ", "")),TRIM(SUBSTITUTE(SUBSTITUTE(SUBSTITUTE(_xlfn.TEXTJOIN("_", FALSE, C103, SUBSTITUTE(D103,"_", "")), "/", "%2F"), ":", "%3A"), " ", "")))</f>
        <v>10.3389%2Ffncir.2013.00030_Table1</v>
      </c>
      <c r="M103" t="str">
        <f t="array" ref="M103">IFERROR(INDEX(FileList!$A$1:$A$100, MATCH(L103, _xlfn.TEXTBEFORE(FileList!$A$1:$A$100, ".tsv"), 0)), "notfound")</f>
        <v>notfound</v>
      </c>
      <c r="P103" s="5" t="s">
        <v>300</v>
      </c>
      <c r="Q103" s="5" t="s">
        <v>112</v>
      </c>
      <c r="R103" s="7"/>
      <c r="T103" s="5" t="str">
        <f>IF(S103="N", R103, "write file name")</f>
        <v>write file name</v>
      </c>
      <c r="U103" s="5" t="s">
        <v>45</v>
      </c>
      <c r="V103" s="5" t="s">
        <v>36</v>
      </c>
      <c r="Y103" s="5" t="s">
        <v>335</v>
      </c>
      <c r="Z103" s="5" t="s">
        <v>49</v>
      </c>
      <c r="AE103" s="5" t="s">
        <v>100</v>
      </c>
    </row>
    <row r="104" spans="1:31" x14ac:dyDescent="0.2">
      <c r="A104" s="5" t="s">
        <v>413</v>
      </c>
      <c r="D104" s="5" t="s">
        <v>56</v>
      </c>
      <c r="E104" t="str">
        <f>RIGHT(A104,1)</f>
        <v>0</v>
      </c>
      <c r="F104" t="str">
        <f>G104 &amp; IF(H104&lt;&gt;"", "_" &amp; H104, "_") &amp; IF(I104&lt;&gt;"", "_" &amp; I104, "_") &amp; IF(B104&lt;&gt;"", "_" &amp; B104, "")</f>
        <v>Young_etal_2013</v>
      </c>
      <c r="G104" t="str">
        <f>SUBSTITUTE(SUBSTITUTE(_xlfn.TEXTBEFORE(A104,","), "-", ""), " ", "")</f>
        <v>Young</v>
      </c>
      <c r="H104" t="str">
        <f>IF(ISNUMBER(FIND("&amp;", A104)),
IF(LEN(A104)-LEN(SUBSTITUTE(A104, ",", ""))&gt;=6, "etal", MID(A104, SEARCH("&amp; ", A104)+2, SEARCH(",", A104, SEARCH("&amp; ", A104)+2) - SEARCH("&amp; ", A104)-2)),
""
)</f>
        <v>etal</v>
      </c>
      <c r="I104" t="str">
        <f>_xlfn.TEXTBEFORE(_xlfn.TEXTAFTER(A104, "("), ")")</f>
        <v>2013</v>
      </c>
      <c r="J104" t="str">
        <f>IF(C104&lt;&gt;"", C104, IF(C104="", _xlfn.TEXTAFTER(A104,"https://doi.org/"), C104))</f>
        <v>10.1073/pnas.1318894110</v>
      </c>
      <c r="K104" t="str">
        <f>TRIM(_xlfn.TEXTJOIN("_",FALSE,F104,(SUBSTITUTE(SUBSTITUTE(D104," ",""), "_", ""))))</f>
        <v>Young_etal_2013_Table1</v>
      </c>
      <c r="L104" t="str">
        <f>IF(ISBLANK(C104),TRIM(SUBSTITUTE(SUBSTITUTE(SUBSTITUTE(_xlfn.TEXTJOIN("_", FALSE, J104, SUBSTITUTE(D104,"_", "")), "/", "%2F"), ":", "%3A"), " ", "")),TRIM(SUBSTITUTE(SUBSTITUTE(SUBSTITUTE(_xlfn.TEXTJOIN("_", FALSE, C104, SUBSTITUTE(D104,"_", "")), "/", "%2F"), ":", "%3A"), " ", "")))</f>
        <v>10.1073%2Fpnas.1318894110_Table1</v>
      </c>
      <c r="M104" t="str">
        <f t="array" ref="M104">IFERROR(INDEX(FileList!$A$1:$A$100, MATCH(L104, _xlfn.TEXTBEFORE(FileList!$A$1:$A$100, ".tsv"), 0)), "notfound")</f>
        <v>notfound</v>
      </c>
      <c r="N104" s="5" t="s">
        <v>414</v>
      </c>
      <c r="V104" s="5" t="s">
        <v>36</v>
      </c>
      <c r="Y104" s="5" t="s">
        <v>415</v>
      </c>
      <c r="Z104" s="5" t="s">
        <v>49</v>
      </c>
      <c r="AA104" s="5" t="s">
        <v>397</v>
      </c>
      <c r="AB104" s="5" t="s">
        <v>398</v>
      </c>
    </row>
    <row r="105" spans="1:31" x14ac:dyDescent="0.2">
      <c r="A105" s="5" t="s">
        <v>416</v>
      </c>
      <c r="D105" s="5" t="s">
        <v>56</v>
      </c>
      <c r="E105" t="str">
        <f>RIGHT(A105,1)</f>
        <v>6</v>
      </c>
      <c r="F105" t="str">
        <f>G105 &amp; IF(H105&lt;&gt;"", "_" &amp; H105, "_") &amp; IF(I105&lt;&gt;"", "_" &amp; I105, "_") &amp; IF(B105&lt;&gt;"", "_" &amp; B105, "")</f>
        <v>Zilles_etal_2013</v>
      </c>
      <c r="G105" t="str">
        <f>SUBSTITUTE(SUBSTITUTE(_xlfn.TEXTBEFORE(A105,","), "-", ""), " ", "")</f>
        <v>Zilles</v>
      </c>
      <c r="H105" t="str">
        <f>IF(ISNUMBER(FIND("&amp;", A105)),
IF(LEN(A105)-LEN(SUBSTITUTE(A105, ",", ""))&gt;=6, "etal", MID(A105, SEARCH("&amp; ", A105)+2, SEARCH(",", A105, SEARCH("&amp; ", A105)+2) - SEARCH("&amp; ", A105)-2)),
""
)</f>
        <v>etal</v>
      </c>
      <c r="I105" t="str">
        <f>_xlfn.TEXTBEFORE(_xlfn.TEXTAFTER(A105, "("), ")")</f>
        <v>2013</v>
      </c>
      <c r="J105" t="str">
        <f>IF(C105&lt;&gt;"", C105, IF(C105="", _xlfn.TEXTAFTER(A105,"https://doi.org/"), C105))</f>
        <v>10.1016/j.tins.2013.01.006</v>
      </c>
      <c r="K105" t="str">
        <f>TRIM(_xlfn.TEXTJOIN("_",FALSE,F105,(SUBSTITUTE(SUBSTITUTE(D105," ",""), "_", ""))))</f>
        <v>Zilles_etal_2013_Table1</v>
      </c>
      <c r="L105" t="str">
        <f>IF(ISBLANK(C105),TRIM(SUBSTITUTE(SUBSTITUTE(SUBSTITUTE(_xlfn.TEXTJOIN("_", FALSE, J105, SUBSTITUTE(D105,"_", "")), "/", "%2F"), ":", "%3A"), " ", "")),TRIM(SUBSTITUTE(SUBSTITUTE(SUBSTITUTE(_xlfn.TEXTJOIN("_", FALSE, C105, SUBSTITUTE(D105,"_", "")), "/", "%2F"), ":", "%3A"), " ", "")))</f>
        <v>10.1016%2Fj.tins.2013.01.006_Table1</v>
      </c>
      <c r="M105" t="str">
        <f t="array" ref="M105">IFERROR(INDEX(FileList!$A$1:$A$100, MATCH(L105, _xlfn.TEXTBEFORE(FileList!$A$1:$A$100, ".tsv"), 0)), "notfound")</f>
        <v>notfound</v>
      </c>
      <c r="N105" s="5" t="s">
        <v>417</v>
      </c>
      <c r="V105" s="5" t="s">
        <v>36</v>
      </c>
      <c r="Y105" s="5" t="s">
        <v>418</v>
      </c>
      <c r="Z105" s="5" t="s">
        <v>49</v>
      </c>
      <c r="AA105" s="5" t="s">
        <v>419</v>
      </c>
      <c r="AB105" s="5" t="s">
        <v>420</v>
      </c>
    </row>
  </sheetData>
  <sortState xmlns:xlrd2="http://schemas.microsoft.com/office/spreadsheetml/2017/richdata2" ref="A2:AH105">
    <sortCondition ref="A2:A105"/>
    <sortCondition ref="K2:K105"/>
  </sortState>
  <hyperlinks>
    <hyperlink ref="X14" r:id="rId1" xr:uid="{00000000-0004-0000-0000-000000000000}"/>
    <hyperlink ref="X15" r:id="rId2" display="https://elifesciences.org/download/aHR0cHM6Ly9jZG4uZWxpZmVzY2llbmNlcy5vcmcvYXJ0aWNsZXMvNzc4NzUvZWxpZmUtNzc4NzUtdjEucGRmP2Nhbm9uaWNhbFVyaT1odHRwczovL2VsaWZlc2NpZW5jZXMub3JnL2FydGljbGVzLzc3ODc1/elife-77875-v1.pdf?_hash=NStjcL9fTlmy3AQDwSiM0YgMVB3UYjO8nDg0UbwN5gM%3D" xr:uid="{00000000-0004-0000-0000-000001000000}"/>
    <hyperlink ref="X17" r:id="rId3" xr:uid="{00000000-0004-0000-0000-000002000000}"/>
    <hyperlink ref="X28" r:id="rId4" xr:uid="{00000000-0004-0000-0000-000003000000}"/>
    <hyperlink ref="X32" r:id="rId5" xr:uid="{00000000-0004-0000-0000-000004000000}"/>
    <hyperlink ref="X39" r:id="rId6" xr:uid="{00000000-0004-0000-0000-000005000000}"/>
    <hyperlink ref="X40" r:id="rId7" xr:uid="{00000000-0004-0000-0000-000006000000}"/>
    <hyperlink ref="X42" r:id="rId8" xr:uid="{00000000-0004-0000-0000-000007000000}"/>
    <hyperlink ref="X43" r:id="rId9" xr:uid="{00000000-0004-0000-0000-000008000000}"/>
    <hyperlink ref="X45" r:id="rId10" xr:uid="{00000000-0004-0000-0000-000009000000}"/>
    <hyperlink ref="X44" r:id="rId11" xr:uid="{00000000-0004-0000-0000-00000A000000}"/>
    <hyperlink ref="X46" r:id="rId12" xr:uid="{00000000-0004-0000-0000-00000B000000}"/>
    <hyperlink ref="X47" r:id="rId13" xr:uid="{00000000-0004-0000-0000-00000C000000}"/>
    <hyperlink ref="X50" r:id="rId14" xr:uid="{00000000-0004-0000-0000-00000D000000}"/>
    <hyperlink ref="X72" r:id="rId15" xr:uid="{00000000-0004-0000-0000-00000E000000}"/>
    <hyperlink ref="X78" r:id="rId16" xr:uid="{00000000-0004-0000-0000-00000F000000}"/>
    <hyperlink ref="X79" r:id="rId17" xr:uid="{00000000-0004-0000-0000-000010000000}"/>
    <hyperlink ref="X84" r:id="rId18" xr:uid="{00000000-0004-0000-0000-000011000000}"/>
    <hyperlink ref="X88" r:id="rId19" xr:uid="{00000000-0004-0000-0000-000012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B8" sqref="B8"/>
    </sheetView>
  </sheetViews>
  <sheetFormatPr baseColWidth="10" defaultRowHeight="16" x14ac:dyDescent="0.2"/>
  <cols>
    <col min="1" max="1" width="26.1640625" customWidth="1"/>
  </cols>
  <sheetData>
    <row r="1" spans="1:2" x14ac:dyDescent="0.2">
      <c r="A1" t="s">
        <v>421</v>
      </c>
    </row>
    <row r="2" spans="1:2" x14ac:dyDescent="0.2">
      <c r="A2" t="s">
        <v>422</v>
      </c>
    </row>
    <row r="3" spans="1:2" x14ac:dyDescent="0.2">
      <c r="A3" s="3" t="s">
        <v>423</v>
      </c>
      <c r="B3" t="s">
        <v>424</v>
      </c>
    </row>
    <row r="4" spans="1:2" x14ac:dyDescent="0.2">
      <c r="A4" s="3" t="s">
        <v>425</v>
      </c>
      <c r="B4" t="s">
        <v>426</v>
      </c>
    </row>
    <row r="5" spans="1:2" x14ac:dyDescent="0.2">
      <c r="A5" s="3" t="s">
        <v>427</v>
      </c>
      <c r="B5" t="s">
        <v>428</v>
      </c>
    </row>
    <row r="6" spans="1:2" x14ac:dyDescent="0.2">
      <c r="A6" s="3" t="s">
        <v>429</v>
      </c>
      <c r="B6" t="s">
        <v>430</v>
      </c>
    </row>
    <row r="7" spans="1:2" x14ac:dyDescent="0.2">
      <c r="A7" s="3" t="s">
        <v>431</v>
      </c>
      <c r="B7" t="s">
        <v>432</v>
      </c>
    </row>
    <row r="8" spans="1:2" x14ac:dyDescent="0.2">
      <c r="A8" s="3" t="s">
        <v>433</v>
      </c>
      <c r="B8" t="s">
        <v>434</v>
      </c>
    </row>
    <row r="9" spans="1:2" x14ac:dyDescent="0.2">
      <c r="A9" s="3" t="s">
        <v>435</v>
      </c>
      <c r="B9" t="s">
        <v>436</v>
      </c>
    </row>
    <row r="10" spans="1:2" x14ac:dyDescent="0.2">
      <c r="A10" s="3" t="s">
        <v>437</v>
      </c>
      <c r="B10" t="s">
        <v>438</v>
      </c>
    </row>
    <row r="11" spans="1:2" x14ac:dyDescent="0.2">
      <c r="A11" s="3" t="s">
        <v>439</v>
      </c>
      <c r="B11" t="s">
        <v>440</v>
      </c>
    </row>
    <row r="12" spans="1:2" ht="17" customHeight="1" x14ac:dyDescent="0.2">
      <c r="A12" s="2" t="s">
        <v>441</v>
      </c>
      <c r="B12" t="s">
        <v>442</v>
      </c>
    </row>
    <row r="13" spans="1:2" x14ac:dyDescent="0.2">
      <c r="A13" s="4" t="s">
        <v>443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election activeCell="G35" sqref="G35"/>
    </sheetView>
  </sheetViews>
  <sheetFormatPr baseColWidth="10" defaultRowHeight="16" x14ac:dyDescent="0.2"/>
  <cols>
    <col min="1" max="1" width="1.83203125" customWidth="1"/>
    <col min="2" max="2" width="126" customWidth="1"/>
  </cols>
  <sheetData>
    <row r="1" spans="1:3" x14ac:dyDescent="0.2">
      <c r="A1" t="s">
        <v>444</v>
      </c>
    </row>
    <row r="2" spans="1:3" x14ac:dyDescent="0.2">
      <c r="C2" t="s">
        <v>445</v>
      </c>
    </row>
    <row r="3" spans="1:3" x14ac:dyDescent="0.2">
      <c r="A3">
        <v>1</v>
      </c>
      <c r="B3" t="s">
        <v>446</v>
      </c>
      <c r="C3" t="s">
        <v>447</v>
      </c>
    </row>
    <row r="4" spans="1:3" x14ac:dyDescent="0.2">
      <c r="A4">
        <v>2</v>
      </c>
      <c r="B4" t="s">
        <v>448</v>
      </c>
      <c r="C4" t="s">
        <v>449</v>
      </c>
    </row>
    <row r="5" spans="1:3" x14ac:dyDescent="0.2">
      <c r="A5">
        <v>3</v>
      </c>
      <c r="B5" t="s">
        <v>450</v>
      </c>
      <c r="C5" t="s">
        <v>451</v>
      </c>
    </row>
    <row r="6" spans="1:3" x14ac:dyDescent="0.2">
      <c r="A6">
        <v>4</v>
      </c>
      <c r="B6" t="s">
        <v>452</v>
      </c>
      <c r="C6" t="s">
        <v>453</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2"/>
  <sheetViews>
    <sheetView workbookViewId="0"/>
  </sheetViews>
  <sheetFormatPr baseColWidth="10" defaultRowHeight="16" x14ac:dyDescent="0.2"/>
  <sheetData>
    <row r="1" spans="1:1" x14ac:dyDescent="0.2">
      <c r="A1" t="s">
        <v>454</v>
      </c>
    </row>
    <row r="2" spans="1:1" x14ac:dyDescent="0.2">
      <c r="A2" t="s">
        <v>455</v>
      </c>
    </row>
    <row r="3" spans="1:1" x14ac:dyDescent="0.2">
      <c r="A3" t="s">
        <v>456</v>
      </c>
    </row>
    <row r="4" spans="1:1" x14ac:dyDescent="0.2">
      <c r="A4" t="s">
        <v>457</v>
      </c>
    </row>
    <row r="5" spans="1:1" x14ac:dyDescent="0.2">
      <c r="A5" t="s">
        <v>458</v>
      </c>
    </row>
    <row r="6" spans="1:1" x14ac:dyDescent="0.2">
      <c r="A6" t="s">
        <v>459</v>
      </c>
    </row>
    <row r="7" spans="1:1" x14ac:dyDescent="0.2">
      <c r="A7" t="s">
        <v>460</v>
      </c>
    </row>
    <row r="8" spans="1:1" x14ac:dyDescent="0.2">
      <c r="A8" t="s">
        <v>461</v>
      </c>
    </row>
    <row r="9" spans="1:1" x14ac:dyDescent="0.2">
      <c r="A9" t="s">
        <v>462</v>
      </c>
    </row>
    <row r="10" spans="1:1" x14ac:dyDescent="0.2">
      <c r="A10" t="s">
        <v>463</v>
      </c>
    </row>
    <row r="11" spans="1:1" x14ac:dyDescent="0.2">
      <c r="A11" t="s">
        <v>464</v>
      </c>
    </row>
    <row r="12" spans="1:1" x14ac:dyDescent="0.2">
      <c r="A12" t="s">
        <v>465</v>
      </c>
    </row>
    <row r="13" spans="1:1" x14ac:dyDescent="0.2">
      <c r="A13" t="s">
        <v>466</v>
      </c>
    </row>
    <row r="14" spans="1:1" x14ac:dyDescent="0.2">
      <c r="A14" t="s">
        <v>467</v>
      </c>
    </row>
    <row r="15" spans="1:1" x14ac:dyDescent="0.2">
      <c r="A15" t="s">
        <v>468</v>
      </c>
    </row>
    <row r="16" spans="1:1" x14ac:dyDescent="0.2">
      <c r="A16" t="s">
        <v>469</v>
      </c>
    </row>
    <row r="17" spans="1:1" x14ac:dyDescent="0.2">
      <c r="A17" t="s">
        <v>470</v>
      </c>
    </row>
    <row r="18" spans="1:1" x14ac:dyDescent="0.2">
      <c r="A18" t="s">
        <v>471</v>
      </c>
    </row>
    <row r="19" spans="1:1" x14ac:dyDescent="0.2">
      <c r="A19" t="s">
        <v>472</v>
      </c>
    </row>
    <row r="20" spans="1:1" x14ac:dyDescent="0.2">
      <c r="A20" t="s">
        <v>473</v>
      </c>
    </row>
    <row r="21" spans="1:1" x14ac:dyDescent="0.2">
      <c r="A21" t="s">
        <v>474</v>
      </c>
    </row>
    <row r="22" spans="1:1" x14ac:dyDescent="0.2">
      <c r="A22" t="s">
        <v>475</v>
      </c>
    </row>
    <row r="23" spans="1:1" x14ac:dyDescent="0.2">
      <c r="A23" t="s">
        <v>476</v>
      </c>
    </row>
    <row r="24" spans="1:1" x14ac:dyDescent="0.2">
      <c r="A24" t="s">
        <v>477</v>
      </c>
    </row>
    <row r="25" spans="1:1" x14ac:dyDescent="0.2">
      <c r="A25" t="s">
        <v>478</v>
      </c>
    </row>
    <row r="26" spans="1:1" x14ac:dyDescent="0.2">
      <c r="A26" t="s">
        <v>479</v>
      </c>
    </row>
    <row r="27" spans="1:1" x14ac:dyDescent="0.2">
      <c r="A27" t="s">
        <v>480</v>
      </c>
    </row>
    <row r="28" spans="1:1" x14ac:dyDescent="0.2">
      <c r="A28" t="s">
        <v>481</v>
      </c>
    </row>
    <row r="29" spans="1:1" x14ac:dyDescent="0.2">
      <c r="A29" t="s">
        <v>482</v>
      </c>
    </row>
    <row r="30" spans="1:1" x14ac:dyDescent="0.2">
      <c r="A30" t="s">
        <v>483</v>
      </c>
    </row>
    <row r="31" spans="1:1" x14ac:dyDescent="0.2">
      <c r="A31" t="s">
        <v>484</v>
      </c>
    </row>
    <row r="32" spans="1:1" x14ac:dyDescent="0.2">
      <c r="A32" t="s">
        <v>485</v>
      </c>
    </row>
    <row r="33" spans="1:1" x14ac:dyDescent="0.2">
      <c r="A33" t="s">
        <v>486</v>
      </c>
    </row>
    <row r="34" spans="1:1" x14ac:dyDescent="0.2">
      <c r="A34" t="s">
        <v>487</v>
      </c>
    </row>
    <row r="35" spans="1:1" x14ac:dyDescent="0.2">
      <c r="A35" t="s">
        <v>488</v>
      </c>
    </row>
    <row r="36" spans="1:1" x14ac:dyDescent="0.2">
      <c r="A36" t="s">
        <v>489</v>
      </c>
    </row>
    <row r="37" spans="1:1" x14ac:dyDescent="0.2">
      <c r="A37" t="s">
        <v>490</v>
      </c>
    </row>
    <row r="38" spans="1:1" x14ac:dyDescent="0.2">
      <c r="A38" t="s">
        <v>491</v>
      </c>
    </row>
    <row r="39" spans="1:1" x14ac:dyDescent="0.2">
      <c r="A39" t="s">
        <v>492</v>
      </c>
    </row>
    <row r="40" spans="1:1" x14ac:dyDescent="0.2">
      <c r="A40" t="s">
        <v>493</v>
      </c>
    </row>
    <row r="41" spans="1:1" x14ac:dyDescent="0.2">
      <c r="A41" t="s">
        <v>494</v>
      </c>
    </row>
    <row r="42" spans="1:1" x14ac:dyDescent="0.2">
      <c r="A42" t="s">
        <v>495</v>
      </c>
    </row>
    <row r="43" spans="1:1" x14ac:dyDescent="0.2">
      <c r="A43" t="s">
        <v>496</v>
      </c>
    </row>
    <row r="44" spans="1:1" x14ac:dyDescent="0.2">
      <c r="A44" t="s">
        <v>497</v>
      </c>
    </row>
    <row r="45" spans="1:1" x14ac:dyDescent="0.2">
      <c r="A45" t="s">
        <v>498</v>
      </c>
    </row>
    <row r="46" spans="1:1" x14ac:dyDescent="0.2">
      <c r="A46" t="s">
        <v>499</v>
      </c>
    </row>
    <row r="47" spans="1:1" x14ac:dyDescent="0.2">
      <c r="A47" t="s">
        <v>500</v>
      </c>
    </row>
    <row r="48" spans="1:1" x14ac:dyDescent="0.2">
      <c r="A48" t="s">
        <v>501</v>
      </c>
    </row>
    <row r="49" spans="1:1" x14ac:dyDescent="0.2">
      <c r="A49" t="s">
        <v>502</v>
      </c>
    </row>
    <row r="50" spans="1:1" x14ac:dyDescent="0.2">
      <c r="A50" t="s">
        <v>503</v>
      </c>
    </row>
    <row r="51" spans="1:1" x14ac:dyDescent="0.2">
      <c r="A51" t="s">
        <v>504</v>
      </c>
    </row>
    <row r="52" spans="1:1" x14ac:dyDescent="0.2">
      <c r="A52" t="s">
        <v>505</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7C8B34-A92A-4A0E-9AB1-148E0FE6820C}">
  <ds:schemaRefs>
    <ds:schemaRef ds:uri="3bad6c6a-329d-45e9-b8b0-1ebecc8a8764"/>
    <ds:schemaRef ds:uri="http://schemas.openxmlformats.org/package/2006/metadata/core-properties"/>
    <ds:schemaRef ds:uri="http://schemas.microsoft.com/office/2006/documentManagement/types"/>
    <ds:schemaRef ds:uri="http://schemas.microsoft.com/office/2006/metadata/properties"/>
    <ds:schemaRef ds:uri="http://purl.org/dc/elements/1.1/"/>
    <ds:schemaRef ds:uri="8e1efd23-f4ba-42d2-85fd-6a510437bae6"/>
    <ds:schemaRef ds:uri="http://schemas.microsoft.com/office/infopath/2007/PartnerControls"/>
    <ds:schemaRef ds:uri="http://www.w3.org/XML/1998/namespace"/>
    <ds:schemaRef ds:uri="http://purl.org/dc/dcmitype/"/>
    <ds:schemaRef ds:uri="http://purl.org/dc/terms/"/>
  </ds:schemaRefs>
</ds:datastoreItem>
</file>

<file path=customXml/itemProps2.xml><?xml version="1.0" encoding="utf-8"?>
<ds:datastoreItem xmlns:ds="http://schemas.openxmlformats.org/officeDocument/2006/customXml" ds:itemID="{EE68294B-F94C-4BB1-A447-1BCA591FCEF3}">
  <ds:schemaRefs>
    <ds:schemaRef ds:uri="http://schemas.microsoft.com/sharepoint/v3/contenttype/forms"/>
  </ds:schemaRefs>
</ds:datastoreItem>
</file>

<file path=customXml/itemProps3.xml><?xml version="1.0" encoding="utf-8"?>
<ds:datastoreItem xmlns:ds="http://schemas.openxmlformats.org/officeDocument/2006/customXml" ds:itemID="{9815EE3F-DAFB-42A5-94C6-A05C410322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Pipeline</vt:lpstr>
      <vt:lpstr>Conflicts</vt:lpstr>
      <vt:lpstr>FileList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de Sousa</dc:creator>
  <cp:lastModifiedBy>Alexandra de Sousa</cp:lastModifiedBy>
  <dcterms:created xsi:type="dcterms:W3CDTF">2023-10-04T18:06:19Z</dcterms:created>
  <dcterms:modified xsi:type="dcterms:W3CDTF">2026-06-06T00:17:54Z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