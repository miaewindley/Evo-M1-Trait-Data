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203" documentId="13_ncr:1_{A611BB1F-8283-7640-98A2-533433C96266}" xr6:coauthVersionLast="47" xr6:coauthVersionMax="47" xr10:uidLastSave="{ECFF182C-239F-A04F-A0D5-6167A03F69D3}"/>
  <bookViews>
    <workbookView xWindow="45280" yWindow="-5060" windowWidth="38960" windowHeight="2048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28" i="1"/>
  <c r="J25" i="1" l="1"/>
  <c r="J24" i="1"/>
  <c r="J23" i="1"/>
  <c r="J10" i="1"/>
  <c r="J12" i="1"/>
  <c r="J13" i="1"/>
  <c r="J14" i="1"/>
  <c r="J15" i="1"/>
  <c r="J16" i="1"/>
  <c r="J17" i="1"/>
  <c r="J18" i="1"/>
  <c r="J19" i="1"/>
  <c r="J20" i="1"/>
  <c r="J21" i="1"/>
  <c r="J22" i="1"/>
  <c r="J26" i="1"/>
  <c r="J27" i="1"/>
  <c r="J29" i="1"/>
  <c r="J30" i="1"/>
  <c r="J32" i="1"/>
  <c r="J33" i="1"/>
  <c r="J34" i="1"/>
  <c r="J5" i="1"/>
  <c r="J3" i="1"/>
  <c r="J7" i="1"/>
  <c r="J9" i="1"/>
</calcChain>
</file>

<file path=xl/sharedStrings.xml><?xml version="1.0" encoding="utf-8"?>
<sst xmlns="http://schemas.openxmlformats.org/spreadsheetml/2006/main" count="381" uniqueCount="210">
  <si>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</si>
  <si>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</si>
  <si>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</si>
  <si>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</si>
  <si>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</si>
  <si>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</si>
  <si>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</si>
  <si>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</si>
  <si>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</si>
  <si>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</si>
  <si>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</si>
  <si>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</si>
  <si>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</si>
  <si>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</si>
  <si>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</si>
  <si>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</si>
  <si>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</si>
  <si>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</si>
  <si>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</si>
  <si>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</si>
  <si>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</si>
  <si>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</si>
  <si>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</si>
  <si>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</si>
  <si>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</si>
  <si>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</si>
  <si>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</si>
  <si>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</si>
  <si>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</si>
  <si>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</si>
  <si>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</si>
  <si>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</si>
  <si>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</si>
  <si>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</si>
  <si>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</si>
  <si>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</si>
  <si>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</si>
  <si>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</si>
  <si>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</si>
  <si>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</si>
  <si>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</si>
  <si>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</si>
  <si>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</si>
  <si>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</si>
  <si>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</si>
  <si>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</si>
  <si>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</si>
  <si>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</si>
  <si>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</si>
  <si>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</si>
  <si>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</si>
  <si>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</si>
  <si>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</si>
  <si>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</si>
  <si>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</si>
  <si>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</si>
  <si>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</si>
  <si>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dossantos_etal_2017.csv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</si>
  <si>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</si>
  <si>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</si>
  <si>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</si>
  <si>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</si>
  <si>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</si>
  <si>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</si>
  <si>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</si>
  <si>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redo and record steps</t>
  </si>
  <si>
    <t>microglia</t>
  </si>
  <si>
    <t>Finlay_etal_2006</t>
  </si>
  <si>
    <t>in progress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</si>
  <si>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</si>
  <si>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</si>
  <si>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</si>
  <si>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</si>
  <si>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</si>
  <si>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</si>
  <si>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</si>
  <si>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</si>
  <si>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</si>
  <si>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</si>
  <si>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</si>
  <si>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</si>
  <si>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</si>
  <si>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</si>
  <si>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</si>
  <si>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</si>
  <si>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</si>
  <si>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</si>
  <si>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</si>
  <si>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</si>
  <si>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</si>
  <si>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</si>
  <si>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</si>
  <si>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</si>
  <si>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</si>
  <si>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</si>
  <si>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</si>
  <si>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</si>
  <si>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</si>
  <si>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</si>
  <si>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</si>
  <si>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</si>
  <si>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</si>
  <si>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</si>
  <si>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</si>
  <si>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</si>
  <si>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</si>
  <si>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</si>
  <si>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</si>
  <si>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</si>
  <si>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</si>
  <si>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</si>
  <si>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</si>
  <si>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</si>
  <si>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</si>
  <si>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</si>
  <si>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</si>
  <si>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</si>
  <si>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</si>
  <si>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</si>
  <si>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</si>
  <si>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</si>
  <si>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</si>
  <si>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</si>
  <si>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</si>
  <si>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</si>
  <si>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</si>
  <si>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</si>
  <si>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</si>
  <si>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</si>
  <si>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</si>
  <si>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cortical surface area and number of areas (broadly defined)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</si>
  <si>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</si>
  <si>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</si>
  <si>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</si>
  <si>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</si>
  <si>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</si>
  <si>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</si>
  <si>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</si>
  <si>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</si>
  <si>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</si>
  <si>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</si>
  <si>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</si>
  <si>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</si>
  <si>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</si>
  <si>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</si>
  <si>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</si>
  <si>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</si>
  <si>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</si>
  <si>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</si>
  <si>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</si>
  <si>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</si>
  <si>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</si>
  <si>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</si>
  <si>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</si>
  <si>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</si>
  <si>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</si>
  <si>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</si>
  <si>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</si>
  <si>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</si>
  <si>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</si>
  <si>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</si>
  <si>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</si>
  <si>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6</t>
  </si>
  <si>
    <t>Table 1. Cerebral cortex</t>
  </si>
  <si>
    <t>Table 2. Cerebellum</t>
  </si>
  <si>
    <t>Table 3. RoB</t>
  </si>
  <si>
    <t>Table 6. Relative distributions of mass and numbers of neurons across brain structures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</si>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</sst>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3" Type="http://schemas.openxmlformats.org/officeDocument/2006/relationships/hyperlink" Target="../../../../../../:f:/s/MammalianM1/ErryhPjhnHBGvsu7LsncTEYBJf_UPULwtn4pNf0k5hPdcA?e=4s64P9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5"/>
  <sheetViews>
    <sheetView tabSelected="1" topLeftCell="D1" zoomScale="110" zoomScaleNormal="110" workbookViewId="0">
      <selection activeCell="Q12" sqref="Q12"/>
    </sheetView>
  </sheetViews>
  <sheetFormatPr baseColWidth="10" defaultColWidth="11" defaultRowHeight="16" x14ac:dyDescent="0.2"/>
  <cols>
    <col min="1" max="1" width="24.1640625" customWidth="1"/>
    <col min="2" max="2" width="31.6640625" customWidth="1"/>
    <col min="3" max="3" width="22.33203125" customWidth="1"/>
    <col min="4" max="4" width="20.83203125" customWidth="1"/>
    <col min="5" max="5" width="23.1640625" customWidth="1"/>
    <col min="6" max="6" width="13.33203125" customWidth="1"/>
    <col min="7" max="7" width="19.1640625" customWidth="1"/>
    <col min="8" max="8" width="30.33203125" customWidth="1"/>
    <col min="9" max="9" width="5.33203125" customWidth="1"/>
    <col min="10" max="10" width="31" customWidth="1"/>
    <col min="11" max="11" width="13.83203125" customWidth="1"/>
    <col min="12" max="12" width="12.6640625" customWidth="1"/>
    <col min="13" max="14" width="22.1640625" customWidth="1"/>
    <col min="15" max="15" width="12.33203125" customWidth="1"/>
    <col min="18" max="18" width="46.5" customWidth="1"/>
  </cols>
  <sheetData>
    <row r="1" spans="1:19" s="1" customFormat="1" x14ac:dyDescent="0.2">
      <c r="A1" s="1" t="s">
        <v>0</v>
      </c>
      <c r="B1" s="1" t="s">
        <v>205</v>
      </c>
      <c r="C1" s="1" t="s">
        <v>191</v>
      </c>
      <c r="D1" s="1" t="s">
        <v>138</v>
      </c>
      <c r="E1" s="1" t="s">
        <v>142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206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</row>
    <row r="2" spans="1:19" x14ac:dyDescent="0.2">
      <c r="A2" s="3" t="s">
        <v>14</v>
      </c>
      <c r="B2" s="7"/>
      <c r="C2" s="7"/>
      <c r="D2" s="7"/>
      <c r="E2" s="7"/>
      <c r="F2" t="s">
        <v>15</v>
      </c>
      <c r="G2" s="3"/>
      <c r="H2" s="3"/>
      <c r="I2" s="3"/>
      <c r="K2" t="s">
        <v>16</v>
      </c>
      <c r="L2" t="s">
        <v>17</v>
      </c>
      <c r="O2" t="s">
        <v>18</v>
      </c>
      <c r="R2" t="s">
        <v>19</v>
      </c>
      <c r="S2" t="s">
        <v>20</v>
      </c>
    </row>
    <row r="3" spans="1:19" x14ac:dyDescent="0.2">
      <c r="A3" s="3" t="s">
        <v>21</v>
      </c>
      <c r="B3" s="7" t="s">
        <v>140</v>
      </c>
      <c r="C3" s="7"/>
      <c r="D3" s="7" t="s">
        <v>141</v>
      </c>
      <c r="E3" s="7" t="s">
        <v>143</v>
      </c>
      <c r="F3" t="s">
        <v>22</v>
      </c>
      <c r="G3" s="3"/>
      <c r="H3" t="s">
        <v>23</v>
      </c>
      <c r="I3" t="s">
        <v>24</v>
      </c>
      <c r="J3" t="str">
        <f>IF(I3="N", H3, I3)</f>
        <v>gyz043_suppl_Supplement_Data.csv</v>
      </c>
      <c r="K3" t="s">
        <v>25</v>
      </c>
      <c r="L3" t="s">
        <v>26</v>
      </c>
      <c r="M3" t="s">
        <v>27</v>
      </c>
      <c r="O3" t="s">
        <v>28</v>
      </c>
      <c r="P3" t="s">
        <v>29</v>
      </c>
      <c r="R3" t="s">
        <v>30</v>
      </c>
      <c r="S3" t="s">
        <v>20</v>
      </c>
    </row>
    <row r="4" spans="1:19" x14ac:dyDescent="0.2">
      <c r="A4" s="3" t="s">
        <v>31</v>
      </c>
      <c r="B4" s="8" t="s">
        <v>136</v>
      </c>
      <c r="C4" s="8"/>
      <c r="D4" s="7" t="s">
        <v>137</v>
      </c>
      <c r="E4" s="7"/>
      <c r="F4" t="s">
        <v>203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26</v>
      </c>
      <c r="M4" t="s">
        <v>37</v>
      </c>
      <c r="N4" s="3" t="s">
        <v>38</v>
      </c>
      <c r="O4" t="s">
        <v>39</v>
      </c>
      <c r="P4" t="s">
        <v>40</v>
      </c>
      <c r="R4" t="s">
        <v>41</v>
      </c>
      <c r="S4" t="s">
        <v>42</v>
      </c>
    </row>
    <row r="5" spans="1:19" x14ac:dyDescent="0.2">
      <c r="A5" s="6" t="s">
        <v>31</v>
      </c>
      <c r="B5" s="9" t="s">
        <v>136</v>
      </c>
      <c r="C5" s="9"/>
      <c r="D5" s="9" t="s">
        <v>139</v>
      </c>
      <c r="E5" s="9"/>
      <c r="F5" t="s">
        <v>203</v>
      </c>
      <c r="G5" t="s">
        <v>43</v>
      </c>
      <c r="H5" t="s">
        <v>44</v>
      </c>
      <c r="I5" t="s">
        <v>24</v>
      </c>
      <c r="J5" t="str">
        <f>IF(I5="Y", I5, H5)</f>
        <v>elife-77875-supp3-v1.xlsx</v>
      </c>
      <c r="K5" t="s">
        <v>45</v>
      </c>
      <c r="L5" t="s">
        <v>26</v>
      </c>
      <c r="M5" t="s">
        <v>46</v>
      </c>
      <c r="N5" s="6" t="s">
        <v>47</v>
      </c>
      <c r="O5" t="s">
        <v>48</v>
      </c>
      <c r="P5" t="s">
        <v>29</v>
      </c>
      <c r="S5" t="s">
        <v>42</v>
      </c>
    </row>
    <row r="6" spans="1:19" x14ac:dyDescent="0.2">
      <c r="A6" s="6" t="s">
        <v>125</v>
      </c>
      <c r="B6" s="9" t="s">
        <v>144</v>
      </c>
      <c r="C6" s="9"/>
      <c r="D6" s="9" t="s">
        <v>145</v>
      </c>
      <c r="E6" s="9"/>
      <c r="F6" t="s">
        <v>135</v>
      </c>
      <c r="H6" t="s">
        <v>126</v>
      </c>
      <c r="I6" t="s">
        <v>34</v>
      </c>
      <c r="K6" t="s">
        <v>36</v>
      </c>
      <c r="L6" t="s">
        <v>134</v>
      </c>
      <c r="M6" t="s">
        <v>133</v>
      </c>
      <c r="N6" s="6"/>
      <c r="O6" t="s">
        <v>129</v>
      </c>
      <c r="P6" t="s">
        <v>128</v>
      </c>
      <c r="R6" t="s">
        <v>132</v>
      </c>
    </row>
    <row r="7" spans="1:19" x14ac:dyDescent="0.2">
      <c r="A7" s="3" t="s">
        <v>49</v>
      </c>
      <c r="B7" s="7" t="s">
        <v>146</v>
      </c>
      <c r="C7" s="7"/>
      <c r="D7" s="7" t="s">
        <v>147</v>
      </c>
      <c r="E7" s="7"/>
      <c r="F7" t="s">
        <v>203</v>
      </c>
      <c r="G7" s="3"/>
      <c r="H7" t="s">
        <v>50</v>
      </c>
      <c r="I7" t="s">
        <v>24</v>
      </c>
      <c r="J7" t="str">
        <f t="shared" ref="J7:J34" si="0">IF(I7="Y", I7, H7)</f>
        <v>41467_2020_14356_MOESM6_ESM.xlsx</v>
      </c>
      <c r="K7" t="s">
        <v>45</v>
      </c>
      <c r="L7" t="s">
        <v>26</v>
      </c>
      <c r="M7" t="s">
        <v>46</v>
      </c>
      <c r="N7" s="3" t="s">
        <v>51</v>
      </c>
      <c r="O7" t="s">
        <v>52</v>
      </c>
      <c r="P7" t="s">
        <v>29</v>
      </c>
      <c r="Q7" t="s">
        <v>53</v>
      </c>
      <c r="R7" t="s">
        <v>131</v>
      </c>
      <c r="S7" t="s">
        <v>54</v>
      </c>
    </row>
    <row r="8" spans="1:19" x14ac:dyDescent="0.2">
      <c r="A8" t="s">
        <v>55</v>
      </c>
      <c r="B8" s="7" t="s">
        <v>148</v>
      </c>
      <c r="C8" s="7"/>
      <c r="D8" s="7" t="s">
        <v>149</v>
      </c>
      <c r="E8" s="7" t="s">
        <v>150</v>
      </c>
      <c r="F8" t="s">
        <v>203</v>
      </c>
      <c r="G8" s="3"/>
      <c r="H8" t="s">
        <v>56</v>
      </c>
      <c r="I8" t="s">
        <v>34</v>
      </c>
      <c r="J8" t="s">
        <v>57</v>
      </c>
      <c r="K8" t="s">
        <v>58</v>
      </c>
      <c r="L8" t="s">
        <v>59</v>
      </c>
      <c r="M8" t="s">
        <v>46</v>
      </c>
      <c r="N8" s="3" t="s">
        <v>60</v>
      </c>
      <c r="O8" t="s">
        <v>61</v>
      </c>
      <c r="P8" t="s">
        <v>62</v>
      </c>
      <c r="S8" t="s">
        <v>63</v>
      </c>
    </row>
    <row r="9" spans="1:19" x14ac:dyDescent="0.2">
      <c r="A9" s="3" t="s">
        <v>64</v>
      </c>
      <c r="B9" s="7" t="s">
        <v>151</v>
      </c>
      <c r="C9" s="7"/>
      <c r="D9" s="7" t="s">
        <v>137</v>
      </c>
      <c r="E9" s="7"/>
      <c r="F9" s="2" t="s">
        <v>65</v>
      </c>
      <c r="G9" s="3"/>
      <c r="H9" s="5"/>
      <c r="J9">
        <f t="shared" si="0"/>
        <v>0</v>
      </c>
      <c r="K9" t="s">
        <v>36</v>
      </c>
      <c r="L9" t="s">
        <v>26</v>
      </c>
      <c r="O9" t="s">
        <v>61</v>
      </c>
      <c r="P9" t="s">
        <v>62</v>
      </c>
      <c r="S9" t="s">
        <v>66</v>
      </c>
    </row>
    <row r="10" spans="1:19" x14ac:dyDescent="0.2">
      <c r="A10" s="3" t="s">
        <v>67</v>
      </c>
      <c r="B10" s="7" t="s">
        <v>204</v>
      </c>
      <c r="C10" s="7"/>
      <c r="D10" s="7" t="s">
        <v>156</v>
      </c>
      <c r="E10" s="7"/>
      <c r="F10" t="s">
        <v>135</v>
      </c>
      <c r="G10" s="3"/>
      <c r="H10" t="s">
        <v>69</v>
      </c>
      <c r="I10" t="s">
        <v>34</v>
      </c>
      <c r="J10" t="str">
        <f t="shared" si="0"/>
        <v>Y</v>
      </c>
      <c r="K10" t="s">
        <v>70</v>
      </c>
      <c r="L10" t="s">
        <v>26</v>
      </c>
      <c r="M10" t="s">
        <v>37</v>
      </c>
      <c r="N10" s="3" t="s">
        <v>71</v>
      </c>
      <c r="O10" t="s">
        <v>130</v>
      </c>
      <c r="R10" t="s">
        <v>72</v>
      </c>
      <c r="S10" t="s">
        <v>20</v>
      </c>
    </row>
    <row r="11" spans="1:19" x14ac:dyDescent="0.2">
      <c r="A11" s="3" t="s">
        <v>73</v>
      </c>
      <c r="B11" s="7" t="s">
        <v>152</v>
      </c>
      <c r="C11" s="7"/>
      <c r="D11" s="7" t="s">
        <v>155</v>
      </c>
      <c r="E11" s="11"/>
      <c r="F11" t="s">
        <v>203</v>
      </c>
      <c r="G11" s="3"/>
      <c r="H11" t="s">
        <v>208</v>
      </c>
      <c r="J11" t="s">
        <v>207</v>
      </c>
      <c r="K11" t="s">
        <v>36</v>
      </c>
      <c r="L11" t="s">
        <v>26</v>
      </c>
      <c r="M11" t="s">
        <v>133</v>
      </c>
      <c r="O11" t="s">
        <v>75</v>
      </c>
      <c r="P11" t="s">
        <v>209</v>
      </c>
      <c r="Q11" t="s">
        <v>76</v>
      </c>
      <c r="S11" t="s">
        <v>20</v>
      </c>
    </row>
    <row r="12" spans="1:19" x14ac:dyDescent="0.2">
      <c r="A12" s="3" t="s">
        <v>77</v>
      </c>
      <c r="B12" s="7" t="s">
        <v>153</v>
      </c>
      <c r="C12" s="7"/>
      <c r="D12" s="7" t="s">
        <v>155</v>
      </c>
      <c r="E12" s="7"/>
      <c r="F12" s="2" t="s">
        <v>78</v>
      </c>
      <c r="G12" s="3"/>
      <c r="H12" s="5"/>
      <c r="J12">
        <f t="shared" si="0"/>
        <v>0</v>
      </c>
      <c r="K12" t="s">
        <v>36</v>
      </c>
      <c r="L12" t="s">
        <v>26</v>
      </c>
      <c r="O12" t="s">
        <v>75</v>
      </c>
      <c r="S12" t="s">
        <v>20</v>
      </c>
    </row>
    <row r="13" spans="1:19" x14ac:dyDescent="0.2">
      <c r="A13" s="3" t="s">
        <v>79</v>
      </c>
      <c r="B13" s="7" t="s">
        <v>154</v>
      </c>
      <c r="C13" s="7"/>
      <c r="D13" s="7" t="s">
        <v>149</v>
      </c>
      <c r="E13" s="7"/>
      <c r="F13" s="2" t="s">
        <v>78</v>
      </c>
      <c r="G13" s="3"/>
      <c r="H13" s="5"/>
      <c r="J13">
        <f t="shared" si="0"/>
        <v>0</v>
      </c>
      <c r="K13" t="s">
        <v>36</v>
      </c>
      <c r="L13" t="s">
        <v>26</v>
      </c>
      <c r="O13" t="s">
        <v>80</v>
      </c>
      <c r="S13" t="s">
        <v>42</v>
      </c>
    </row>
    <row r="14" spans="1:19" x14ac:dyDescent="0.2">
      <c r="A14" s="3" t="s">
        <v>81</v>
      </c>
      <c r="B14" s="7" t="s">
        <v>157</v>
      </c>
      <c r="C14" s="7"/>
      <c r="D14" s="7" t="s">
        <v>137</v>
      </c>
      <c r="E14" s="7"/>
      <c r="F14" t="s">
        <v>68</v>
      </c>
      <c r="G14" s="7" t="s">
        <v>163</v>
      </c>
      <c r="H14" s="5"/>
      <c r="J14">
        <f t="shared" si="0"/>
        <v>0</v>
      </c>
      <c r="K14" t="s">
        <v>36</v>
      </c>
      <c r="L14" t="s">
        <v>26</v>
      </c>
      <c r="O14" t="s">
        <v>61</v>
      </c>
      <c r="S14" t="s">
        <v>83</v>
      </c>
    </row>
    <row r="15" spans="1:19" x14ac:dyDescent="0.2">
      <c r="A15" s="3" t="s">
        <v>81</v>
      </c>
      <c r="B15" s="7" t="s">
        <v>157</v>
      </c>
      <c r="C15" s="7"/>
      <c r="D15" s="7" t="s">
        <v>158</v>
      </c>
      <c r="E15" s="7"/>
      <c r="F15" t="s">
        <v>68</v>
      </c>
      <c r="G15" s="7" t="s">
        <v>164</v>
      </c>
      <c r="H15" s="5"/>
      <c r="J15">
        <f t="shared" si="0"/>
        <v>0</v>
      </c>
      <c r="K15" t="s">
        <v>36</v>
      </c>
      <c r="L15" t="s">
        <v>26</v>
      </c>
      <c r="O15" t="s">
        <v>61</v>
      </c>
      <c r="S15" t="s">
        <v>83</v>
      </c>
    </row>
    <row r="16" spans="1:19" x14ac:dyDescent="0.2">
      <c r="A16" s="3" t="s">
        <v>81</v>
      </c>
      <c r="B16" s="7" t="s">
        <v>157</v>
      </c>
      <c r="C16" s="7"/>
      <c r="D16" s="7" t="s">
        <v>159</v>
      </c>
      <c r="E16" s="7"/>
      <c r="F16" t="s">
        <v>68</v>
      </c>
      <c r="G16" s="7" t="s">
        <v>165</v>
      </c>
      <c r="H16" s="5"/>
      <c r="J16">
        <f t="shared" si="0"/>
        <v>0</v>
      </c>
      <c r="K16" t="s">
        <v>36</v>
      </c>
      <c r="L16" t="s">
        <v>26</v>
      </c>
      <c r="O16" t="s">
        <v>61</v>
      </c>
      <c r="S16" t="s">
        <v>83</v>
      </c>
    </row>
    <row r="17" spans="1:19" x14ac:dyDescent="0.2">
      <c r="A17" s="3" t="s">
        <v>81</v>
      </c>
      <c r="B17" s="7" t="s">
        <v>157</v>
      </c>
      <c r="C17" s="7"/>
      <c r="D17" s="7" t="s">
        <v>160</v>
      </c>
      <c r="E17" s="7"/>
      <c r="F17" t="s">
        <v>68</v>
      </c>
      <c r="G17" s="8" t="s">
        <v>167</v>
      </c>
      <c r="H17" s="5"/>
      <c r="J17">
        <f t="shared" si="0"/>
        <v>0</v>
      </c>
      <c r="K17" t="s">
        <v>36</v>
      </c>
      <c r="L17" t="s">
        <v>26</v>
      </c>
      <c r="O17" t="s">
        <v>61</v>
      </c>
      <c r="S17" t="s">
        <v>83</v>
      </c>
    </row>
    <row r="18" spans="1:19" x14ac:dyDescent="0.2">
      <c r="A18" s="3" t="s">
        <v>81</v>
      </c>
      <c r="B18" s="7" t="s">
        <v>157</v>
      </c>
      <c r="C18" s="7"/>
      <c r="D18" s="7" t="s">
        <v>161</v>
      </c>
      <c r="E18" s="7"/>
      <c r="F18" t="s">
        <v>68</v>
      </c>
      <c r="G18" s="8" t="s">
        <v>168</v>
      </c>
      <c r="H18" s="5"/>
      <c r="J18">
        <f t="shared" si="0"/>
        <v>0</v>
      </c>
      <c r="K18" t="s">
        <v>36</v>
      </c>
      <c r="L18" t="s">
        <v>26</v>
      </c>
      <c r="O18" t="s">
        <v>61</v>
      </c>
      <c r="S18" t="s">
        <v>83</v>
      </c>
    </row>
    <row r="19" spans="1:19" x14ac:dyDescent="0.2">
      <c r="A19" s="3" t="s">
        <v>81</v>
      </c>
      <c r="B19" s="7" t="s">
        <v>157</v>
      </c>
      <c r="C19" s="7"/>
      <c r="D19" s="7" t="s">
        <v>162</v>
      </c>
      <c r="E19" s="7"/>
      <c r="F19" t="s">
        <v>68</v>
      </c>
      <c r="G19" s="7" t="s">
        <v>166</v>
      </c>
      <c r="H19" s="5"/>
      <c r="J19">
        <f t="shared" si="0"/>
        <v>0</v>
      </c>
      <c r="K19" t="s">
        <v>36</v>
      </c>
      <c r="L19" t="s">
        <v>26</v>
      </c>
      <c r="O19" t="s">
        <v>61</v>
      </c>
      <c r="S19" t="s">
        <v>83</v>
      </c>
    </row>
    <row r="20" spans="1:19" x14ac:dyDescent="0.2">
      <c r="A20" s="3" t="s">
        <v>84</v>
      </c>
      <c r="B20" s="7" t="s">
        <v>169</v>
      </c>
      <c r="C20" s="7"/>
      <c r="D20" s="7" t="s">
        <v>172</v>
      </c>
      <c r="E20" s="7"/>
      <c r="F20" s="2" t="s">
        <v>65</v>
      </c>
      <c r="G20" s="3" t="s">
        <v>170</v>
      </c>
      <c r="H20" s="5"/>
      <c r="J20">
        <f t="shared" si="0"/>
        <v>0</v>
      </c>
      <c r="K20" t="s">
        <v>36</v>
      </c>
      <c r="L20" t="s">
        <v>26</v>
      </c>
      <c r="O20" t="s">
        <v>174</v>
      </c>
      <c r="S20" t="s">
        <v>85</v>
      </c>
    </row>
    <row r="21" spans="1:19" ht="19" customHeight="1" x14ac:dyDescent="0.2">
      <c r="A21" s="3" t="s">
        <v>84</v>
      </c>
      <c r="B21" s="7" t="s">
        <v>169</v>
      </c>
      <c r="C21" s="7"/>
      <c r="D21" s="7" t="s">
        <v>173</v>
      </c>
      <c r="E21" s="7"/>
      <c r="F21" s="2" t="s">
        <v>65</v>
      </c>
      <c r="G21" s="3" t="s">
        <v>171</v>
      </c>
      <c r="H21" s="5"/>
      <c r="J21">
        <f t="shared" si="0"/>
        <v>0</v>
      </c>
      <c r="K21" t="s">
        <v>36</v>
      </c>
      <c r="L21" t="s">
        <v>26</v>
      </c>
      <c r="O21" t="s">
        <v>175</v>
      </c>
      <c r="S21" t="s">
        <v>85</v>
      </c>
    </row>
    <row r="22" spans="1:19" ht="17" customHeight="1" x14ac:dyDescent="0.2">
      <c r="A22" s="3" t="s">
        <v>86</v>
      </c>
      <c r="B22" s="7" t="s">
        <v>176</v>
      </c>
      <c r="C22" s="7"/>
      <c r="D22" s="7" t="s">
        <v>137</v>
      </c>
      <c r="E22" s="7"/>
      <c r="F22" t="s">
        <v>74</v>
      </c>
      <c r="G22" s="6" t="s">
        <v>179</v>
      </c>
      <c r="H22" s="5"/>
      <c r="J22">
        <f t="shared" si="0"/>
        <v>0</v>
      </c>
      <c r="K22" t="s">
        <v>36</v>
      </c>
      <c r="L22" t="s">
        <v>26</v>
      </c>
      <c r="O22" t="s">
        <v>87</v>
      </c>
      <c r="S22" t="s">
        <v>88</v>
      </c>
    </row>
    <row r="23" spans="1:19" ht="17" customHeight="1" x14ac:dyDescent="0.2">
      <c r="A23" s="3" t="s">
        <v>86</v>
      </c>
      <c r="B23" s="7" t="s">
        <v>176</v>
      </c>
      <c r="C23" s="7"/>
      <c r="D23" s="7" t="s">
        <v>158</v>
      </c>
      <c r="E23" s="7"/>
      <c r="F23" t="s">
        <v>74</v>
      </c>
      <c r="G23" s="6" t="s">
        <v>177</v>
      </c>
      <c r="H23" s="5"/>
      <c r="J23">
        <f t="shared" ref="J23:J24" si="1">IF(I23="Y", I23, H23)</f>
        <v>0</v>
      </c>
      <c r="K23" t="s">
        <v>36</v>
      </c>
      <c r="L23" t="s">
        <v>26</v>
      </c>
      <c r="O23" t="s">
        <v>87</v>
      </c>
      <c r="S23" t="s">
        <v>88</v>
      </c>
    </row>
    <row r="24" spans="1:19" ht="17" customHeight="1" x14ac:dyDescent="0.2">
      <c r="A24" s="3" t="s">
        <v>86</v>
      </c>
      <c r="B24" s="7" t="s">
        <v>176</v>
      </c>
      <c r="C24" s="7"/>
      <c r="D24" s="7" t="s">
        <v>159</v>
      </c>
      <c r="E24" s="7"/>
      <c r="F24" t="s">
        <v>74</v>
      </c>
      <c r="G24" s="6" t="s">
        <v>178</v>
      </c>
      <c r="H24" s="5"/>
      <c r="J24">
        <f t="shared" si="1"/>
        <v>0</v>
      </c>
      <c r="K24" t="s">
        <v>36</v>
      </c>
      <c r="L24" t="s">
        <v>26</v>
      </c>
      <c r="O24" t="s">
        <v>87</v>
      </c>
      <c r="S24" t="s">
        <v>88</v>
      </c>
    </row>
    <row r="25" spans="1:19" ht="17" customHeight="1" x14ac:dyDescent="0.2">
      <c r="A25" s="3" t="s">
        <v>86</v>
      </c>
      <c r="B25" s="7" t="s">
        <v>176</v>
      </c>
      <c r="C25" s="7"/>
      <c r="D25" s="7" t="s">
        <v>160</v>
      </c>
      <c r="E25" s="7"/>
      <c r="F25" t="s">
        <v>74</v>
      </c>
      <c r="G25" s="6" t="s">
        <v>180</v>
      </c>
      <c r="H25" s="5"/>
      <c r="J25">
        <f t="shared" ref="J25" si="2">IF(I25="Y", I25, H25)</f>
        <v>0</v>
      </c>
      <c r="K25" t="s">
        <v>36</v>
      </c>
      <c r="L25" t="s">
        <v>26</v>
      </c>
      <c r="O25" t="s">
        <v>87</v>
      </c>
      <c r="S25" t="s">
        <v>88</v>
      </c>
    </row>
    <row r="26" spans="1:19" x14ac:dyDescent="0.2">
      <c r="A26" s="3" t="s">
        <v>89</v>
      </c>
      <c r="B26" s="7" t="s">
        <v>181</v>
      </c>
      <c r="C26" s="7"/>
      <c r="D26" s="7" t="s">
        <v>137</v>
      </c>
      <c r="E26" s="7"/>
      <c r="F26" s="2" t="s">
        <v>65</v>
      </c>
      <c r="G26" s="3"/>
      <c r="H26" s="5"/>
      <c r="J26">
        <f t="shared" si="0"/>
        <v>0</v>
      </c>
      <c r="K26" t="s">
        <v>36</v>
      </c>
      <c r="L26" t="s">
        <v>26</v>
      </c>
      <c r="O26" t="s">
        <v>61</v>
      </c>
      <c r="S26" t="s">
        <v>90</v>
      </c>
    </row>
    <row r="27" spans="1:19" x14ac:dyDescent="0.2">
      <c r="A27" s="3" t="s">
        <v>91</v>
      </c>
      <c r="B27" s="7" t="s">
        <v>182</v>
      </c>
      <c r="C27" s="7"/>
      <c r="D27" s="7" t="s">
        <v>149</v>
      </c>
      <c r="E27" s="7"/>
      <c r="F27" s="2" t="s">
        <v>65</v>
      </c>
      <c r="G27" s="3" t="s">
        <v>186</v>
      </c>
      <c r="H27" s="5"/>
      <c r="J27">
        <f t="shared" si="0"/>
        <v>0</v>
      </c>
      <c r="K27" t="s">
        <v>36</v>
      </c>
      <c r="L27" t="s">
        <v>26</v>
      </c>
      <c r="O27" t="s">
        <v>174</v>
      </c>
      <c r="S27" t="s">
        <v>184</v>
      </c>
    </row>
    <row r="28" spans="1:19" x14ac:dyDescent="0.2">
      <c r="A28" s="3" t="s">
        <v>91</v>
      </c>
      <c r="B28" s="7" t="s">
        <v>182</v>
      </c>
      <c r="C28" s="7"/>
      <c r="D28" s="7" t="s">
        <v>183</v>
      </c>
      <c r="E28" s="7"/>
      <c r="F28" s="2" t="s">
        <v>65</v>
      </c>
      <c r="G28" s="3" t="s">
        <v>185</v>
      </c>
      <c r="H28" s="5"/>
      <c r="J28">
        <f t="shared" ref="J28" si="3">IF(I28="Y", I28, H28)</f>
        <v>0</v>
      </c>
      <c r="K28" t="s">
        <v>36</v>
      </c>
      <c r="L28" t="s">
        <v>26</v>
      </c>
      <c r="O28" t="s">
        <v>175</v>
      </c>
      <c r="S28" t="s">
        <v>184</v>
      </c>
    </row>
    <row r="29" spans="1:19" x14ac:dyDescent="0.2">
      <c r="A29" s="3" t="s">
        <v>92</v>
      </c>
      <c r="B29" s="7" t="s">
        <v>187</v>
      </c>
      <c r="C29" s="7"/>
      <c r="D29" s="9" t="s">
        <v>189</v>
      </c>
      <c r="E29" s="7"/>
      <c r="F29" t="s">
        <v>93</v>
      </c>
      <c r="G29" s="3"/>
      <c r="H29" s="5"/>
      <c r="J29">
        <f t="shared" si="0"/>
        <v>0</v>
      </c>
      <c r="K29" t="s">
        <v>45</v>
      </c>
      <c r="L29" t="s">
        <v>26</v>
      </c>
      <c r="M29" t="s">
        <v>46</v>
      </c>
      <c r="N29" s="3" t="s">
        <v>188</v>
      </c>
      <c r="O29" t="s">
        <v>94</v>
      </c>
      <c r="P29" t="s">
        <v>29</v>
      </c>
      <c r="Q29" t="s">
        <v>95</v>
      </c>
      <c r="S29" t="s">
        <v>42</v>
      </c>
    </row>
    <row r="30" spans="1:19" x14ac:dyDescent="0.2">
      <c r="A30" s="3" t="s">
        <v>96</v>
      </c>
      <c r="B30" s="7" t="s">
        <v>192</v>
      </c>
      <c r="C30" s="7" t="s">
        <v>190</v>
      </c>
      <c r="D30" s="7" t="s">
        <v>193</v>
      </c>
      <c r="E30" s="7"/>
      <c r="F30" s="2" t="s">
        <v>78</v>
      </c>
      <c r="G30" s="3"/>
      <c r="H30" s="5"/>
      <c r="J30">
        <f t="shared" si="0"/>
        <v>0</v>
      </c>
      <c r="K30" t="s">
        <v>45</v>
      </c>
      <c r="L30" t="s">
        <v>26</v>
      </c>
      <c r="M30" t="s">
        <v>46</v>
      </c>
      <c r="N30" s="3" t="s">
        <v>194</v>
      </c>
      <c r="O30" t="s">
        <v>97</v>
      </c>
      <c r="P30" t="s">
        <v>29</v>
      </c>
      <c r="Q30" t="s">
        <v>28</v>
      </c>
      <c r="S30" t="s">
        <v>42</v>
      </c>
    </row>
    <row r="31" spans="1:19" x14ac:dyDescent="0.2">
      <c r="A31" s="3" t="s">
        <v>98</v>
      </c>
      <c r="B31" s="7" t="s">
        <v>195</v>
      </c>
      <c r="C31" s="7"/>
      <c r="D31" s="7" t="s">
        <v>160</v>
      </c>
      <c r="E31" s="7"/>
      <c r="F31" t="s">
        <v>93</v>
      </c>
      <c r="G31" s="7" t="s">
        <v>196</v>
      </c>
      <c r="H31" s="5"/>
      <c r="J31">
        <f t="shared" ref="J31" si="4">IF(I31="Y", I31, H31)</f>
        <v>0</v>
      </c>
      <c r="K31" t="s">
        <v>36</v>
      </c>
      <c r="L31" t="s">
        <v>82</v>
      </c>
      <c r="O31" t="s">
        <v>99</v>
      </c>
      <c r="P31" t="s">
        <v>62</v>
      </c>
      <c r="S31" t="s">
        <v>42</v>
      </c>
    </row>
    <row r="32" spans="1:19" x14ac:dyDescent="0.2">
      <c r="A32" s="3" t="s">
        <v>98</v>
      </c>
      <c r="B32" s="7" t="s">
        <v>195</v>
      </c>
      <c r="C32" s="7"/>
      <c r="D32" s="7" t="s">
        <v>161</v>
      </c>
      <c r="E32" s="7"/>
      <c r="F32" t="s">
        <v>93</v>
      </c>
      <c r="G32" s="9" t="s">
        <v>197</v>
      </c>
      <c r="H32" s="5"/>
      <c r="J32">
        <f t="shared" si="0"/>
        <v>0</v>
      </c>
      <c r="K32" t="s">
        <v>36</v>
      </c>
      <c r="L32" t="s">
        <v>82</v>
      </c>
      <c r="O32" t="s">
        <v>99</v>
      </c>
      <c r="P32" t="s">
        <v>62</v>
      </c>
      <c r="S32" t="s">
        <v>42</v>
      </c>
    </row>
    <row r="33" spans="1:19" x14ac:dyDescent="0.2">
      <c r="A33" s="3" t="s">
        <v>100</v>
      </c>
      <c r="B33" s="7" t="s">
        <v>198</v>
      </c>
      <c r="C33" s="7"/>
      <c r="D33" s="7" t="s">
        <v>199</v>
      </c>
      <c r="E33" s="7"/>
      <c r="F33" s="2" t="s">
        <v>78</v>
      </c>
      <c r="G33" s="3"/>
      <c r="H33" s="5"/>
      <c r="J33">
        <f t="shared" si="0"/>
        <v>0</v>
      </c>
      <c r="K33" t="s">
        <v>36</v>
      </c>
      <c r="L33" t="s">
        <v>101</v>
      </c>
      <c r="O33" t="s">
        <v>102</v>
      </c>
      <c r="S33" t="s">
        <v>20</v>
      </c>
    </row>
    <row r="34" spans="1:19" x14ac:dyDescent="0.2">
      <c r="A34" s="3" t="s">
        <v>103</v>
      </c>
      <c r="B34" s="7" t="s">
        <v>200</v>
      </c>
      <c r="C34" s="7"/>
      <c r="D34" s="7" t="s">
        <v>137</v>
      </c>
      <c r="E34" s="7"/>
      <c r="F34" t="s">
        <v>93</v>
      </c>
      <c r="G34" s="3"/>
      <c r="H34" s="5"/>
      <c r="J34">
        <f t="shared" si="0"/>
        <v>0</v>
      </c>
      <c r="K34" t="s">
        <v>70</v>
      </c>
      <c r="L34" t="s">
        <v>26</v>
      </c>
      <c r="O34" t="s">
        <v>104</v>
      </c>
      <c r="S34" t="s">
        <v>42</v>
      </c>
    </row>
    <row r="43" spans="1:19" x14ac:dyDescent="0.2">
      <c r="A43" t="s">
        <v>105</v>
      </c>
    </row>
    <row r="44" spans="1:19" x14ac:dyDescent="0.2">
      <c r="A44" t="s">
        <v>106</v>
      </c>
    </row>
    <row r="45" spans="1:19" x14ac:dyDescent="0.2">
      <c r="A45" s="4" t="s">
        <v>107</v>
      </c>
      <c r="B45" t="s">
        <v>108</v>
      </c>
    </row>
    <row r="46" spans="1:19" x14ac:dyDescent="0.2">
      <c r="A46" s="4" t="s">
        <v>109</v>
      </c>
      <c r="B46" t="s">
        <v>110</v>
      </c>
    </row>
    <row r="47" spans="1:19" x14ac:dyDescent="0.2">
      <c r="A47" s="4" t="s">
        <v>111</v>
      </c>
      <c r="B47" t="s">
        <v>112</v>
      </c>
    </row>
    <row r="48" spans="1:19" x14ac:dyDescent="0.2">
      <c r="A48" s="4" t="s">
        <v>113</v>
      </c>
      <c r="B48" t="s">
        <v>114</v>
      </c>
    </row>
    <row r="49" spans="1:2" x14ac:dyDescent="0.2">
      <c r="A49" s="4" t="s">
        <v>115</v>
      </c>
      <c r="B49" t="s">
        <v>116</v>
      </c>
    </row>
    <row r="50" spans="1:2" x14ac:dyDescent="0.2">
      <c r="A50" s="4" t="s">
        <v>117</v>
      </c>
      <c r="B50" t="s">
        <v>118</v>
      </c>
    </row>
    <row r="51" spans="1:2" x14ac:dyDescent="0.2">
      <c r="A51" s="4" t="s">
        <v>119</v>
      </c>
      <c r="B51" t="s">
        <v>120</v>
      </c>
    </row>
    <row r="52" spans="1:2" x14ac:dyDescent="0.2">
      <c r="A52" s="4" t="s">
        <v>121</v>
      </c>
      <c r="B52" t="s">
        <v>122</v>
      </c>
    </row>
    <row r="53" spans="1:2" x14ac:dyDescent="0.2">
      <c r="A53" s="4" t="s">
        <v>123</v>
      </c>
      <c r="B53" t="s">
        <v>124</v>
      </c>
    </row>
    <row r="54" spans="1:2" ht="17" x14ac:dyDescent="0.2">
      <c r="A54" s="10" t="s">
        <v>202</v>
      </c>
      <c r="B54" t="s">
        <v>201</v>
      </c>
    </row>
    <row r="55" spans="1:2" x14ac:dyDescent="0.2">
      <c r="A55" t="s">
        <v>127</v>
      </c>
    </row>
  </sheetData>
  <sortState xmlns:xlrd2="http://schemas.microsoft.com/office/spreadsheetml/2017/richdata2" ref="A2:S34">
    <sortCondition ref="A2:A34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1" r:id="rId8" xr:uid="{61188575-9E2A-8D4D-B25F-D193F49C46B9}"/>
    <hyperlink ref="A22" r:id="rId9" xr:uid="{5D0245D2-4411-1447-B9E3-27B3DE3EAE05}"/>
    <hyperlink ref="A26" r:id="rId10" xr:uid="{C9F83F19-A018-7544-8AB4-F93361A516FA}"/>
    <hyperlink ref="A27" r:id="rId11" xr:uid="{569E788C-7890-EA49-BB81-66C6CE7D4E7B}"/>
    <hyperlink ref="A29" r:id="rId12" xr:uid="{9E14452E-FE71-B64D-9DA0-01A0EB31E798}"/>
    <hyperlink ref="A30" r:id="rId13" xr:uid="{26BAF204-91AF-EB46-AE21-08CA9E04B1F1}"/>
    <hyperlink ref="A32" r:id="rId14" xr:uid="{3A50421D-44C2-8643-9578-AB5B7B0E6A1F}"/>
    <hyperlink ref="A33" r:id="rId15" xr:uid="{9131733F-F59E-4F48-ADB4-9B4D5B4885E1}"/>
    <hyperlink ref="A34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20" r:id="rId29" xr:uid="{F121AB2E-DAC0-AA48-86FF-6A32662819BC}"/>
    <hyperlink ref="A23" r:id="rId30" xr:uid="{F47913E8-5984-534D-8340-9DFCDD92BCBC}"/>
    <hyperlink ref="A24" r:id="rId31" xr:uid="{FB11CE9D-6A0D-504E-A8DD-16CF6170F8A3}"/>
    <hyperlink ref="A25" r:id="rId32" xr:uid="{55C6822C-AE98-584E-B896-A75BBE393403}"/>
    <hyperlink ref="A28" r:id="rId33" xr:uid="{43B67C9C-0C3B-4E4F-9EEE-225D557AE13D}"/>
    <hyperlink ref="N29" r:id="rId34" xr:uid="{C4869E3C-B5B1-6647-A144-091B1A64A38B}"/>
    <hyperlink ref="N30" r:id="rId35" xr:uid="{808C07EB-0E2A-B640-A28C-8E310E5A987B}"/>
    <hyperlink ref="A31" r:id="rId36" xr:uid="{DE23E549-C543-F745-A3C2-B0DDB1E2B18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6DEDC7-93D0-4B5E-BED5-006DF8C890FC}">
  <ds:schemaRefs>
    <ds:schemaRef ds:uri="http://purl.org/dc/terms/"/>
    <ds:schemaRef ds:uri="8e1efd23-f4ba-42d2-85fd-6a510437bae6"/>
    <ds:schemaRef ds:uri="http://schemas.microsoft.com/office/2006/metadata/properties"/>
    <ds:schemaRef ds:uri="http://www.w3.org/XML/1998/namespace"/>
    <ds:schemaRef ds:uri="3bad6c6a-329d-45e9-b8b0-1ebecc8a8764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2023-11-15T03:43:45Z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