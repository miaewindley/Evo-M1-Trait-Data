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0000" yWindow="-80" windowWidth="14800" windowHeight="13320" tabRatio="500"/>
  </bookViews>
  <sheets>
    <sheet name="bush_data.txt" sheetId="1" r:id="rId1"/>
    <sheet name="1logged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L1" i="2"/>
  <c r="J1"/>
  <c r="I1"/>
  <c r="H1"/>
  <c r="G1"/>
  <c r="F1"/>
  <c r="E1"/>
  <c r="D1"/>
  <c r="C1"/>
  <c r="B1"/>
  <c r="L2"/>
  <c r="J2"/>
  <c r="L3"/>
  <c r="J3"/>
  <c r="L4"/>
  <c r="J4"/>
  <c r="L5"/>
  <c r="J5"/>
  <c r="L6"/>
  <c r="J6"/>
  <c r="L7"/>
  <c r="J7"/>
  <c r="L9"/>
  <c r="J9"/>
  <c r="L10"/>
  <c r="J10"/>
  <c r="L11"/>
  <c r="J11"/>
  <c r="L12"/>
  <c r="J12"/>
  <c r="L13"/>
  <c r="J13"/>
  <c r="L14"/>
  <c r="J14"/>
  <c r="L15"/>
  <c r="J15"/>
  <c r="L16"/>
  <c r="J16"/>
  <c r="L17"/>
  <c r="J17"/>
  <c r="L18"/>
  <c r="J18"/>
  <c r="L19"/>
  <c r="J19"/>
  <c r="L20"/>
  <c r="J20"/>
  <c r="L21"/>
  <c r="J21"/>
  <c r="L22"/>
  <c r="J22"/>
  <c r="L23"/>
  <c r="J23"/>
  <c r="L24"/>
  <c r="J24"/>
  <c r="L27"/>
  <c r="L26"/>
  <c r="E2"/>
  <c r="E3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7"/>
  <c r="E26"/>
  <c r="C2"/>
  <c r="C3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7"/>
  <c r="B2"/>
  <c r="B3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7"/>
  <c r="C26"/>
  <c r="B26"/>
  <c r="D2"/>
  <c r="F2"/>
  <c r="G2"/>
  <c r="H2"/>
  <c r="I2"/>
  <c r="K2"/>
  <c r="D3"/>
  <c r="F3"/>
  <c r="G3"/>
  <c r="H3"/>
  <c r="I3"/>
  <c r="K3"/>
  <c r="F4"/>
  <c r="G4"/>
  <c r="K4"/>
  <c r="D5"/>
  <c r="F5"/>
  <c r="G5"/>
  <c r="K5"/>
  <c r="D6"/>
  <c r="F6"/>
  <c r="G6"/>
  <c r="K6"/>
  <c r="D7"/>
  <c r="F7"/>
  <c r="H7"/>
  <c r="I7"/>
  <c r="K7"/>
  <c r="D8"/>
  <c r="D9"/>
  <c r="F9"/>
  <c r="G9"/>
  <c r="K9"/>
  <c r="D10"/>
  <c r="F10"/>
  <c r="G10"/>
  <c r="H10"/>
  <c r="I10"/>
  <c r="K10"/>
  <c r="D11"/>
  <c r="F11"/>
  <c r="G11"/>
  <c r="H11"/>
  <c r="I11"/>
  <c r="K11"/>
  <c r="D12"/>
  <c r="F12"/>
  <c r="H12"/>
  <c r="I12"/>
  <c r="K12"/>
  <c r="D13"/>
  <c r="F13"/>
  <c r="G13"/>
  <c r="H13"/>
  <c r="I13"/>
  <c r="K13"/>
  <c r="D14"/>
  <c r="F14"/>
  <c r="G14"/>
  <c r="H14"/>
  <c r="I14"/>
  <c r="K14"/>
  <c r="D15"/>
  <c r="F15"/>
  <c r="K15"/>
  <c r="D16"/>
  <c r="F16"/>
  <c r="G16"/>
  <c r="K16"/>
  <c r="D17"/>
  <c r="F17"/>
  <c r="G17"/>
  <c r="H17"/>
  <c r="I17"/>
  <c r="K17"/>
  <c r="D18"/>
  <c r="F18"/>
  <c r="G18"/>
  <c r="H18"/>
  <c r="I18"/>
  <c r="K18"/>
  <c r="D19"/>
  <c r="F19"/>
  <c r="G19"/>
  <c r="H19"/>
  <c r="I19"/>
  <c r="K19"/>
  <c r="D20"/>
  <c r="F20"/>
  <c r="G20"/>
  <c r="H20"/>
  <c r="I20"/>
  <c r="K20"/>
  <c r="D21"/>
  <c r="F21"/>
  <c r="G21"/>
  <c r="K21"/>
  <c r="D22"/>
  <c r="F22"/>
  <c r="G22"/>
  <c r="H22"/>
  <c r="I22"/>
  <c r="K22"/>
  <c r="D23"/>
  <c r="F23"/>
  <c r="G23"/>
  <c r="H23"/>
  <c r="I23"/>
  <c r="K23"/>
  <c r="F24"/>
  <c r="G24"/>
  <c r="K24"/>
</calcChain>
</file>

<file path=xl/sharedStrings.xml><?xml version="1.0" encoding="utf-8"?>
<sst xmlns="http://schemas.openxmlformats.org/spreadsheetml/2006/main" count="62" uniqueCount="37">
  <si>
    <t>Cer White</t>
    <phoneticPr fontId="1" type="noConversion"/>
  </si>
  <si>
    <t>Neo Grey</t>
    <phoneticPr fontId="1" type="noConversion"/>
  </si>
  <si>
    <t>Cer Gray</t>
    <phoneticPr fontId="1" type="noConversion"/>
  </si>
  <si>
    <t>slope</t>
    <phoneticPr fontId="1" type="noConversion"/>
  </si>
  <si>
    <t>Wb</t>
  </si>
  <si>
    <t>NeoW</t>
  </si>
  <si>
    <t>NeoG</t>
  </si>
  <si>
    <t>Genus Species</t>
  </si>
  <si>
    <t>Hylobates lar</t>
  </si>
  <si>
    <t>Pan troglodytes</t>
  </si>
  <si>
    <t>Homo sapiens</t>
  </si>
  <si>
    <t>Cercocebus torquatus</t>
  </si>
  <si>
    <t>Cercopithecus nictitans</t>
  </si>
  <si>
    <t>Macaca mulatta</t>
  </si>
  <si>
    <t>Mandrillus sphinx</t>
  </si>
  <si>
    <t>Papio hamadryas</t>
  </si>
  <si>
    <t>Semnopithecus entellus</t>
  </si>
  <si>
    <t>Alouatta palliata</t>
  </si>
  <si>
    <t>Aotus trivirgatus</t>
  </si>
  <si>
    <t>Ateles sp.</t>
  </si>
  <si>
    <t>Callicebus sp.</t>
  </si>
  <si>
    <t>Saimiri sciureus</t>
  </si>
  <si>
    <t>Tarsius syricta</t>
  </si>
  <si>
    <t>Eulemur mongoz</t>
  </si>
  <si>
    <t>Galago senegalensis</t>
  </si>
  <si>
    <t>Lemur catta</t>
  </si>
  <si>
    <t>Microcebus urinus</t>
  </si>
  <si>
    <t>Nycticebus coucang</t>
  </si>
  <si>
    <t>Otolemur crassicaudatus</t>
  </si>
  <si>
    <t>Perodicticus potto</t>
  </si>
  <si>
    <t>Propithecus verreauxi</t>
  </si>
  <si>
    <t>intercept</t>
    <phoneticPr fontId="1" type="noConversion"/>
  </si>
  <si>
    <t>V1surf</t>
    <phoneticPr fontId="1" type="noConversion"/>
  </si>
  <si>
    <t>V1G</t>
    <phoneticPr fontId="1" type="noConversion"/>
  </si>
  <si>
    <t>LGN</t>
    <phoneticPr fontId="1" type="noConversion"/>
  </si>
  <si>
    <t>Hmerid</t>
    <phoneticPr fontId="1" type="noConversion"/>
  </si>
  <si>
    <t>Neo White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</si>
</sst>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L24"/>
  <sheetViews>
    <sheetView tabSelected="1" workbookViewId="0">
      <selection activeCell="N10" sqref="N10"/>
    </sheetView>
  </sheetViews>
  <sheetFormatPr baseColWidth="10" defaultColWidth="5.140625" defaultRowHeight="13"/>
  <cols>
    <col min="4" max="4" width="9.28515625" customWidth="1"/>
    <col min="5" max="5" width="8.140625" customWidth="1"/>
  </cols>
  <sheetData>
    <row r="1" spans="1:12">
      <c r="A1" t="s">
        <v>7</v>
      </c>
      <c r="B1" t="s">
        <v>0</v>
      </c>
      <c r="C1" t="s">
        <v>2</v>
      </c>
      <c r="D1" t="s">
        <v>36</v>
      </c>
      <c r="E1" t="s">
        <v>1</v>
      </c>
      <c r="F1" t="s">
        <v>33</v>
      </c>
      <c r="G1" t="s">
        <v>34</v>
      </c>
      <c r="H1" t="s">
        <v>32</v>
      </c>
      <c r="I1" t="s">
        <v>35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2.93</v>
      </c>
      <c r="C2">
        <v>12.8</v>
      </c>
      <c r="D2">
        <v>21.9</v>
      </c>
      <c r="E2">
        <v>45.1</v>
      </c>
      <c r="F2">
        <v>4.4000000000000004</v>
      </c>
      <c r="G2">
        <v>0.15</v>
      </c>
      <c r="H2">
        <v>30.1</v>
      </c>
      <c r="I2">
        <v>11.66</v>
      </c>
      <c r="J2">
        <v>101.28</v>
      </c>
      <c r="K2">
        <v>20.5</v>
      </c>
      <c r="L2">
        <v>45.12</v>
      </c>
    </row>
    <row r="3" spans="1:12">
      <c r="A3" t="s">
        <v>9</v>
      </c>
      <c r="B3">
        <v>8.6300000000000008</v>
      </c>
      <c r="C3">
        <v>36.1</v>
      </c>
      <c r="D3">
        <v>104</v>
      </c>
      <c r="E3">
        <v>163</v>
      </c>
      <c r="F3">
        <v>11.03</v>
      </c>
      <c r="G3">
        <v>0.28999999999999998</v>
      </c>
      <c r="H3">
        <v>65.239999999999995</v>
      </c>
      <c r="I3">
        <v>18.28</v>
      </c>
      <c r="J3">
        <v>364.14</v>
      </c>
      <c r="K3">
        <v>103.77</v>
      </c>
      <c r="L3">
        <v>163.18</v>
      </c>
    </row>
    <row r="4" spans="1:12">
      <c r="A4" t="s">
        <v>10</v>
      </c>
      <c r="F4">
        <v>16.14</v>
      </c>
      <c r="G4">
        <v>0.37</v>
      </c>
      <c r="J4">
        <v>1251.8499999999999</v>
      </c>
      <c r="K4">
        <v>422.48</v>
      </c>
      <c r="L4">
        <v>555.36</v>
      </c>
    </row>
    <row r="5" spans="1:12">
      <c r="A5" t="s">
        <v>11</v>
      </c>
      <c r="B5">
        <v>1.96</v>
      </c>
      <c r="C5">
        <v>4.47</v>
      </c>
      <c r="D5">
        <v>40.4</v>
      </c>
      <c r="E5">
        <v>47.9</v>
      </c>
      <c r="F5">
        <v>5.12</v>
      </c>
      <c r="G5">
        <v>0.2</v>
      </c>
      <c r="J5">
        <v>117.08</v>
      </c>
      <c r="K5">
        <v>40.36</v>
      </c>
      <c r="L5">
        <v>47.92</v>
      </c>
    </row>
    <row r="6" spans="1:12">
      <c r="A6" t="s">
        <v>12</v>
      </c>
      <c r="B6">
        <v>0.96499999999999997</v>
      </c>
      <c r="C6">
        <v>3.84</v>
      </c>
      <c r="D6">
        <v>11.8</v>
      </c>
      <c r="E6">
        <v>36</v>
      </c>
      <c r="F6">
        <v>4.1399999999999997</v>
      </c>
      <c r="G6">
        <v>0.12</v>
      </c>
      <c r="J6">
        <v>64.739999999999995</v>
      </c>
      <c r="K6">
        <v>11.81</v>
      </c>
      <c r="L6">
        <v>35.99</v>
      </c>
    </row>
    <row r="7" spans="1:12">
      <c r="A7" t="s">
        <v>13</v>
      </c>
      <c r="B7">
        <v>1.38</v>
      </c>
      <c r="C7">
        <v>3.68</v>
      </c>
      <c r="D7">
        <v>16.399999999999999</v>
      </c>
      <c r="E7">
        <v>30.5</v>
      </c>
      <c r="F7">
        <v>3.26</v>
      </c>
      <c r="H7">
        <v>22.18</v>
      </c>
      <c r="I7">
        <v>10.02</v>
      </c>
      <c r="J7">
        <v>65.760000000000005</v>
      </c>
      <c r="K7">
        <v>16.350000000000001</v>
      </c>
      <c r="L7">
        <v>30.54</v>
      </c>
    </row>
    <row r="8" spans="1:12">
      <c r="A8" t="s">
        <v>14</v>
      </c>
      <c r="B8">
        <v>1.89</v>
      </c>
      <c r="C8">
        <v>7.16</v>
      </c>
      <c r="D8">
        <v>27.9</v>
      </c>
      <c r="E8">
        <v>71.3</v>
      </c>
    </row>
    <row r="9" spans="1:12">
      <c r="A9" t="s">
        <v>15</v>
      </c>
      <c r="B9">
        <v>2.98</v>
      </c>
      <c r="C9">
        <v>9.14</v>
      </c>
      <c r="D9">
        <v>37.1</v>
      </c>
      <c r="E9">
        <v>71.400000000000006</v>
      </c>
      <c r="F9">
        <v>7.7</v>
      </c>
      <c r="G9">
        <v>0.22</v>
      </c>
      <c r="J9">
        <v>159.11000000000001</v>
      </c>
      <c r="K9">
        <v>39.68</v>
      </c>
      <c r="L9">
        <v>79.099999999999994</v>
      </c>
    </row>
    <row r="10" spans="1:12">
      <c r="A10" t="s">
        <v>16</v>
      </c>
      <c r="B10">
        <v>2.27</v>
      </c>
      <c r="C10">
        <v>9.15</v>
      </c>
      <c r="D10">
        <v>24.3</v>
      </c>
      <c r="E10">
        <v>51.8</v>
      </c>
      <c r="F10">
        <v>4.32</v>
      </c>
      <c r="G10">
        <v>0.14000000000000001</v>
      </c>
      <c r="H10">
        <v>28.98</v>
      </c>
      <c r="I10">
        <v>9.91</v>
      </c>
      <c r="J10">
        <v>107.54</v>
      </c>
      <c r="K10">
        <v>24.26</v>
      </c>
      <c r="L10">
        <v>51.85</v>
      </c>
    </row>
    <row r="11" spans="1:12">
      <c r="A11" t="s">
        <v>17</v>
      </c>
      <c r="B11">
        <v>1.05</v>
      </c>
      <c r="C11">
        <v>3.32</v>
      </c>
      <c r="D11">
        <v>11.6</v>
      </c>
      <c r="E11">
        <v>17.399999999999999</v>
      </c>
      <c r="F11">
        <v>1.86</v>
      </c>
      <c r="G11">
        <v>0.09</v>
      </c>
      <c r="H11">
        <v>12.81</v>
      </c>
      <c r="I11">
        <v>8.43</v>
      </c>
      <c r="J11">
        <v>43.52</v>
      </c>
      <c r="K11">
        <v>11.41</v>
      </c>
      <c r="L11">
        <v>17.149999999999999</v>
      </c>
    </row>
    <row r="12" spans="1:12">
      <c r="A12" t="s">
        <v>18</v>
      </c>
      <c r="B12">
        <v>0.17399999999999999</v>
      </c>
      <c r="C12">
        <v>0.753</v>
      </c>
      <c r="D12">
        <v>1.49</v>
      </c>
      <c r="E12">
        <v>4.32</v>
      </c>
      <c r="F12">
        <v>0.63</v>
      </c>
      <c r="H12">
        <v>4.6900000000000004</v>
      </c>
      <c r="I12">
        <v>4.8</v>
      </c>
      <c r="J12">
        <v>11.42</v>
      </c>
      <c r="K12">
        <v>1.74</v>
      </c>
      <c r="L12">
        <v>5.23</v>
      </c>
    </row>
    <row r="13" spans="1:12">
      <c r="A13" t="s">
        <v>19</v>
      </c>
      <c r="B13">
        <v>1.68</v>
      </c>
      <c r="C13">
        <v>5.97</v>
      </c>
      <c r="D13">
        <v>17.7</v>
      </c>
      <c r="E13">
        <v>28.9</v>
      </c>
      <c r="F13">
        <v>3.13</v>
      </c>
      <c r="G13">
        <v>0.12</v>
      </c>
      <c r="H13">
        <v>23.27</v>
      </c>
      <c r="I13">
        <v>10.199999999999999</v>
      </c>
      <c r="J13">
        <v>72.41</v>
      </c>
      <c r="K13">
        <v>17.95</v>
      </c>
      <c r="L13">
        <v>30.93</v>
      </c>
    </row>
    <row r="14" spans="1:12">
      <c r="A14" t="s">
        <v>20</v>
      </c>
      <c r="B14">
        <v>0.249</v>
      </c>
      <c r="C14">
        <v>0.83299999999999996</v>
      </c>
      <c r="D14">
        <v>1.94</v>
      </c>
      <c r="E14">
        <v>5.12</v>
      </c>
      <c r="F14">
        <v>0.84</v>
      </c>
      <c r="G14">
        <v>0.03</v>
      </c>
      <c r="H14">
        <v>6.79</v>
      </c>
      <c r="I14">
        <v>5.54</v>
      </c>
      <c r="J14">
        <v>11.9</v>
      </c>
      <c r="K14">
        <v>1.94</v>
      </c>
      <c r="L14">
        <v>5.12</v>
      </c>
    </row>
    <row r="15" spans="1:12">
      <c r="A15" t="s">
        <v>21</v>
      </c>
      <c r="B15">
        <v>0.39300000000000002</v>
      </c>
      <c r="C15">
        <v>1.49</v>
      </c>
      <c r="D15">
        <v>3.7</v>
      </c>
      <c r="E15">
        <v>10.4</v>
      </c>
      <c r="F15">
        <v>1.43</v>
      </c>
      <c r="J15">
        <v>21.22</v>
      </c>
      <c r="K15">
        <v>3.7</v>
      </c>
      <c r="L15">
        <v>10.44</v>
      </c>
    </row>
    <row r="16" spans="1:12">
      <c r="A16" t="s">
        <v>22</v>
      </c>
      <c r="B16">
        <v>4.7300000000000002E-2</v>
      </c>
      <c r="C16">
        <v>0.247</v>
      </c>
      <c r="D16">
        <v>0.151</v>
      </c>
      <c r="E16">
        <v>1.47</v>
      </c>
      <c r="F16">
        <v>0.28000000000000003</v>
      </c>
      <c r="G16">
        <v>0.02</v>
      </c>
      <c r="J16">
        <v>3.06</v>
      </c>
      <c r="K16">
        <v>0.15</v>
      </c>
      <c r="L16">
        <v>1.47</v>
      </c>
    </row>
    <row r="17" spans="1:12">
      <c r="A17" t="s">
        <v>23</v>
      </c>
      <c r="B17">
        <v>0.48599999999999999</v>
      </c>
      <c r="C17">
        <v>1.88</v>
      </c>
      <c r="D17">
        <v>3.83</v>
      </c>
      <c r="E17">
        <v>8.23</v>
      </c>
      <c r="F17">
        <v>1.06</v>
      </c>
      <c r="G17">
        <v>0.05</v>
      </c>
      <c r="H17">
        <v>8.66</v>
      </c>
      <c r="I17">
        <v>5.33</v>
      </c>
      <c r="J17">
        <v>22.24</v>
      </c>
      <c r="K17">
        <v>3.83</v>
      </c>
      <c r="L17">
        <v>8.1999999999999993</v>
      </c>
    </row>
    <row r="18" spans="1:12">
      <c r="A18" t="s">
        <v>24</v>
      </c>
      <c r="B18">
        <v>6.3399999999999998E-2</v>
      </c>
      <c r="C18">
        <v>0.35399999999999998</v>
      </c>
      <c r="D18">
        <v>0.19500000000000001</v>
      </c>
      <c r="E18">
        <v>1.2</v>
      </c>
      <c r="F18">
        <v>0.22</v>
      </c>
      <c r="G18">
        <v>0.01</v>
      </c>
      <c r="H18">
        <v>2.64</v>
      </c>
      <c r="I18">
        <v>2.82</v>
      </c>
      <c r="J18">
        <v>3.58</v>
      </c>
      <c r="K18">
        <v>0.23</v>
      </c>
      <c r="L18">
        <v>1.34</v>
      </c>
    </row>
    <row r="19" spans="1:12">
      <c r="A19" t="s">
        <v>25</v>
      </c>
      <c r="B19">
        <v>0.40899999999999997</v>
      </c>
      <c r="C19">
        <v>2.27</v>
      </c>
      <c r="D19">
        <v>2.12</v>
      </c>
      <c r="E19">
        <v>8.9600000000000009</v>
      </c>
      <c r="F19">
        <v>1.31</v>
      </c>
      <c r="G19">
        <v>0.06</v>
      </c>
      <c r="H19">
        <v>9.1</v>
      </c>
      <c r="I19">
        <v>5.29</v>
      </c>
      <c r="J19">
        <v>21</v>
      </c>
      <c r="K19">
        <v>2.12</v>
      </c>
      <c r="L19">
        <v>8.9600000000000009</v>
      </c>
    </row>
    <row r="20" spans="1:12">
      <c r="A20" t="s">
        <v>26</v>
      </c>
      <c r="B20">
        <v>3.3099999999999997E-2</v>
      </c>
      <c r="C20">
        <v>0.17199999999999999</v>
      </c>
      <c r="D20">
        <v>9.7600000000000006E-2</v>
      </c>
      <c r="E20">
        <v>0.59099999999999997</v>
      </c>
      <c r="F20">
        <v>0.11</v>
      </c>
      <c r="G20">
        <v>0.01</v>
      </c>
      <c r="H20">
        <v>1.55</v>
      </c>
      <c r="I20">
        <v>2.2799999999999998</v>
      </c>
      <c r="J20">
        <v>1.65</v>
      </c>
      <c r="K20">
        <v>0.1</v>
      </c>
      <c r="L20">
        <v>0.59</v>
      </c>
    </row>
    <row r="21" spans="1:12">
      <c r="A21" t="s">
        <v>27</v>
      </c>
      <c r="B21">
        <v>0.19600000000000001</v>
      </c>
      <c r="C21">
        <v>1.2</v>
      </c>
      <c r="D21">
        <v>1.07</v>
      </c>
      <c r="E21">
        <v>4.4000000000000004</v>
      </c>
      <c r="F21">
        <v>0.57999999999999996</v>
      </c>
      <c r="G21">
        <v>0.03</v>
      </c>
      <c r="J21">
        <v>11.27</v>
      </c>
      <c r="K21">
        <v>1.07</v>
      </c>
      <c r="L21">
        <v>4.4000000000000004</v>
      </c>
    </row>
    <row r="22" spans="1:12">
      <c r="A22" t="s">
        <v>28</v>
      </c>
      <c r="B22">
        <v>0.127</v>
      </c>
      <c r="C22">
        <v>0.747</v>
      </c>
      <c r="D22">
        <v>0.57199999999999995</v>
      </c>
      <c r="E22">
        <v>3.1</v>
      </c>
      <c r="F22">
        <v>0.45</v>
      </c>
      <c r="G22">
        <v>0.02</v>
      </c>
      <c r="H22">
        <v>4.3099999999999996</v>
      </c>
      <c r="I22">
        <v>4.21</v>
      </c>
      <c r="J22">
        <v>7.11</v>
      </c>
      <c r="K22">
        <v>0.56999999999999995</v>
      </c>
      <c r="L22">
        <v>3.1</v>
      </c>
    </row>
    <row r="23" spans="1:12">
      <c r="A23" t="s">
        <v>29</v>
      </c>
      <c r="B23">
        <v>0.183</v>
      </c>
      <c r="C23">
        <v>1.1399999999999999</v>
      </c>
      <c r="D23">
        <v>0.63800000000000001</v>
      </c>
      <c r="E23">
        <v>3.91</v>
      </c>
      <c r="F23">
        <v>0.33</v>
      </c>
      <c r="G23">
        <v>0.02</v>
      </c>
      <c r="H23">
        <v>3.16</v>
      </c>
      <c r="I23">
        <v>3.25</v>
      </c>
      <c r="J23">
        <v>10.16</v>
      </c>
      <c r="K23">
        <v>0.64</v>
      </c>
      <c r="L23">
        <v>3.91</v>
      </c>
    </row>
    <row r="24" spans="1:12">
      <c r="A24" t="s">
        <v>30</v>
      </c>
      <c r="F24">
        <v>1.57</v>
      </c>
      <c r="G24">
        <v>7.0000000000000007E-2</v>
      </c>
      <c r="J24">
        <v>25.19</v>
      </c>
      <c r="K24">
        <v>2.35</v>
      </c>
      <c r="L24">
        <v>9.84</v>
      </c>
    </row>
  </sheetData>
  <sheetCalcPr fullCalcOnLoad="1"/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L27"/>
  <sheetViews>
    <sheetView workbookViewId="0">
      <selection activeCell="J9" sqref="J9"/>
    </sheetView>
  </sheetViews>
  <sheetFormatPr baseColWidth="10" defaultColWidth="4.7109375" defaultRowHeight="13"/>
  <sheetData>
    <row r="1" spans="1:12">
      <c r="A1" t="s">
        <v>7</v>
      </c>
      <c r="B1" t="str">
        <f>'bush_data.txt'!B1</f>
        <v>Cer White</v>
      </c>
      <c r="C1" t="str">
        <f>'bush_data.txt'!C1</f>
        <v>Cer Gray</v>
      </c>
      <c r="D1" t="str">
        <f>'bush_data.txt'!D1</f>
        <v>Neo White</v>
      </c>
      <c r="E1" t="str">
        <f>'bush_data.txt'!E1</f>
        <v>Neo Grey</v>
      </c>
      <c r="F1" t="str">
        <f>'bush_data.txt'!F1</f>
        <v>V1G</v>
      </c>
      <c r="G1" t="str">
        <f>'bush_data.txt'!G1</f>
        <v>LGN</v>
      </c>
      <c r="H1" t="str">
        <f>'bush_data.txt'!H1</f>
        <v>V1surf</v>
      </c>
      <c r="I1" t="str">
        <f>'bush_data.txt'!I1</f>
        <v>Hmerid</v>
      </c>
      <c r="J1" t="str">
        <f>'bush_data.txt'!J1</f>
        <v>Wb</v>
      </c>
      <c r="K1" t="s">
        <v>5</v>
      </c>
      <c r="L1" t="str">
        <f>'bush_data.txt'!L1</f>
        <v>NeoG</v>
      </c>
    </row>
    <row r="2" spans="1:12">
      <c r="A2" t="s">
        <v>8</v>
      </c>
      <c r="B2" s="1">
        <f>LOG('bush_data.txt'!B2)</f>
        <v>0.4668676203541095</v>
      </c>
      <c r="C2" s="1">
        <f>LOG('bush_data.txt'!C2)</f>
        <v>1.1072099696478683</v>
      </c>
      <c r="D2" s="1">
        <f>LOG('bush_data.txt'!D2)</f>
        <v>1.3404441148401183</v>
      </c>
      <c r="E2" s="1">
        <f>LOG('bush_data.txt'!E2)</f>
        <v>1.6541765418779606</v>
      </c>
      <c r="F2" s="1">
        <f>LOG('bush_data.txt'!F2)</f>
        <v>0.64345267648618742</v>
      </c>
      <c r="G2" s="1">
        <f>LOG('bush_data.txt'!G2)</f>
        <v>-0.82390874094431876</v>
      </c>
      <c r="H2" s="1">
        <f>LOG('bush_data.txt'!H2)</f>
        <v>1.4785664955938433</v>
      </c>
      <c r="I2" s="1">
        <f>LOG('bush_data.txt'!I2)</f>
        <v>1.0666985504229953</v>
      </c>
      <c r="J2" s="1">
        <f>LOG('bush_data.txt'!J2)</f>
        <v>2.0055236926732798</v>
      </c>
      <c r="K2" s="1">
        <f>LOG('bush_data.txt'!K2)</f>
        <v>1.3117538610557542</v>
      </c>
      <c r="L2" s="1">
        <f>LOG('bush_data.txt'!L2)</f>
        <v>1.6543690909752859</v>
      </c>
    </row>
    <row r="3" spans="1:12">
      <c r="A3" t="s">
        <v>9</v>
      </c>
      <c r="B3" s="1">
        <f>LOG('bush_data.txt'!B3)</f>
        <v>0.93601079571520962</v>
      </c>
      <c r="C3" s="1">
        <f>LOG('bush_data.txt'!C3)</f>
        <v>1.5575072019056579</v>
      </c>
      <c r="D3" s="1">
        <f>LOG('bush_data.txt'!D3)</f>
        <v>2.0170333392987803</v>
      </c>
      <c r="E3" s="1">
        <f>LOG('bush_data.txt'!E3)</f>
        <v>2.2121876044039577</v>
      </c>
      <c r="F3" s="1">
        <f>LOG('bush_data.txt'!F3)</f>
        <v>1.0425755124401905</v>
      </c>
      <c r="G3" s="1">
        <f>LOG('bush_data.txt'!G3)</f>
        <v>-0.53760200210104392</v>
      </c>
      <c r="H3" s="1">
        <f>LOG('bush_data.txt'!H3)</f>
        <v>1.8145139523682381</v>
      </c>
      <c r="I3" s="1">
        <f>LOG('bush_data.txt'!I3)</f>
        <v>1.2619761913978127</v>
      </c>
      <c r="J3" s="1">
        <f>LOG('bush_data.txt'!J3)</f>
        <v>2.5612683878741107</v>
      </c>
      <c r="K3" s="1">
        <f>LOG('bush_data.txt'!K3)</f>
        <v>2.0160718167340237</v>
      </c>
      <c r="L3" s="1">
        <f>LOG('bush_data.txt'!L3)</f>
        <v>2.2126669287934235</v>
      </c>
    </row>
    <row r="4" spans="1:12">
      <c r="A4" t="s">
        <v>10</v>
      </c>
      <c r="B4" s="1"/>
      <c r="C4" s="1"/>
      <c r="D4" s="1"/>
      <c r="E4" s="1"/>
      <c r="F4" s="1">
        <f>LOG('bush_data.txt'!F4)</f>
        <v>1.2079035303860517</v>
      </c>
      <c r="G4" s="1">
        <f>LOG('bush_data.txt'!G4)</f>
        <v>-0.43179827593300502</v>
      </c>
      <c r="H4" s="1"/>
      <c r="I4" s="1"/>
      <c r="J4" s="1">
        <f>LOG('bush_data.txt'!J4)</f>
        <v>3.0975522936707338</v>
      </c>
      <c r="K4" s="1">
        <f>LOG('bush_data.txt'!K4)</f>
        <v>2.6258061544804385</v>
      </c>
      <c r="L4" s="1">
        <f>LOG('bush_data.txt'!L4)</f>
        <v>2.7445745963273369</v>
      </c>
    </row>
    <row r="5" spans="1:12">
      <c r="A5" t="s">
        <v>11</v>
      </c>
      <c r="B5" s="1">
        <f>LOG('bush_data.txt'!B5)</f>
        <v>0.29225607135647602</v>
      </c>
      <c r="C5" s="1">
        <f>LOG('bush_data.txt'!C5)</f>
        <v>0.6503075231319364</v>
      </c>
      <c r="D5" s="1">
        <f>LOG('bush_data.txt'!D5)</f>
        <v>1.6063813651106049</v>
      </c>
      <c r="E5" s="1">
        <f>LOG('bush_data.txt'!E5)</f>
        <v>1.6803355134145632</v>
      </c>
      <c r="F5" s="1">
        <f>LOG('bush_data.txt'!F5)</f>
        <v>0.70926996097583073</v>
      </c>
      <c r="G5" s="1">
        <f>LOG('bush_data.txt'!G5)</f>
        <v>-0.69897000433601875</v>
      </c>
      <c r="H5" s="1"/>
      <c r="I5" s="1"/>
      <c r="J5" s="1">
        <f>LOG('bush_data.txt'!J5)</f>
        <v>2.0684827137617545</v>
      </c>
      <c r="K5" s="1">
        <f>LOG('bush_data.txt'!K5)</f>
        <v>1.6059511575648728</v>
      </c>
      <c r="L5" s="1">
        <f>LOG('bush_data.txt'!L5)</f>
        <v>1.680516809381255</v>
      </c>
    </row>
    <row r="6" spans="1:12">
      <c r="A6" t="s">
        <v>12</v>
      </c>
      <c r="B6" s="1">
        <f>LOG('bush_data.txt'!B6)</f>
        <v>-1.5472686656207449E-2</v>
      </c>
      <c r="C6" s="1">
        <f>LOG('bush_data.txt'!C6)</f>
        <v>0.58433122436753082</v>
      </c>
      <c r="D6" s="1">
        <f>LOG('bush_data.txt'!D6)</f>
        <v>1.0718820073061255</v>
      </c>
      <c r="E6" s="1">
        <f>LOG('bush_data.txt'!E6)</f>
        <v>1.5563025007672873</v>
      </c>
      <c r="F6" s="1">
        <f>LOG('bush_data.txt'!F6)</f>
        <v>0.61700034112089897</v>
      </c>
      <c r="G6" s="1">
        <f>LOG('bush_data.txt'!G6)</f>
        <v>-0.92081875395237522</v>
      </c>
      <c r="H6" s="1"/>
      <c r="I6" s="1"/>
      <c r="J6" s="1">
        <f>LOG('bush_data.txt'!J6)</f>
        <v>1.8111726950665543</v>
      </c>
      <c r="K6" s="1">
        <f>LOG('bush_data.txt'!K6)</f>
        <v>1.0722498976135149</v>
      </c>
      <c r="L6" s="1">
        <f>LOG('bush_data.txt'!L6)</f>
        <v>1.5561818466529111</v>
      </c>
    </row>
    <row r="7" spans="1:12">
      <c r="A7" t="s">
        <v>13</v>
      </c>
      <c r="B7" s="1">
        <f>LOG('bush_data.txt'!B7)</f>
        <v>0.13987908640123647</v>
      </c>
      <c r="C7" s="1">
        <f>LOG('bush_data.txt'!C7)</f>
        <v>0.56584781867351763</v>
      </c>
      <c r="D7" s="1">
        <f>LOG('bush_data.txt'!D7)</f>
        <v>1.2148438480476977</v>
      </c>
      <c r="E7" s="1">
        <f>LOG('bush_data.txt'!E7)</f>
        <v>1.4842998393467859</v>
      </c>
      <c r="F7" s="1">
        <f>LOG('bush_data.txt'!F7)</f>
        <v>0.51321760006793893</v>
      </c>
      <c r="G7" s="1"/>
      <c r="H7" s="1">
        <f>LOG('bush_data.txt'!H7)</f>
        <v>1.3459615418131412</v>
      </c>
      <c r="I7" s="1">
        <f>LOG('bush_data.txt'!I7)</f>
        <v>1.0008677215312269</v>
      </c>
      <c r="J7" s="1">
        <f>LOG('bush_data.txt'!J7)</f>
        <v>1.8179618045319941</v>
      </c>
      <c r="K7" s="1">
        <f>LOG('bush_data.txt'!K7)</f>
        <v>1.2135177569963049</v>
      </c>
      <c r="L7" s="1">
        <f>LOG('bush_data.txt'!L7)</f>
        <v>1.4848690327204024</v>
      </c>
    </row>
    <row r="8" spans="1:12">
      <c r="A8" t="s">
        <v>14</v>
      </c>
      <c r="B8" s="1">
        <f>LOG('bush_data.txt'!B8)</f>
        <v>0.27646180417324412</v>
      </c>
      <c r="C8" s="1">
        <f>LOG('bush_data.txt'!C8)</f>
        <v>0.8549130223078556</v>
      </c>
      <c r="D8" s="1">
        <f>LOG('bush_data.txt'!D8)</f>
        <v>1.4456042032735976</v>
      </c>
      <c r="E8" s="1">
        <f>LOG('bush_data.txt'!E8)</f>
        <v>1.8530895298518655</v>
      </c>
      <c r="F8" s="1"/>
      <c r="G8" s="1"/>
      <c r="H8" s="1"/>
      <c r="I8" s="1"/>
      <c r="J8" s="1"/>
      <c r="K8" s="1"/>
      <c r="L8" s="1"/>
    </row>
    <row r="9" spans="1:12">
      <c r="A9" t="s">
        <v>15</v>
      </c>
      <c r="B9" s="1">
        <f>LOG('bush_data.txt'!B9)</f>
        <v>0.47421626407625522</v>
      </c>
      <c r="C9" s="1">
        <f>LOG('bush_data.txt'!C9)</f>
        <v>0.96094619573383144</v>
      </c>
      <c r="D9" s="1">
        <f>LOG('bush_data.txt'!D9)</f>
        <v>1.5693739096150459</v>
      </c>
      <c r="E9" s="1">
        <f>LOG('bush_data.txt'!E9)</f>
        <v>1.8536982117761744</v>
      </c>
      <c r="F9" s="1">
        <f>LOG('bush_data.txt'!F9)</f>
        <v>0.88649072517248184</v>
      </c>
      <c r="G9" s="1">
        <f>LOG('bush_data.txt'!G9)</f>
        <v>-0.65757731917779372</v>
      </c>
      <c r="H9" s="1"/>
      <c r="I9" s="1"/>
      <c r="J9" s="1">
        <f>LOG('bush_data.txt'!J9)</f>
        <v>2.2016974757392278</v>
      </c>
      <c r="K9" s="1">
        <f>LOG('bush_data.txt'!K9)</f>
        <v>1.598571663482141</v>
      </c>
      <c r="L9" s="1">
        <f>LOG('bush_data.txt'!L9)</f>
        <v>1.8981764834976764</v>
      </c>
    </row>
    <row r="10" spans="1:12">
      <c r="A10" t="s">
        <v>16</v>
      </c>
      <c r="B10" s="1">
        <f>LOG('bush_data.txt'!B10)</f>
        <v>0.35602585719312274</v>
      </c>
      <c r="C10" s="1">
        <f>LOG('bush_data.txt'!C10)</f>
        <v>0.96142109406644827</v>
      </c>
      <c r="D10" s="1">
        <f>LOG('bush_data.txt'!D10)</f>
        <v>1.3856062735983121</v>
      </c>
      <c r="E10" s="1">
        <f>LOG('bush_data.txt'!E10)</f>
        <v>1.7143297597452329</v>
      </c>
      <c r="F10" s="1">
        <f>LOG('bush_data.txt'!F10)</f>
        <v>0.63548374681491215</v>
      </c>
      <c r="G10" s="1">
        <f>LOG('bush_data.txt'!G10)</f>
        <v>-0.85387196432176193</v>
      </c>
      <c r="H10" s="1">
        <f>LOG('bush_data.txt'!H10)</f>
        <v>1.4620983811351558</v>
      </c>
      <c r="I10" s="1">
        <f>LOG('bush_data.txt'!I10)</f>
        <v>0.99607365448527529</v>
      </c>
      <c r="J10" s="1">
        <f>LOG('bush_data.txt'!J10)</f>
        <v>2.0315700321411003</v>
      </c>
      <c r="K10" s="1">
        <f>LOG('bush_data.txt'!K10)</f>
        <v>1.3848907965305541</v>
      </c>
      <c r="L10" s="1">
        <f>LOG('bush_data.txt'!L10)</f>
        <v>1.7147487607250598</v>
      </c>
    </row>
    <row r="11" spans="1:12">
      <c r="A11" t="s">
        <v>17</v>
      </c>
      <c r="B11" s="1">
        <f>LOG('bush_data.txt'!B11)</f>
        <v>2.1189299069938092E-2</v>
      </c>
      <c r="C11" s="1">
        <f>LOG('bush_data.txt'!C11)</f>
        <v>0.52113808370403625</v>
      </c>
      <c r="D11" s="1">
        <f>LOG('bush_data.txt'!D11)</f>
        <v>1.0644579892269184</v>
      </c>
      <c r="E11" s="1">
        <f>LOG('bush_data.txt'!E11)</f>
        <v>1.2405492482825997</v>
      </c>
      <c r="F11" s="1">
        <f>LOG('bush_data.txt'!F11)</f>
        <v>0.26951294421791633</v>
      </c>
      <c r="G11" s="1">
        <f>LOG('bush_data.txt'!G11)</f>
        <v>-1.0457574905606752</v>
      </c>
      <c r="H11" s="1">
        <f>LOG('bush_data.txt'!H11)</f>
        <v>1.1075491297446862</v>
      </c>
      <c r="I11" s="1">
        <f>LOG('bush_data.txt'!I11)</f>
        <v>0.9258275746247423</v>
      </c>
      <c r="J11" s="1">
        <f>LOG('bush_data.txt'!J11)</f>
        <v>1.6386888866901235</v>
      </c>
      <c r="K11" s="1">
        <f>LOG('bush_data.txt'!K11)</f>
        <v>1.0572856444182146</v>
      </c>
      <c r="L11" s="1">
        <f>LOG('bush_data.txt'!L11)</f>
        <v>1.2342641243787893</v>
      </c>
    </row>
    <row r="12" spans="1:12">
      <c r="A12" t="s">
        <v>18</v>
      </c>
      <c r="B12" s="1">
        <f>LOG('bush_data.txt'!B12)</f>
        <v>-0.75945075171740029</v>
      </c>
      <c r="C12" s="1">
        <f>LOG('bush_data.txt'!C12)</f>
        <v>-0.12320502379929942</v>
      </c>
      <c r="D12" s="1">
        <f>LOG('bush_data.txt'!D12)</f>
        <v>0.17318626841227402</v>
      </c>
      <c r="E12" s="1">
        <f>LOG('bush_data.txt'!E12)</f>
        <v>0.63548374681491215</v>
      </c>
      <c r="F12" s="1">
        <f>LOG('bush_data.txt'!F12)</f>
        <v>-0.20065945054641829</v>
      </c>
      <c r="G12" s="1"/>
      <c r="H12" s="1">
        <f>LOG('bush_data.txt'!H12)</f>
        <v>0.67117284271508326</v>
      </c>
      <c r="I12" s="1">
        <f>LOG('bush_data.txt'!I12)</f>
        <v>0.68124123737558717</v>
      </c>
      <c r="J12" s="1">
        <f>LOG('bush_data.txt'!J12)</f>
        <v>1.0576661039098292</v>
      </c>
      <c r="K12" s="1">
        <f>LOG('bush_data.txt'!K12)</f>
        <v>0.24054924828259971</v>
      </c>
      <c r="L12" s="1">
        <f>LOG('bush_data.txt'!L12)</f>
        <v>0.71850168886727428</v>
      </c>
    </row>
    <row r="13" spans="1:12">
      <c r="A13" t="s">
        <v>19</v>
      </c>
      <c r="B13" s="1">
        <f>LOG('bush_data.txt'!B13)</f>
        <v>0.22530928172586284</v>
      </c>
      <c r="C13" s="1">
        <f>LOG('bush_data.txt'!C13)</f>
        <v>0.77597433112936909</v>
      </c>
      <c r="D13" s="1">
        <f>LOG('bush_data.txt'!D13)</f>
        <v>1.2479732663618066</v>
      </c>
      <c r="E13" s="1">
        <f>LOG('bush_data.txt'!E13)</f>
        <v>1.4608978427565478</v>
      </c>
      <c r="F13" s="1">
        <f>LOG('bush_data.txt'!F13)</f>
        <v>0.49554433754644844</v>
      </c>
      <c r="G13" s="1">
        <f>LOG('bush_data.txt'!G13)</f>
        <v>-0.92081875395237522</v>
      </c>
      <c r="H13" s="1">
        <f>LOG('bush_data.txt'!H13)</f>
        <v>1.36679638328673</v>
      </c>
      <c r="I13" s="1">
        <f>LOG('bush_data.txt'!I13)</f>
        <v>1.0086001717619175</v>
      </c>
      <c r="J13" s="1">
        <f>LOG('bush_data.txt'!J13)</f>
        <v>1.8597985474805656</v>
      </c>
      <c r="K13" s="1">
        <f>LOG('bush_data.txt'!K13)</f>
        <v>1.2540644529143379</v>
      </c>
      <c r="L13" s="1">
        <f>LOG('bush_data.txt'!L13)</f>
        <v>1.4903799200031789</v>
      </c>
    </row>
    <row r="14" spans="1:12">
      <c r="A14" t="s">
        <v>20</v>
      </c>
      <c r="B14" s="1">
        <f>LOG('bush_data.txt'!B14)</f>
        <v>-0.60380065290426366</v>
      </c>
      <c r="C14" s="1">
        <f>LOG('bush_data.txt'!C14)</f>
        <v>-7.9354998593212434E-2</v>
      </c>
      <c r="D14" s="1">
        <f>LOG('bush_data.txt'!D14)</f>
        <v>0.28780172993022601</v>
      </c>
      <c r="E14" s="1">
        <f>LOG('bush_data.txt'!E14)</f>
        <v>0.70926996097583073</v>
      </c>
      <c r="F14" s="1">
        <f>LOG('bush_data.txt'!F14)</f>
        <v>-7.5720713938118356E-2</v>
      </c>
      <c r="G14" s="1">
        <f>LOG('bush_data.txt'!G14)</f>
        <v>-1.5228787452803376</v>
      </c>
      <c r="H14" s="1">
        <f>LOG('bush_data.txt'!H14)</f>
        <v>0.83186977428050168</v>
      </c>
      <c r="I14" s="1">
        <f>LOG('bush_data.txt'!I14)</f>
        <v>0.74350976472842978</v>
      </c>
      <c r="J14" s="1">
        <f>LOG('bush_data.txt'!J14)</f>
        <v>1.0755469613925308</v>
      </c>
      <c r="K14" s="1">
        <f>LOG('bush_data.txt'!K14)</f>
        <v>0.28780172993022601</v>
      </c>
      <c r="L14" s="1">
        <f>LOG('bush_data.txt'!L14)</f>
        <v>0.70926996097583073</v>
      </c>
    </row>
    <row r="15" spans="1:12">
      <c r="A15" t="s">
        <v>21</v>
      </c>
      <c r="B15" s="1">
        <f>LOG('bush_data.txt'!B15)</f>
        <v>-0.40560744962457329</v>
      </c>
      <c r="C15" s="1">
        <f>LOG('bush_data.txt'!C15)</f>
        <v>0.17318626841227402</v>
      </c>
      <c r="D15" s="1">
        <f>LOG('bush_data.txt'!D15)</f>
        <v>0.56820172406699498</v>
      </c>
      <c r="E15" s="1">
        <f>LOG('bush_data.txt'!E15)</f>
        <v>1.0170333392987803</v>
      </c>
      <c r="F15" s="1">
        <f>LOG('bush_data.txt'!F15)</f>
        <v>0.1553360374650618</v>
      </c>
      <c r="G15" s="1"/>
      <c r="H15" s="1"/>
      <c r="I15" s="1"/>
      <c r="J15" s="1">
        <f>LOG('bush_data.txt'!J15)</f>
        <v>1.3267453795653219</v>
      </c>
      <c r="K15" s="1">
        <f>LOG('bush_data.txt'!K15)</f>
        <v>0.56820172406699498</v>
      </c>
      <c r="L15" s="1">
        <f>LOG('bush_data.txt'!L15)</f>
        <v>1.0187004986662433</v>
      </c>
    </row>
    <row r="16" spans="1:12">
      <c r="A16" t="s">
        <v>22</v>
      </c>
      <c r="B16" s="1">
        <f>LOG('bush_data.txt'!B16)</f>
        <v>-1.3251388592621884</v>
      </c>
      <c r="C16" s="1">
        <f>LOG('bush_data.txt'!C16)</f>
        <v>-0.60730304674033431</v>
      </c>
      <c r="D16" s="1">
        <f>LOG('bush_data.txt'!D16)</f>
        <v>-0.82102305270683062</v>
      </c>
      <c r="E16" s="1">
        <f>LOG('bush_data.txt'!E16)</f>
        <v>0.16731733474817609</v>
      </c>
      <c r="F16" s="1">
        <f>LOG('bush_data.txt'!F16)</f>
        <v>-0.55284196865778079</v>
      </c>
      <c r="G16" s="1">
        <f>LOG('bush_data.txt'!G16)</f>
        <v>-1.6989700043360187</v>
      </c>
      <c r="H16" s="1"/>
      <c r="I16" s="1"/>
      <c r="J16" s="1">
        <f>LOG('bush_data.txt'!J16)</f>
        <v>0.48572142648158001</v>
      </c>
      <c r="K16" s="1">
        <f>LOG('bush_data.txt'!K16)</f>
        <v>-0.82390874094431876</v>
      </c>
      <c r="L16" s="1">
        <f>LOG('bush_data.txt'!L16)</f>
        <v>0.16731733474817609</v>
      </c>
    </row>
    <row r="17" spans="1:12">
      <c r="A17" t="s">
        <v>23</v>
      </c>
      <c r="B17" s="1">
        <f>LOG('bush_data.txt'!B17)</f>
        <v>-0.31336373073770663</v>
      </c>
      <c r="C17" s="1">
        <f>LOG('bush_data.txt'!C17)</f>
        <v>0.27415784926367981</v>
      </c>
      <c r="D17" s="1">
        <f>LOG('bush_data.txt'!D17)</f>
        <v>0.58319877396862274</v>
      </c>
      <c r="E17" s="1">
        <f>LOG('bush_data.txt'!E17)</f>
        <v>0.91539983521226986</v>
      </c>
      <c r="F17" s="1">
        <f>LOG('bush_data.txt'!F17)</f>
        <v>2.5305865264770262E-2</v>
      </c>
      <c r="G17" s="1">
        <f>LOG('bush_data.txt'!G17)</f>
        <v>-1.3010299956639813</v>
      </c>
      <c r="H17" s="1">
        <f>LOG('bush_data.txt'!H17)</f>
        <v>0.9375178920173467</v>
      </c>
      <c r="I17" s="1">
        <f>LOG('bush_data.txt'!I17)</f>
        <v>0.72672720902657229</v>
      </c>
      <c r="J17" s="1">
        <f>LOG('bush_data.txt'!J17)</f>
        <v>1.3471347829100198</v>
      </c>
      <c r="K17" s="1">
        <f>LOG('bush_data.txt'!K17)</f>
        <v>0.58319877396862274</v>
      </c>
      <c r="L17" s="1">
        <f>LOG('bush_data.txt'!L17)</f>
        <v>0.91381385238371671</v>
      </c>
    </row>
    <row r="18" spans="1:12">
      <c r="A18" t="s">
        <v>24</v>
      </c>
      <c r="B18" s="1">
        <f>LOG('bush_data.txt'!B18)</f>
        <v>-1.1979107421182673</v>
      </c>
      <c r="C18" s="1">
        <f>LOG('bush_data.txt'!C18)</f>
        <v>-0.45099673797421219</v>
      </c>
      <c r="D18" s="1">
        <f>LOG('bush_data.txt'!D18)</f>
        <v>-0.70996538863748193</v>
      </c>
      <c r="E18" s="1">
        <f>LOG('bush_data.txt'!E18)</f>
        <v>7.9181246047624818E-2</v>
      </c>
      <c r="F18" s="1">
        <f>LOG('bush_data.txt'!F18)</f>
        <v>-0.65757731917779372</v>
      </c>
      <c r="G18" s="1">
        <f>LOG('bush_data.txt'!G18)</f>
        <v>-2</v>
      </c>
      <c r="H18" s="1">
        <f>LOG('bush_data.txt'!H18)</f>
        <v>0.42160392686983106</v>
      </c>
      <c r="I18" s="1">
        <f>LOG('bush_data.txt'!I18)</f>
        <v>0.45024910831936105</v>
      </c>
      <c r="J18" s="1">
        <f>LOG('bush_data.txt'!J18)</f>
        <v>0.55388302664387434</v>
      </c>
      <c r="K18" s="1">
        <f>LOG('bush_data.txt'!K18)</f>
        <v>-0.63827216398240705</v>
      </c>
      <c r="L18" s="1">
        <f>LOG('bush_data.txt'!L18)</f>
        <v>0.12710479836480765</v>
      </c>
    </row>
    <row r="19" spans="1:12">
      <c r="A19" t="s">
        <v>25</v>
      </c>
      <c r="B19" s="1">
        <f>LOG('bush_data.txt'!B19)</f>
        <v>-0.38827669199265824</v>
      </c>
      <c r="C19" s="1">
        <f>LOG('bush_data.txt'!C19)</f>
        <v>0.35602585719312274</v>
      </c>
      <c r="D19" s="1">
        <f>LOG('bush_data.txt'!D19)</f>
        <v>0.32633586092875144</v>
      </c>
      <c r="E19" s="1">
        <f>LOG('bush_data.txt'!E19)</f>
        <v>0.95230800966212525</v>
      </c>
      <c r="F19" s="1">
        <f>LOG('bush_data.txt'!F19)</f>
        <v>0.11727129565576427</v>
      </c>
      <c r="G19" s="1">
        <f>LOG('bush_data.txt'!G19)</f>
        <v>-1.2218487496163564</v>
      </c>
      <c r="H19" s="1">
        <f>LOG('bush_data.txt'!H19)</f>
        <v>0.95904139232109353</v>
      </c>
      <c r="I19" s="1">
        <f>LOG('bush_data.txt'!I19)</f>
        <v>0.72345567203518579</v>
      </c>
      <c r="J19" s="1">
        <f>LOG('bush_data.txt'!J19)</f>
        <v>1.3222192947339193</v>
      </c>
      <c r="K19" s="1">
        <f>LOG('bush_data.txt'!K19)</f>
        <v>0.32633586092875144</v>
      </c>
      <c r="L19" s="1">
        <f>LOG('bush_data.txt'!L19)</f>
        <v>0.95230800966212525</v>
      </c>
    </row>
    <row r="20" spans="1:12">
      <c r="A20" t="s">
        <v>26</v>
      </c>
      <c r="B20" s="1">
        <f>LOG('bush_data.txt'!B20)</f>
        <v>-1.4801720062242814</v>
      </c>
      <c r="C20" s="1">
        <f>LOG('bush_data.txt'!C20)</f>
        <v>-0.76447155309245107</v>
      </c>
      <c r="D20" s="1">
        <f>LOG('bush_data.txt'!D20)</f>
        <v>-1.0105501823333081</v>
      </c>
      <c r="E20" s="1">
        <f>LOG('bush_data.txt'!E20)</f>
        <v>-0.22841251911874466</v>
      </c>
      <c r="F20" s="1">
        <f>LOG('bush_data.txt'!F20)</f>
        <v>-0.95860731484177497</v>
      </c>
      <c r="G20" s="1">
        <f>LOG('bush_data.txt'!G20)</f>
        <v>-2</v>
      </c>
      <c r="H20" s="1">
        <f>LOG('bush_data.txt'!H20)</f>
        <v>0.1903316981702915</v>
      </c>
      <c r="I20" s="1">
        <f>LOG('bush_data.txt'!I20)</f>
        <v>0.35793484700045375</v>
      </c>
      <c r="J20" s="1">
        <f>LOG('bush_data.txt'!J20)</f>
        <v>0.21748394421390627</v>
      </c>
      <c r="K20" s="1">
        <f>LOG('bush_data.txt'!K20)</f>
        <v>-1</v>
      </c>
      <c r="L20" s="1">
        <f>LOG('bush_data.txt'!L20)</f>
        <v>-0.22914798835785583</v>
      </c>
    </row>
    <row r="21" spans="1:12">
      <c r="A21" t="s">
        <v>27</v>
      </c>
      <c r="B21" s="1">
        <f>LOG('bush_data.txt'!B21)</f>
        <v>-0.70774392864352398</v>
      </c>
      <c r="C21" s="1">
        <f>LOG('bush_data.txt'!C21)</f>
        <v>7.9181246047624818E-2</v>
      </c>
      <c r="D21" s="1">
        <f>LOG('bush_data.txt'!D21)</f>
        <v>2.9383777685209667E-2</v>
      </c>
      <c r="E21" s="1">
        <f>LOG('bush_data.txt'!E21)</f>
        <v>0.64345267648618742</v>
      </c>
      <c r="F21" s="1">
        <f>LOG('bush_data.txt'!F21)</f>
        <v>-0.23657200643706275</v>
      </c>
      <c r="G21" s="1">
        <f>LOG('bush_data.txt'!G21)</f>
        <v>-1.5228787452803376</v>
      </c>
      <c r="H21" s="1"/>
      <c r="I21" s="1"/>
      <c r="J21" s="1">
        <f>LOG('bush_data.txt'!J21)</f>
        <v>1.0519239160461065</v>
      </c>
      <c r="K21" s="1">
        <f>LOG('bush_data.txt'!K21)</f>
        <v>2.9383777685209667E-2</v>
      </c>
      <c r="L21" s="1">
        <f>LOG('bush_data.txt'!L21)</f>
        <v>0.64345267648618742</v>
      </c>
    </row>
    <row r="22" spans="1:12">
      <c r="A22" t="s">
        <v>28</v>
      </c>
      <c r="B22" s="1">
        <f>LOG('bush_data.txt'!B22)</f>
        <v>-0.89619627904404309</v>
      </c>
      <c r="C22" s="1">
        <f>LOG('bush_data.txt'!C22)</f>
        <v>-0.12667939818460122</v>
      </c>
      <c r="D22" s="1">
        <f>LOG('bush_data.txt'!D22)</f>
        <v>-0.24260397120697583</v>
      </c>
      <c r="E22" s="1">
        <f>LOG('bush_data.txt'!E22)</f>
        <v>0.49136169383427269</v>
      </c>
      <c r="F22" s="1">
        <f>LOG('bush_data.txt'!F22)</f>
        <v>-0.34678748622465633</v>
      </c>
      <c r="G22" s="1">
        <f>LOG('bush_data.txt'!G22)</f>
        <v>-1.6989700043360187</v>
      </c>
      <c r="H22" s="1">
        <f>LOG('bush_data.txt'!H22)</f>
        <v>0.63447727016073152</v>
      </c>
      <c r="I22" s="1">
        <f>LOG('bush_data.txt'!I22)</f>
        <v>0.62428209583566829</v>
      </c>
      <c r="J22" s="1">
        <f>LOG('bush_data.txt'!J22)</f>
        <v>0.85186960072976636</v>
      </c>
      <c r="K22" s="1">
        <f>LOG('bush_data.txt'!K22)</f>
        <v>-0.24412514432750865</v>
      </c>
      <c r="L22" s="1">
        <f>LOG('bush_data.txt'!L22)</f>
        <v>0.49136169383427269</v>
      </c>
    </row>
    <row r="23" spans="1:12">
      <c r="A23" t="s">
        <v>29</v>
      </c>
      <c r="B23" s="1">
        <f>LOG('bush_data.txt'!B23)</f>
        <v>-0.73754891026957059</v>
      </c>
      <c r="C23" s="1">
        <f>LOG('bush_data.txt'!C23)</f>
        <v>5.6904851336472557E-2</v>
      </c>
      <c r="D23" s="1">
        <f>LOG('bush_data.txt'!D23)</f>
        <v>-0.19517932127883766</v>
      </c>
      <c r="E23" s="1">
        <f>LOG('bush_data.txt'!E23)</f>
        <v>0.59217675739586684</v>
      </c>
      <c r="F23" s="1">
        <f>LOG('bush_data.txt'!F23)</f>
        <v>-0.48148606012211248</v>
      </c>
      <c r="G23" s="1">
        <f>LOG('bush_data.txt'!G23)</f>
        <v>-1.6989700043360187</v>
      </c>
      <c r="H23" s="1">
        <f>LOG('bush_data.txt'!H23)</f>
        <v>0.49968708261840383</v>
      </c>
      <c r="I23" s="1">
        <f>LOG('bush_data.txt'!I23)</f>
        <v>0.51188336097887432</v>
      </c>
      <c r="J23" s="1">
        <f>LOG('bush_data.txt'!J23)</f>
        <v>1.0068937079479006</v>
      </c>
      <c r="K23" s="1">
        <f>LOG('bush_data.txt'!K23)</f>
        <v>-0.19382002601611281</v>
      </c>
      <c r="L23" s="1">
        <f>LOG('bush_data.txt'!L23)</f>
        <v>0.59217675739586684</v>
      </c>
    </row>
    <row r="24" spans="1:12">
      <c r="A24" t="s">
        <v>30</v>
      </c>
      <c r="B24" s="1"/>
      <c r="C24" s="1"/>
      <c r="D24" s="1"/>
      <c r="E24" s="1"/>
      <c r="F24" s="1">
        <f>LOG('bush_data.txt'!F24)</f>
        <v>0.19589965240923377</v>
      </c>
      <c r="G24" s="1">
        <f>LOG('bush_data.txt'!G24)</f>
        <v>-1.1549019599857431</v>
      </c>
      <c r="H24" s="1"/>
      <c r="I24" s="1"/>
      <c r="J24" s="1">
        <f>LOG('bush_data.txt'!J24)</f>
        <v>1.4012281674981131</v>
      </c>
      <c r="K24" s="1">
        <f>LOG('bush_data.txt'!K24)</f>
        <v>0.37106786227173627</v>
      </c>
      <c r="L24" s="1">
        <f>LOG('bush_data.txt'!L24)</f>
        <v>0.99299509843134148</v>
      </c>
    </row>
    <row r="25" spans="1:1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t="s">
        <v>3</v>
      </c>
      <c r="B26">
        <f>SLOPE(B2:B24,J2:J24)</f>
        <v>1.0499636379596837</v>
      </c>
      <c r="C26">
        <f>SLOPE(C2:C24,J2:J24)</f>
        <v>0.92783620797099786</v>
      </c>
      <c r="E26">
        <f>SLOPE(E2:E24,J2:J24)</f>
        <v>1.0383224631094148</v>
      </c>
      <c r="L26">
        <f>SLOPE(L2:L24,J2:J24)</f>
        <v>1.0280623115818417</v>
      </c>
    </row>
    <row r="27" spans="1:12">
      <c r="A27" t="s">
        <v>31</v>
      </c>
      <c r="B27">
        <f>INTERCEPT(B2:B24,J2:J24)</f>
        <v>-1.7812907306239432</v>
      </c>
      <c r="C27">
        <f>INTERCEPT(C2:C24,J2:J24)</f>
        <v>-0.98896876218456564</v>
      </c>
      <c r="E27">
        <f>INTERCEPT(E2:E24,J2:J24)</f>
        <v>-0.42730851787017032</v>
      </c>
      <c r="L27">
        <f>INTERCEPT(L2:L24,J2:J24)</f>
        <v>-0.40652959589976501</v>
      </c>
    </row>
  </sheetData>
  <sheetCalcPr fullCalcOnLoad="1"/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BB3444-A22F-4661-B09D-68556A46FA77}"/>
</file>

<file path=customXml/itemProps2.xml><?xml version="1.0" encoding="utf-8"?>
<ds:datastoreItem xmlns:ds="http://schemas.openxmlformats.org/officeDocument/2006/customXml" ds:itemID="{AD94DC35-1E4D-4B13-8193-48E4D035B374}"/>
</file>

<file path=customXml/itemProps3.xml><?xml version="1.0" encoding="utf-8"?>
<ds:datastoreItem xmlns:ds="http://schemas.openxmlformats.org/officeDocument/2006/customXml" ds:itemID="{788B795F-9ECD-4957-8ED2-33CE5BC0F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bush_data.txt</vt:lpstr>
      <vt:lpstr>1logged</vt:lpstr>
    </vt:vector>
  </TitlesOfParts>
  <Company>QMUL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2011-06-15T11:33:23Z</dcterms:created>
  <dcterms:modified xsi:type="dcterms:W3CDTF">2011-06-24T17:19:46Z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