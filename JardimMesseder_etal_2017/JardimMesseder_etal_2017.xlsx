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ell_Counts_Isotropic_Fractionator/"/>
    </mc:Choice>
  </mc:AlternateContent>
  <xr:revisionPtr revIDLastSave="0" documentId="13_ncr:40009_{B7194253-2582-8045-BE90-186A08D2A111}" xr6:coauthVersionLast="47" xr6:coauthVersionMax="47" xr10:uidLastSave="{00000000-0000-0000-0000-000000000000}"/>
  <bookViews>
    <workbookView xWindow="46260" yWindow="-5300" windowWidth="18480" windowHeight="9300" activeTab="2"/>
  </bookViews>
  <sheets>
    <sheet name="published_Table1" sheetId="3" r:id="rId1"/>
    <sheet name="formatted_terms" sheetId="4" r:id="rId2"/>
    <sheet name="formatted_terms_transpos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C4" i="4"/>
  <c r="C5" i="4" s="1"/>
  <c r="D4" i="4"/>
  <c r="D5" i="4" s="1"/>
  <c r="E4" i="4"/>
  <c r="E5" i="4" s="1"/>
  <c r="F4" i="4"/>
  <c r="F5" i="4" s="1"/>
  <c r="G4" i="4"/>
  <c r="G5" i="4" s="1"/>
  <c r="H4" i="4"/>
  <c r="H5" i="4" s="1"/>
  <c r="I4" i="4"/>
  <c r="I5" i="4" s="1"/>
  <c r="J4" i="4"/>
  <c r="J5" i="4" s="1"/>
  <c r="C6" i="4"/>
  <c r="D6" i="4"/>
  <c r="E6" i="4"/>
  <c r="F6" i="4"/>
  <c r="G6" i="4"/>
  <c r="H6" i="4"/>
  <c r="I6" i="4"/>
  <c r="I24" i="4" s="1"/>
  <c r="J6" i="4"/>
  <c r="C7" i="4"/>
  <c r="D7" i="4"/>
  <c r="E7" i="4"/>
  <c r="F7" i="4"/>
  <c r="G7" i="4"/>
  <c r="H7" i="4"/>
  <c r="I7" i="4"/>
  <c r="J7" i="4"/>
  <c r="C8" i="4"/>
  <c r="D8" i="4"/>
  <c r="E8" i="4"/>
  <c r="F8" i="4"/>
  <c r="G8" i="4"/>
  <c r="H8" i="4"/>
  <c r="I8" i="4"/>
  <c r="J8" i="4"/>
  <c r="C9" i="4"/>
  <c r="D9" i="4"/>
  <c r="E9" i="4"/>
  <c r="F9" i="4"/>
  <c r="G9" i="4"/>
  <c r="H9" i="4"/>
  <c r="I9" i="4"/>
  <c r="J9" i="4"/>
  <c r="C10" i="4"/>
  <c r="D10" i="4"/>
  <c r="E10" i="4"/>
  <c r="F10" i="4"/>
  <c r="G10" i="4"/>
  <c r="H10" i="4"/>
  <c r="I10" i="4"/>
  <c r="J10" i="4"/>
  <c r="C11" i="4"/>
  <c r="E11" i="4"/>
  <c r="C12" i="4"/>
  <c r="C24" i="4" s="1"/>
  <c r="D12" i="4"/>
  <c r="D24" i="4" s="1"/>
  <c r="E12" i="4"/>
  <c r="E24" i="4" s="1"/>
  <c r="F12" i="4"/>
  <c r="G12" i="4"/>
  <c r="G24" i="4" s="1"/>
  <c r="H12" i="4"/>
  <c r="H24" i="4" s="1"/>
  <c r="I12" i="4"/>
  <c r="J12" i="4"/>
  <c r="C13" i="4"/>
  <c r="D13" i="4"/>
  <c r="E13" i="4"/>
  <c r="F13" i="4"/>
  <c r="G13" i="4"/>
  <c r="H13" i="4"/>
  <c r="I13" i="4"/>
  <c r="J13" i="4"/>
  <c r="C14" i="4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C16" i="4"/>
  <c r="D16" i="4"/>
  <c r="E16" i="4"/>
  <c r="F16" i="4"/>
  <c r="G16" i="4"/>
  <c r="H16" i="4"/>
  <c r="I16" i="4"/>
  <c r="J16" i="4"/>
  <c r="C17" i="4"/>
  <c r="E17" i="4"/>
  <c r="C18" i="4"/>
  <c r="D18" i="4"/>
  <c r="E18" i="4"/>
  <c r="F18" i="4"/>
  <c r="G18" i="4"/>
  <c r="H18" i="4"/>
  <c r="I18" i="4"/>
  <c r="J18" i="4"/>
  <c r="C19" i="4"/>
  <c r="D19" i="4"/>
  <c r="E19" i="4"/>
  <c r="F19" i="4"/>
  <c r="G19" i="4"/>
  <c r="H19" i="4"/>
  <c r="I19" i="4"/>
  <c r="J19" i="4"/>
  <c r="C20" i="4"/>
  <c r="D20" i="4"/>
  <c r="E20" i="4"/>
  <c r="F20" i="4"/>
  <c r="G20" i="4"/>
  <c r="H20" i="4"/>
  <c r="I20" i="4"/>
  <c r="J20" i="4"/>
  <c r="C21" i="4"/>
  <c r="D21" i="4"/>
  <c r="E21" i="4"/>
  <c r="F21" i="4"/>
  <c r="G21" i="4"/>
  <c r="H21" i="4"/>
  <c r="I21" i="4"/>
  <c r="J21" i="4"/>
  <c r="C22" i="4"/>
  <c r="D22" i="4"/>
  <c r="E22" i="4"/>
  <c r="F22" i="4"/>
  <c r="G22" i="4"/>
  <c r="H22" i="4"/>
  <c r="I22" i="4"/>
  <c r="J22" i="4"/>
  <c r="C23" i="4"/>
  <c r="E23" i="4"/>
  <c r="F24" i="4"/>
  <c r="C25" i="4"/>
  <c r="D25" i="4"/>
  <c r="E25" i="4"/>
  <c r="F25" i="4"/>
  <c r="G25" i="4"/>
  <c r="H25" i="4"/>
  <c r="I25" i="4"/>
  <c r="J25" i="4"/>
  <c r="C26" i="4"/>
  <c r="D26" i="4"/>
  <c r="E26" i="4"/>
  <c r="F26" i="4"/>
  <c r="G26" i="4"/>
  <c r="H26" i="4"/>
  <c r="I26" i="4"/>
  <c r="J26" i="4"/>
  <c r="C27" i="4"/>
  <c r="D27" i="4"/>
  <c r="E27" i="4"/>
  <c r="F27" i="4"/>
  <c r="G27" i="4"/>
  <c r="H27" i="4"/>
  <c r="I27" i="4"/>
  <c r="J27" i="4"/>
  <c r="C28" i="4"/>
  <c r="D28" i="4"/>
  <c r="E28" i="4"/>
  <c r="F28" i="4"/>
  <c r="G28" i="4"/>
  <c r="H28" i="4"/>
  <c r="I28" i="4"/>
  <c r="J28" i="4"/>
  <c r="C29" i="4"/>
  <c r="E29" i="4"/>
  <c r="C30" i="4"/>
  <c r="D30" i="4"/>
  <c r="E30" i="4"/>
  <c r="F30" i="4"/>
  <c r="G30" i="4"/>
  <c r="H30" i="4"/>
  <c r="I30" i="4"/>
  <c r="J30" i="4"/>
  <c r="C31" i="4"/>
  <c r="D31" i="4"/>
  <c r="E31" i="4"/>
  <c r="F31" i="4"/>
  <c r="G31" i="4"/>
  <c r="H31" i="4"/>
  <c r="I31" i="4"/>
  <c r="J31" i="4"/>
  <c r="C32" i="4"/>
  <c r="D32" i="4"/>
  <c r="E32" i="4"/>
  <c r="F32" i="4"/>
  <c r="G32" i="4"/>
  <c r="H32" i="4"/>
  <c r="I32" i="4"/>
  <c r="J32" i="4"/>
  <c r="C33" i="4"/>
  <c r="D33" i="4"/>
  <c r="E33" i="4"/>
  <c r="F33" i="4"/>
  <c r="G33" i="4"/>
  <c r="H33" i="4"/>
  <c r="I33" i="4"/>
  <c r="J33" i="4"/>
  <c r="C34" i="4"/>
  <c r="D34" i="4"/>
  <c r="E34" i="4"/>
  <c r="F34" i="4"/>
  <c r="G34" i="4"/>
  <c r="H34" i="4"/>
  <c r="I34" i="4"/>
  <c r="J34" i="4"/>
  <c r="C35" i="4"/>
  <c r="E35" i="4"/>
  <c r="J24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<sst xmlns="http://schemas.openxmlformats.org/spreadsheetml/2006/main" count="284" uniqueCount="174">
  <si>
    <t>code</t>
  </si>
  <si>
    <t>Species</t>
  </si>
  <si>
    <t>Mustela_putorius_furo</t>
  </si>
  <si>
    <t>Mungos_mungo</t>
  </si>
  <si>
    <t>Procyon_lotor</t>
  </si>
  <si>
    <t>Felis_catus</t>
  </si>
  <si>
    <t>Canis_familiaris</t>
  </si>
  <si>
    <t>Hyaena_hyaena</t>
  </si>
  <si>
    <t>Panthera_leo</t>
  </si>
  <si>
    <t>Ursus_arctos</t>
  </si>
  <si>
    <t>Species.Common</t>
  </si>
  <si>
    <t>Ferret</t>
  </si>
  <si>
    <t>Banded.mongoose</t>
  </si>
  <si>
    <t>Raccoon</t>
  </si>
  <si>
    <t>Cat</t>
  </si>
  <si>
    <t>Dog</t>
  </si>
  <si>
    <t>Striped.hyena</t>
  </si>
  <si>
    <t>Lion</t>
  </si>
  <si>
    <t>Brown.bear</t>
  </si>
  <si>
    <t>HH.species</t>
  </si>
  <si>
    <t>Mustela putorius furo</t>
  </si>
  <si>
    <t>Mungos mungo</t>
  </si>
  <si>
    <t>Procyon lotor</t>
  </si>
  <si>
    <t>Felis catus</t>
  </si>
  <si>
    <t>Canis familiaris</t>
  </si>
  <si>
    <t>Hyaena hyaena</t>
  </si>
  <si>
    <t>Panthera leo</t>
  </si>
  <si>
    <t>Ursus arctos</t>
  </si>
  <si>
    <t>MBD.kg</t>
  </si>
  <si>
    <t>JM.HH.kilo</t>
  </si>
  <si>
    <t>Body_Mass_g</t>
  </si>
  <si>
    <t>MBR.g</t>
  </si>
  <si>
    <t>WholeBrain_Mass_g</t>
  </si>
  <si>
    <t>MCxT.g</t>
  </si>
  <si>
    <t>CerebralCortex_Mass_g</t>
  </si>
  <si>
    <t>MHP.g</t>
  </si>
  <si>
    <t>Hippocampus_Mass_g</t>
  </si>
  <si>
    <t>MCB.g</t>
  </si>
  <si>
    <t>Cerebellum_Mass_g</t>
  </si>
  <si>
    <t>MRoB.g</t>
  </si>
  <si>
    <t>RoB_Mass_g</t>
  </si>
  <si>
    <t>MOB.g</t>
  </si>
  <si>
    <t>OlfactoryBulb_Mass_g</t>
  </si>
  <si>
    <t>NA</t>
  </si>
  <si>
    <t>NBR</t>
  </si>
  <si>
    <t>WholeBrain_N_n</t>
  </si>
  <si>
    <t>NCxT</t>
  </si>
  <si>
    <t>CerebralCortex_N_n</t>
  </si>
  <si>
    <t>NHP</t>
  </si>
  <si>
    <t>Hippocampus_N_n</t>
  </si>
  <si>
    <t>NCB</t>
  </si>
  <si>
    <t>Cerebellum_N_n</t>
  </si>
  <si>
    <t>NRoB</t>
  </si>
  <si>
    <t>RoB_N_n</t>
  </si>
  <si>
    <t>NOB</t>
  </si>
  <si>
    <t>OlfactoryBulb_N_n</t>
  </si>
  <si>
    <t>OBR</t>
  </si>
  <si>
    <t>WholeBrain_O_n</t>
  </si>
  <si>
    <t>OCxT</t>
  </si>
  <si>
    <t>CerebralCortex_O_n</t>
  </si>
  <si>
    <t>OHP</t>
  </si>
  <si>
    <t>Hippocampus_O_n</t>
  </si>
  <si>
    <t>OCB</t>
  </si>
  <si>
    <t>Cerebellum_O_n</t>
  </si>
  <si>
    <t>ORoB</t>
  </si>
  <si>
    <t>RoB_O_n</t>
  </si>
  <si>
    <t>OOB</t>
  </si>
  <si>
    <t>OlfactoryBulb_O_n</t>
  </si>
  <si>
    <t>WholeBrain_Nmg</t>
  </si>
  <si>
    <t>DNCxT</t>
  </si>
  <si>
    <t>CerebralCortex_Nmg</t>
  </si>
  <si>
    <t>DNHP</t>
  </si>
  <si>
    <t>Hippocampus_Nmg</t>
  </si>
  <si>
    <t>DNCB</t>
  </si>
  <si>
    <t>Cerebellum_Nmg</t>
  </si>
  <si>
    <t>DNRoB</t>
  </si>
  <si>
    <t>RoB_Nmg</t>
  </si>
  <si>
    <t>DNOB</t>
  </si>
  <si>
    <t>OlfactoryBulb_Nmg</t>
  </si>
  <si>
    <t>O/NBR</t>
  </si>
  <si>
    <t>WholeBrain_ON</t>
  </si>
  <si>
    <t>O/NCXT</t>
  </si>
  <si>
    <t>CerebralCortex_ON</t>
  </si>
  <si>
    <t>O/NHP</t>
  </si>
  <si>
    <t>Hippocampus_ON</t>
  </si>
  <si>
    <t>O/NCB</t>
  </si>
  <si>
    <t>Cerebellum_ON</t>
  </si>
  <si>
    <t>O/NRoB</t>
  </si>
  <si>
    <t>RoB_ON</t>
  </si>
  <si>
    <t>O/NOB</t>
  </si>
  <si>
    <t>OlfactoryBulb_ON</t>
  </si>
  <si>
    <t>404.43*1000000</t>
  </si>
  <si>
    <t>454.02*1000000</t>
  </si>
  <si>
    <t>2148.07*1000000</t>
  </si>
  <si>
    <t>1215.21*1000000</t>
  </si>
  <si>
    <t>2252.69*1000000</t>
  </si>
  <si>
    <t>3884.60*1000000</t>
  </si>
  <si>
    <t>4667.03*1000000</t>
  </si>
  <si>
    <t>9585.60*1000000</t>
  </si>
  <si>
    <t>38.95*1000000</t>
  </si>
  <si>
    <t>115.77*1000000</t>
  </si>
  <si>
    <t>437.94*1000000</t>
  </si>
  <si>
    <t>249.83*1000000</t>
  </si>
  <si>
    <t>527.91*1000000</t>
  </si>
  <si>
    <t>495.28*1000000</t>
  </si>
  <si>
    <t>545.24*1000000</t>
  </si>
  <si>
    <t>250.97*1000000</t>
  </si>
  <si>
    <t>3.19*1000000</t>
  </si>
  <si>
    <t>2.66*1000000</t>
  </si>
  <si>
    <t>15.34*1000000</t>
  </si>
  <si>
    <t>8.05*1000000</t>
  </si>
  <si>
    <t>8.61*1000000</t>
  </si>
  <si>
    <t>18.24*1000000</t>
  </si>
  <si>
    <t>13.54*1000000</t>
  </si>
  <si>
    <t>351.26*1000000</t>
  </si>
  <si>
    <t>315.74*1000000</t>
  </si>
  <si>
    <t>1646.18*1000000</t>
  </si>
  <si>
    <t>942.90*1000000</t>
  </si>
  <si>
    <t>1676.63*1000000</t>
  </si>
  <si>
    <t>3333.83*1000000</t>
  </si>
  <si>
    <t>4049.75*1000000</t>
  </si>
  <si>
    <t>9253.25*1000000</t>
  </si>
  <si>
    <t>14.21*1000000</t>
  </si>
  <si>
    <t>22.51*1000000</t>
  </si>
  <si>
    <t>48.57*1000000</t>
  </si>
  <si>
    <t>22.47*1000000</t>
  </si>
  <si>
    <t>48.15*1000000</t>
  </si>
  <si>
    <t>55.49*1000000</t>
  </si>
  <si>
    <t>72.04*1000000</t>
  </si>
  <si>
    <t>81.38*1000000</t>
  </si>
  <si>
    <t>14.04*1000000</t>
  </si>
  <si>
    <t>55.99*1000000</t>
  </si>
  <si>
    <t>472.98*1000000</t>
  </si>
  <si>
    <t>652.37*1000000</t>
  </si>
  <si>
    <t>2399.99*1000000</t>
  </si>
  <si>
    <t>1728.79*1000000</t>
  </si>
  <si>
    <t>5193.23*1000000</t>
  </si>
  <si>
    <t>4501.39*1000000</t>
  </si>
  <si>
    <t>12398.84*1000000</t>
  </si>
  <si>
    <t>15113.19*1000000</t>
  </si>
  <si>
    <t>264.06*1000000</t>
  </si>
  <si>
    <t>346.56*1000000</t>
  </si>
  <si>
    <t>1766.67*1000000</t>
  </si>
  <si>
    <t>1097.10*1000000</t>
  </si>
  <si>
    <t>3416.46*1000000</t>
  </si>
  <si>
    <t>2977.76*1000000</t>
  </si>
  <si>
    <t>7260.97*1000000</t>
  </si>
  <si>
    <t>10154.00*1000000</t>
  </si>
  <si>
    <t>29.31*1000000</t>
  </si>
  <si>
    <t>22.96*1000000</t>
  </si>
  <si>
    <t>70.00*1000000</t>
  </si>
  <si>
    <t>55.95*1000000</t>
  </si>
  <si>
    <t>134.05*1000000</t>
  </si>
  <si>
    <t>139.82*1000000</t>
  </si>
  <si>
    <t>177.11*1000000</t>
  </si>
  <si>
    <t>249.16*1000000</t>
  </si>
  <si>
    <t>79.60*1000000</t>
  </si>
  <si>
    <t>154.26*1000000</t>
  </si>
  <si>
    <t>241.32*1000000</t>
  </si>
  <si>
    <t>326.10*1000000</t>
  </si>
  <si>
    <t>848.68*1000000</t>
  </si>
  <si>
    <t>594.29*1000000</t>
  </si>
  <si>
    <t>3044.00*1000000</t>
  </si>
  <si>
    <t>2296.75*1000000</t>
  </si>
  <si>
    <t>129.33*1000000</t>
  </si>
  <si>
    <t>151.54*1000000</t>
  </si>
  <si>
    <t>392.00*1000000</t>
  </si>
  <si>
    <t>305.59*1000000</t>
  </si>
  <si>
    <t>928.09*1000000</t>
  </si>
  <si>
    <t>929.34*1000000</t>
  </si>
  <si>
    <t>2093.86*1000000</t>
  </si>
  <si>
    <t>2662.44*1000000</t>
  </si>
  <si>
    <t>43.48*1000000</t>
  </si>
  <si>
    <t>79.76*1000000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</si>
</sst>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4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9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9" x14ac:dyDescent="0.2">
      <c r="A3" t="s">
        <v>28</v>
      </c>
      <c r="B3">
        <v>0.8</v>
      </c>
      <c r="C3">
        <v>1.5</v>
      </c>
      <c r="D3">
        <v>6.2</v>
      </c>
      <c r="E3">
        <v>4.5</v>
      </c>
      <c r="F3">
        <v>19.7</v>
      </c>
      <c r="G3">
        <v>40</v>
      </c>
      <c r="H3">
        <v>180</v>
      </c>
      <c r="I3">
        <v>350</v>
      </c>
    </row>
    <row r="4" spans="1:9" x14ac:dyDescent="0.2">
      <c r="A4" t="s">
        <v>31</v>
      </c>
      <c r="B4">
        <v>5.4290000000000003</v>
      </c>
      <c r="C4">
        <v>14.292</v>
      </c>
      <c r="D4">
        <v>34.186</v>
      </c>
      <c r="E4">
        <v>34.857999999999997</v>
      </c>
      <c r="F4">
        <v>86.462000000000003</v>
      </c>
      <c r="G4">
        <v>99.213999999999999</v>
      </c>
      <c r="H4">
        <v>198.946</v>
      </c>
      <c r="I4">
        <v>315.00400000000002</v>
      </c>
    </row>
    <row r="5" spans="1:9" x14ac:dyDescent="0.2">
      <c r="A5" t="s">
        <v>33</v>
      </c>
      <c r="B5">
        <v>3.1230000000000002</v>
      </c>
      <c r="C5">
        <v>9.2899999999999991</v>
      </c>
      <c r="D5">
        <v>24.491</v>
      </c>
      <c r="E5">
        <v>24.175999999999998</v>
      </c>
      <c r="F5">
        <v>65.491</v>
      </c>
      <c r="G5">
        <v>67.45</v>
      </c>
      <c r="H5">
        <v>139.90199999999999</v>
      </c>
      <c r="I5">
        <v>222</v>
      </c>
    </row>
    <row r="6" spans="1:9" x14ac:dyDescent="0.2">
      <c r="A6" t="s">
        <v>35</v>
      </c>
      <c r="B6">
        <v>0.32900000000000001</v>
      </c>
      <c r="C6">
        <v>0.42799999999999999</v>
      </c>
      <c r="D6">
        <v>0.47699999999999998</v>
      </c>
      <c r="E6">
        <v>0.876</v>
      </c>
      <c r="F6">
        <v>2.0099999999999998</v>
      </c>
      <c r="G6">
        <v>3.3660000000000001</v>
      </c>
      <c r="H6">
        <v>3.6480000000000001</v>
      </c>
      <c r="I6">
        <v>4.13</v>
      </c>
    </row>
    <row r="7" spans="1:9" x14ac:dyDescent="0.2">
      <c r="A7" t="s">
        <v>37</v>
      </c>
      <c r="B7">
        <v>0.92</v>
      </c>
      <c r="C7">
        <v>1.548</v>
      </c>
      <c r="D7">
        <v>3.3380000000000001</v>
      </c>
      <c r="E7">
        <v>5.1100000000000003</v>
      </c>
      <c r="F7">
        <v>7.5119999999999996</v>
      </c>
      <c r="G7">
        <v>14.032</v>
      </c>
      <c r="H7">
        <v>24.882000000000001</v>
      </c>
      <c r="I7">
        <v>45.106000000000002</v>
      </c>
    </row>
    <row r="8" spans="1:9" x14ac:dyDescent="0.2">
      <c r="A8" t="s">
        <v>39</v>
      </c>
      <c r="B8">
        <v>1.3859999999999999</v>
      </c>
      <c r="C8">
        <v>3.4540000000000002</v>
      </c>
      <c r="D8">
        <v>6.3570000000000002</v>
      </c>
      <c r="E8">
        <v>5.5720000000000001</v>
      </c>
      <c r="F8">
        <v>13.459</v>
      </c>
      <c r="G8">
        <v>17.731999999999999</v>
      </c>
      <c r="H8">
        <v>34.161999999999999</v>
      </c>
      <c r="I8">
        <v>47.898000000000003</v>
      </c>
    </row>
    <row r="9" spans="1:9" x14ac:dyDescent="0.2">
      <c r="A9" t="s">
        <v>41</v>
      </c>
      <c r="B9">
        <v>0.25</v>
      </c>
      <c r="C9" t="s">
        <v>43</v>
      </c>
      <c r="D9">
        <v>0.47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</row>
    <row r="10" spans="1:9" x14ac:dyDescent="0.2">
      <c r="A10" t="s">
        <v>44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</row>
    <row r="11" spans="1:9" x14ac:dyDescent="0.2">
      <c r="A11" t="s">
        <v>46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</row>
    <row r="12" spans="1:9" x14ac:dyDescent="0.2">
      <c r="A12" t="s">
        <v>48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111</v>
      </c>
    </row>
    <row r="13" spans="1:9" x14ac:dyDescent="0.2">
      <c r="A13" t="s">
        <v>50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</row>
    <row r="14" spans="1:9" x14ac:dyDescent="0.2">
      <c r="A14" t="s">
        <v>52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</row>
    <row r="15" spans="1:9" x14ac:dyDescent="0.2">
      <c r="A15" t="s">
        <v>54</v>
      </c>
      <c r="B15" t="s">
        <v>130</v>
      </c>
      <c r="C15" t="s">
        <v>43</v>
      </c>
      <c r="D15" t="s">
        <v>131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</row>
    <row r="16" spans="1:9" x14ac:dyDescent="0.2">
      <c r="A16" t="s">
        <v>56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</row>
    <row r="17" spans="1:9" x14ac:dyDescent="0.2">
      <c r="A17" t="s">
        <v>58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</row>
    <row r="18" spans="1:9" x14ac:dyDescent="0.2">
      <c r="A18" t="s">
        <v>60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</row>
    <row r="19" spans="1:9" x14ac:dyDescent="0.2">
      <c r="A19" t="s">
        <v>62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</row>
    <row r="20" spans="1:9" x14ac:dyDescent="0.2">
      <c r="A20" t="s">
        <v>64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</row>
    <row r="21" spans="1:9" x14ac:dyDescent="0.2">
      <c r="A21" t="s">
        <v>66</v>
      </c>
      <c r="B21" t="s">
        <v>172</v>
      </c>
      <c r="C21" t="s">
        <v>43</v>
      </c>
      <c r="D21" t="s">
        <v>173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</row>
    <row r="22" spans="1:9" x14ac:dyDescent="0.2">
      <c r="A22" t="s">
        <v>69</v>
      </c>
      <c r="B22">
        <v>12473</v>
      </c>
      <c r="C22">
        <v>12462</v>
      </c>
      <c r="D22">
        <v>18510</v>
      </c>
      <c r="E22">
        <v>10334</v>
      </c>
      <c r="F22">
        <v>8061</v>
      </c>
      <c r="G22">
        <v>7343</v>
      </c>
      <c r="H22">
        <v>3897</v>
      </c>
      <c r="I22">
        <v>1130</v>
      </c>
    </row>
    <row r="23" spans="1:9" x14ac:dyDescent="0.2">
      <c r="A23" t="s">
        <v>71</v>
      </c>
      <c r="B23">
        <v>9702</v>
      </c>
      <c r="C23">
        <v>6225</v>
      </c>
      <c r="D23">
        <v>16076</v>
      </c>
      <c r="E23">
        <v>9187</v>
      </c>
      <c r="F23">
        <v>4282</v>
      </c>
      <c r="G23">
        <v>5418</v>
      </c>
      <c r="H23">
        <v>3711</v>
      </c>
      <c r="I23">
        <v>2085</v>
      </c>
    </row>
    <row r="24" spans="1:9" x14ac:dyDescent="0.2">
      <c r="A24" t="s">
        <v>73</v>
      </c>
      <c r="B24">
        <v>381810</v>
      </c>
      <c r="C24">
        <v>203966</v>
      </c>
      <c r="D24">
        <v>493162</v>
      </c>
      <c r="E24">
        <v>184521</v>
      </c>
      <c r="F24">
        <v>223194</v>
      </c>
      <c r="G24">
        <v>237588</v>
      </c>
      <c r="H24">
        <v>162758</v>
      </c>
      <c r="I24">
        <v>205145</v>
      </c>
    </row>
    <row r="25" spans="1:9" x14ac:dyDescent="0.2">
      <c r="A25" t="s">
        <v>75</v>
      </c>
      <c r="B25">
        <v>10253</v>
      </c>
      <c r="C25">
        <v>6518</v>
      </c>
      <c r="D25">
        <v>7640</v>
      </c>
      <c r="E25">
        <v>4033</v>
      </c>
      <c r="F25">
        <v>3577</v>
      </c>
      <c r="G25">
        <v>3129</v>
      </c>
      <c r="H25">
        <v>2109</v>
      </c>
      <c r="I25">
        <v>1699</v>
      </c>
    </row>
    <row r="26" spans="1:9" x14ac:dyDescent="0.2">
      <c r="A26" t="s">
        <v>77</v>
      </c>
      <c r="B26">
        <v>56150</v>
      </c>
      <c r="C26" t="s">
        <v>43</v>
      </c>
      <c r="D26">
        <v>119119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</row>
    <row r="27" spans="1:9" x14ac:dyDescent="0.2">
      <c r="A27" t="s">
        <v>79</v>
      </c>
      <c r="B27">
        <v>1.2529999999999999</v>
      </c>
      <c r="C27">
        <v>1.4370000000000001</v>
      </c>
      <c r="D27">
        <v>1.117</v>
      </c>
      <c r="E27">
        <v>1.423</v>
      </c>
      <c r="F27">
        <v>2.3050000000000002</v>
      </c>
      <c r="G27">
        <v>1.159</v>
      </c>
      <c r="H27">
        <v>2.657</v>
      </c>
      <c r="I27">
        <v>1.577</v>
      </c>
    </row>
    <row r="28" spans="1:9" x14ac:dyDescent="0.2">
      <c r="A28" t="s">
        <v>81</v>
      </c>
      <c r="B28">
        <v>6.7789999999999999</v>
      </c>
      <c r="C28">
        <v>2.9940000000000002</v>
      </c>
      <c r="D28">
        <v>3.8969999999999998</v>
      </c>
      <c r="E28">
        <v>4.391</v>
      </c>
      <c r="F28">
        <v>6.4720000000000004</v>
      </c>
      <c r="G28">
        <v>6.0119999999999996</v>
      </c>
      <c r="H28">
        <v>13.317</v>
      </c>
      <c r="I28">
        <v>40.459000000000003</v>
      </c>
    </row>
    <row r="29" spans="1:9" x14ac:dyDescent="0.2">
      <c r="A29" t="s">
        <v>83</v>
      </c>
      <c r="B29">
        <v>9.1820000000000004</v>
      </c>
      <c r="C29">
        <v>8.6180000000000003</v>
      </c>
      <c r="D29">
        <v>4.5640000000000001</v>
      </c>
      <c r="E29">
        <v>6.952</v>
      </c>
      <c r="F29">
        <v>15.574999999999999</v>
      </c>
      <c r="G29">
        <v>7.6669999999999998</v>
      </c>
      <c r="H29">
        <v>13.083</v>
      </c>
      <c r="I29">
        <v>28.940999999999999</v>
      </c>
    </row>
    <row r="30" spans="1:9" x14ac:dyDescent="0.2">
      <c r="A30" t="s">
        <v>85</v>
      </c>
      <c r="B30">
        <v>0.22700000000000001</v>
      </c>
      <c r="C30">
        <v>0.48899999999999999</v>
      </c>
      <c r="D30">
        <v>0.14699999999999999</v>
      </c>
      <c r="E30">
        <v>0.34599999999999997</v>
      </c>
      <c r="F30">
        <v>0.50600000000000001</v>
      </c>
      <c r="G30">
        <v>0.17799999999999999</v>
      </c>
      <c r="H30">
        <v>0.752</v>
      </c>
      <c r="I30">
        <v>0.248</v>
      </c>
    </row>
    <row r="31" spans="1:9" x14ac:dyDescent="0.2">
      <c r="A31" t="s">
        <v>87</v>
      </c>
      <c r="B31">
        <v>9.1010000000000009</v>
      </c>
      <c r="C31">
        <v>6.7309999999999999</v>
      </c>
      <c r="D31">
        <v>8.0709999999999997</v>
      </c>
      <c r="E31">
        <v>13.598000000000001</v>
      </c>
      <c r="F31">
        <v>19.274999999999999</v>
      </c>
      <c r="G31">
        <v>16.748999999999999</v>
      </c>
      <c r="H31">
        <v>29.062999999999999</v>
      </c>
      <c r="I31">
        <v>32.713999999999999</v>
      </c>
    </row>
    <row r="32" spans="1:9" x14ac:dyDescent="0.2">
      <c r="A32" t="s">
        <v>89</v>
      </c>
      <c r="B32">
        <v>3.097</v>
      </c>
      <c r="C32" t="s">
        <v>43</v>
      </c>
      <c r="D32">
        <v>1.425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D39" sqref="D39"/>
    </sheetView>
  </sheetViews>
  <sheetFormatPr baseColWidth="10" defaultRowHeight="16" x14ac:dyDescent="0.2"/>
  <cols>
    <col min="1" max="1" width="21.1640625" customWidth="1"/>
    <col min="2" max="2" width="10.5" customWidth="1"/>
    <col min="3" max="4" width="11" bestFit="1" customWidth="1"/>
    <col min="5" max="8" width="11.1640625" bestFit="1" customWidth="1"/>
    <col min="9" max="10" width="12.1640625" bestFit="1" customWidth="1"/>
  </cols>
  <sheetData>
    <row r="1" spans="1:10" x14ac:dyDescent="0.2">
      <c r="A1" t="s">
        <v>1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">
      <c r="A2" t="s">
        <v>10</v>
      </c>
      <c r="B2" t="s">
        <v>43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43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">
      <c r="A4" t="s">
        <v>29</v>
      </c>
      <c r="B4" t="s">
        <v>28</v>
      </c>
      <c r="C4">
        <f>0.8</f>
        <v>0.8</v>
      </c>
      <c r="D4">
        <f>1.5</f>
        <v>1.5</v>
      </c>
      <c r="E4">
        <f>6.2</f>
        <v>6.2</v>
      </c>
      <c r="F4">
        <f>4.5</f>
        <v>4.5</v>
      </c>
      <c r="G4">
        <f>19.7</f>
        <v>19.7</v>
      </c>
      <c r="H4">
        <f>40</f>
        <v>40</v>
      </c>
      <c r="I4">
        <f>180</f>
        <v>180</v>
      </c>
      <c r="J4">
        <f>350</f>
        <v>350</v>
      </c>
    </row>
    <row r="5" spans="1:10" x14ac:dyDescent="0.2">
      <c r="A5" s="1" t="s">
        <v>30</v>
      </c>
      <c r="B5" t="s">
        <v>43</v>
      </c>
      <c r="C5">
        <f>C4*1000</f>
        <v>800</v>
      </c>
      <c r="D5">
        <f>D4*1000</f>
        <v>1500</v>
      </c>
      <c r="E5">
        <f>E4*1000</f>
        <v>6200</v>
      </c>
      <c r="F5">
        <f>F4*1000</f>
        <v>4500</v>
      </c>
      <c r="G5">
        <f>G4*1000</f>
        <v>19700</v>
      </c>
      <c r="H5">
        <f>H4*1000</f>
        <v>40000</v>
      </c>
      <c r="I5">
        <f>I4*1000</f>
        <v>180000</v>
      </c>
      <c r="J5">
        <f>J4*1000</f>
        <v>350000</v>
      </c>
    </row>
    <row r="6" spans="1:10" x14ac:dyDescent="0.2">
      <c r="A6" s="1" t="s">
        <v>32</v>
      </c>
      <c r="B6" t="s">
        <v>31</v>
      </c>
      <c r="C6">
        <f>5.429</f>
        <v>5.4290000000000003</v>
      </c>
      <c r="D6">
        <f>14.292</f>
        <v>14.292</v>
      </c>
      <c r="E6">
        <f>34.186</f>
        <v>34.186</v>
      </c>
      <c r="F6">
        <f>34.858</f>
        <v>34.857999999999997</v>
      </c>
      <c r="G6">
        <f>86.462</f>
        <v>86.462000000000003</v>
      </c>
      <c r="H6">
        <f>99.214</f>
        <v>99.213999999999999</v>
      </c>
      <c r="I6">
        <f>198.946</f>
        <v>198.946</v>
      </c>
      <c r="J6">
        <f>315.004</f>
        <v>315.00400000000002</v>
      </c>
    </row>
    <row r="7" spans="1:10" x14ac:dyDescent="0.2">
      <c r="A7" s="1" t="s">
        <v>34</v>
      </c>
      <c r="B7" t="s">
        <v>33</v>
      </c>
      <c r="C7">
        <f>3.123</f>
        <v>3.1230000000000002</v>
      </c>
      <c r="D7">
        <f>9.29</f>
        <v>9.2899999999999991</v>
      </c>
      <c r="E7">
        <f>24.491</f>
        <v>24.491</v>
      </c>
      <c r="F7">
        <f>24.176</f>
        <v>24.175999999999998</v>
      </c>
      <c r="G7">
        <f>65.491</f>
        <v>65.491</v>
      </c>
      <c r="H7">
        <f>67.45</f>
        <v>67.45</v>
      </c>
      <c r="I7">
        <f>139.902</f>
        <v>139.90199999999999</v>
      </c>
      <c r="J7">
        <f>222</f>
        <v>222</v>
      </c>
    </row>
    <row r="8" spans="1:10" x14ac:dyDescent="0.2">
      <c r="A8" t="s">
        <v>36</v>
      </c>
      <c r="B8" t="s">
        <v>35</v>
      </c>
      <c r="C8">
        <f>0.329</f>
        <v>0.32900000000000001</v>
      </c>
      <c r="D8">
        <f>0.428</f>
        <v>0.42799999999999999</v>
      </c>
      <c r="E8">
        <f>0.477</f>
        <v>0.47699999999999998</v>
      </c>
      <c r="F8">
        <f>0.876</f>
        <v>0.876</v>
      </c>
      <c r="G8">
        <f>2.01</f>
        <v>2.0099999999999998</v>
      </c>
      <c r="H8">
        <f>3.366</f>
        <v>3.3660000000000001</v>
      </c>
      <c r="I8">
        <f>3.648</f>
        <v>3.6480000000000001</v>
      </c>
      <c r="J8">
        <f>4.13</f>
        <v>4.13</v>
      </c>
    </row>
    <row r="9" spans="1:10" x14ac:dyDescent="0.2">
      <c r="A9" s="1" t="s">
        <v>38</v>
      </c>
      <c r="B9" t="s">
        <v>37</v>
      </c>
      <c r="C9">
        <f>0.92</f>
        <v>0.92</v>
      </c>
      <c r="D9">
        <f>1.548</f>
        <v>1.548</v>
      </c>
      <c r="E9">
        <f>3.338</f>
        <v>3.3380000000000001</v>
      </c>
      <c r="F9">
        <f>5.11</f>
        <v>5.1100000000000003</v>
      </c>
      <c r="G9">
        <f>7.512</f>
        <v>7.5119999999999996</v>
      </c>
      <c r="H9">
        <f>14.032</f>
        <v>14.032</v>
      </c>
      <c r="I9">
        <f>24.882</f>
        <v>24.882000000000001</v>
      </c>
      <c r="J9">
        <f>45.106</f>
        <v>45.106000000000002</v>
      </c>
    </row>
    <row r="10" spans="1:10" x14ac:dyDescent="0.2">
      <c r="A10" s="1" t="s">
        <v>40</v>
      </c>
      <c r="B10" t="s">
        <v>39</v>
      </c>
      <c r="C10">
        <f>1.386</f>
        <v>1.3859999999999999</v>
      </c>
      <c r="D10">
        <f>3.454</f>
        <v>3.4540000000000002</v>
      </c>
      <c r="E10">
        <f>6.357</f>
        <v>6.3570000000000002</v>
      </c>
      <c r="F10">
        <f>5.572</f>
        <v>5.5720000000000001</v>
      </c>
      <c r="G10">
        <f>13.459</f>
        <v>13.459</v>
      </c>
      <c r="H10">
        <f>17.732</f>
        <v>17.731999999999999</v>
      </c>
      <c r="I10">
        <f>34.162</f>
        <v>34.161999999999999</v>
      </c>
      <c r="J10">
        <f>47.898</f>
        <v>47.898000000000003</v>
      </c>
    </row>
    <row r="11" spans="1:10" x14ac:dyDescent="0.2">
      <c r="A11" s="1" t="s">
        <v>42</v>
      </c>
      <c r="B11" t="s">
        <v>41</v>
      </c>
      <c r="C11">
        <f>0.25</f>
        <v>0.25</v>
      </c>
      <c r="D11" t="s">
        <v>43</v>
      </c>
      <c r="E11">
        <f>0.47</f>
        <v>0.47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</row>
    <row r="12" spans="1:10" x14ac:dyDescent="0.2">
      <c r="A12" t="s">
        <v>45</v>
      </c>
      <c r="B12" t="s">
        <v>44</v>
      </c>
      <c r="C12">
        <f>404.43*1000000</f>
        <v>404430000</v>
      </c>
      <c r="D12">
        <f>454.02*1000000</f>
        <v>454020000</v>
      </c>
      <c r="E12">
        <f>2148.07*1000000</f>
        <v>2148070000</v>
      </c>
      <c r="F12">
        <f>1215.21*1000000</f>
        <v>1215210000</v>
      </c>
      <c r="G12">
        <f>2252.69*1000000</f>
        <v>2252690000</v>
      </c>
      <c r="H12">
        <f>3884.6*1000000</f>
        <v>3884600000</v>
      </c>
      <c r="I12">
        <f>4667.03*1000000</f>
        <v>4667030000</v>
      </c>
      <c r="J12">
        <f>9585.6*1000000</f>
        <v>9585600000</v>
      </c>
    </row>
    <row r="13" spans="1:10" x14ac:dyDescent="0.2">
      <c r="A13" t="s">
        <v>47</v>
      </c>
      <c r="B13" t="s">
        <v>46</v>
      </c>
      <c r="C13">
        <f>38.95*1000000</f>
        <v>38950000</v>
      </c>
      <c r="D13">
        <f>115.77*1000000</f>
        <v>115770000</v>
      </c>
      <c r="E13">
        <f>437.94*1000000</f>
        <v>437940000</v>
      </c>
      <c r="F13">
        <f>249.83*1000000</f>
        <v>249830000</v>
      </c>
      <c r="G13">
        <f>527.91*1000000</f>
        <v>527909999.99999994</v>
      </c>
      <c r="H13">
        <f>495.28*1000000</f>
        <v>495280000</v>
      </c>
      <c r="I13">
        <f>545.24*1000000</f>
        <v>545240000</v>
      </c>
      <c r="J13">
        <f>250.97*1000000</f>
        <v>250970000</v>
      </c>
    </row>
    <row r="14" spans="1:10" x14ac:dyDescent="0.2">
      <c r="A14" t="s">
        <v>49</v>
      </c>
      <c r="B14" t="s">
        <v>48</v>
      </c>
      <c r="C14">
        <f>3.19*1000000</f>
        <v>3190000</v>
      </c>
      <c r="D14">
        <f>2.66*1000000</f>
        <v>2660000</v>
      </c>
      <c r="E14">
        <f>15.34*1000000</f>
        <v>15340000</v>
      </c>
      <c r="F14">
        <f>8.05*1000000</f>
        <v>8050000.0000000009</v>
      </c>
      <c r="G14">
        <f>8.61*1000000</f>
        <v>8610000</v>
      </c>
      <c r="H14">
        <f>18.24*1000000</f>
        <v>18240000</v>
      </c>
      <c r="I14">
        <f>13.54*1000000</f>
        <v>13540000</v>
      </c>
      <c r="J14">
        <f>8.61*1000000</f>
        <v>8610000</v>
      </c>
    </row>
    <row r="15" spans="1:10" x14ac:dyDescent="0.2">
      <c r="A15" t="s">
        <v>51</v>
      </c>
      <c r="B15" t="s">
        <v>50</v>
      </c>
      <c r="C15">
        <f>351.26*1000000</f>
        <v>351260000</v>
      </c>
      <c r="D15">
        <f>315.74*1000000</f>
        <v>315740000</v>
      </c>
      <c r="E15">
        <f>1646.18*1000000</f>
        <v>1646180000</v>
      </c>
      <c r="F15">
        <f>942.9*1000000</f>
        <v>942900000</v>
      </c>
      <c r="G15">
        <f>1676.63*1000000</f>
        <v>1676630000</v>
      </c>
      <c r="H15">
        <f>3333.83*1000000</f>
        <v>3333830000</v>
      </c>
      <c r="I15">
        <f>4049.75*1000000</f>
        <v>4049750000</v>
      </c>
      <c r="J15">
        <f>9253.25*1000000</f>
        <v>9253250000</v>
      </c>
    </row>
    <row r="16" spans="1:10" x14ac:dyDescent="0.2">
      <c r="A16" t="s">
        <v>53</v>
      </c>
      <c r="B16" t="s">
        <v>52</v>
      </c>
      <c r="C16">
        <f>14.21*1000000</f>
        <v>14210000</v>
      </c>
      <c r="D16">
        <f>22.51*1000000</f>
        <v>22510000</v>
      </c>
      <c r="E16">
        <f>48.57*1000000</f>
        <v>48570000</v>
      </c>
      <c r="F16">
        <f>22.47*1000000</f>
        <v>22470000</v>
      </c>
      <c r="G16">
        <f>48.15*1000000</f>
        <v>48150000</v>
      </c>
      <c r="H16">
        <f>55.49*1000000</f>
        <v>55490000</v>
      </c>
      <c r="I16">
        <f>72.04*1000000</f>
        <v>72040000</v>
      </c>
      <c r="J16">
        <f>81.38*1000000</f>
        <v>81380000</v>
      </c>
    </row>
    <row r="17" spans="1:10" x14ac:dyDescent="0.2">
      <c r="A17" t="s">
        <v>55</v>
      </c>
      <c r="B17" t="s">
        <v>54</v>
      </c>
      <c r="C17">
        <f>14.04*1000000</f>
        <v>14040000</v>
      </c>
      <c r="D17" t="s">
        <v>43</v>
      </c>
      <c r="E17">
        <f>55.99*1000000</f>
        <v>55990000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</row>
    <row r="18" spans="1:10" s="2" customFormat="1" x14ac:dyDescent="0.2">
      <c r="A18" t="s">
        <v>57</v>
      </c>
      <c r="B18" s="2" t="s">
        <v>56</v>
      </c>
      <c r="C18" s="2">
        <f>472.98*1000000</f>
        <v>472980000</v>
      </c>
      <c r="D18" s="2">
        <f>652.37*1000000</f>
        <v>652370000</v>
      </c>
      <c r="E18" s="2">
        <f>2399.99*1000000</f>
        <v>2399990000</v>
      </c>
      <c r="F18" s="2">
        <f>1728.79*1000000</f>
        <v>1728790000</v>
      </c>
      <c r="G18" s="2">
        <f>5193.23*1000000</f>
        <v>5193230000</v>
      </c>
      <c r="H18" s="2">
        <f>4501.39*1000000</f>
        <v>4501390000</v>
      </c>
      <c r="I18" s="2">
        <f>12398.84*1000000</f>
        <v>12398840000</v>
      </c>
      <c r="J18" s="2">
        <f>15113.19*1000000</f>
        <v>15113190000</v>
      </c>
    </row>
    <row r="19" spans="1:10" x14ac:dyDescent="0.2">
      <c r="A19" t="s">
        <v>59</v>
      </c>
      <c r="B19" t="s">
        <v>58</v>
      </c>
      <c r="C19">
        <f>264.06*1000000</f>
        <v>264060000</v>
      </c>
      <c r="D19">
        <f>346.56*1000000</f>
        <v>346560000</v>
      </c>
      <c r="E19">
        <f>1766.67*1000000</f>
        <v>1766670000</v>
      </c>
      <c r="F19">
        <f>1097.1*1000000</f>
        <v>1097100000</v>
      </c>
      <c r="G19">
        <f>3416.46*1000000</f>
        <v>3416460000</v>
      </c>
      <c r="H19">
        <f>2977.76*1000000</f>
        <v>2977760000</v>
      </c>
      <c r="I19">
        <f>7260.97*1000000</f>
        <v>7260970000</v>
      </c>
      <c r="J19">
        <f>10154*1000000</f>
        <v>10154000000</v>
      </c>
    </row>
    <row r="20" spans="1:10" x14ac:dyDescent="0.2">
      <c r="A20" t="s">
        <v>61</v>
      </c>
      <c r="B20" t="s">
        <v>60</v>
      </c>
      <c r="C20">
        <f>29.31*1000000</f>
        <v>29310000</v>
      </c>
      <c r="D20">
        <f>22.96*1000000</f>
        <v>22960000</v>
      </c>
      <c r="E20">
        <f>70*1000000</f>
        <v>70000000</v>
      </c>
      <c r="F20">
        <f>55.95*1000000</f>
        <v>55950000</v>
      </c>
      <c r="G20">
        <f>134.05*1000000</f>
        <v>134050000.00000001</v>
      </c>
      <c r="H20">
        <f>139.82*1000000</f>
        <v>139820000</v>
      </c>
      <c r="I20">
        <f>177.11*1000000</f>
        <v>177110000</v>
      </c>
      <c r="J20">
        <f>249.16*1000000</f>
        <v>249160000</v>
      </c>
    </row>
    <row r="21" spans="1:10" x14ac:dyDescent="0.2">
      <c r="A21" t="s">
        <v>63</v>
      </c>
      <c r="B21" t="s">
        <v>62</v>
      </c>
      <c r="C21">
        <f>79.6*1000000</f>
        <v>79600000</v>
      </c>
      <c r="D21">
        <f>154.26*1000000</f>
        <v>154260000</v>
      </c>
      <c r="E21">
        <f>241.32*1000000</f>
        <v>241320000</v>
      </c>
      <c r="F21">
        <f>326.1*1000000</f>
        <v>326100000</v>
      </c>
      <c r="G21">
        <f>848.68*1000000</f>
        <v>848680000</v>
      </c>
      <c r="H21">
        <f>594.29*1000000</f>
        <v>594290000</v>
      </c>
      <c r="I21">
        <f>3044*1000000</f>
        <v>3044000000</v>
      </c>
      <c r="J21">
        <f>2296.75*1000000</f>
        <v>2296750000</v>
      </c>
    </row>
    <row r="22" spans="1:10" x14ac:dyDescent="0.2">
      <c r="A22" t="s">
        <v>65</v>
      </c>
      <c r="B22" t="s">
        <v>64</v>
      </c>
      <c r="C22">
        <f>129.33*1000000</f>
        <v>129330000.00000001</v>
      </c>
      <c r="D22">
        <f>151.54*1000000</f>
        <v>151540000</v>
      </c>
      <c r="E22">
        <f>392*1000000</f>
        <v>392000000</v>
      </c>
      <c r="F22">
        <f>305.59*1000000</f>
        <v>305590000</v>
      </c>
      <c r="G22">
        <f>928.09*1000000</f>
        <v>928090000</v>
      </c>
      <c r="H22">
        <f>929.34*1000000</f>
        <v>929340000</v>
      </c>
      <c r="I22">
        <f>2093.86*1000000</f>
        <v>2093860000.0000002</v>
      </c>
      <c r="J22">
        <f>2662.44*1000000</f>
        <v>2662440000</v>
      </c>
    </row>
    <row r="23" spans="1:10" x14ac:dyDescent="0.2">
      <c r="A23" t="s">
        <v>67</v>
      </c>
      <c r="B23" t="s">
        <v>66</v>
      </c>
      <c r="C23">
        <f>43.48*1000000</f>
        <v>43480000</v>
      </c>
      <c r="D23" t="s">
        <v>43</v>
      </c>
      <c r="E23">
        <f>79.76*1000000</f>
        <v>79760000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</row>
    <row r="24" spans="1:10" x14ac:dyDescent="0.2">
      <c r="A24" t="s">
        <v>68</v>
      </c>
      <c r="B24" t="s">
        <v>43</v>
      </c>
      <c r="C24">
        <f>C12/(C6*1000)</f>
        <v>74494.382022471909</v>
      </c>
      <c r="D24">
        <f>D12/(D6*1000)</f>
        <v>31767.422334172963</v>
      </c>
      <c r="E24">
        <f>E12/(E6*1000)</f>
        <v>62834.7861697771</v>
      </c>
      <c r="F24">
        <f>F12/(F6*1000)</f>
        <v>34861.72471168742</v>
      </c>
      <c r="G24">
        <f>G12/(G6*1000)</f>
        <v>26054.104693391317</v>
      </c>
      <c r="H24">
        <f>H12/(H6*1000)</f>
        <v>39153.748462918542</v>
      </c>
      <c r="I24">
        <f>I12/(I6*1000)</f>
        <v>23458.777758788816</v>
      </c>
      <c r="J24">
        <f>J12/(J6*1000)</f>
        <v>30430.089776637757</v>
      </c>
    </row>
    <row r="25" spans="1:10" x14ac:dyDescent="0.2">
      <c r="A25" t="s">
        <v>70</v>
      </c>
      <c r="B25" t="s">
        <v>69</v>
      </c>
      <c r="C25">
        <f>12473</f>
        <v>12473</v>
      </c>
      <c r="D25">
        <f>12462</f>
        <v>12462</v>
      </c>
      <c r="E25">
        <f>18510</f>
        <v>18510</v>
      </c>
      <c r="F25">
        <f>10334</f>
        <v>10334</v>
      </c>
      <c r="G25">
        <f>8061</f>
        <v>8061</v>
      </c>
      <c r="H25">
        <f>7343</f>
        <v>7343</v>
      </c>
      <c r="I25">
        <f>3897</f>
        <v>3897</v>
      </c>
      <c r="J25">
        <f>1130</f>
        <v>1130</v>
      </c>
    </row>
    <row r="26" spans="1:10" x14ac:dyDescent="0.2">
      <c r="A26" t="s">
        <v>72</v>
      </c>
      <c r="B26" t="s">
        <v>71</v>
      </c>
      <c r="C26">
        <f>9702</f>
        <v>9702</v>
      </c>
      <c r="D26">
        <f>6225</f>
        <v>6225</v>
      </c>
      <c r="E26">
        <f>16076</f>
        <v>16076</v>
      </c>
      <c r="F26">
        <f>9187</f>
        <v>9187</v>
      </c>
      <c r="G26">
        <f>4282</f>
        <v>4282</v>
      </c>
      <c r="H26">
        <f>5418</f>
        <v>5418</v>
      </c>
      <c r="I26">
        <f>3711</f>
        <v>3711</v>
      </c>
      <c r="J26">
        <f>2085</f>
        <v>2085</v>
      </c>
    </row>
    <row r="27" spans="1:10" x14ac:dyDescent="0.2">
      <c r="A27" t="s">
        <v>74</v>
      </c>
      <c r="B27" t="s">
        <v>73</v>
      </c>
      <c r="C27">
        <f>381810</f>
        <v>381810</v>
      </c>
      <c r="D27">
        <f>203966</f>
        <v>203966</v>
      </c>
      <c r="E27">
        <f>493162</f>
        <v>493162</v>
      </c>
      <c r="F27">
        <f>184521</f>
        <v>184521</v>
      </c>
      <c r="G27">
        <f>223194</f>
        <v>223194</v>
      </c>
      <c r="H27">
        <f>237588</f>
        <v>237588</v>
      </c>
      <c r="I27">
        <f>162758</f>
        <v>162758</v>
      </c>
      <c r="J27">
        <f>205145</f>
        <v>205145</v>
      </c>
    </row>
    <row r="28" spans="1:10" x14ac:dyDescent="0.2">
      <c r="A28" t="s">
        <v>76</v>
      </c>
      <c r="B28" t="s">
        <v>75</v>
      </c>
      <c r="C28">
        <f>10253</f>
        <v>10253</v>
      </c>
      <c r="D28">
        <f>6518</f>
        <v>6518</v>
      </c>
      <c r="E28">
        <f>7640</f>
        <v>7640</v>
      </c>
      <c r="F28">
        <f>4033</f>
        <v>4033</v>
      </c>
      <c r="G28">
        <f>3577</f>
        <v>3577</v>
      </c>
      <c r="H28">
        <f>3129</f>
        <v>3129</v>
      </c>
      <c r="I28">
        <f>2109</f>
        <v>2109</v>
      </c>
      <c r="J28">
        <f>1699</f>
        <v>1699</v>
      </c>
    </row>
    <row r="29" spans="1:10" x14ac:dyDescent="0.2">
      <c r="A29" t="s">
        <v>78</v>
      </c>
      <c r="B29" t="s">
        <v>77</v>
      </c>
      <c r="C29">
        <f>56150</f>
        <v>56150</v>
      </c>
      <c r="D29" t="s">
        <v>43</v>
      </c>
      <c r="E29">
        <f>119119</f>
        <v>119119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</row>
    <row r="30" spans="1:10" s="2" customFormat="1" x14ac:dyDescent="0.2">
      <c r="A30" s="3" t="s">
        <v>80</v>
      </c>
      <c r="B30" s="2" t="s">
        <v>79</v>
      </c>
      <c r="C30" s="2">
        <f>1.253</f>
        <v>1.2529999999999999</v>
      </c>
      <c r="D30" s="2">
        <f>1.437</f>
        <v>1.4370000000000001</v>
      </c>
      <c r="E30" s="2">
        <f>1.117</f>
        <v>1.117</v>
      </c>
      <c r="F30" s="2">
        <f>1.423</f>
        <v>1.423</v>
      </c>
      <c r="G30" s="2">
        <f>2.305</f>
        <v>2.3050000000000002</v>
      </c>
      <c r="H30" s="2">
        <f>1.159</f>
        <v>1.159</v>
      </c>
      <c r="I30" s="2">
        <f>2.657</f>
        <v>2.657</v>
      </c>
      <c r="J30" s="2">
        <f>1.577</f>
        <v>1.577</v>
      </c>
    </row>
    <row r="31" spans="1:10" x14ac:dyDescent="0.2">
      <c r="A31" s="1" t="s">
        <v>82</v>
      </c>
      <c r="B31" t="s">
        <v>81</v>
      </c>
      <c r="C31">
        <f>6.779</f>
        <v>6.7789999999999999</v>
      </c>
      <c r="D31">
        <f>2.994</f>
        <v>2.9940000000000002</v>
      </c>
      <c r="E31">
        <f>3.897</f>
        <v>3.8969999999999998</v>
      </c>
      <c r="F31">
        <f>4.391</f>
        <v>4.391</v>
      </c>
      <c r="G31">
        <f>6.472</f>
        <v>6.4720000000000004</v>
      </c>
      <c r="H31">
        <f>6.012</f>
        <v>6.0119999999999996</v>
      </c>
      <c r="I31">
        <f>13.317</f>
        <v>13.317</v>
      </c>
      <c r="J31">
        <f>40.459</f>
        <v>40.459000000000003</v>
      </c>
    </row>
    <row r="32" spans="1:10" x14ac:dyDescent="0.2">
      <c r="A32" t="s">
        <v>84</v>
      </c>
      <c r="B32" t="s">
        <v>83</v>
      </c>
      <c r="C32">
        <f>9.182</f>
        <v>9.1820000000000004</v>
      </c>
      <c r="D32">
        <f>8.618</f>
        <v>8.6180000000000003</v>
      </c>
      <c r="E32">
        <f>4.564</f>
        <v>4.5640000000000001</v>
      </c>
      <c r="F32">
        <f>6.952</f>
        <v>6.952</v>
      </c>
      <c r="G32">
        <f>15.575</f>
        <v>15.574999999999999</v>
      </c>
      <c r="H32">
        <f>7.667</f>
        <v>7.6669999999999998</v>
      </c>
      <c r="I32">
        <f>13.083</f>
        <v>13.083</v>
      </c>
      <c r="J32">
        <f>28.941</f>
        <v>28.940999999999999</v>
      </c>
    </row>
    <row r="33" spans="1:10" x14ac:dyDescent="0.2">
      <c r="A33" s="1" t="s">
        <v>86</v>
      </c>
      <c r="B33" t="s">
        <v>85</v>
      </c>
      <c r="C33">
        <f>0.227</f>
        <v>0.22700000000000001</v>
      </c>
      <c r="D33">
        <f>0.489</f>
        <v>0.48899999999999999</v>
      </c>
      <c r="E33">
        <f>0.147</f>
        <v>0.14699999999999999</v>
      </c>
      <c r="F33">
        <f>0.346</f>
        <v>0.34599999999999997</v>
      </c>
      <c r="G33">
        <f>0.506</f>
        <v>0.50600000000000001</v>
      </c>
      <c r="H33">
        <f>0.178</f>
        <v>0.17799999999999999</v>
      </c>
      <c r="I33">
        <f>0.752</f>
        <v>0.752</v>
      </c>
      <c r="J33">
        <f>0.248</f>
        <v>0.248</v>
      </c>
    </row>
    <row r="34" spans="1:10" x14ac:dyDescent="0.2">
      <c r="A34" t="s">
        <v>88</v>
      </c>
      <c r="B34" t="s">
        <v>87</v>
      </c>
      <c r="C34">
        <f>9.101</f>
        <v>9.1010000000000009</v>
      </c>
      <c r="D34">
        <f>6.731</f>
        <v>6.7309999999999999</v>
      </c>
      <c r="E34">
        <f>8.071</f>
        <v>8.0709999999999997</v>
      </c>
      <c r="F34">
        <f>13.598</f>
        <v>13.598000000000001</v>
      </c>
      <c r="G34">
        <f>19.275</f>
        <v>19.274999999999999</v>
      </c>
      <c r="H34">
        <f>16.749</f>
        <v>16.748999999999999</v>
      </c>
      <c r="I34">
        <f>29.063</f>
        <v>29.062999999999999</v>
      </c>
      <c r="J34">
        <f>32.714</f>
        <v>32.713999999999999</v>
      </c>
    </row>
    <row r="35" spans="1:10" x14ac:dyDescent="0.2">
      <c r="A35" s="1" t="s">
        <v>90</v>
      </c>
      <c r="B35" t="s">
        <v>89</v>
      </c>
      <c r="C35">
        <f>3.097</f>
        <v>3.097</v>
      </c>
      <c r="D35" t="s">
        <v>43</v>
      </c>
      <c r="E35">
        <f>1.425</f>
        <v>1.425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tabSelected="1" workbookViewId="0">
      <selection activeCell="K32" sqref="K32"/>
    </sheetView>
  </sheetViews>
  <sheetFormatPr baseColWidth="10" defaultRowHeight="16" x14ac:dyDescent="0.2"/>
  <sheetData>
    <row r="1" spans="1:35" x14ac:dyDescent="0.2">
      <c r="A1" t="str" cm="1">
        <f t="array" ref="A1:AI10">TRANSPOSE(formatted_terms!A1:J35)</f>
        <v>Species</v>
      </c>
      <c r="B1" t="str">
        <v>Species.Common</v>
      </c>
      <c r="C1" t="str">
        <v>HH.species</v>
      </c>
      <c r="D1" t="str">
        <v>JM.HH.kilo</v>
      </c>
      <c r="E1" t="str">
        <v>Body_Mass_g</v>
      </c>
      <c r="F1" t="str">
        <v>WholeBrain_Mass_g</v>
      </c>
      <c r="G1" t="str">
        <v>CerebralCortex_Mass_g</v>
      </c>
      <c r="H1" t="str">
        <v>Hippocampus_Mass_g</v>
      </c>
      <c r="I1" t="str">
        <v>Cerebellum_Mass_g</v>
      </c>
      <c r="J1" t="str">
        <v>RoB_Mass_g</v>
      </c>
      <c r="K1" t="str">
        <v>OlfactoryBulb_Mass_g</v>
      </c>
      <c r="L1" t="str">
        <v>WholeBrain_N_n</v>
      </c>
      <c r="M1" t="str">
        <v>CerebralCortex_N_n</v>
      </c>
      <c r="N1" t="str">
        <v>Hippocampus_N_n</v>
      </c>
      <c r="O1" t="str">
        <v>Cerebellum_N_n</v>
      </c>
      <c r="P1" t="str">
        <v>RoB_N_n</v>
      </c>
      <c r="Q1" t="str">
        <v>OlfactoryBulb_N_n</v>
      </c>
      <c r="R1" t="str">
        <v>WholeBrain_O_n</v>
      </c>
      <c r="S1" t="str">
        <v>CerebralCortex_O_n</v>
      </c>
      <c r="T1" t="str">
        <v>Hippocampus_O_n</v>
      </c>
      <c r="U1" t="str">
        <v>Cerebellum_O_n</v>
      </c>
      <c r="V1" t="str">
        <v>RoB_O_n</v>
      </c>
      <c r="W1" t="str">
        <v>OlfactoryBulb_O_n</v>
      </c>
      <c r="X1" t="str">
        <v>WholeBrain_Nmg</v>
      </c>
      <c r="Y1" t="str">
        <v>CerebralCortex_Nmg</v>
      </c>
      <c r="Z1" t="str">
        <v>Hippocampus_Nmg</v>
      </c>
      <c r="AA1" t="str">
        <v>Cerebellum_Nmg</v>
      </c>
      <c r="AB1" t="str">
        <v>RoB_Nmg</v>
      </c>
      <c r="AC1" t="str">
        <v>OlfactoryBulb_Nmg</v>
      </c>
      <c r="AD1" t="str">
        <v>WholeBrain_ON</v>
      </c>
      <c r="AE1" t="str">
        <v>CerebralCortex_ON</v>
      </c>
      <c r="AF1" t="str">
        <v>Hippocampus_ON</v>
      </c>
      <c r="AG1" t="str">
        <v>Cerebellum_ON</v>
      </c>
      <c r="AH1" t="str">
        <v>RoB_ON</v>
      </c>
      <c r="AI1" t="str">
        <v>OlfactoryBulb_ON</v>
      </c>
    </row>
    <row r="2" spans="1:35" x14ac:dyDescent="0.2">
      <c r="A2" t="str">
        <v>code</v>
      </c>
      <c r="B2" t="str">
        <v>NA</v>
      </c>
      <c r="C2" t="str">
        <v>NA</v>
      </c>
      <c r="D2" t="str">
        <v>MBD.kg</v>
      </c>
      <c r="E2" t="str">
        <v>NA</v>
      </c>
      <c r="F2" t="str">
        <v>MBR.g</v>
      </c>
      <c r="G2" t="str">
        <v>MCxT.g</v>
      </c>
      <c r="H2" t="str">
        <v>MHP.g</v>
      </c>
      <c r="I2" t="str">
        <v>MCB.g</v>
      </c>
      <c r="J2" t="str">
        <v>MRoB.g</v>
      </c>
      <c r="K2" t="str">
        <v>MOB.g</v>
      </c>
      <c r="L2" t="str">
        <v>NBR</v>
      </c>
      <c r="M2" t="str">
        <v>NCxT</v>
      </c>
      <c r="N2" t="str">
        <v>NHP</v>
      </c>
      <c r="O2" t="str">
        <v>NCB</v>
      </c>
      <c r="P2" t="str">
        <v>NRoB</v>
      </c>
      <c r="Q2" t="str">
        <v>NOB</v>
      </c>
      <c r="R2" t="str">
        <v>OBR</v>
      </c>
      <c r="S2" t="str">
        <v>OCxT</v>
      </c>
      <c r="T2" t="str">
        <v>OHP</v>
      </c>
      <c r="U2" t="str">
        <v>OCB</v>
      </c>
      <c r="V2" t="str">
        <v>ORoB</v>
      </c>
      <c r="W2" t="str">
        <v>OOB</v>
      </c>
      <c r="X2" t="str">
        <v>NA</v>
      </c>
      <c r="Y2" t="str">
        <v>DNCxT</v>
      </c>
      <c r="Z2" t="str">
        <v>DNHP</v>
      </c>
      <c r="AA2" t="str">
        <v>DNCB</v>
      </c>
      <c r="AB2" t="str">
        <v>DNRoB</v>
      </c>
      <c r="AC2" t="str">
        <v>DNOB</v>
      </c>
      <c r="AD2" t="str">
        <v>O/NBR</v>
      </c>
      <c r="AE2" t="str">
        <v>O/NCXT</v>
      </c>
      <c r="AF2" t="str">
        <v>O/NHP</v>
      </c>
      <c r="AG2" t="str">
        <v>O/NCB</v>
      </c>
      <c r="AH2" t="str">
        <v>O/NRoB</v>
      </c>
      <c r="AI2" t="str">
        <v>O/NOB</v>
      </c>
    </row>
    <row r="3" spans="1:35" x14ac:dyDescent="0.2">
      <c r="A3" t="str">
        <v>Mustela putorius furo</v>
      </c>
      <c r="B3" t="str">
        <v>Ferret</v>
      </c>
      <c r="C3" t="str">
        <v>Mustela_putorius_furo</v>
      </c>
      <c r="D3">
        <v>0.8</v>
      </c>
      <c r="E3">
        <v>800</v>
      </c>
      <c r="F3">
        <v>5.4290000000000003</v>
      </c>
      <c r="G3">
        <v>3.1230000000000002</v>
      </c>
      <c r="H3">
        <v>0.32900000000000001</v>
      </c>
      <c r="I3">
        <v>0.92</v>
      </c>
      <c r="J3">
        <v>1.3859999999999999</v>
      </c>
      <c r="K3">
        <v>0.25</v>
      </c>
      <c r="L3">
        <v>404430000</v>
      </c>
      <c r="M3">
        <v>38950000</v>
      </c>
      <c r="N3">
        <v>3190000</v>
      </c>
      <c r="O3">
        <v>351260000</v>
      </c>
      <c r="P3">
        <v>14210000</v>
      </c>
      <c r="Q3">
        <v>14040000</v>
      </c>
      <c r="R3">
        <v>472980000</v>
      </c>
      <c r="S3">
        <v>264060000</v>
      </c>
      <c r="T3">
        <v>29310000</v>
      </c>
      <c r="U3">
        <v>79600000</v>
      </c>
      <c r="V3">
        <v>129330000.00000001</v>
      </c>
      <c r="W3">
        <v>43480000</v>
      </c>
      <c r="X3">
        <v>74494.382022471909</v>
      </c>
      <c r="Y3">
        <v>12473</v>
      </c>
      <c r="Z3">
        <v>9702</v>
      </c>
      <c r="AA3">
        <v>381810</v>
      </c>
      <c r="AB3">
        <v>10253</v>
      </c>
      <c r="AC3">
        <v>56150</v>
      </c>
      <c r="AD3">
        <v>1.2529999999999999</v>
      </c>
      <c r="AE3">
        <v>6.7789999999999999</v>
      </c>
      <c r="AF3">
        <v>9.1820000000000004</v>
      </c>
      <c r="AG3">
        <v>0.22700000000000001</v>
      </c>
      <c r="AH3">
        <v>9.1010000000000009</v>
      </c>
      <c r="AI3">
        <v>3.097</v>
      </c>
    </row>
    <row r="4" spans="1:35" x14ac:dyDescent="0.2">
      <c r="A4" t="str">
        <v>Mungos mungo</v>
      </c>
      <c r="B4" t="str">
        <v>Banded.mongoose</v>
      </c>
      <c r="C4" t="str">
        <v>Mungos_mungo</v>
      </c>
      <c r="D4">
        <v>1.5</v>
      </c>
      <c r="E4">
        <v>1500</v>
      </c>
      <c r="F4">
        <v>14.292</v>
      </c>
      <c r="G4">
        <v>9.2899999999999991</v>
      </c>
      <c r="H4">
        <v>0.42799999999999999</v>
      </c>
      <c r="I4">
        <v>1.548</v>
      </c>
      <c r="J4">
        <v>3.4540000000000002</v>
      </c>
      <c r="K4" t="str">
        <v>NA</v>
      </c>
      <c r="L4">
        <v>454020000</v>
      </c>
      <c r="M4">
        <v>115770000</v>
      </c>
      <c r="N4">
        <v>2660000</v>
      </c>
      <c r="O4">
        <v>315740000</v>
      </c>
      <c r="P4">
        <v>22510000</v>
      </c>
      <c r="Q4" t="str">
        <v>NA</v>
      </c>
      <c r="R4">
        <v>652370000</v>
      </c>
      <c r="S4">
        <v>346560000</v>
      </c>
      <c r="T4">
        <v>22960000</v>
      </c>
      <c r="U4">
        <v>154260000</v>
      </c>
      <c r="V4">
        <v>151540000</v>
      </c>
      <c r="W4" t="str">
        <v>NA</v>
      </c>
      <c r="X4">
        <v>31767.422334172963</v>
      </c>
      <c r="Y4">
        <v>12462</v>
      </c>
      <c r="Z4">
        <v>6225</v>
      </c>
      <c r="AA4">
        <v>203966</v>
      </c>
      <c r="AB4">
        <v>6518</v>
      </c>
      <c r="AC4" t="str">
        <v>NA</v>
      </c>
      <c r="AD4">
        <v>1.4370000000000001</v>
      </c>
      <c r="AE4">
        <v>2.9940000000000002</v>
      </c>
      <c r="AF4">
        <v>8.6180000000000003</v>
      </c>
      <c r="AG4">
        <v>0.48899999999999999</v>
      </c>
      <c r="AH4">
        <v>6.7309999999999999</v>
      </c>
      <c r="AI4" t="str">
        <v>NA</v>
      </c>
    </row>
    <row r="5" spans="1:35" x14ac:dyDescent="0.2">
      <c r="A5" t="str">
        <v>Procyon lotor</v>
      </c>
      <c r="B5" t="str">
        <v>Raccoon</v>
      </c>
      <c r="C5" t="str">
        <v>Procyon_lotor</v>
      </c>
      <c r="D5">
        <v>6.2</v>
      </c>
      <c r="E5">
        <v>6200</v>
      </c>
      <c r="F5">
        <v>34.186</v>
      </c>
      <c r="G5">
        <v>24.491</v>
      </c>
      <c r="H5">
        <v>0.47699999999999998</v>
      </c>
      <c r="I5">
        <v>3.3380000000000001</v>
      </c>
      <c r="J5">
        <v>6.3570000000000002</v>
      </c>
      <c r="K5">
        <v>0.47</v>
      </c>
      <c r="L5">
        <v>2148070000</v>
      </c>
      <c r="M5">
        <v>437940000</v>
      </c>
      <c r="N5">
        <v>15340000</v>
      </c>
      <c r="O5">
        <v>1646180000</v>
      </c>
      <c r="P5">
        <v>48570000</v>
      </c>
      <c r="Q5">
        <v>55990000</v>
      </c>
      <c r="R5">
        <v>2399990000</v>
      </c>
      <c r="S5">
        <v>1766670000</v>
      </c>
      <c r="T5">
        <v>70000000</v>
      </c>
      <c r="U5">
        <v>241320000</v>
      </c>
      <c r="V5">
        <v>392000000</v>
      </c>
      <c r="W5">
        <v>79760000</v>
      </c>
      <c r="X5">
        <v>62834.7861697771</v>
      </c>
      <c r="Y5">
        <v>18510</v>
      </c>
      <c r="Z5">
        <v>16076</v>
      </c>
      <c r="AA5">
        <v>493162</v>
      </c>
      <c r="AB5">
        <v>7640</v>
      </c>
      <c r="AC5">
        <v>119119</v>
      </c>
      <c r="AD5">
        <v>1.117</v>
      </c>
      <c r="AE5">
        <v>3.8969999999999998</v>
      </c>
      <c r="AF5">
        <v>4.5640000000000001</v>
      </c>
      <c r="AG5">
        <v>0.14699999999999999</v>
      </c>
      <c r="AH5">
        <v>8.0709999999999997</v>
      </c>
      <c r="AI5">
        <v>1.425</v>
      </c>
    </row>
    <row r="6" spans="1:35" x14ac:dyDescent="0.2">
      <c r="A6" t="str">
        <v>Felis catus</v>
      </c>
      <c r="B6" t="str">
        <v>Cat</v>
      </c>
      <c r="C6" t="str">
        <v>Felis_catus</v>
      </c>
      <c r="D6">
        <v>4.5</v>
      </c>
      <c r="E6">
        <v>4500</v>
      </c>
      <c r="F6">
        <v>34.857999999999997</v>
      </c>
      <c r="G6">
        <v>24.175999999999998</v>
      </c>
      <c r="H6">
        <v>0.876</v>
      </c>
      <c r="I6">
        <v>5.1100000000000003</v>
      </c>
      <c r="J6">
        <v>5.5720000000000001</v>
      </c>
      <c r="K6" t="str">
        <v>NA</v>
      </c>
      <c r="L6">
        <v>1215210000</v>
      </c>
      <c r="M6">
        <v>249830000</v>
      </c>
      <c r="N6">
        <v>8050000.0000000009</v>
      </c>
      <c r="O6">
        <v>942900000</v>
      </c>
      <c r="P6">
        <v>22470000</v>
      </c>
      <c r="Q6" t="str">
        <v>NA</v>
      </c>
      <c r="R6">
        <v>1728790000</v>
      </c>
      <c r="S6">
        <v>1097100000</v>
      </c>
      <c r="T6">
        <v>55950000</v>
      </c>
      <c r="U6">
        <v>326100000</v>
      </c>
      <c r="V6">
        <v>305590000</v>
      </c>
      <c r="W6" t="str">
        <v>NA</v>
      </c>
      <c r="X6">
        <v>34861.72471168742</v>
      </c>
      <c r="Y6">
        <v>10334</v>
      </c>
      <c r="Z6">
        <v>9187</v>
      </c>
      <c r="AA6">
        <v>184521</v>
      </c>
      <c r="AB6">
        <v>4033</v>
      </c>
      <c r="AC6" t="str">
        <v>NA</v>
      </c>
      <c r="AD6">
        <v>1.423</v>
      </c>
      <c r="AE6">
        <v>4.391</v>
      </c>
      <c r="AF6">
        <v>6.952</v>
      </c>
      <c r="AG6">
        <v>0.34599999999999997</v>
      </c>
      <c r="AH6">
        <v>13.598000000000001</v>
      </c>
      <c r="AI6" t="str">
        <v>NA</v>
      </c>
    </row>
    <row r="7" spans="1:35" x14ac:dyDescent="0.2">
      <c r="A7" t="str">
        <v>Canis familiaris</v>
      </c>
      <c r="B7" t="str">
        <v>Dog</v>
      </c>
      <c r="C7" t="str">
        <v>Canis_familiaris</v>
      </c>
      <c r="D7">
        <v>19.7</v>
      </c>
      <c r="E7">
        <v>19700</v>
      </c>
      <c r="F7">
        <v>86.462000000000003</v>
      </c>
      <c r="G7">
        <v>65.491</v>
      </c>
      <c r="H7">
        <v>2.0099999999999998</v>
      </c>
      <c r="I7">
        <v>7.5119999999999996</v>
      </c>
      <c r="J7">
        <v>13.459</v>
      </c>
      <c r="K7" t="str">
        <v>NA</v>
      </c>
      <c r="L7">
        <v>2252690000</v>
      </c>
      <c r="M7">
        <v>527909999.99999994</v>
      </c>
      <c r="N7">
        <v>8610000</v>
      </c>
      <c r="O7">
        <v>1676630000</v>
      </c>
      <c r="P7">
        <v>48150000</v>
      </c>
      <c r="Q7" t="str">
        <v>NA</v>
      </c>
      <c r="R7">
        <v>5193230000</v>
      </c>
      <c r="S7">
        <v>3416460000</v>
      </c>
      <c r="T7">
        <v>134050000.00000001</v>
      </c>
      <c r="U7">
        <v>848680000</v>
      </c>
      <c r="V7">
        <v>928090000</v>
      </c>
      <c r="W7" t="str">
        <v>NA</v>
      </c>
      <c r="X7">
        <v>26054.104693391317</v>
      </c>
      <c r="Y7">
        <v>8061</v>
      </c>
      <c r="Z7">
        <v>4282</v>
      </c>
      <c r="AA7">
        <v>223194</v>
      </c>
      <c r="AB7">
        <v>3577</v>
      </c>
      <c r="AC7" t="str">
        <v>NA</v>
      </c>
      <c r="AD7">
        <v>2.3050000000000002</v>
      </c>
      <c r="AE7">
        <v>6.4720000000000004</v>
      </c>
      <c r="AF7">
        <v>15.574999999999999</v>
      </c>
      <c r="AG7">
        <v>0.50600000000000001</v>
      </c>
      <c r="AH7">
        <v>19.274999999999999</v>
      </c>
      <c r="AI7" t="str">
        <v>NA</v>
      </c>
    </row>
    <row r="8" spans="1:35" x14ac:dyDescent="0.2">
      <c r="A8" t="str">
        <v>Hyaena hyaena</v>
      </c>
      <c r="B8" t="str">
        <v>Striped.hyena</v>
      </c>
      <c r="C8" t="str">
        <v>Hyaena_hyaena</v>
      </c>
      <c r="D8">
        <v>40</v>
      </c>
      <c r="E8">
        <v>40000</v>
      </c>
      <c r="F8">
        <v>99.213999999999999</v>
      </c>
      <c r="G8">
        <v>67.45</v>
      </c>
      <c r="H8">
        <v>3.3660000000000001</v>
      </c>
      <c r="I8">
        <v>14.032</v>
      </c>
      <c r="J8">
        <v>17.731999999999999</v>
      </c>
      <c r="K8" t="str">
        <v>NA</v>
      </c>
      <c r="L8">
        <v>3884600000</v>
      </c>
      <c r="M8">
        <v>495280000</v>
      </c>
      <c r="N8">
        <v>18240000</v>
      </c>
      <c r="O8">
        <v>3333830000</v>
      </c>
      <c r="P8">
        <v>55490000</v>
      </c>
      <c r="Q8" t="str">
        <v>NA</v>
      </c>
      <c r="R8">
        <v>4501390000</v>
      </c>
      <c r="S8">
        <v>2977760000</v>
      </c>
      <c r="T8">
        <v>139820000</v>
      </c>
      <c r="U8">
        <v>594290000</v>
      </c>
      <c r="V8">
        <v>929340000</v>
      </c>
      <c r="W8" t="str">
        <v>NA</v>
      </c>
      <c r="X8">
        <v>39153.748462918542</v>
      </c>
      <c r="Y8">
        <v>7343</v>
      </c>
      <c r="Z8">
        <v>5418</v>
      </c>
      <c r="AA8">
        <v>237588</v>
      </c>
      <c r="AB8">
        <v>3129</v>
      </c>
      <c r="AC8" t="str">
        <v>NA</v>
      </c>
      <c r="AD8">
        <v>1.159</v>
      </c>
      <c r="AE8">
        <v>6.0119999999999996</v>
      </c>
      <c r="AF8">
        <v>7.6669999999999998</v>
      </c>
      <c r="AG8">
        <v>0.17799999999999999</v>
      </c>
      <c r="AH8">
        <v>16.748999999999999</v>
      </c>
      <c r="AI8" t="str">
        <v>NA</v>
      </c>
    </row>
    <row r="9" spans="1:35" x14ac:dyDescent="0.2">
      <c r="A9" t="str">
        <v>Panthera leo</v>
      </c>
      <c r="B9" t="str">
        <v>Lion</v>
      </c>
      <c r="C9" t="str">
        <v>Panthera_leo</v>
      </c>
      <c r="D9">
        <v>180</v>
      </c>
      <c r="E9">
        <v>180000</v>
      </c>
      <c r="F9">
        <v>198.946</v>
      </c>
      <c r="G9">
        <v>139.90199999999999</v>
      </c>
      <c r="H9">
        <v>3.6480000000000001</v>
      </c>
      <c r="I9">
        <v>24.882000000000001</v>
      </c>
      <c r="J9">
        <v>34.161999999999999</v>
      </c>
      <c r="K9" t="str">
        <v>NA</v>
      </c>
      <c r="L9">
        <v>4667030000</v>
      </c>
      <c r="M9">
        <v>545240000</v>
      </c>
      <c r="N9">
        <v>13540000</v>
      </c>
      <c r="O9">
        <v>4049750000</v>
      </c>
      <c r="P9">
        <v>72040000</v>
      </c>
      <c r="Q9" t="str">
        <v>NA</v>
      </c>
      <c r="R9">
        <v>12398840000</v>
      </c>
      <c r="S9">
        <v>7260970000</v>
      </c>
      <c r="T9">
        <v>177110000</v>
      </c>
      <c r="U9">
        <v>3044000000</v>
      </c>
      <c r="V9">
        <v>2093860000.0000002</v>
      </c>
      <c r="W9" t="str">
        <v>NA</v>
      </c>
      <c r="X9">
        <v>23458.777758788816</v>
      </c>
      <c r="Y9">
        <v>3897</v>
      </c>
      <c r="Z9">
        <v>3711</v>
      </c>
      <c r="AA9">
        <v>162758</v>
      </c>
      <c r="AB9">
        <v>2109</v>
      </c>
      <c r="AC9" t="str">
        <v>NA</v>
      </c>
      <c r="AD9">
        <v>2.657</v>
      </c>
      <c r="AE9">
        <v>13.317</v>
      </c>
      <c r="AF9">
        <v>13.083</v>
      </c>
      <c r="AG9">
        <v>0.752</v>
      </c>
      <c r="AH9">
        <v>29.062999999999999</v>
      </c>
      <c r="AI9" t="str">
        <v>NA</v>
      </c>
    </row>
    <row r="10" spans="1:35" x14ac:dyDescent="0.2">
      <c r="A10" t="str">
        <v>Ursus arctos</v>
      </c>
      <c r="B10" t="str">
        <v>Brown.bear</v>
      </c>
      <c r="C10" t="str">
        <v>Ursus_arctos</v>
      </c>
      <c r="D10">
        <v>350</v>
      </c>
      <c r="E10">
        <v>350000</v>
      </c>
      <c r="F10">
        <v>315.00400000000002</v>
      </c>
      <c r="G10">
        <v>222</v>
      </c>
      <c r="H10">
        <v>4.13</v>
      </c>
      <c r="I10">
        <v>45.106000000000002</v>
      </c>
      <c r="J10">
        <v>47.898000000000003</v>
      </c>
      <c r="K10" t="str">
        <v>NA</v>
      </c>
      <c r="L10">
        <v>9585600000</v>
      </c>
      <c r="M10">
        <v>250970000</v>
      </c>
      <c r="N10">
        <v>8610000</v>
      </c>
      <c r="O10">
        <v>9253250000</v>
      </c>
      <c r="P10">
        <v>81380000</v>
      </c>
      <c r="Q10" t="str">
        <v>NA</v>
      </c>
      <c r="R10">
        <v>15113190000</v>
      </c>
      <c r="S10">
        <v>10154000000</v>
      </c>
      <c r="T10">
        <v>249160000</v>
      </c>
      <c r="U10">
        <v>2296750000</v>
      </c>
      <c r="V10">
        <v>2662440000</v>
      </c>
      <c r="W10" t="str">
        <v>NA</v>
      </c>
      <c r="X10">
        <v>30430.089776637757</v>
      </c>
      <c r="Y10">
        <v>1130</v>
      </c>
      <c r="Z10">
        <v>2085</v>
      </c>
      <c r="AA10">
        <v>205145</v>
      </c>
      <c r="AB10">
        <v>1699</v>
      </c>
      <c r="AC10" t="str">
        <v>NA</v>
      </c>
      <c r="AD10">
        <v>1.577</v>
      </c>
      <c r="AE10">
        <v>40.459000000000003</v>
      </c>
      <c r="AF10">
        <v>28.940999999999999</v>
      </c>
      <c r="AG10">
        <v>0.248</v>
      </c>
      <c r="AH10">
        <v>32.713999999999999</v>
      </c>
      <c r="AI10" t="str">
        <v>NA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C8CF4-5326-4F3B-9D3B-3566D8E5C77F}"/>
</file>

<file path=customXml/itemProps2.xml><?xml version="1.0" encoding="utf-8"?>
<ds:datastoreItem xmlns:ds="http://schemas.openxmlformats.org/officeDocument/2006/customXml" ds:itemID="{87F0800D-B919-4B53-A821-1C7CB51F5897}"/>
</file>

<file path=customXml/itemProps3.xml><?xml version="1.0" encoding="utf-8"?>
<ds:datastoreItem xmlns:ds="http://schemas.openxmlformats.org/officeDocument/2006/customXml" ds:itemID="{E44C29CD-FFC7-40BA-BE4E-C5F981758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published_Table1</vt:lpstr>
      <vt:lpstr>formatted_terms</vt:lpstr>
      <vt:lpstr>formatted_terms_transpose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2023-05-26T22:31:37Z</dcterms:created>
  <dcterms:modified xsi:type="dcterms:W3CDTF">2023-05-26T23:56:43Z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