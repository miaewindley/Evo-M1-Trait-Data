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0" yWindow="660" windowWidth="34560" windowHeight="20260" firstSheet="0" activeTab="0"/>
  </bookViews>
  <sheets>
    <sheet name="Sheet1" sheetId="1" state="visible" r:id="rId1"/>
    <sheet name="FileList" sheetId="2" state="visible" r:id="rId2"/>
  </sheets>
  <calcPr calcId="191029" iterateDelta="1E-4"/>
</workbook>
</file>

<file path=xl/sharedStrings.xml><?xml version="1.0" encoding="utf-8"?>
<sst xmlns="http://schemas.openxmlformats.org/spreadsheetml/2006/main" count="1149" uniqueCount="1149">
  <si>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</si>
  <si>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</si>
  <si>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</si>
  <si>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</si>
  <si>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</si>
  <si>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</si>
  <si>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</si>
  <si>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</si>
  <si>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</si>
  <si>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</si>
  <si>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</si>
  <si>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</si>
  <si>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Item in directory FileList</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</si>
  <si>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</si>
  <si>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</si>
  <si>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</si>
  <si>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</si>
  <si>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</si>
  <si>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</si>
  <si>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</si>
  <si>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</si>
  <si>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</si>
  <si>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</si>
  <si>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</si>
  <si>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</si>
  <si>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</si>
  <si>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</si>
  <si>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</si>
  <si>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</si>
  <si>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</si>
  <si>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</si>
  <si>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</si>
  <si>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</si>
  <si>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</si>
  <si>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</si>
  <si>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</si>
  <si>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</si>
  <si>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</si>
  <si>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</si>
  <si>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</si>
  <si>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</si>
  <si>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</si>
  <si>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</si>
  <si>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</si>
  <si>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</si>
  <si>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</si>
  <si>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</si>
  <si>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</si>
  <si>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</si>
  <si>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</si>
  <si>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</si>
  <si>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</si>
  <si>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</si>
  <si>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</si>
  <si>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</si>
  <si>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</si>
  <si>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</si>
  <si>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</si>
  <si>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</si>
  <si>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</si>
  <si>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</si>
  <si>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</si>
  <si>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</si>
  <si>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</si>
  <si>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</si>
  <si>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</si>
  <si>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</si>
  <si>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</si>
  <si>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</si>
  <si>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</si>
  <si>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</si>
  <si>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</si>
  <si>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</si>
  <si>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</si>
  <si>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</si>
  <si>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</si>
  <si>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</si>
  <si>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</si>
  <si>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</si>
  <si>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</si>
  <si>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</si>
  <si>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</si>
  <si>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</si>
  <si>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</si>
  <si>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</si>
  <si>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</si>
  <si>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</si>
  <si>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</si>
  <si>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</si>
  <si>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</si>
  <si>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</si>
  <si>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</si>
  <si>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</si>
  <si>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</si>
  <si>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</si>
  <si>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</si>
  <si>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</si>
  <si>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</si>
  <si>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</si>
  <si>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</si>
  <si>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</si>
  <si>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</si>
  <si>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</si>
  <si>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</si>
  <si>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</si>
  <si>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</si>
  <si>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</si>
  <si>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</si>
  <si>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</si>
  <si>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</si>
  <si>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</si>
  <si>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</si>
  <si>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</si>
  <si>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</si>
  <si>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</si>
  <si>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</si>
  <si>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</si>
  <si>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</si>
  <si>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Primates</t>
  </si>
  <si>
    <t>Table 2</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</si>
  <si>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</si>
  <si>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</si>
  <si>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</si>
  <si>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</si>
  <si>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</si>
  <si>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</si>
  <si>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</si>
  <si>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</si>
  <si>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</si>
  <si>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</si>
  <si>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</si>
  <si>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</si>
  <si>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</si>
  <si>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</si>
  <si>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</si>
  <si>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</si>
  <si>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</si>
  <si>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</si>
  <si>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</si>
  <si>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</si>
  <si>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</si>
  <si>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</si>
  <si>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</si>
  <si>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</si>
  <si>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</si>
  <si>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</si>
  <si>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</si>
  <si>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</si>
  <si>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</si>
  <si>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</si>
  <si>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</si>
  <si>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</si>
  <si>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</si>
  <si>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</si>
  <si>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</si>
  <si>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</si>
  <si>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</si>
  <si>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</si>
  <si>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</si>
  <si>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</si>
  <si>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</si>
  <si>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</si>
  <si>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</si>
  <si>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</si>
  <si>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</si>
  <si>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</si>
  <si>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</si>
  <si>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</si>
  <si>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</si>
  <si>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</si>
  <si>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</si>
  <si>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</si>
  <si>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</si>
  <si>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</si>
  <si>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</si>
  <si>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</si>
  <si>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</si>
  <si>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</si>
  <si>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</si>
  <si>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</si>
  <si>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</si>
  <si>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</si>
  <si>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</si>
  <si>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</si>
  <si>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</si>
  <si>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</si>
  <si>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</si>
  <si>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</si>
  <si>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</si>
  <si>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</si>
  <si>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</si>
  <si>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</si>
  <si>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</si>
  <si>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</si>
  <si>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</si>
  <si>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</si>
  <si>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</si>
  <si>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</si>
  <si>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</si>
  <si>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</si>
  <si>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</si>
  <si>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</si>
  <si>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</si>
  <si>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</si>
  <si>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</si>
  <si>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</si>
  <si>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</si>
  <si>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</si>
  <si>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</si>
  <si>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</si>
  <si>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</si>
  <si>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</si>
  <si>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</si>
  <si>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</si>
  <si>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</si>
  <si>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</si>
  <si>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</si>
  <si>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</si>
  <si>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</si>
  <si>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</si>
  <si>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</si>
  <si>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</si>
  <si>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</si>
  <si>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</si>
  <si>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</si>
  <si>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</si>
  <si>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</si>
  <si>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</si>
  <si>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</si>
  <si>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</si>
  <si>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</si>
  <si>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</si>
  <si>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</si>
  <si>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</si>
  <si>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</si>
  <si>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</si>
  <si>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</si>
  <si>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</si>
  <si>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</si>
  <si>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</si>
  <si>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</si>
  <si>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</si>
  <si>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</si>
  <si>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</si>
  <si>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</si>
  <si>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</si>
  <si>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</si>
  <si>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</si>
  <si>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</si>
  <si>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</si>
  <si>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</si>
  <si>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</si>
  <si>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</si>
  <si>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</si>
  <si>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</si>
  <si>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</si>
  <si>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</si>
  <si>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</si>
  <si>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</si>
  <si>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</si>
  <si>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</si>
  <si>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</si>
  <si>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</si>
  <si>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</si>
  <si>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</si>
  <si>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</si>
  <si>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</si>
  <si>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</si>
  <si>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</si>
  <si>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</si>
  <si>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</si>
  <si>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</si>
  <si>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</si>
  <si>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</si>
  <si>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</si>
  <si>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</si>
  <si>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</si>
  <si>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</si>
  <si>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</si>
  <si>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</si>
  <si>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</si>
  <si>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</si>
  <si>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</si>
  <si>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</si>
  <si>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</si>
  <si>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</si>
  <si>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</si>
  <si>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</si>
  <si>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</si>
  <si>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</si>
  <si>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</si>
  <si>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</si>
  <si>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</si>
  <si>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</si>
  <si>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</si>
  <si>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</si>
  <si>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</si>
  <si>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</si>
  <si>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</si>
  <si>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</si>
  <si>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</si>
  <si>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</si>
  <si>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</si>
  <si>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</si>
  <si>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</si>
  <si>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</si>
  <si>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</si>
  <si>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</si>
  <si>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</si>
  <si>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</si>
  <si>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</si>
  <si>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</si>
  <si>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</si>
  <si>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</si>
  <si>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</si>
  <si>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</si>
  <si>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</si>
  <si>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</si>
  <si>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</si>
  <si>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</si>
  <si>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</si>
  <si>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</si>
  <si>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</si>
  <si>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</si>
  <si>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</si>
  <si>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</si>
  <si>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</si>
  <si>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</si>
  <si>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</si>
  <si>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</si>
  <si>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</si>
  <si>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</si>
  <si>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</si>
  <si>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</si>
  <si>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</si>
  <si>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</si>
  <si>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</si>
  <si>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</si>
  <si>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</si>
  <si>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</si>
  <si>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</si>
  <si>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</si>
  <si>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</si>
  <si>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</si>
  <si>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</si>
  <si>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</si>
  <si>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</si>
  <si>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</si>
  <si>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</si>
  <si>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</si>
  <si>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</si>
  <si>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</si>
  <si>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</si>
  <si>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</si>
  <si>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</si>
  <si>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</si>
  <si>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</si>
  <si>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</si>
  <si>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</si>
  <si>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</si>
  <si>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</si>
  <si>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</si>
  <si>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both</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</si>
  <si>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</si>
  <si>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</si>
  <si>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</si>
  <si>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</si>
  <si>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</si>
  <si>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</si>
  <si>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</si>
  <si>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</si>
  <si>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</si>
  <si>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</si>
  <si>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</si>
  <si>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</si>
  <si>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</si>
  <si>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</si>
  <si>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</si>
  <si>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</si>
  <si>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</si>
  <si>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</si>
  <si>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</si>
  <si>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</si>
  <si>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</si>
  <si>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</si>
  <si>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</si>
  <si>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</si>
  <si>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</si>
  <si>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</si>
  <si>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</si>
  <si>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</si>
  <si>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</si>
  <si>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</si>
  <si>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</si>
  <si>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</si>
  <si>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</si>
  <si>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</si>
  <si>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</si>
  <si>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</si>
  <si>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</si>
  <si>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</si>
  <si>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</si>
  <si>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</si>
  <si>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</si>
  <si>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</si>
  <si>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</si>
  <si>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</si>
  <si>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</si>
  <si>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</si>
  <si>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</si>
  <si>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</si>
  <si>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</si>
  <si>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</si>
  <si>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</si>
  <si>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</si>
  <si>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</si>
  <si>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</si>
  <si>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</si>
  <si>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</si>
  <si>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</si>
  <si>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</si>
  <si>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</si>
  <si>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</si>
  <si>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</si>
  <si>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</si>
  <si>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</si>
  <si>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</si>
  <si>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</si>
  <si>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</si>
  <si>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</si>
  <si>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</si>
  <si>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</si>
  <si>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</si>
  <si>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</si>
  <si>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</si>
  <si>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</si>
  <si>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</si>
  <si>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</si>
  <si>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</si>
  <si>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</si>
  <si>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</si>
  <si>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</si>
  <si>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</si>
  <si>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</si>
  <si>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</si>
  <si>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</si>
  <si>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</si>
  <si>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</si>
  <si>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</si>
  <si>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</si>
  <si>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</si>
  <si>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</si>
  <si>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</si>
  <si>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</si>
  <si>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</si>
  <si>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</si>
  <si>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</si>
  <si>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</si>
  <si>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secondary compilation</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</si>
  <si>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</si>
  <si>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</si>
  <si>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</si>
  <si>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</si>
  <si>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</si>
  <si>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</si>
  <si>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</si>
  <si>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</si>
  <si>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</si>
  <si>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</si>
  <si>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</si>
  <si>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</si>
  <si>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</si>
  <si>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</si>
  <si>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</si>
  <si>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</si>
  <si>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</si>
  <si>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</si>
  <si>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</si>
  <si>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</si>
  <si>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</si>
  <si>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</si>
  <si>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</si>
  <si>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</si>
  <si>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</si>
  <si>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</si>
  <si>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</si>
  <si>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</si>
  <si>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</si>
  <si>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</si>
  <si>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</si>
  <si>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</si>
  <si>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</si>
  <si>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</si>
  <si>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</si>
  <si>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</si>
  <si>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</si>
  <si>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</si>
  <si>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</si>
  <si>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</si>
  <si>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</si>
  <si>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</si>
  <si>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</si>
  <si>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</si>
  <si>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</si>
  <si>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</si>
  <si>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</si>
  <si>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</si>
  <si>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</si>
  <si>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</si>
  <si>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</si>
  <si>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</si>
  <si>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</si>
  <si>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</si>
  <si>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</si>
  <si>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</si>
  <si>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</si>
  <si>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</si>
  <si>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</si>
  <si>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</si>
  <si>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</si>
  <si>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</si>
  <si>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</si>
  <si>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</si>
  <si>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</si>
  <si>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</si>
  <si>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</si>
  <si>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</si>
  <si>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</si>
  <si>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</si>
  <si>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</si>
  <si>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</si>
  <si>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</si>
  <si>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</si>
  <si>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</si>
  <si>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</si>
  <si>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</si>
  <si>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</si>
  <si>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</si>
  <si>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</si>
  <si>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</si>
  <si>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</si>
  <si>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</si>
  <si>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</si>
  <si>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</si>
  <si>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</si>
  <si>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</si>
  <si>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</si>
  <si>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</si>
  <si>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</si>
  <si>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</si>
  <si>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</si>
  <si>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</si>
  <si>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</si>
  <si>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</si>
  <si>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</si>
  <si>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</si>
  <si>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</si>
  <si>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</si>
  <si>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</si>
  <si>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</si>
  <si>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</si>
  <si>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</si>
  <si>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</si>
  <si>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</si>
  <si>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</si>
  <si>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</si>
  <si>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</si>
  <si>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</si>
  <si>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</si>
  <si>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</si>
  <si>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</si>
  <si>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</si>
  <si>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</si>
  <si>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</si>
  <si>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data that are extracted from bar plots</t>
  </si>
  <si>
    <t>figure</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</si>
  <si>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</si>
  <si>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</si>
  <si>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</si>
  <si>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</si>
  <si>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</si>
  <si>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</si>
  <si>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</si>
  <si>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</si>
  <si>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</si>
  <si>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</si>
  <si>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</si>
  <si>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</si>
  <si>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</si>
  <si>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</si>
  <si>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</si>
  <si>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</si>
  <si>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</si>
  <si>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</si>
  <si>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</si>
  <si>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</si>
  <si>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</si>
  <si>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</si>
  <si>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</si>
  <si>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</si>
  <si>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</si>
  <si>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</si>
  <si>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</si>
  <si>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</si>
  <si>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</si>
  <si>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</si>
  <si>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</si>
  <si>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</si>
  <si>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</si>
  <si>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</si>
  <si>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</si>
  <si>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</si>
  <si>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</si>
  <si>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</si>
  <si>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</si>
  <si>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</si>
  <si>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</si>
  <si>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</si>
  <si>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</si>
  <si>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</si>
  <si>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</si>
  <si>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</si>
  <si>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</si>
  <si>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</si>
  <si>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</si>
  <si>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</si>
  <si>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</si>
  <si>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</si>
  <si>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</si>
  <si>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</si>
  <si>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</si>
  <si>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data/species_predictors.xlsx</t>
  </si>
  <si>
    <t>need to record steps</t>
  </si>
  <si>
    <t>https://github.com/ManyPrimates/mp1_short_term_memory/raw/master/data/species_predictors.xlsx</t>
  </si>
  <si>
    <t>various secondary and primary data, e.g., ecology</t>
  </si>
  <si>
    <t>number of vocalizations</t>
  </si>
  <si>
    <t>behavioural (cognition / vocalization)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</si>
  <si>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</si>
  <si>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</si>
  <si>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</si>
  <si>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</si>
  <si>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</si>
  <si>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</si>
  <si>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</si>
  <si>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</si>
  <si>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</si>
  <si>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</si>
  <si>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</si>
  <si>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</si>
  <si>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</si>
  <si>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</si>
  <si>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</si>
  <si>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</si>
  <si>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</si>
  <si>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</si>
  <si>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</si>
  <si>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</si>
  <si>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</si>
  <si>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</si>
  <si>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</si>
  <si>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Schniter, E., &amp; Penaherrera-Aguirre, M. (2026). Evolution of primate vocal repertoires: vocal systems as embodied capital for mediating within-group conflict. Primates. https://doi.org/10.1007/s10329-026-01271-2</t>
  </si>
  <si>
    <t>data</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</si>
  <si>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</si>
  <si>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</si>
  <si>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</si>
  <si>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</si>
  <si>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</si>
  <si>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</si>
  <si>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</si>
  <si>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</si>
  <si>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</si>
  <si>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</si>
  <si>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</si>
  <si>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</si>
  <si>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</si>
  <si>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</si>
  <si>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</si>
  <si>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</si>
  <si>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</si>
  <si>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</si>
  <si>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</si>
  <si>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</si>
  <si>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</si>
  <si>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</si>
  <si>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</si>
  <si>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</si>
  <si>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</si>
  <si>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</si>
  <si>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tables</t>
  </si>
  <si>
    <t>GLI: laminar and profiles</t>
  </si>
  <si>
    <t>cytoarchitecture (GLI laminar profiles)</t>
  </si>
  <si>
    <t>Table 5. Species mean values for 10 GLI profile feature vectors</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</si>
  <si>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</si>
  <si>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</si>
  <si>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</si>
  <si>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</si>
  <si>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</si>
  <si>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</si>
  <si>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</si>
  <si>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</si>
  <si>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</si>
  <si>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</si>
  <si>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</si>
  <si>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</si>
  <si>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</si>
  <si>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</si>
  <si>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</si>
  <si>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</si>
  <si>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</si>
  <si>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</si>
  <si>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</si>
  <si>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</si>
  <si>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</si>
  <si>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</si>
  <si>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</si>
  <si>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</si>
  <si>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</si>
  <si>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</si>
  <si>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</si>
  <si>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</si>
  <si>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</si>
  <si>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</si>
  <si>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</si>
  <si>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</si>
  <si>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</si>
  <si>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</si>
  <si>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</si>
  <si>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</si>
  <si>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</si>
  <si>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t>
  </si>
  <si>
    <t>TABLE 3 Data on body and brain weight (in g and mg) and volume of the fundemental brain sections (in mm3) in Simians</t>
  </si>
  <si>
    <t>TABLE 4</t>
  </si>
  <si>
    <t>TABLE 4 Volume of the various components of the telencephalon in Insectivores (in mm3)</t>
  </si>
  <si>
    <t>TABLE 5</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</si>
  <si>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</si>
  <si>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</si>
  <si>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</si>
  <si>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</si>
  <si>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</si>
  <si>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</si>
  <si>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</si>
  <si>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</si>
  <si>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</si>
  <si>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</si>
  <si>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</si>
  <si>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</si>
  <si>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</si>
  <si>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</si>
  <si>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</si>
  <si>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</si>
  <si>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</si>
  <si>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</si>
  <si>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</si>
  <si>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</si>
  <si>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</si>
  <si>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</si>
  <si>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</si>
  <si>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</si>
  <si>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</si>
  <si>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</si>
  <si>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</si>
  <si>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</si>
  <si>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Stephan, H., Frahm, H., &amp; Baron, G. (1981). New and revised data on volumes of brain structures in insectivores and primates. Folia Primatol (Basel), 35(1), 1-29. https://doi.org/10.1159/000155964</t>
  </si>
  <si>
    <t>Table VIII</t>
  </si>
  <si>
    <t>Table VIII. Volumes of components of the diencephalon (mm3) in primates</t>
  </si>
  <si>
    <t>Stephan, H., Frahm, H., &amp; Baron, G. (1981). New and revised data on volumes of brain structures in insectivores and primates. Folia Primatol (Basel), 35(1), 1-29. https://doi.org/10.1159/000155965</t>
  </si>
  <si>
    <t>Table IX</t>
  </si>
  <si>
    <t>Table IX. Volumes of visual cortex (area striata) and lateral geniculate body (mm3) in primates</t>
  </si>
  <si>
    <t>Stephan, H., Frahm, H., &amp; Baron, G. (1981). New and revised data on volumes of brain structures in insectivores and primates. Folia Primatol (Basel), 35(1), 1-29. https://doi.org/10.1159/000155966</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</si>
  <si>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</si>
  <si>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</si>
  <si>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</si>
  <si>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</si>
  <si>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</si>
  <si>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</si>
  <si>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</si>
  <si>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</si>
  <si>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</si>
  <si>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</si>
  <si>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</si>
  <si>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</si>
  <si>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</si>
  <si>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</si>
  <si>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</si>
  <si>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</si>
  <si>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</si>
  <si>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</si>
  <si>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</si>
  <si>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</si>
  <si>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</si>
  <si>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</si>
  <si>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</si>
  <si>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</si>
  <si>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</si>
  <si>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</si>
  <si>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</si>
  <si>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Wilman, H., Belmaker, J., Simpson, J., de la Rosa, C., Rivadeneira, M. M., &amp; Jetz, W. (2014). EltonTraits 1.0: Species‐level foraging attributes of the world's birds and mammals. Ecology, 95(7), 2027-2027. https://doi.org/10.1890/13-1917.1</t>
  </si>
  <si>
    <t>MamFuncDat.txt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</si>
  <si>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</si>
  <si>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</si>
  <si>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</si>
  <si>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mammal_gait.txt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</si>
  <si>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</si>
  <si>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</si>
  <si>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</si>
  <si>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</si>
  <si>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</si>
  <si>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</si>
  <si>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</si>
  <si>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</si>
  <si>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Young, N. A., Szabo, C. A., Phelix, C. F., Flaherty, D. K., Balaram, P., Foust-Yeoman, K. B., Collins, C. E., &amp; Kaas, J. H. (2013). Epileptic baboons have lower numbers of neurons in specific areas of cortex. Proc Natl Acad Sci U S A, 110(47), 19107-19112. https://doi.org/10.1073/pnas.1318894110</t>
  </si>
  <si>
    <t>Epileptic baboons: cortical neuron numbers (Table 1) [folder _b]</t>
  </si>
  <si>
    <t>cortical neuron numbers</t>
  </si>
  <si>
    <t>Primates (+ rodents)</t>
  </si>
  <si>
    <t>cortical neuron number</t>
  </si>
  <si>
    <t>Zilles, K., &amp; Rehkämper, G. (1988). The brain, with special reference to the telencephalon. In J. H. Schwartz (Ed.), Orang-Utan Biology (pp. 157-176). Oxford University Press</t>
  </si>
  <si>
    <t>ISBN:9780195043716</t>
  </si>
  <si>
    <t>Table 12-2</t>
  </si>
  <si>
    <t>Brain structure volumes of great apes (Pan, Gorilla, Pongo).</t>
  </si>
  <si>
    <t>telencephalon &amp; brain-structure volumes</t>
  </si>
  <si>
    <t>Great apes (Pan, Gorilla, Pongo)</t>
  </si>
  <si>
    <t>Zilles, K., Palomero-Gallagher, N., &amp; Amunts, K. (2013). Development of cortical folding during evolution and ontogeny. Trends Neurosci, 36(5), 275-284. https://doi.org/10.1016/j.tins.2013.01.006</t>
  </si>
  <si>
    <t>Table1</t>
  </si>
  <si>
    <t>Development of cortical folding (review)</t>
  </si>
  <si>
    <t>cortical folding / gyrification</t>
  </si>
  <si>
    <t>Mammals (+ primates)</t>
  </si>
  <si>
    <t>cortical folding (gyrification index)</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</si>
  <si>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</si>
  <si>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</si>
  <si>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</si>
  <si>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</si>
  <si>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</si>
  <si>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</si>
  <si>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</si>
  <si>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</si>
  <si>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</si>
  <si>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</si>
  <si>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</si>
  <si>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</si>
  <si>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10.1002%2Fcne.24605_TABLE1.tsv</t>
  </si>
  <si>
    <t>10.1002%2Fcne.24605_TABLE2.tsv</t>
  </si>
  <si>
    <t>10.1002%2Fcne.24985_TABLE1.tsv</t>
  </si>
  <si>
    <t>10.1002%2Fcne.24985_TABLE2.tsv</t>
  </si>
  <si>
    <t>10.1002%2Fcne.25669_TABLE1.tsv</t>
  </si>
  <si>
    <t>10.1002%2Fcne.70089_TABLE1.tsv</t>
  </si>
  <si>
    <t>10.1006%2Fjhev.1996.0005_Table1.tsv</t>
  </si>
  <si>
    <t>10.1006%2Fjhev.1999.0313_Table1.tsv</t>
  </si>
  <si>
    <t>10.1007%2Fs004220000205_Figure3.tsv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</si>
  <si>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</si>
  <si>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</si>
  <si>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</si>
  <si>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</si>
  <si>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</si>
  <si>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</si>
  <si>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</si>
  <si>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</si>
  <si>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</si>
  <si>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</si>
  <si>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</si>
  <si>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</si>
  <si>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</si>
  <si>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</si>
  <si>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</si>
  <si>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10.1016%2Fj.zool.2020.125753_SupplementaryTable.tsv</t>
  </si>
  <si>
    <t>10.1016%2Fs0047-2484(03)00028-9_Table1.tsv</t>
  </si>
  <si>
    <t>10.1016%2Fs0047-2484(03)00028-9_Table2.tsv</t>
  </si>
  <si>
    <t>10.1016%2Fs0166-4328(98)00151-x_Table1.tsv</t>
  </si>
  <si>
    <t>10.1037%2F0735-7036.115.1.29_Table1.tsv</t>
  </si>
  <si>
    <t>10.1037%2F0735-7036.115.1.29_Table2.tsv</t>
  </si>
  <si>
    <t>10.1037%2F0735-7036.115.1.29_Table3.tsv</t>
  </si>
  <si>
    <t>10.1037%2F0735-7036.115.1.29_Table4.tsv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</si>
  <si>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</si>
  <si>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</si>
  <si>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</si>
  <si>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</si>
  <si>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</si>
  <si>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</si>
  <si>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</si>
  <si>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</si>
  <si>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</si>
  <si>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</si>
  <si>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</si>
  <si>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10.1073%2Fpnas.0305760101_Table2.tsv</t>
  </si>
  <si>
    <t>10.1073%2Fpnas.0905777106_TableS1.tsv</t>
  </si>
  <si>
    <t>10.1073%2Fpnas.1716956116_SupplementaryTableS1.tsv</t>
  </si>
  <si>
    <t>10.1093%2Fcercor%2Fbhy315_Table4.tsv</t>
  </si>
  <si>
    <t>10.1093%2Fjmammal%2Fgyz043_SupplementaryDataSD1.tsv</t>
  </si>
  <si>
    <t>10.1093%2Foso%2F9780198568742.003.0006_Table6.1.tsv</t>
  </si>
  <si>
    <t>10.1093%2Fscan%2Fnsv128_TableS1.tsv</t>
  </si>
  <si>
    <t>10.1093%2Fscan%2Fnsv128_TableS2.tsv</t>
  </si>
  <si>
    <t>10.1098%2Frspb.2015.1853_Table1.tsv</t>
  </si>
  <si>
    <t>10.1098%2Frspb.2015.1853_Table2.tsv</t>
  </si>
  <si>
    <t>10.1126%2Fscience.aaa9101_TableS1.tsv</t>
  </si>
  <si>
    <t>10.1159%2F000006575_Table1.tsv</t>
  </si>
  <si>
    <t>10.1159%2F000068880_Table1.tsv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</si>
  <si>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</si>
  <si>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</si>
  <si>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</si>
  <si>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</si>
  <si>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</si>
  <si>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</si>
  <si>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</si>
  <si>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</si>
  <si>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</si>
  <si>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</si>
  <si>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</si>
  <si>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</si>
  <si>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</si>
  <si>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</si>
  <si>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</si>
  <si>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</si>
  <si>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</si>
  <si>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</si>
  <si>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</si>
  <si>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</si>
  <si>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</si>
  <si>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</si>
  <si>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</si>
  <si>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</si>
  <si>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</si>
  <si>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</si>
  <si>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</si>
  <si>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</si>
  <si>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</si>
  <si>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</si>
  <si>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10.1159%2F000452856_TableS1.tsv</t>
  </si>
  <si>
    <t>10.1371%2Fjournal.pbio.1002000_TableS1.tsv</t>
  </si>
  <si>
    <t>10.1371%2Fjournal.pbio.1002000_TableS8.tsv</t>
  </si>
  <si>
    <t>10.1523%2FJNEUROSCI.2339-19.2020_Table1.tsv</t>
  </si>
  <si>
    <t>10.1523%2FJNEUROSCI.2339-19.2020_unpublished.tsv</t>
  </si>
  <si>
    <t>10.3389%2Ffnana.2013.00035_Figure2TopLeft.tsv</t>
  </si>
  <si>
    <t>10.3389%2Ffnana.2013.00035_Table1-a.tsv</t>
  </si>
  <si>
    <t>10.3389%2Ffnana.2013.00035_Table1-b.tsv</t>
  </si>
  <si>
    <t>10.3389%2Ffnana.2017.00118_Table1.tsv</t>
  </si>
  <si>
    <t>10.3389%2Ffnhum.2013.00424_TableS2partial.tsv</t>
  </si>
  <si>
    <t>10.3389%2Ffnhum.2014.00277_Table1.tsv</t>
  </si>
  <si>
    <t>10.3389%2Ffnins.2021.632853_TABLE1.tsv</t>
  </si>
  <si>
    <t>10.6084%2Fm9.figshare.c.3899422.v1_Dataset1.tsv</t>
  </si>
  <si>
    <t>10.7554%2FeLife.77875_Supplementaryfile3.tsv</t>
  </si>
  <si>
    <t>10.7554%2FeLife.77875_Table1.tsv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</si>
  <si>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</si>
  <si>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</si>
  <si>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</si>
  <si>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</si>
  <si>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</si>
  <si>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</si>
  <si>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</si>
  <si>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</si>
  <si>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</si>
  <si>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NQ%3A61662_APPENDIXI.tsv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</si>
  <si>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</si>
  <si>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</si>
  <si>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</si>
  <si>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</si>
  <si>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</si>
  <si>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</si>
  <si>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</si>
  <si>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</si>
  <si>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</si>
  <si>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</si>
  <si>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</si>
  <si>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</si>
  <si>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</si>
  <si>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</si>
  <si>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</si>
  <si>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</si>
  <si>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</si>
  <si>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</si>
  <si>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 xml:space="preserve">10.1002%2F(SICI)1096-8644(199806)106%3A2%3C129%3A%3AAID-AJPA3%3E3.0.CO;2-L_TABLE2.tsv</t>
  </si>
  <si>
    <t xml:space="preserve">10.1002%2F1096-8644(200102)114%3A2%3C163%3A%3AAID-AJPA1016%3E3.0.CO;2-F_TABLE2.tsv</t>
  </si>
  <si>
    <t xml:space="preserve">10.1002%2F1096-8644(200103)114%3A3%3C224%3A%3AAID-AJPA1022%3E3.0.CO;2-I_TABLE2.tsv</t>
  </si>
  <si>
    <t xml:space="preserve">10.1002%2Fajp.20048_TABLEI.tsv</t>
  </si>
  <si>
    <t xml:space="preserve">10.1002%2Fajp.20048_unpublishedviaDeCasien.tsv</t>
  </si>
  <si>
    <t xml:space="preserve">10.1002%2Fajpa.20684_TABLE1.tsv</t>
  </si>
  <si>
    <t xml:space="preserve">10.1002%2Fajpa.22646_Fig4A.tsv</t>
  </si>
  <si>
    <t xml:space="preserve">10.1002%2Fajpa.22646_Fig5A.tsv</t>
  </si>
  <si>
    <t xml:space="preserve">10.1002%2Fajpa.22646_TABLE1.tsv</t>
  </si>
  <si>
    <t xml:space="preserve">10.1002%2Fajpa.22646_TABLE2.tsv</t>
  </si>
  <si>
    <t xml:space="preserve">10.1002%2Fajpa.22646_unpublishedviaDeCasien.tsv</t>
  </si>
  <si>
    <t xml:space="preserve">10.1002%2Far.a.20114_TABLE1.tsv</t>
  </si>
  <si>
    <t xml:space="preserve">10.1002%2Fcne.24605_TABLE1.tsv</t>
  </si>
  <si>
    <t xml:space="preserve">10.1002%2Fcne.24605_TABLE2.tsv</t>
  </si>
  <si>
    <t xml:space="preserve">10.1002%2Fcne.24985_TABLE1.tsv</t>
  </si>
  <si>
    <t xml:space="preserve">10.1002%2Fcne.24985_TABLE2.tsv</t>
  </si>
  <si>
    <t xml:space="preserve">10.1002%2Fcne.25669_TABLE1.tsv</t>
  </si>
  <si>
    <t xml:space="preserve">10.1002%2Fcne.70089_TABLE1.tsv</t>
  </si>
  <si>
    <t xml:space="preserve">10.1006%2Fjhev.1996.0005_Table1.tsv</t>
  </si>
  <si>
    <t xml:space="preserve">10.1006%2Fjhev.1999.0313_Table1.tsv</t>
  </si>
  <si>
    <t xml:space="preserve">10.1007%2Fs004220000205_Figure3.tsv</t>
  </si>
  <si>
    <t xml:space="preserve">10.1016%2Fj.cub.2017.01.020_TableS1part1.tsv</t>
  </si>
  <si>
    <t xml:space="preserve">10.1016%2Fj.cub.2017.01.020_TableS1part2.tsv</t>
  </si>
  <si>
    <t xml:space="preserve">10.1016%2Fj.jhevol.2004.10.003_Table1.tsv</t>
  </si>
  <si>
    <t xml:space="preserve">10.1016%2Fj.jhevol.2008.08.004_Table2.tsv</t>
  </si>
  <si>
    <t xml:space="preserve">10.1016%2Fj.jhevol.2008.08.004_Table7.tsv</t>
  </si>
  <si>
    <t xml:space="preserve">10.1016%2Fj.jhevol.2008.08.004_TableS1.tsv</t>
  </si>
  <si>
    <t xml:space="preserve">10.1016%2Fj.jhevol.2008.08.004_TableS2.tsv</t>
  </si>
  <si>
    <t xml:space="preserve">10.1016%2Fj.jhevol.2008.08.004_TableS3.tsv</t>
  </si>
  <si>
    <t xml:space="preserve">10.1016%2Fj.jhevol.2009.11.011_SupTable2.tsv</t>
  </si>
  <si>
    <t xml:space="preserve">10.1016%2Fj.jhevol.2009.11.011_Table1.tsv</t>
  </si>
  <si>
    <t xml:space="preserve">10.1016%2Fj.jhevol.2012.03.007_Table2.tsv</t>
  </si>
  <si>
    <t xml:space="preserve">10.1016%2Fj.jhevol.2012.03.007_Table3.tsv</t>
  </si>
  <si>
    <t xml:space="preserve">10.1016%2Fj.jhevol.2012.03.007_Table5.tsv</t>
  </si>
  <si>
    <t xml:space="preserve">10.1016%2Fj.jhevol.2012.12.003_Table1.tsv</t>
  </si>
  <si>
    <t xml:space="preserve">10.1016%2Fj.jhevol.2012.12.003_Table2.tsv</t>
  </si>
  <si>
    <t xml:space="preserve">10.1016%2Fj.zool.2020.125753_SupplementaryTable.tsv</t>
  </si>
  <si>
    <t xml:space="preserve">10.1016%2Fs0047-2484(03)00028-9_Table1.tsv</t>
  </si>
  <si>
    <t xml:space="preserve">10.1016%2Fs0047-2484(03)00028-9_Table2.tsv</t>
  </si>
  <si>
    <t xml:space="preserve">10.1016%2Fs0166-4328(98)00151-x_Table1.tsv</t>
  </si>
  <si>
    <t xml:space="preserve">10.1037%2F0735-7036.115.1.29_Table1.tsv</t>
  </si>
  <si>
    <t xml:space="preserve">10.1037%2F0735-7036.115.1.29_Table2.tsv</t>
  </si>
  <si>
    <t xml:space="preserve">10.1037%2F0735-7036.115.1.29_Table3.tsv</t>
  </si>
  <si>
    <t xml:space="preserve">10.1037%2F0735-7036.115.1.29_Table4.tsv</t>
  </si>
  <si>
    <t xml:space="preserve">10.1038%2Fs41467-020-14356-3_SupplementaryData3.tsv</t>
  </si>
  <si>
    <t xml:space="preserve">10.1038%2Fs41598-018-24331-0_ExtendedDataFigure4.tsv</t>
  </si>
  <si>
    <t xml:space="preserve">10.1038%2Fs41598-018-24331-0_ExtendedDataTable1.tsv</t>
  </si>
  <si>
    <t xml:space="preserve">10.1038%2Fs41598-018-24331-0_ExtendedDataTable3.tsv</t>
  </si>
  <si>
    <t xml:space="preserve">10.1038%2Fs41598-018-24331-0_Figure3A.tsv</t>
  </si>
  <si>
    <t xml:space="preserve">10.1038%2Fs41598-018-24331-0_Figure3B.tsv</t>
  </si>
  <si>
    <t xml:space="preserve">10.1038%2Fs41598-018-24331-0_Figure3legend.tsv</t>
  </si>
  <si>
    <t xml:space="preserve">10.1038%2Fs41598-018-24331-0_FossilSpecimensText.tsv</t>
  </si>
  <si>
    <t xml:space="preserve">10.1038%2Fs41598-018-26062-8_Table1.tsv</t>
  </si>
  <si>
    <t xml:space="preserve">10.1038%2Fs41598-018-26062-8_TableS1.tsv</t>
  </si>
  <si>
    <t xml:space="preserve">10.1038%2Fs41598-018-26062-8_TableS5.tsv</t>
  </si>
  <si>
    <t xml:space="preserve">10.1073%2Fpnas.0305760101_Table2.tsv</t>
  </si>
  <si>
    <t xml:space="preserve">10.1073%2Fpnas.0905777106_TableS1.tsv</t>
  </si>
  <si>
    <t xml:space="preserve">10.1073%2Fpnas.1010356107_DatasetS1.tsv</t>
  </si>
  <si>
    <t xml:space="preserve">10.1073%2Fpnas.1716956116_SupplementaryTableS1.tsv</t>
  </si>
  <si>
    <t xml:space="preserve">10.1093%2Fcercor%2Fbhy315_Table4.tsv</t>
  </si>
  <si>
    <t xml:space="preserve">10.1093%2Fjmammal%2Fgyz043_SupplementaryDataSD1.tsv</t>
  </si>
  <si>
    <t xml:space="preserve">10.1093%2Foso%2F9780198568742.003.0006_Table6.1.tsv</t>
  </si>
  <si>
    <t xml:space="preserve">10.1093%2Fscan%2Fnsv128_TableS1.tsv</t>
  </si>
  <si>
    <t xml:space="preserve">10.1093%2Fscan%2Fnsv128_TableS2.tsv</t>
  </si>
  <si>
    <t xml:space="preserve">10.1098%2Frsos.170846_TableS1.tsv</t>
  </si>
  <si>
    <t xml:space="preserve">10.1098%2Frspb.2015.1853_Table1.tsv</t>
  </si>
  <si>
    <t xml:space="preserve">10.1098%2Frspb.2015.1853_Table2.tsv</t>
  </si>
  <si>
    <t xml:space="preserve">10.1098%2Frspb.2019.2208_rspb20192208si002.tsv</t>
  </si>
  <si>
    <t xml:space="preserve">10.1126%2Fscience.aaa9101_TableS1.tsv</t>
  </si>
  <si>
    <t xml:space="preserve">10.1159%2F000006575_Table1.tsv</t>
  </si>
  <si>
    <t xml:space="preserve">10.1159%2F000068880_Table1.tsv</t>
  </si>
  <si>
    <t xml:space="preserve">10.1159%2F000124401_TableI.tsv</t>
  </si>
  <si>
    <t xml:space="preserve">10.1159%2F000155963_TableI.tsv</t>
  </si>
  <si>
    <t xml:space="preserve">10.1159%2F000155963_TableII.tsv</t>
  </si>
  <si>
    <t xml:space="preserve">10.1159%2F000155963_TableIII.tsv</t>
  </si>
  <si>
    <t xml:space="preserve">10.1159%2F000155963_TableIV.tsv</t>
  </si>
  <si>
    <t xml:space="preserve">10.1159%2F000155963_TableIX.tsv</t>
  </si>
  <si>
    <t xml:space="preserve">10.1159%2F000155963_TablesI-VI.tsv</t>
  </si>
  <si>
    <t xml:space="preserve">10.1159%2F000155963_TableV.tsv</t>
  </si>
  <si>
    <t xml:space="preserve">10.1159%2F000155963_TableVI.tsv</t>
  </si>
  <si>
    <t xml:space="preserve">10.1159%2F000155963_TableVII.tsv</t>
  </si>
  <si>
    <t xml:space="preserve">10.1159%2F000155963_TableVIII.tsv</t>
  </si>
  <si>
    <t xml:space="preserve">10.1159%2F000155963_TableX.tsv</t>
  </si>
  <si>
    <t xml:space="preserve">10.1159%2F000155963_TableXI.tsv</t>
  </si>
  <si>
    <t xml:space="preserve">10.1159%2F000155963_TableXII.tsv</t>
  </si>
  <si>
    <t xml:space="preserve">10.1159%2F000155963_TableXIII.tsv</t>
  </si>
  <si>
    <t xml:space="preserve">10.1159%2F000155963_TableXIV.tsv</t>
  </si>
  <si>
    <t xml:space="preserve">10.1159%2F000155963_TableXV.tsv</t>
  </si>
  <si>
    <t xml:space="preserve">10.1159%2F000155963_TableXVI.tsv</t>
  </si>
  <si>
    <t xml:space="preserve">10.1159%2F000156211_Table1.tsv</t>
  </si>
  <si>
    <t xml:space="preserve">10.1159%2F000156212_Table1.tsv</t>
  </si>
  <si>
    <t xml:space="preserve">10.1159%2F000319019_SupplementaryTable1.tsv</t>
  </si>
  <si>
    <t xml:space="preserve">10.1159%2F000319019_Table1.tsv</t>
  </si>
  <si>
    <t xml:space="preserve">10.1159%2F000323671_SupplementaryTable1.tsv</t>
  </si>
  <si>
    <t xml:space="preserve">10.1159%2F000323671_SupplementaryTable2.tsv</t>
  </si>
  <si>
    <t xml:space="preserve">10.1159%2F000346495_Table1.tsv</t>
  </si>
  <si>
    <t xml:space="preserve">10.1159%2F000437413_Table1.tsv</t>
  </si>
  <si>
    <t xml:space="preserve">10.1159%2F000437413_Table2.tsv</t>
  </si>
  <si>
    <t xml:space="preserve">10.1159%2F000437413_Table3.tsv</t>
  </si>
  <si>
    <t xml:space="preserve">10.1159%2F000437413_Table4.tsv</t>
  </si>
  <si>
    <t xml:space="preserve">10.1159%2F000437413_Table5.tsv</t>
  </si>
  <si>
    <t xml:space="preserve">10.1159%2F000452856_TableS1.tsv</t>
  </si>
  <si>
    <t xml:space="preserve">10.1186%2F1741-7007-5-18_TableS1.tsv</t>
  </si>
  <si>
    <t xml:space="preserve">10.1186%2F1741-7007-5-18_TableS10.tsv</t>
  </si>
  <si>
    <t xml:space="preserve">10.1186%2F1741-7007-5-18_TableS11.tsv</t>
  </si>
  <si>
    <t xml:space="preserve">10.1186%2F1741-7007-5-18_TableS12.tsv</t>
  </si>
  <si>
    <t xml:space="preserve">10.1186%2F1741-7007-5-18_TableS13.tsv</t>
  </si>
  <si>
    <t xml:space="preserve">10.1186%2F1741-7007-5-18_TableS14.tsv</t>
  </si>
  <si>
    <t xml:space="preserve">10.1186%2F1741-7007-5-18_TableS15.tsv</t>
  </si>
  <si>
    <t xml:space="preserve">10.1186%2F1741-7007-5-18_TableS16.tsv</t>
  </si>
  <si>
    <t xml:space="preserve">10.1186%2F1741-7007-5-18_TableS17.tsv</t>
  </si>
  <si>
    <t xml:space="preserve">10.1186%2F1741-7007-5-18_TableS18.tsv</t>
  </si>
  <si>
    <t xml:space="preserve">10.1186%2F1741-7007-5-18_TableS19.tsv</t>
  </si>
  <si>
    <t xml:space="preserve">10.1186%2F1741-7007-5-18_TableS2.tsv</t>
  </si>
  <si>
    <t xml:space="preserve">10.1186%2F1741-7007-5-18_TableS20.tsv</t>
  </si>
  <si>
    <t xml:space="preserve">10.1186%2F1741-7007-5-18_TableS21.tsv</t>
  </si>
  <si>
    <t xml:space="preserve">10.1186%2F1741-7007-5-18_TableS22.tsv</t>
  </si>
  <si>
    <t xml:space="preserve">10.1186%2F1741-7007-5-18_TableS23.tsv</t>
  </si>
  <si>
    <t xml:space="preserve">10.1186%2F1741-7007-5-18_TableS3.tsv</t>
  </si>
  <si>
    <t xml:space="preserve">10.1186%2F1741-7007-5-18_TableS4.tsv</t>
  </si>
  <si>
    <t xml:space="preserve">10.1186%2F1741-7007-5-18_TableS5.tsv</t>
  </si>
  <si>
    <t xml:space="preserve">10.1186%2F1741-7007-5-18_TableS6.tsv</t>
  </si>
  <si>
    <t xml:space="preserve">10.1186%2F1741-7007-5-18_TableS7.tsv</t>
  </si>
  <si>
    <t xml:space="preserve">10.1186%2F1741-7007-5-18_TableS8.tsv</t>
  </si>
  <si>
    <t xml:space="preserve">10.1186%2F1741-7007-5-18_TableS9.tsv</t>
  </si>
  <si>
    <t xml:space="preserve">10.1242%2Fjeb.124826_TableS1.tsv</t>
  </si>
  <si>
    <t xml:space="preserve">10.1371%2Fjournal.pbio.1002000_TableS1.tsv</t>
  </si>
  <si>
    <t xml:space="preserve">10.1371%2Fjournal.pbio.1002000_TableS8.tsv</t>
  </si>
  <si>
    <t xml:space="preserve">10.1523%2FJNEUROSCI.2339-19.2020_Table1.tsv</t>
  </si>
  <si>
    <t xml:space="preserve">10.1523%2FJNEUROSCI.2339-19.2020_unpublished.tsv</t>
  </si>
  <si>
    <t xml:space="preserve">10.3389%2Ffnana.2013.00035_Figure2TopLeft.tsv</t>
  </si>
  <si>
    <t xml:space="preserve">10.3389%2Ffnana.2013.00035_Table1-a.tsv</t>
  </si>
  <si>
    <t xml:space="preserve">10.3389%2Ffnana.2013.00035_Table1-b.tsv</t>
  </si>
  <si>
    <t xml:space="preserve">10.3389%2Ffnana.2017.00118_Table1.tsv</t>
  </si>
  <si>
    <t xml:space="preserve">10.3389%2Ffnhum.2013.00424_TableS2partial.tsv</t>
  </si>
  <si>
    <t xml:space="preserve">10.3389%2Ffnhum.2014.00277_Table1.tsv</t>
  </si>
  <si>
    <t xml:space="preserve">10.3389%2Ffnins.2021.632853_TABLE1.tsv</t>
  </si>
  <si>
    <t xml:space="preserve">10.6084%2Fm9.figshare.c.3899422.v1_Dataset1.tsv</t>
  </si>
  <si>
    <t xml:space="preserve">10.7554%2FeLife.77875_Supplementaryfile3.tsv</t>
  </si>
  <si>
    <t xml:space="preserve">10.7554%2FeLife.77875_Table1.tsv</t>
  </si>
  <si>
    <t xml:space="preserve">ISBN%3A0390672505_TABLE1.tsv</t>
  </si>
  <si>
    <t xml:space="preserve">ISBN%3A0390672505_TABLE2.tsv</t>
  </si>
  <si>
    <t xml:space="preserve">ISBN%3A0390672505_TABLE3.tsv</t>
  </si>
  <si>
    <t xml:space="preserve">ISBN%3A0390672505_TABLE4.tsv</t>
  </si>
  <si>
    <t xml:space="preserve">ISBN%3A0390672505_TABLE5.tsv</t>
  </si>
  <si>
    <t xml:space="preserve">ISBN%3A0390672505_TABLE6.tsv</t>
  </si>
  <si>
    <t xml:space="preserve">ISBN%3A0390672505_Tables1-6.tsv</t>
  </si>
  <si>
    <t xml:space="preserve">ISBN%3A0845140000_TABLE1.tsv</t>
  </si>
  <si>
    <t xml:space="preserve">ISBN%3A9780195043716_Table12-2.tsv</t>
  </si>
  <si>
    <t xml:space="preserve">NQ%3A61662_APPENDIXI.tsv</t>
  </si>
  <si>
    <t xml:space="preserve">PMID%3A15534048_TABLE1.tsv</t>
  </si>
  <si>
    <t xml:space="preserve">PMID%3A2358663_Table1.tsv</t>
  </si>
  <si>
    <t xml:space="preserve">PMID%3A3116076_Table1.tsv</t>
  </si>
  <si>
    <t xml:space="preserve">PMID%3A3216099_Table1.tsv</t>
  </si>
  <si>
    <t xml:space="preserve">PMID%3A3693895_Table1.tsv</t>
  </si>
  <si>
    <t xml:space="preserve">PMID%3A6481154_Table1.tsv</t>
  </si>
  <si>
    <t xml:space="preserve">PMID%3A6501869_Table1.tsv</t>
  </si>
  <si>
    <t xml:space="preserve">PMID%3A6663055_Table1.tsv</t>
  </si>
  <si>
    <t xml:space="preserve">PMID%3A7161477_Table2.tsv</t>
  </si>
  <si>
    <t xml:space="preserve">PMID%3A7161483_Table1.tsv</t>
  </si>
  <si>
    <t xml:space="preserve">PMID%3A7983368_Table1.tsv</t>
  </si>
  <si>
    <t xml:space="preserve">PMID%3A9176733_Table1.tsv</t>
  </si>
  <si>
    <t xml:space="preserve">PMID%3A9672110_Table1.tsv</t>
  </si>
  <si>
    <t xml:space="preserve">UMI%3A3017523_NotesforTableA-15.tsv</t>
  </si>
  <si>
    <t xml:space="preserve">UMI%3A3017523_TableA-11.tsv</t>
  </si>
  <si>
    <t xml:space="preserve">UMI%3A3017523_TableA-15.tsv</t>
  </si>
  <si>
    <t xml:space="preserve">UMI%3A3147447_TableA1.tsv</t>
  </si>
  <si>
    <t xml:space="preserve">UMI%3A3147447_TableA10.tsv</t>
  </si>
  <si>
    <t xml:space="preserve">UMI%3A3147447_TableA11.tsv</t>
  </si>
  <si>
    <t xml:space="preserve">UMI%3A3147447_TableA12.tsv</t>
  </si>
  <si>
    <t xml:space="preserve">UMI%3A3147447_TableA13.tsv</t>
  </si>
  <si>
    <t xml:space="preserve">UMI%3A3147447_TableA14.tsv</t>
  </si>
  <si>
    <t xml:space="preserve">UMI%3A3147447_TableA15.tsv</t>
  </si>
  <si>
    <t xml:space="preserve">UMI%3A3147447_TableA2.tsv</t>
  </si>
  <si>
    <t xml:space="preserve">UMI%3A3147447_TableA3.tsv</t>
  </si>
  <si>
    <t xml:space="preserve">UMI%3A3147447_TableA4.tsv</t>
  </si>
  <si>
    <t xml:space="preserve">UMI%3A3147447_TableA5.tsv</t>
  </si>
  <si>
    <t xml:space="preserve">UMI%3A3147447_TableA6.tsv</t>
  </si>
  <si>
    <t xml:space="preserve">UMI%3A3147447_TableA7.tsv</t>
  </si>
  <si>
    <t xml:space="preserve">UMI%3A3147447_TableA8.tsv</t>
  </si>
  <si>
    <t xml:space="preserve">UMI%3A3147447_TableA9.tsv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</si>
</sst>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2"/>
      <color theme="1"/>
      <name val="Calibri"/>
      <family val="2"/>
      <charset val="1"/>
    </font>
    <font>
      <sz val="12"/>
      <color rgb="FF3F3F76"/>
      <name val="Calibri"/>
      <family val="2"/>
    </font>
    <font>
      <sz val="12"/>
      <color rgb="FF3F3F76"/>
      <name val="Calibri"/>
      <family val="2"/>
      <b/>
    </font>
    <font>
      <sz val="12"/>
      <color theme="1"/>
      <name val="Calibri"/>
      <family val="2"/>
      <b/>
    </font>
    <font>
      <sz val="12"/>
      <color theme="1"/>
      <name val="Calibri"/>
    </font>
  </fonts>
  <fills count="3">
    <fill>
      <patternFill patternType="none"/>
    </fill>
    <fill>
      <patternFill patternType="gray125"/>
    </fill>
    <fill>
      <patternFill patternType="solid">
        <fgColor rgb="FFFFCC99"/>
        <bgColor rgb="FFC0C0C0"/>
      </patternFill>
    </fill>
  </fills>
  <borders count="4">
    <border>
      <left/>
      <right/>
      <top/>
      <bottom/>
      <diagonal/>
    </border>
    <border>
      <left style="thin">
        <color rgb="FF7F7F7F"/>
      </left>
      <right style="thin">
        <color rgb="FF7F7F7F"/>
      </right>
      <top style="thin">
        <color rgb="FF7F7F7F"/>
      </top>
      <bottom style="thin">
        <color rgb="FF7F7F7F"/>
      </bottom>
    </border>
    <border>
      <left style="thin">
        <color rgb="FF7F7F7F"/>
      </left>
      <right style="thin">
        <color rgb="FF7F7F7F"/>
      </right>
    </border>
    <border>
      <right style="thin">
        <color rgb="FF7F7F7F"/>
      </right>
    </border>
  </borders>
  <cellStyleXfs count="1">
    <xf numFmtId="0" fontId="0" fillId="0" borderId="0"/>
  </cellStyleXfs>
  <cellXfs count="8">
    <xf numFmtId="0" fontId="0" fillId="0" borderId="0" xfId="0"/>
    <xf numFmtId="0" fontId="1" fillId="2" borderId="1" xfId="0" applyFont="1" applyFill="1" applyBorder="1"/>
    <xf numFmtId="0" fontId="2" fillId="2" borderId="1" xfId="0" applyFont="1" applyFill="1" applyBorder="1"/>
    <xf numFmtId="0" fontId="3" fillId="0" borderId="0" xfId="0" applyFont="1"/>
    <xf numFmtId="0" fontId="1" fillId="2" borderId="0" xfId="0" applyFont="1" applyFill="1"/>
    <xf numFmtId="0" fontId="1" fillId="2" borderId="2" xfId="0" applyFont="1" applyFill="1" applyBorder="1"/>
    <xf numFmtId="0" fontId="4" fillId="0" borderId="1" xfId="0" applyFont="1" applyBorder="1"/>
    <xf numFmtId="0" fontId="4" fillId="0" borderId="3"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cdn.elifesciences.org/articles/77875/elife-77875-supp3-v1.xlsx" TargetMode="External"/><Relationship Id="rId2h" Type="http://schemas.openxmlformats.org/officeDocument/2006/relationships/hyperlink" Target="https://elifesciences.org/download/aHR0cHM6Ly9jZG4uZWxpZmVzY2llbmNlcy5vcmcvYXJ0aWNsZXMvNzc4NzUvZWxpZmUtNzc4NzUtdjEucGRmP2Nhbm9uaWNhbFVyaT1odHRwczovL2VsaWZlc2NpZW5jZXMub3JnL2FydGljbGVzLzc3ODc1/elife-77875-v1.pdf?_hash=NStjcL9fTlmy3AQDwSiM0YgMVB3UYjO8nDg0UbwN5gM%3D" TargetMode="External"/><Relationship Id="rId3h" Type="http://schemas.openxmlformats.org/officeDocument/2006/relationships/hyperlink" Target="https://static-content.springer.com/esm/art%3A10.1038%2Fs41467-020-14356-3/MediaObjects/41467_2020_14356_MOESM6_ESM.xlsx" TargetMode="External"/><Relationship Id="rId4h" Type="http://schemas.openxmlformats.org/officeDocument/2006/relationships/hyperlink" Target="https://ndownloader.figstatic.com/files/7428211" TargetMode="External"/><Relationship Id="rId5h" Type="http://schemas.openxmlformats.org/officeDocument/2006/relationships/hyperlink" Target="https://www.researchgate.net/publication/299027052_Developmental_constraints_on_or_developmental_structure_in_brain_evolution" TargetMode="External"/><Relationship Id="rId6h" Type="http://schemas.openxmlformats.org/officeDocument/2006/relationships/hyperlink" Target="https://www.pnas.org/doi/suppl/10.1073/pnas.0905777106/suppl_file/0905777106si.pdf" TargetMode="External"/><Relationship Id="rId7h" Type="http://schemas.openxmlformats.org/officeDocument/2006/relationships/hyperlink" Target="https://www.pnas.org/doi/suppl/10.1073/pnas.0905777106/suppl_file/0905777106si.pdf" TargetMode="External"/><Relationship Id="rId8h" Type="http://schemas.openxmlformats.org/officeDocument/2006/relationships/hyperlink" Target="https://karger.com/bbe/article-pdf/86/3-4/145/2264694/000437413.pdf" TargetMode="External"/><Relationship Id="rId9h" Type="http://schemas.openxmlformats.org/officeDocument/2006/relationships/hyperlink" Target="https://karger.com/bbe/article-pdf/86/3-4/145/2264694/000437413.pdf" TargetMode="External"/><Relationship Id="rId10h" Type="http://schemas.openxmlformats.org/officeDocument/2006/relationships/hyperlink" Target="https://karger.com/bbe/article-pdf/86/3-4/145/2264694/000437413.pdf" TargetMode="External"/><Relationship Id="rId11h" Type="http://schemas.openxmlformats.org/officeDocument/2006/relationships/hyperlink" Target="https://karger.com/bbe/article-pdf/86/3-4/145/2264694/000437413.pdf" TargetMode="External"/><Relationship Id="rId12h" Type="http://schemas.openxmlformats.org/officeDocument/2006/relationships/hyperlink" Target="https://karger.com/bbe/article-pdf/86/3-4/145/2264694/000437413.pdf" TargetMode="External"/><Relationship Id="rId13h" Type="http://schemas.openxmlformats.org/officeDocument/2006/relationships/hyperlink" Target="https://karger.com/bbe/article-pdf/86/3-4/145/2264694/000437413.pdf" TargetMode="External"/><Relationship Id="rId14h" Type="http://schemas.openxmlformats.org/officeDocument/2006/relationships/hyperlink" Target="https://karger.com/bbe/article-pdf/86/3-4/145/2264694/000437413.pdf" TargetMode="External"/><Relationship Id="rId15h" Type="http://schemas.openxmlformats.org/officeDocument/2006/relationships/hyperlink" Target="https://doi.org/10.3389/fnana.2017.00118"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111" zoomScaleNormal="111" workbookViewId="0">
      <pane xSplit="2" ySplit="1" topLeftCell="K2" activePane="bottomRight" state="frozen"/>
      <selection pane="topRight" activeCell="N1" sqref="N1"/>
      <selection pane="bottomLeft" activeCell="A2" sqref="A2"/>
      <selection pane="bottomRight" activeCell="N154" sqref="N154"/>
    </sheetView>
  </sheetViews>
  <sheetFormatPr defaultRowHeight="15.0" baseColWidth="10"/>
  <cols>
    <col min="1" max="1" width="67.1640625" hidden="0" customWidth="1"/>
    <col min="2" max="2" width="1.6640625" hidden="0" customWidth="1"/>
    <col min="3" max="3" width="42.6640625" hidden="0" customWidth="1"/>
    <col min="4" max="4" width="8.5" hidden="0" customWidth="1"/>
    <col min="5" max="5" width="1.5" hidden="0" customWidth="1"/>
    <col min="6" max="6" width="26" hidden="0" customWidth="1"/>
    <col min="7" max="7" width="10.33203125" hidden="0" customWidth="1"/>
    <col min="8" max="8" width="10.33203125" hidden="0" customWidth="1"/>
    <col min="9" max="9" width="6.1640625" hidden="0" customWidth="1"/>
    <col min="10" max="10" width="37.1640625" hidden="0" customWidth="1"/>
    <col min="11" max="11" width="46.1640625" hidden="0" customWidth="1"/>
    <col min="12" max="12" width="41.33203125" hidden="0" customWidth="1"/>
    <col min="13" max="13" width="48" hidden="0" customWidth="1"/>
    <col min="14" max="14" width="7.33203125" hidden="0" customWidth="1"/>
    <col min="15" max="15" width="7.33203125" hidden="0" customWidth="1"/>
    <col min="16" max="16" width="7.33203125" hidden="0" customWidth="1"/>
    <col min="17" max="17" width="7.33203125" hidden="0" customWidth="1"/>
    <col min="18" max="18" width="16.6640625" hidden="0" customWidth="1"/>
    <col min="19" max="19" width="7.33203125" hidden="0" customWidth="1"/>
    <col min="20" max="20" width="7.33203125" hidden="0" customWidth="1"/>
    <col min="21" max="21" width="7.33203125" hidden="0" customWidth="1"/>
    <col min="22" max="22" width="7.33203125" hidden="0" customWidth="1"/>
    <col min="23" max="23" width="7.33203125" hidden="0" customWidth="1"/>
    <col min="24" max="24" width="7.33203125" hidden="0" customWidth="1"/>
    <col min="25" max="25" width="7.33203125" hidden="0" customWidth="1"/>
    <col min="26" max="26" width="7.33203125" hidden="0" customWidth="1"/>
    <col min="28" max="28" width="7.33203125" hidden="0" customWidth="1"/>
    <col min="29" max="29" width="7.33203125" hidden="0" customWidth="1"/>
    <col min="30" max="30" width="7.33203125" hidden="0" customWidth="1"/>
    <col min="31" max="31" width="7.33203125" hidden="0" customWidth="1"/>
    <col min="32" max="32" width="7.33203125" hidden="0" customWidth="1"/>
    <col min="33" max="33" width="7.33203125" hidden="0" customWidth="1"/>
    <col min="34" max="34" width="7.33203125" hidden="0" customWidth="1"/>
    <col min="35" max="35" width="7.33203125" hidden="0" customWidth="1"/>
    <col min="36" max="36" width="7.33203125" hidden="0" customWidth="1"/>
    <col min="37" max="37" width="7.33203125" hidden="0" customWidth="1"/>
    <col min="38" max="38" width="7.33203125" hidden="0" customWidth="1"/>
    <col min="39" max="39" width="7.33203125" hidden="0" customWidth="1"/>
    <col min="40" max="40" width="10.83203125" hidden="0" customWidth="1"/>
  </cols>
  <sheetData>
    <row r="1" ht="15.75" customHeight="1">
      <c r="A1" s="2" t="s">
        <v>0</v>
      </c>
      <c r="B1" s="2" t="s">
        <v>1</v>
      </c>
      <c r="C1" s="2" t="s">
        <v>2</v>
      </c>
      <c r="D1" s="2" t="s">
        <v>3</v>
      </c>
      <c r="E1" s="3" t="s">
        <v>4</v>
      </c>
      <c r="F1" s="3" t="s">
        <v>5</v>
      </c>
      <c r="G1" s="3" t="s">
        <v>6</v>
      </c>
      <c r="H1" s="3" t="s">
        <v>7</v>
      </c>
      <c r="I1" s="3" t="s">
        <v>8</v>
      </c>
      <c r="J1" s="3" t="s">
        <v>9</v>
      </c>
      <c r="K1" s="3" t="s">
        <v>10</v>
      </c>
      <c r="L1" s="3" t="s">
        <v>11</v>
      </c>
      <c r="M1" s="3"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ht="15.75" customHeight="1">
      <c r="A2" s="1" t="s">
        <v>39</v>
      </c>
      <c r="D2" s="1" t="s">
        <v>40</v>
      </c>
      <c r="E2" t="str">
        <f t="shared" ref="E2:E65" si="0">RIGHT(A2,1)</f>
        <v>5</v>
      </c>
      <c r="F2" t="str">
        <f t="shared" ref="F2:F65" si="1">G2 &amp; IF(H2&lt;&gt;"", "_" &amp; H2, "_") &amp; IF(I2&lt;&gt;"", "_" &amp; I2, "_") &amp; IF(B2&lt;&gt;"", "_" &amp; B2, "")</f>
        <v>Andelin_etal_2019</v>
      </c>
      <c r="G2" t="str">
        <f t="shared" ref="G2:G65" si="2">SUBSTITUTE(SUBSTITUTE(_xlfn.TEXTBEFORE(A2,","), "-", ""), " ", "")</f>
        <v>Andelin</v>
      </c>
      <c r="H2" t="str">
        <f t="shared" ref="H2:H65"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t="str">
        <f t="shared" ref="I2:I65" si="4">_xlfn.TEXTBEFORE(_xlfn.TEXTAFTER(A2, "("), ")")</f>
        <v>2019</v>
      </c>
      <c r="J2" t="str">
        <f t="shared" ref="J2:J33" si="5">_xlfn.LET(
_xlpm.doi,IF(C2&lt;&gt;"",C2,_xlfn.TEXTAFTER(A2,"https://doi.org/")),
SUBSTITUTE(
SUBSTITUTE(
SUBSTITUTE(
SUBSTITUTE(
_xlpm.doi,
"/","%2F"),
":","%3A"),
"&lt;","%3C"),
"&gt;","%3E")
)</f>
        <v>10.1093%2Fcercor%2Fbhy315</v>
      </c>
      <c r="K2" t="str">
        <f t="shared" ref="K2:K42" si="6">TRIM(_xlfn.TEXTJOIN("_",FALSE(),F2,(SUBSTITUTE(SUBSTITUTE(D2," ",""), "_", ""))))</f>
        <v>Andelin_etal_2019_Table4</v>
      </c>
      <c r="L2" t="str">
        <f t="shared" ref="L2:L65" si="7">J2 &amp; "_" &amp; SUBSTITUTE(SUBSTITUTE(SUBSTITUTE(D2,CHAR(160),"")," ",""),"_","")</f>
        <v>10.1093%2Fcercor%2Fbhy315_Table4</v>
      </c>
      <c r="M2" t="str">
        <f t="array" ref="M2">IFERROR(INDEX(FileList!$A$1:$A$100,MATCH(TRUE(),EXACT(L2,_xlfn.TEXTBEFORE(FileList!$A$1:$A$100,".tsv")),0)),"notfound")</f>
        <v>10.1093%2Fcercor%2Fbhy315_Table4.tsv</v>
      </c>
      <c r="P2" s="1" t="s">
        <v>41</v>
      </c>
      <c r="V2" s="1" t="s">
        <v>42</v>
      </c>
      <c r="AJ2" s="1" t="s">
        <v>43</v>
      </c>
      <c r="AL2" s="1" t="s">
        <v>43</v>
      </c>
      <c r="AM2" s="1" t="s">
        <v>43</v>
      </c>
    </row>
    <row r="3" ht="15.75" customHeight="1">
      <c r="A3" s="1" t="s">
        <v>44</v>
      </c>
      <c r="D3" s="1" t="s">
        <v>45</v>
      </c>
      <c r="E3" t="str">
        <f t="shared" si="0"/>
        <v>3</v>
      </c>
      <c r="F3" t="str">
        <f t="shared" si="1"/>
        <v>Ashwell__2020</v>
      </c>
      <c r="G3" t="str">
        <f t="shared" si="2"/>
        <v>Ashwell</v>
      </c>
      <c r="H3" t="str">
        <f t="shared" si="3"/>
      </c>
      <c r="I3" t="str">
        <f t="shared" si="4"/>
        <v>2020</v>
      </c>
      <c r="J3" t="str">
        <f t="shared" si="5"/>
        <v>10.1016%2Fj.zool.2020.125753</v>
      </c>
      <c r="K3" t="str">
        <f t="shared" si="6"/>
        <v>Ashwell__2020_SupplementaryTable</v>
      </c>
      <c r="L3" t="str">
        <f t="shared" si="7"/>
        <v>10.1016%2Fj.zool.2020.125753_SupplementaryTable</v>
      </c>
      <c r="M3" t="str">
        <f t="array" ref="M3">IFERROR(INDEX(FileList!$A$1:$A$100,MATCH(TRUE(),EXACT(L3,_xlfn.TEXTBEFORE(FileList!$A$1:$A$100,".tsv")),0)),"notfound")</f>
        <v>10.1016%2Fj.zool.2020.125753_SupplementaryTable.tsv</v>
      </c>
      <c r="N3" s="1" t="s">
        <v>46</v>
      </c>
      <c r="P3" s="1" t="s">
        <v>41</v>
      </c>
      <c r="Y3" s="1" t="s">
        <v>47</v>
      </c>
    </row>
    <row r="4" ht="15.75" customHeight="1">
      <c r="A4" s="1" t="s">
        <v>48</v>
      </c>
      <c r="D4" s="1" t="s">
        <v>49</v>
      </c>
      <c r="E4" t="str">
        <f t="shared" si="0"/>
        <v>9</v>
      </c>
      <c r="F4" t="str">
        <f t="shared" si="1"/>
        <v>AvelinodeSouza_etal_2025</v>
      </c>
      <c r="G4" t="str">
        <f t="shared" si="2"/>
        <v>AvelinodeSouza</v>
      </c>
      <c r="H4" t="str">
        <f t="shared" si="3"/>
        <v>etal</v>
      </c>
      <c r="I4" t="str">
        <f t="shared" si="4"/>
        <v>2025</v>
      </c>
      <c r="J4" t="str">
        <f t="shared" si="5"/>
        <v>10.1002%2Fcne.70089</v>
      </c>
      <c r="K4" t="str">
        <f t="shared" si="6"/>
        <v>AvelinodeSouza_etal_2025_TABLE1</v>
      </c>
      <c r="L4" t="str">
        <f t="shared" si="7"/>
        <v>10.1002%2Fcne.70089_TABLE1</v>
      </c>
      <c r="M4" t="str">
        <f t="array" ref="M4">IFERROR(INDEX(FileList!$A$1:$A$100,MATCH(TRUE(),EXACT(L4,_xlfn.TEXTBEFORE(FileList!$A$1:$A$100,".tsv")),0)),"notfound")</f>
        <v>10.1002%2Fcne.70089_TABLE1.tsv</v>
      </c>
      <c r="N4" s="1" t="s">
        <v>50</v>
      </c>
      <c r="P4" s="1" t="s">
        <v>41</v>
      </c>
      <c r="Q4" s="1" t="s">
        <v>51</v>
      </c>
      <c r="R4" s="1" t="s">
        <v>52</v>
      </c>
      <c r="S4" s="1" t="s">
        <v>53</v>
      </c>
      <c r="T4" s="1" t="s">
        <v>54</v>
      </c>
      <c r="U4" s="1" t="s">
        <v>55</v>
      </c>
      <c r="V4" s="1" t="s">
        <v>42</v>
      </c>
      <c r="W4" s="1" t="s">
        <v>56</v>
      </c>
      <c r="X4" s="1" t="s">
        <v>57</v>
      </c>
      <c r="Y4" s="1" t="s">
        <v>58</v>
      </c>
      <c r="AG4" s="1" t="s">
        <v>59</v>
      </c>
      <c r="AH4" s="1" t="s">
        <v>60</v>
      </c>
      <c r="AI4" s="1" t="s">
        <v>61</v>
      </c>
      <c r="AJ4" s="1" t="s">
        <v>62</v>
      </c>
      <c r="AK4" s="1" t="s">
        <v>63</v>
      </c>
      <c r="AL4" s="1" t="s">
        <v>63</v>
      </c>
      <c r="AM4" s="1" t="s">
        <v>64</v>
      </c>
    </row>
    <row r="5" ht="15.75" customHeight="1">
      <c r="A5" s="1" t="s">
        <v>65</v>
      </c>
      <c r="D5" s="1" t="s">
        <v>66</v>
      </c>
      <c r="E5" t="str">
        <f t="shared" si="0"/>
        <v>7</v>
      </c>
      <c r="F5" t="str">
        <f t="shared" si="1"/>
        <v>Balzeau_etal_2012</v>
      </c>
      <c r="G5" t="str">
        <f t="shared" si="2"/>
        <v>Balzeau</v>
      </c>
      <c r="H5" t="str">
        <f t="shared" si="3"/>
        <v>etal</v>
      </c>
      <c r="I5" t="str">
        <f t="shared" si="4"/>
        <v>2012</v>
      </c>
      <c r="J5" t="str">
        <f t="shared" si="5"/>
        <v>10.1016%2Fj.jhevol.2012.03.007</v>
      </c>
      <c r="K5" t="str">
        <f t="shared" si="6"/>
        <v>Balzeau_etal_2012_Table3</v>
      </c>
      <c r="L5" t="str">
        <f t="shared" si="7"/>
        <v>10.1016%2Fj.jhevol.2012.03.007_Table3</v>
      </c>
      <c r="M5" t="str">
        <f t="array" ref="M5">IFERROR(INDEX(FileList!$A$1:$A$100,MATCH(TRUE(),EXACT(L5,_xlfn.TEXTBEFORE(FileList!$A$1:$A$100,".tsv")),0)),"notfound")</f>
        <v>10.1016%2Fj.jhevol.2012.03.007_Table3.tsv</v>
      </c>
      <c r="N5" s="1" t="s">
        <v>67</v>
      </c>
    </row>
    <row r="6" ht="15.75" customHeight="1">
      <c r="A6" s="1" t="s">
        <v>65</v>
      </c>
      <c r="D6" s="1" t="s">
        <v>68</v>
      </c>
      <c r="E6" t="str">
        <f t="shared" si="0"/>
        <v>7</v>
      </c>
      <c r="F6" t="str">
        <f t="shared" si="1"/>
        <v>Balzeau_etal_2012</v>
      </c>
      <c r="G6" t="str">
        <f t="shared" si="2"/>
        <v>Balzeau</v>
      </c>
      <c r="H6" t="str">
        <f t="shared" si="3"/>
        <v>etal</v>
      </c>
      <c r="I6" t="str">
        <f t="shared" si="4"/>
        <v>2012</v>
      </c>
      <c r="J6" t="str">
        <f t="shared" si="5"/>
        <v>10.1016%2Fj.jhevol.2012.03.007</v>
      </c>
      <c r="K6" t="str">
        <f t="shared" si="6"/>
        <v>Balzeau_etal_2012_Table5</v>
      </c>
      <c r="L6" t="str">
        <f t="shared" si="7"/>
        <v>10.1016%2Fj.jhevol.2012.03.007_Table5</v>
      </c>
      <c r="M6" t="str">
        <f t="array" ref="M6">IFERROR(INDEX(FileList!$A$1:$A$100,MATCH(TRUE(),EXACT(L6,_xlfn.TEXTBEFORE(FileList!$A$1:$A$100,".tsv")),0)),"notfound")</f>
        <v>10.1016%2Fj.jhevol.2012.03.007_Table5.tsv</v>
      </c>
      <c r="N6" s="1" t="s">
        <v>69</v>
      </c>
    </row>
    <row r="7" ht="15.75" customHeight="1">
      <c r="A7" s="1" t="s">
        <v>70</v>
      </c>
      <c r="D7" s="1" t="s">
        <v>71</v>
      </c>
      <c r="E7" t="str">
        <f t="shared" si="0"/>
        <v>1</v>
      </c>
      <c r="F7" t="str">
        <f t="shared" si="1"/>
        <v>BarbeitoAndres_etal_2019</v>
      </c>
      <c r="G7" t="str">
        <f t="shared" si="2"/>
        <v>BarbeitoAndres</v>
      </c>
      <c r="H7" t="str">
        <f t="shared" si="3"/>
        <v>etal</v>
      </c>
      <c r="I7" t="str">
        <f t="shared" si="4"/>
        <v>2019</v>
      </c>
      <c r="J7" t="str">
        <f t="shared" si="5"/>
        <v>10.1242%2Fjeb.204651</v>
      </c>
      <c r="K7" t="str">
        <f t="shared" si="6"/>
        <v>BarbeitoAndres_etal_2019_celldensity</v>
      </c>
      <c r="L7" t="str">
        <f t="shared" si="7"/>
        <v>10.1242%2Fjeb.204651_celldensity</v>
      </c>
      <c r="M7" t="str">
        <f t="array" ref="M7">IFERROR(INDEX(FileList!$A$1:$A$100,MATCH(TRUE(),EXACT(L7,_xlfn.TEXTBEFORE(FileList!$A$1:$A$100,".tsv")),0)),"notfound")</f>
        <v>notfound</v>
      </c>
      <c r="AG7" s="1" t="s">
        <v>59</v>
      </c>
      <c r="AJ7" s="1" t="s">
        <v>43</v>
      </c>
      <c r="AL7" s="1" t="s">
        <v>43</v>
      </c>
      <c r="AM7" s="1" t="s">
        <v>43</v>
      </c>
    </row>
    <row r="8" ht="15.75" customHeight="1">
      <c r="A8" s="1" t="s">
        <v>70</v>
      </c>
      <c r="D8" s="1" t="s">
        <v>72</v>
      </c>
      <c r="E8" t="str">
        <f t="shared" si="0"/>
        <v>1</v>
      </c>
      <c r="F8" t="str">
        <f t="shared" si="1"/>
        <v>BarbeitoAndres_etal_2019</v>
      </c>
      <c r="G8" t="str">
        <f t="shared" si="2"/>
        <v>BarbeitoAndres</v>
      </c>
      <c r="H8" t="str">
        <f t="shared" si="3"/>
        <v>etal</v>
      </c>
      <c r="I8" t="str">
        <f t="shared" si="4"/>
        <v>2019</v>
      </c>
      <c r="J8" t="str">
        <f t="shared" si="5"/>
        <v>10.1242%2Fjeb.204651</v>
      </c>
      <c r="K8" t="str">
        <f t="shared" si="6"/>
        <v>BarbeitoAndres_etal_2019_cellnumber</v>
      </c>
      <c r="L8" t="str">
        <f t="shared" si="7"/>
        <v>10.1242%2Fjeb.204651_cellnumber</v>
      </c>
      <c r="M8" t="str">
        <f t="array" ref="M8">IFERROR(INDEX(FileList!$A$1:$A$100,MATCH(TRUE(),EXACT(L8,_xlfn.TEXTBEFORE(FileList!$A$1:$A$100,".tsv")),0)),"notfound")</f>
        <v>notfound</v>
      </c>
      <c r="AG8" s="1" t="s">
        <v>59</v>
      </c>
      <c r="AJ8" s="1" t="s">
        <v>43</v>
      </c>
      <c r="AL8" s="1" t="s">
        <v>43</v>
      </c>
      <c r="AM8" s="1" t="s">
        <v>43</v>
      </c>
    </row>
    <row r="9" ht="15.75" customHeight="1">
      <c r="A9" s="1" t="s">
        <v>70</v>
      </c>
      <c r="D9" s="1" t="s">
        <v>73</v>
      </c>
      <c r="E9" t="str">
        <f t="shared" si="0"/>
        <v>1</v>
      </c>
      <c r="F9" t="str">
        <f t="shared" si="1"/>
        <v>BarbeitoAndres_etal_2019</v>
      </c>
      <c r="G9" t="str">
        <f t="shared" si="2"/>
        <v>BarbeitoAndres</v>
      </c>
      <c r="H9" t="str">
        <f t="shared" si="3"/>
        <v>etal</v>
      </c>
      <c r="I9" t="str">
        <f t="shared" si="4"/>
        <v>2019</v>
      </c>
      <c r="J9" t="str">
        <f t="shared" si="5"/>
        <v>10.1242%2Fjeb.204651</v>
      </c>
      <c r="K9" t="str">
        <f t="shared" si="6"/>
        <v>BarbeitoAndres_etal_2019_volumes</v>
      </c>
      <c r="L9" t="str">
        <f t="shared" si="7"/>
        <v>10.1242%2Fjeb.204651_volumes</v>
      </c>
      <c r="M9" t="str">
        <f t="array" ref="M9">IFERROR(INDEX(FileList!$A$1:$A$100,MATCH(TRUE(),EXACT(L9,_xlfn.TEXTBEFORE(FileList!$A$1:$A$100,".tsv")),0)),"notfound")</f>
        <v>notfound</v>
      </c>
      <c r="AG9" s="1" t="s">
        <v>59</v>
      </c>
      <c r="AJ9" s="1" t="s">
        <v>43</v>
      </c>
      <c r="AL9" s="1" t="s">
        <v>43</v>
      </c>
      <c r="AM9" s="1" t="s">
        <v>43</v>
      </c>
    </row>
    <row r="10" ht="15.75" customHeight="1">
      <c r="A10" s="1" t="s">
        <v>74</v>
      </c>
      <c r="D10" s="1" t="s">
        <v>75</v>
      </c>
      <c r="E10" t="str">
        <f t="shared" si="0"/>
        <v>7</v>
      </c>
      <c r="F10" t="str">
        <f t="shared" si="1"/>
        <v>Barger_etal_2014</v>
      </c>
      <c r="G10" t="str">
        <f t="shared" si="2"/>
        <v>Barger</v>
      </c>
      <c r="H10" t="str">
        <f t="shared" si="3"/>
        <v>etal</v>
      </c>
      <c r="I10" t="str">
        <f t="shared" si="4"/>
        <v>2014</v>
      </c>
      <c r="J10" t="str">
        <f t="shared" si="5"/>
        <v>10.3389%2Ffnhum.2014.00277</v>
      </c>
      <c r="K10" t="str">
        <f t="shared" si="6"/>
        <v>Barger_etal_2014_Table1</v>
      </c>
      <c r="L10" t="str">
        <f t="shared" si="7"/>
        <v>10.3389%2Ffnhum.2014.00277_Table1</v>
      </c>
      <c r="M10" t="str">
        <f t="array" ref="M10">IFERROR(INDEX(FileList!$A$1:$A$100,MATCH(TRUE(),EXACT(L10,_xlfn.TEXTBEFORE(FileList!$A$1:$A$100,".tsv")),0)),"notfound")</f>
        <v>notfound</v>
      </c>
      <c r="N10" s="1" t="s">
        <v>76</v>
      </c>
      <c r="Z10" s="1" t="s">
        <v>77</v>
      </c>
      <c r="AF10" s="1" t="s">
        <v>78</v>
      </c>
      <c r="AG10" s="1" t="s">
        <v>77</v>
      </c>
    </row>
    <row r="11" ht="15.75" customHeight="1">
      <c r="A11" s="1" t="s">
        <v>79</v>
      </c>
      <c r="D11" s="1" t="s">
        <v>49</v>
      </c>
      <c r="E11" t="str">
        <f t="shared" si="0"/>
        <v>4</v>
      </c>
      <c r="F11" t="str">
        <f t="shared" si="1"/>
        <v>Barger_etal_2007</v>
      </c>
      <c r="G11" t="str">
        <f t="shared" si="2"/>
        <v>Barger</v>
      </c>
      <c r="H11" t="str">
        <f t="shared" si="3"/>
        <v>etal</v>
      </c>
      <c r="I11" t="str">
        <f t="shared" si="4"/>
        <v>2007</v>
      </c>
      <c r="J11" t="str">
        <f t="shared" si="5"/>
        <v>10.1002%2Fajpa.20684</v>
      </c>
      <c r="K11" t="str">
        <f t="shared" si="6"/>
        <v>Barger_etal_2007_TABLE1</v>
      </c>
      <c r="L11" t="str">
        <f t="shared" si="7"/>
        <v>10.1002%2Fajpa.20684_TABLE1</v>
      </c>
      <c r="M11" t="str">
        <f t="array" ref="M11">IFERROR(INDEX(FileList!$A$1:$A$100,MATCH(TRUE(),EXACT(L11,_xlfn.TEXTBEFORE(FileList!$A$1:$A$100,".tsv")),0)),"notfound")</f>
        <v>10.1002%2Fajpa.20684_TABLE1.tsv</v>
      </c>
      <c r="N11" s="1" t="s">
        <v>80</v>
      </c>
      <c r="P11" s="1" t="s">
        <v>41</v>
      </c>
      <c r="Z11" s="1" t="s">
        <v>77</v>
      </c>
      <c r="AF11" s="1" t="s">
        <v>81</v>
      </c>
      <c r="AG11" s="1" t="s">
        <v>77</v>
      </c>
      <c r="AI11" s="1" t="s">
        <v>82</v>
      </c>
      <c r="AJ11" s="1" t="s">
        <v>83</v>
      </c>
      <c r="AL11" s="1" t="s">
        <v>63</v>
      </c>
      <c r="AM11" s="1" t="s">
        <v>84</v>
      </c>
    </row>
    <row r="12" ht="15.75" customHeight="1">
      <c r="A12" s="1" t="s">
        <v>85</v>
      </c>
      <c r="D12" s="1" t="s">
        <v>86</v>
      </c>
      <c r="E12" t="str">
        <f t="shared" si="0"/>
        <v>6</v>
      </c>
      <c r="F12" t="str">
        <f t="shared" si="1"/>
        <v>Barks_etal_2014</v>
      </c>
      <c r="G12" t="str">
        <f t="shared" si="2"/>
        <v>Barks</v>
      </c>
      <c r="H12" t="str">
        <f t="shared" si="3"/>
        <v>etal</v>
      </c>
      <c r="I12" t="str">
        <f t="shared" si="4"/>
        <v>2014</v>
      </c>
      <c r="J12" t="str">
        <f t="shared" si="5"/>
        <v>10.1002%2Fajpa.22646</v>
      </c>
      <c r="K12" t="str">
        <f t="shared" si="6"/>
        <v>Barks_etal_2014_Fig4A</v>
      </c>
      <c r="L12" t="str">
        <f t="shared" si="7"/>
        <v>10.1002%2Fajpa.22646_Fig4A</v>
      </c>
      <c r="M12" t="str">
        <f t="array" ref="M12">IFERROR(INDEX(FileList!$A$1:$A$100,MATCH(TRUE(),EXACT(L12,_xlfn.TEXTBEFORE(FileList!$A$1:$A$100,".tsv")),0)),"notfound")</f>
        <v>10.1002%2Fajpa.22646_Fig4A.tsv</v>
      </c>
      <c r="O12" s="1" t="s">
        <v>87</v>
      </c>
      <c r="P12" s="1" t="s">
        <v>41</v>
      </c>
      <c r="Y12" s="1" t="s">
        <v>88</v>
      </c>
    </row>
    <row r="13" ht="15.75" customHeight="1">
      <c r="A13" s="1" t="s">
        <v>85</v>
      </c>
      <c r="D13" s="1" t="s">
        <v>89</v>
      </c>
      <c r="E13" t="str">
        <f t="shared" si="0"/>
        <v>6</v>
      </c>
      <c r="F13" t="str">
        <f t="shared" si="1"/>
        <v>Barks_etal_2014</v>
      </c>
      <c r="G13" t="str">
        <f t="shared" si="2"/>
        <v>Barks</v>
      </c>
      <c r="H13" t="str">
        <f t="shared" si="3"/>
        <v>etal</v>
      </c>
      <c r="I13" t="str">
        <f t="shared" si="4"/>
        <v>2014</v>
      </c>
      <c r="J13" t="str">
        <f t="shared" si="5"/>
        <v>10.1002%2Fajpa.22646</v>
      </c>
      <c r="K13" t="str">
        <f t="shared" si="6"/>
        <v>Barks_etal_2014_Fig5A</v>
      </c>
      <c r="L13" t="str">
        <f t="shared" si="7"/>
        <v>10.1002%2Fajpa.22646_Fig5A</v>
      </c>
      <c r="M13" t="str">
        <f t="array" ref="M13">IFERROR(INDEX(FileList!$A$1:$A$100,MATCH(TRUE(),EXACT(L13,_xlfn.TEXTBEFORE(FileList!$A$1:$A$100,".tsv")),0)),"notfound")</f>
        <v>10.1002%2Fajpa.22646_Fig5A.tsv</v>
      </c>
      <c r="O13" s="1" t="s">
        <v>90</v>
      </c>
      <c r="P13" s="1" t="s">
        <v>41</v>
      </c>
    </row>
    <row r="14" ht="15.75" customHeight="1">
      <c r="A14" s="1" t="s">
        <v>85</v>
      </c>
      <c r="D14" s="1" t="s">
        <v>49</v>
      </c>
      <c r="E14" t="str">
        <f t="shared" si="0"/>
        <v>6</v>
      </c>
      <c r="F14" t="str">
        <f t="shared" si="1"/>
        <v>Barks_etal_2014</v>
      </c>
      <c r="G14" t="str">
        <f t="shared" si="2"/>
        <v>Barks</v>
      </c>
      <c r="H14" t="str">
        <f t="shared" si="3"/>
        <v>etal</v>
      </c>
      <c r="I14" t="str">
        <f t="shared" si="4"/>
        <v>2014</v>
      </c>
      <c r="J14" t="str">
        <f t="shared" si="5"/>
        <v>10.1002%2Fajpa.22646</v>
      </c>
      <c r="K14" t="str">
        <f t="shared" si="6"/>
        <v>Barks_etal_2014_TABLE1</v>
      </c>
      <c r="L14" t="str">
        <f t="shared" si="7"/>
        <v>10.1002%2Fajpa.22646_TABLE1</v>
      </c>
      <c r="M14" t="str">
        <f t="array" ref="M14">IFERROR(INDEX(FileList!$A$1:$A$100,MATCH(TRUE(),EXACT(L14,_xlfn.TEXTBEFORE(FileList!$A$1:$A$100,".tsv")),0)),"notfound")</f>
        <v>10.1002%2Fajpa.22646_TABLE1.tsv</v>
      </c>
      <c r="N14" s="1" t="s">
        <v>91</v>
      </c>
      <c r="P14" s="1" t="s">
        <v>41</v>
      </c>
      <c r="Y14" s="1" t="s">
        <v>88</v>
      </c>
    </row>
    <row r="15" ht="15.75" customHeight="1">
      <c r="A15" s="1" t="s">
        <v>85</v>
      </c>
      <c r="D15" s="1" t="s">
        <v>92</v>
      </c>
      <c r="E15" t="str">
        <f t="shared" si="0"/>
        <v>6</v>
      </c>
      <c r="F15" t="str">
        <f t="shared" si="1"/>
        <v>Barks_etal_2014</v>
      </c>
      <c r="G15" t="str">
        <f t="shared" si="2"/>
        <v>Barks</v>
      </c>
      <c r="H15" t="str">
        <f t="shared" si="3"/>
        <v>etal</v>
      </c>
      <c r="I15" t="str">
        <f t="shared" si="4"/>
        <v>2014</v>
      </c>
      <c r="J15" t="str">
        <f t="shared" si="5"/>
        <v>10.1002%2Fajpa.22646</v>
      </c>
      <c r="K15" t="str">
        <f t="shared" si="6"/>
        <v>Barks_etal_2014_TABLE2</v>
      </c>
      <c r="L15" t="str">
        <f t="shared" si="7"/>
        <v>10.1002%2Fajpa.22646_TABLE2</v>
      </c>
      <c r="M15" t="str">
        <f t="array" ref="M15">IFERROR(INDEX(FileList!$A$1:$A$100,MATCH(TRUE(),EXACT(L15,_xlfn.TEXTBEFORE(FileList!$A$1:$A$100,".tsv")),0)),"notfound")</f>
        <v>10.1002%2Fajpa.22646_TABLE2.tsv</v>
      </c>
      <c r="N15" s="1" t="s">
        <v>93</v>
      </c>
      <c r="P15" s="1" t="s">
        <v>41</v>
      </c>
    </row>
    <row r="16" ht="15.75" customHeight="1">
      <c r="A16" s="1" t="s">
        <v>85</v>
      </c>
      <c r="D16" s="1" t="s">
        <v>94</v>
      </c>
      <c r="E16" t="str">
        <f t="shared" si="0"/>
        <v>6</v>
      </c>
      <c r="F16" t="str">
        <f t="shared" si="1"/>
        <v>Barks_etal_2014</v>
      </c>
      <c r="G16" t="str">
        <f t="shared" si="2"/>
        <v>Barks</v>
      </c>
      <c r="H16" t="str">
        <f t="shared" si="3"/>
        <v>etal</v>
      </c>
      <c r="I16" t="str">
        <f t="shared" si="4"/>
        <v>2014</v>
      </c>
      <c r="J16" t="str">
        <f t="shared" si="5"/>
        <v>10.1002%2Fajpa.22646</v>
      </c>
      <c r="K16" t="str">
        <f t="shared" si="6"/>
        <v>Barks_etal_2014_unpublishedviaDeCasien</v>
      </c>
      <c r="L16" t="str">
        <f t="shared" si="7"/>
        <v>10.1002%2Fajpa.22646_unpublishedviaDeCasien</v>
      </c>
      <c r="M16" t="str">
        <f t="array" ref="M16">IFERROR(INDEX(FileList!$A$1:$A$100,MATCH(TRUE(),EXACT(L16,_xlfn.TEXTBEFORE(FileList!$A$1:$A$100,".tsv")),0)),"notfound")</f>
        <v>10.1002%2Fajpa.22646_unpublishedviaDeCasien.tsv</v>
      </c>
      <c r="O16" s="1" t="s">
        <v>95</v>
      </c>
    </row>
    <row r="17" ht="15.75" customHeight="1">
      <c r="A17" s="1" t="s">
        <v>96</v>
      </c>
      <c r="C17" s="1" t="s">
        <v>97</v>
      </c>
      <c r="D17" s="1" t="s">
        <v>75</v>
      </c>
      <c r="E17" t="str">
        <f t="shared" si="0"/>
        <v>9</v>
      </c>
      <c r="F17" t="str">
        <f t="shared" si="1"/>
        <v>Baron_etal_1988</v>
      </c>
      <c r="G17" t="str">
        <f t="shared" si="2"/>
        <v>Baron</v>
      </c>
      <c r="H17" t="str">
        <f t="shared" si="3"/>
        <v>etal</v>
      </c>
      <c r="I17" t="str">
        <f t="shared" si="4"/>
        <v>1988</v>
      </c>
      <c r="J17" t="str">
        <f t="shared" si="5"/>
        <v>PMID%3A3216099</v>
      </c>
      <c r="K17" t="str">
        <f t="shared" si="6"/>
        <v>Baron_etal_1988_Table1</v>
      </c>
      <c r="L17" t="str">
        <f t="shared" si="7"/>
        <v>PMID%3A3216099_Table1</v>
      </c>
      <c r="M17" t="str">
        <f t="array" ref="M17">IFERROR(INDEX(FileList!$A$1:$A$100,MATCH(TRUE(),EXACT(L17,_xlfn.TEXTBEFORE(FileList!$A$1:$A$100,".tsv")),0)),"notfound")</f>
        <v>notfound</v>
      </c>
      <c r="N17" s="1" t="s">
        <v>98</v>
      </c>
      <c r="P17" s="1" t="s">
        <v>41</v>
      </c>
      <c r="Y17" s="1" t="s">
        <v>99</v>
      </c>
      <c r="Z17" s="1" t="s">
        <v>99</v>
      </c>
      <c r="AF17" s="1" t="s">
        <v>78</v>
      </c>
      <c r="AG17" s="1" t="s">
        <v>99</v>
      </c>
      <c r="AI17" s="1" t="s">
        <v>100</v>
      </c>
      <c r="AJ17" s="1" t="s">
        <v>101</v>
      </c>
      <c r="AL17" s="1" t="s">
        <v>63</v>
      </c>
      <c r="AM17" s="1" t="s">
        <v>84</v>
      </c>
    </row>
    <row r="18" ht="16.5" customHeight="1">
      <c r="A18" s="1" t="s">
        <v>102</v>
      </c>
      <c r="C18" s="1" t="s">
        <v>103</v>
      </c>
      <c r="D18" s="1" t="s">
        <v>75</v>
      </c>
      <c r="E18" t="str">
        <f t="shared" si="0"/>
        <v>5</v>
      </c>
      <c r="F18" t="str">
        <f t="shared" si="1"/>
        <v>Baron_etal_1983</v>
      </c>
      <c r="G18" t="str">
        <f t="shared" si="2"/>
        <v>Baron</v>
      </c>
      <c r="H18" t="str">
        <f t="shared" si="3"/>
        <v>etal</v>
      </c>
      <c r="I18" t="str">
        <f t="shared" si="4"/>
        <v>1983</v>
      </c>
      <c r="J18" t="str">
        <f t="shared" si="5"/>
        <v>PMID%3A6663055</v>
      </c>
      <c r="K18" t="str">
        <f t="shared" si="6"/>
        <v>Baron_etal_1983_Table1</v>
      </c>
      <c r="L18" t="str">
        <f t="shared" si="7"/>
        <v>PMID%3A6663055_Table1</v>
      </c>
      <c r="M18" t="str">
        <f t="array" ref="M18">IFERROR(INDEX(FileList!$A$1:$A$100,MATCH(TRUE(),EXACT(L18,_xlfn.TEXTBEFORE(FileList!$A$1:$A$100,".tsv")),0)),"notfound")</f>
        <v>notfound</v>
      </c>
      <c r="P18" s="1" t="s">
        <v>41</v>
      </c>
      <c r="V18" s="1" t="s">
        <v>42</v>
      </c>
      <c r="W18" s="1" t="s">
        <v>104</v>
      </c>
      <c r="Y18" s="1" t="s">
        <v>99</v>
      </c>
      <c r="Z18" s="1" t="s">
        <v>99</v>
      </c>
      <c r="AF18" s="1" t="s">
        <v>78</v>
      </c>
      <c r="AG18" s="1" t="s">
        <v>99</v>
      </c>
      <c r="AI18" s="1" t="s">
        <v>105</v>
      </c>
      <c r="AJ18" s="1" t="s">
        <v>101</v>
      </c>
      <c r="AK18" s="1" t="s">
        <v>63</v>
      </c>
      <c r="AL18" s="1" t="s">
        <v>63</v>
      </c>
      <c r="AM18" s="1" t="s">
        <v>84</v>
      </c>
    </row>
    <row r="19" ht="16.5" customHeight="1">
      <c r="A19" s="1" t="s">
        <v>106</v>
      </c>
      <c r="C19" s="1" t="s">
        <v>107</v>
      </c>
      <c r="D19" s="1" t="s">
        <v>75</v>
      </c>
      <c r="E19" t="str">
        <f t="shared" si="0"/>
        <v>6</v>
      </c>
      <c r="F19" t="str">
        <f t="shared" si="1"/>
        <v>Baron_etal_1987</v>
      </c>
      <c r="G19" t="str">
        <f t="shared" si="2"/>
        <v>Baron</v>
      </c>
      <c r="H19" t="str">
        <f t="shared" si="3"/>
        <v>etal</v>
      </c>
      <c r="I19" t="str">
        <f t="shared" si="4"/>
        <v>1987</v>
      </c>
      <c r="J19" t="str">
        <f t="shared" si="5"/>
        <v>PMID%3A3116076</v>
      </c>
      <c r="K19" t="str">
        <f t="shared" si="6"/>
        <v>Baron_etal_1987_Table1</v>
      </c>
      <c r="L19" t="str">
        <f t="shared" si="7"/>
        <v>PMID%3A3116076_Table1</v>
      </c>
      <c r="M19" t="str">
        <f t="array" ref="M19">IFERROR(INDEX(FileList!$A$1:$A$100,MATCH(TRUE(),EXACT(L19,_xlfn.TEXTBEFORE(FileList!$A$1:$A$100,".tsv")),0)),"notfound")</f>
        <v>notfound</v>
      </c>
      <c r="P19" s="1" t="s">
        <v>41</v>
      </c>
      <c r="V19" s="1" t="s">
        <v>42</v>
      </c>
      <c r="W19" s="1" t="s">
        <v>104</v>
      </c>
      <c r="Y19" s="1" t="s">
        <v>99</v>
      </c>
      <c r="Z19" s="1" t="s">
        <v>99</v>
      </c>
      <c r="AF19" s="1" t="s">
        <v>78</v>
      </c>
      <c r="AG19" s="1" t="s">
        <v>99</v>
      </c>
      <c r="AI19" s="1" t="s">
        <v>108</v>
      </c>
      <c r="AJ19" s="1" t="s">
        <v>101</v>
      </c>
      <c r="AK19" s="1" t="s">
        <v>63</v>
      </c>
      <c r="AL19" s="1" t="s">
        <v>63</v>
      </c>
      <c r="AM19" s="1" t="s">
        <v>84</v>
      </c>
    </row>
    <row r="20" ht="15.75" customHeight="1">
      <c r="A20" s="1" t="s">
        <v>109</v>
      </c>
      <c r="C20" s="1" t="s">
        <v>110</v>
      </c>
      <c r="D20" s="1" t="s">
        <v>75</v>
      </c>
      <c r="E20" t="str">
        <f t="shared" si="0"/>
        <v>3</v>
      </c>
      <c r="F20" t="str">
        <f t="shared" si="1"/>
        <v>Baron_etal_1990</v>
      </c>
      <c r="G20" t="str">
        <f t="shared" si="2"/>
        <v>Baron</v>
      </c>
      <c r="H20" t="str">
        <f t="shared" si="3"/>
        <v>etal</v>
      </c>
      <c r="I20" t="str">
        <f t="shared" si="4"/>
        <v>1990</v>
      </c>
      <c r="J20" t="str">
        <f t="shared" si="5"/>
        <v>PMID%3A2358663</v>
      </c>
      <c r="K20" t="str">
        <f t="shared" si="6"/>
        <v>Baron_etal_1990_Table1</v>
      </c>
      <c r="L20" t="str">
        <f t="shared" si="7"/>
        <v>PMID%3A2358663_Table1</v>
      </c>
      <c r="M20" t="str">
        <f t="array" ref="M20">IFERROR(INDEX(FileList!$A$1:$A$100,MATCH(TRUE(),EXACT(L20,_xlfn.TEXTBEFORE(FileList!$A$1:$A$100,".tsv")),0)),"notfound")</f>
        <v>notfound</v>
      </c>
      <c r="N20" s="1" t="s">
        <v>111</v>
      </c>
      <c r="P20" s="1" t="s">
        <v>41</v>
      </c>
      <c r="V20" s="1" t="s">
        <v>42</v>
      </c>
      <c r="W20" s="1" t="s">
        <v>104</v>
      </c>
      <c r="Y20" s="1" t="s">
        <v>99</v>
      </c>
      <c r="Z20" s="1" t="s">
        <v>99</v>
      </c>
      <c r="AF20" s="1" t="s">
        <v>78</v>
      </c>
      <c r="AG20" s="1" t="s">
        <v>112</v>
      </c>
      <c r="AI20" s="1" t="s">
        <v>113</v>
      </c>
      <c r="AJ20" s="1" t="s">
        <v>101</v>
      </c>
      <c r="AK20" s="1" t="s">
        <v>63</v>
      </c>
      <c r="AL20" s="1" t="s">
        <v>63</v>
      </c>
      <c r="AM20" s="1" t="s">
        <v>84</v>
      </c>
    </row>
    <row r="21" ht="15.75" customHeight="1">
      <c r="A21" s="1" t="s">
        <v>114</v>
      </c>
      <c r="D21" s="1" t="s">
        <v>75</v>
      </c>
      <c r="E21" t="str">
        <f t="shared" si="0"/>
        <v>3</v>
      </c>
      <c r="F21" t="str">
        <f t="shared" si="1"/>
        <v>Bauernfeind_etal_2013</v>
      </c>
      <c r="G21" t="str">
        <f t="shared" si="2"/>
        <v>Bauernfeind</v>
      </c>
      <c r="H21" t="str">
        <f t="shared" si="3"/>
        <v>etal</v>
      </c>
      <c r="I21" t="str">
        <f t="shared" si="4"/>
        <v>2013</v>
      </c>
      <c r="J21" t="str">
        <f t="shared" si="5"/>
        <v>10.1016%2Fj.jhevol.2012.12.003</v>
      </c>
      <c r="K21" t="str">
        <f t="shared" si="6"/>
        <v>Bauernfeind_etal_2013_Table1</v>
      </c>
      <c r="L21" t="str">
        <f t="shared" si="7"/>
        <v>10.1016%2Fj.jhevol.2012.12.003_Table1</v>
      </c>
      <c r="M21" t="str">
        <f t="array" ref="M21">IFERROR(INDEX(FileList!$A$1:$A$100,MATCH(TRUE(),EXACT(L21,_xlfn.TEXTBEFORE(FileList!$A$1:$A$100,".tsv")),0)),"notfound")</f>
        <v>10.1016%2Fj.jhevol.2012.12.003_Table1.tsv</v>
      </c>
      <c r="N21" s="1" t="s">
        <v>115</v>
      </c>
      <c r="P21" s="1" t="s">
        <v>41</v>
      </c>
      <c r="V21" s="1" t="s">
        <v>42</v>
      </c>
      <c r="Y21" s="1" t="s">
        <v>116</v>
      </c>
      <c r="AF21" s="1" t="s">
        <v>78</v>
      </c>
      <c r="AG21" s="1" t="s">
        <v>112</v>
      </c>
      <c r="AI21" s="1" t="s">
        <v>117</v>
      </c>
      <c r="AJ21" s="1" t="s">
        <v>118</v>
      </c>
      <c r="AK21" s="1" t="s">
        <v>63</v>
      </c>
      <c r="AL21" s="1" t="s">
        <v>63</v>
      </c>
      <c r="AM21" s="1" t="s">
        <v>84</v>
      </c>
    </row>
    <row r="22" ht="15.75" customHeight="1">
      <c r="A22" s="1" t="s">
        <v>114</v>
      </c>
      <c r="D22" s="1" t="s">
        <v>119</v>
      </c>
      <c r="E22" t="str">
        <f t="shared" si="0"/>
        <v>3</v>
      </c>
      <c r="F22" t="str">
        <f t="shared" si="1"/>
        <v>Bauernfeind_etal_2013</v>
      </c>
      <c r="G22" t="str">
        <f t="shared" si="2"/>
        <v>Bauernfeind</v>
      </c>
      <c r="H22" t="str">
        <f t="shared" si="3"/>
        <v>etal</v>
      </c>
      <c r="I22" t="str">
        <f t="shared" si="4"/>
        <v>2013</v>
      </c>
      <c r="J22" t="str">
        <f t="shared" si="5"/>
        <v>10.1016%2Fj.jhevol.2012.12.003</v>
      </c>
      <c r="K22" t="str">
        <f t="shared" si="6"/>
        <v>Bauernfeind_etal_2013_Table2</v>
      </c>
      <c r="L22" t="str">
        <f t="shared" si="7"/>
        <v>10.1016%2Fj.jhevol.2012.12.003_Table2</v>
      </c>
      <c r="M22" t="str">
        <f t="array" ref="M22">IFERROR(INDEX(FileList!$A$1:$A$100,MATCH(TRUE(),EXACT(L22,_xlfn.TEXTBEFORE(FileList!$A$1:$A$100,".tsv")),0)),"notfound")</f>
        <v>10.1016%2Fj.jhevol.2012.12.003_Table2.tsv</v>
      </c>
      <c r="P22" s="1" t="s">
        <v>41</v>
      </c>
      <c r="V22" s="1" t="s">
        <v>42</v>
      </c>
      <c r="Y22" s="1" t="s">
        <v>116</v>
      </c>
      <c r="AF22" s="1" t="s">
        <v>78</v>
      </c>
      <c r="AG22" s="1" t="s">
        <v>112</v>
      </c>
      <c r="AI22" s="1" t="s">
        <v>117</v>
      </c>
      <c r="AJ22" s="1" t="s">
        <v>118</v>
      </c>
      <c r="AK22" s="1" t="s">
        <v>63</v>
      </c>
      <c r="AL22" s="1" t="s">
        <v>63</v>
      </c>
      <c r="AM22" s="1" t="s">
        <v>84</v>
      </c>
    </row>
    <row r="23" ht="15.75" customHeight="1">
      <c r="A23" s="1" t="s">
        <v>114</v>
      </c>
      <c r="D23" s="1" t="s">
        <v>66</v>
      </c>
      <c r="E23" t="str">
        <f t="shared" si="0"/>
        <v>3</v>
      </c>
      <c r="F23" t="str">
        <f t="shared" si="1"/>
        <v>Bauernfeind_etal_2013</v>
      </c>
      <c r="G23" t="str">
        <f t="shared" si="2"/>
        <v>Bauernfeind</v>
      </c>
      <c r="H23" t="str">
        <f t="shared" si="3"/>
        <v>etal</v>
      </c>
      <c r="I23" t="str">
        <f t="shared" si="4"/>
        <v>2013</v>
      </c>
      <c r="J23" t="str">
        <f t="shared" si="5"/>
        <v>10.1016%2Fj.jhevol.2012.12.003</v>
      </c>
      <c r="K23" t="str">
        <f t="shared" si="6"/>
        <v>Bauernfeind_etal_2013_Table3</v>
      </c>
      <c r="L23" t="str">
        <f t="shared" si="7"/>
        <v>10.1016%2Fj.jhevol.2012.12.003_Table3</v>
      </c>
      <c r="M23" t="str">
        <f t="array" ref="M23">IFERROR(INDEX(FileList!$A$1:$A$100,MATCH(TRUE(),EXACT(L23,_xlfn.TEXTBEFORE(FileList!$A$1:$A$100,".tsv")),0)),"notfound")</f>
        <v>notfound</v>
      </c>
      <c r="V23" s="1" t="s">
        <v>42</v>
      </c>
      <c r="Y23" s="1" t="s">
        <v>116</v>
      </c>
      <c r="AF23" s="1" t="s">
        <v>78</v>
      </c>
      <c r="AG23" s="1" t="s">
        <v>112</v>
      </c>
      <c r="AI23" s="1" t="s">
        <v>117</v>
      </c>
      <c r="AJ23" s="1" t="s">
        <v>118</v>
      </c>
      <c r="AK23" s="1" t="s">
        <v>63</v>
      </c>
      <c r="AL23" s="1" t="s">
        <v>63</v>
      </c>
      <c r="AM23" s="1" t="s">
        <v>84</v>
      </c>
    </row>
    <row r="24" ht="15.75" customHeight="1">
      <c r="A24" s="1" t="s">
        <v>120</v>
      </c>
      <c r="D24" s="1" t="s">
        <v>75</v>
      </c>
      <c r="E24" t="str">
        <f t="shared" si="0"/>
        <v>3</v>
      </c>
      <c r="F24" t="str">
        <f t="shared" si="1"/>
        <v>Boyer_Harrington_2018</v>
      </c>
      <c r="G24" t="str">
        <f t="shared" si="2"/>
        <v>Boyer</v>
      </c>
      <c r="H24" t="str">
        <f t="shared" si="3"/>
        <v>Harrington</v>
      </c>
      <c r="I24" t="str">
        <f t="shared" si="4"/>
        <v>2018</v>
      </c>
      <c r="J24" t="str">
        <f t="shared" si="5"/>
        <v>10.1016%2Fj.jhevol.2017.09.003</v>
      </c>
      <c r="K24" t="str">
        <f t="shared" si="6"/>
        <v>Boyer_Harrington_2018_Table1</v>
      </c>
      <c r="L24" t="str">
        <f t="shared" si="7"/>
        <v>10.1016%2Fj.jhevol.2017.09.003_Table1</v>
      </c>
      <c r="M24" t="str">
        <f t="array" ref="M24">IFERROR(INDEX(FileList!$A$1:$A$100,MATCH(TRUE(),EXACT(L24,_xlfn.TEXTBEFORE(FileList!$A$1:$A$100,".tsv")),0)),"notfound")</f>
        <v>notfound</v>
      </c>
      <c r="N24" s="1" t="s">
        <v>121</v>
      </c>
    </row>
    <row r="25" ht="15.75" customHeight="1">
      <c r="A25" s="1" t="s">
        <v>122</v>
      </c>
      <c r="D25" s="1" t="s">
        <v>123</v>
      </c>
      <c r="E25" t="str">
        <f t="shared" si="0"/>
        <v>2</v>
      </c>
      <c r="F25" t="str">
        <f t="shared" si="1"/>
        <v>Boyer_Harrington_2019</v>
      </c>
      <c r="G25" t="str">
        <f t="shared" si="2"/>
        <v>Boyer</v>
      </c>
      <c r="H25" t="str">
        <f t="shared" si="3"/>
        <v>Harrington</v>
      </c>
      <c r="I25" t="str">
        <f t="shared" si="4"/>
        <v>2019</v>
      </c>
      <c r="J25" t="str">
        <f t="shared" si="5"/>
        <v>10.1016%2Fj.jhevol.2018.10.002</v>
      </c>
      <c r="K25" t="str">
        <f t="shared" si="6"/>
        <v>Boyer_Harrington_2019_SOMTableS6</v>
      </c>
      <c r="L25" t="str">
        <f t="shared" si="7"/>
        <v>10.1016%2Fj.jhevol.2018.10.002_SOMTableS6</v>
      </c>
      <c r="M25" t="str">
        <f t="array" ref="M25">IFERROR(INDEX(FileList!$A$1:$A$100,MATCH(TRUE(),EXACT(L25,_xlfn.TEXTBEFORE(FileList!$A$1:$A$100,".tsv")),0)),"notfound")</f>
        <v>notfound</v>
      </c>
    </row>
    <row r="26" ht="15.75" customHeight="1">
      <c r="A26" s="1" t="s">
        <v>124</v>
      </c>
      <c r="C26" s="1" t="s">
        <v>125</v>
      </c>
      <c r="D26" s="1" t="s">
        <v>126</v>
      </c>
      <c r="E26" t="str">
        <f t="shared" si="0"/>
        <v>0</v>
      </c>
      <c r="F26" t="str">
        <f t="shared" si="1"/>
        <v>Brodmann__1913</v>
      </c>
      <c r="G26" t="str">
        <f t="shared" si="2"/>
        <v>Brodmann</v>
      </c>
      <c r="H26" t="str">
        <f t="shared" si="3"/>
      </c>
      <c r="I26" t="str">
        <f t="shared" si="4"/>
        <v>1913</v>
      </c>
      <c r="J26" t="str">
        <f t="shared" si="5"/>
        <v>10.0000%2Fplaceholder</v>
      </c>
      <c r="K26" t="str">
        <f t="shared" si="6"/>
        <v>Brodmann__1913_Tabelle1</v>
      </c>
      <c r="L26" t="str">
        <f t="shared" si="7"/>
        <v>10.0000%2Fplaceholder_Tabelle1</v>
      </c>
      <c r="M26" t="str">
        <f t="array" ref="M26">IFERROR(INDEX(FileList!$A$1:$A$100,MATCH(TRUE(),EXACT(L26,_xlfn.TEXTBEFORE(FileList!$A$1:$A$100,".tsv")),0)),"notfound")</f>
        <v>notfound</v>
      </c>
      <c r="AI26" s="1" t="s">
        <v>127</v>
      </c>
      <c r="AJ26" s="1" t="s">
        <v>128</v>
      </c>
      <c r="AL26" s="1" t="s">
        <v>63</v>
      </c>
      <c r="AM26" s="1" t="s">
        <v>127</v>
      </c>
    </row>
    <row r="27" ht="15.75" customHeight="1">
      <c r="A27" s="1" t="s">
        <v>129</v>
      </c>
      <c r="D27" s="1" t="s">
        <v>130</v>
      </c>
      <c r="E27" t="str">
        <f t="shared" si="0"/>
        <v>3</v>
      </c>
      <c r="F27" t="str">
        <f t="shared" si="1"/>
        <v>Burger_etal_2019</v>
      </c>
      <c r="G27" t="str">
        <f t="shared" si="2"/>
        <v>Burger</v>
      </c>
      <c r="H27" t="str">
        <f t="shared" si="3"/>
        <v>etal</v>
      </c>
      <c r="I27" t="str">
        <f t="shared" si="4"/>
        <v>2019</v>
      </c>
      <c r="J27" t="str">
        <f t="shared" si="5"/>
        <v>10.1093%2Fjmammal%2Fgyz043</v>
      </c>
      <c r="K27" t="str">
        <f t="shared" si="6"/>
        <v>Burger_etal_2019_SupplementaryDataSD1</v>
      </c>
      <c r="L27" t="str">
        <f t="shared" si="7"/>
        <v>10.1093%2Fjmammal%2Fgyz043_SupplementaryDataSD1</v>
      </c>
      <c r="M27" t="str">
        <f t="array" ref="M27">IFERROR(INDEX(FileList!$A$1:$A$100,MATCH(TRUE(),EXACT(L27,_xlfn.TEXTBEFORE(FileList!$A$1:$A$100,".tsv")),0)),"notfound")</f>
        <v>10.1093%2Fjmammal%2Fgyz043_SupplementaryDataSD1.tsv</v>
      </c>
      <c r="O27" s="1" t="s">
        <v>131</v>
      </c>
      <c r="P27" s="1" t="s">
        <v>41</v>
      </c>
      <c r="Q27" s="1" t="s">
        <v>132</v>
      </c>
      <c r="R27" s="1" t="s">
        <v>133</v>
      </c>
      <c r="S27" s="1" t="s">
        <v>134</v>
      </c>
      <c r="T27" s="1" t="str">
        <f>IF(S27="N", R27, "write file name")</f>
        <v>gyz043_suppl_Supplement_Data.csv</v>
      </c>
      <c r="U27" s="1" t="s">
        <v>135</v>
      </c>
      <c r="V27" s="1" t="s">
        <v>42</v>
      </c>
      <c r="W27" s="1" t="s">
        <v>136</v>
      </c>
      <c r="AB27" s="1" t="s">
        <v>137</v>
      </c>
      <c r="AH27" s="1" t="s">
        <v>138</v>
      </c>
      <c r="AI27" s="1" t="s">
        <v>139</v>
      </c>
      <c r="AJ27" s="1" t="s">
        <v>140</v>
      </c>
      <c r="AK27" s="1" t="s">
        <v>141</v>
      </c>
      <c r="AL27" s="1" t="s">
        <v>141</v>
      </c>
      <c r="AM27" s="1" t="s">
        <v>142</v>
      </c>
    </row>
    <row r="28" ht="15.75" customHeight="1">
      <c r="A28" s="1" t="s">
        <v>143</v>
      </c>
      <c r="D28" s="1" t="s">
        <v>144</v>
      </c>
      <c r="E28" t="str">
        <f t="shared" si="0"/>
        <v>9</v>
      </c>
      <c r="F28" t="str">
        <f t="shared" si="1"/>
        <v>Burish_etal_2010</v>
      </c>
      <c r="G28" t="str">
        <f t="shared" si="2"/>
        <v>Burish</v>
      </c>
      <c r="H28" t="str">
        <f t="shared" si="3"/>
        <v>etal</v>
      </c>
      <c r="I28" t="str">
        <f t="shared" si="4"/>
        <v>2010</v>
      </c>
      <c r="J28" t="str">
        <f t="shared" si="5"/>
        <v>10.1159%2F000319019</v>
      </c>
      <c r="K28" t="str">
        <f t="shared" si="6"/>
        <v>Burish_etal_2010_SupplementaryTable1</v>
      </c>
      <c r="L28" t="str">
        <f t="shared" si="7"/>
        <v>10.1159%2F000319019_SupplementaryTable1</v>
      </c>
      <c r="M28" t="str">
        <f t="array" ref="M28">IFERROR(INDEX(FileList!$A$1:$A$100,MATCH(TRUE(),EXACT(L28,_xlfn.TEXTBEFORE(FileList!$A$1:$A$100,".tsv")),0)),"notfound")</f>
        <v>10.1159%2F000319019_SupplementaryTable1.tsv</v>
      </c>
      <c r="N28" s="1" t="s">
        <v>145</v>
      </c>
      <c r="P28" s="1" t="s">
        <v>146</v>
      </c>
      <c r="R28" s="1" t="s">
        <v>147</v>
      </c>
      <c r="Y28" s="1" t="s">
        <v>58</v>
      </c>
      <c r="Z28" s="1" t="s">
        <v>58</v>
      </c>
      <c r="AA28" s="1" t="s">
        <v>148</v>
      </c>
      <c r="AG28" s="1" t="s">
        <v>59</v>
      </c>
      <c r="AH28" s="1" t="s">
        <v>149</v>
      </c>
      <c r="AJ28" s="1" t="s">
        <v>150</v>
      </c>
      <c r="AK28" s="1" t="s">
        <v>151</v>
      </c>
      <c r="AL28" s="1" t="s">
        <v>43</v>
      </c>
      <c r="AM28" s="1" t="s">
        <v>43</v>
      </c>
    </row>
    <row r="29" ht="15.75" customHeight="1">
      <c r="A29" s="1" t="s">
        <v>143</v>
      </c>
      <c r="D29" s="1" t="s">
        <v>75</v>
      </c>
      <c r="E29" t="str">
        <f t="shared" si="0"/>
        <v>9</v>
      </c>
      <c r="F29" t="str">
        <f t="shared" si="1"/>
        <v>Burish_etal_2010</v>
      </c>
      <c r="G29" t="str">
        <f t="shared" si="2"/>
        <v>Burish</v>
      </c>
      <c r="H29" t="str">
        <f t="shared" si="3"/>
        <v>etal</v>
      </c>
      <c r="I29" t="str">
        <f t="shared" si="4"/>
        <v>2010</v>
      </c>
      <c r="J29" t="str">
        <f t="shared" si="5"/>
        <v>10.1159%2F000319019</v>
      </c>
      <c r="K29" t="str">
        <f t="shared" si="6"/>
        <v>Burish_etal_2010_Table1</v>
      </c>
      <c r="L29" t="str">
        <f t="shared" si="7"/>
        <v>10.1159%2F000319019_Table1</v>
      </c>
      <c r="M29" t="str">
        <f t="array" ref="M29">IFERROR(INDEX(FileList!$A$1:$A$100,MATCH(TRUE(),EXACT(L29,_xlfn.TEXTBEFORE(FileList!$A$1:$A$100,".tsv")),0)),"notfound")</f>
        <v>10.1159%2F000319019_Table1.tsv</v>
      </c>
      <c r="N29" s="1" t="s">
        <v>152</v>
      </c>
      <c r="P29" s="1" t="s">
        <v>41</v>
      </c>
      <c r="Q29" s="1" t="s">
        <v>51</v>
      </c>
      <c r="R29" s="1" t="s">
        <v>153</v>
      </c>
      <c r="T29" s="1" t="s">
        <v>154</v>
      </c>
      <c r="U29" s="1" t="s">
        <v>55</v>
      </c>
      <c r="V29" s="1" t="s">
        <v>42</v>
      </c>
      <c r="X29" s="1" t="s">
        <v>155</v>
      </c>
      <c r="Y29" s="1" t="s">
        <v>58</v>
      </c>
      <c r="Z29" s="1" t="s">
        <v>58</v>
      </c>
      <c r="AA29" s="1" t="s">
        <v>148</v>
      </c>
      <c r="AC29" s="1" t="s">
        <v>156</v>
      </c>
      <c r="AG29" s="1" t="s">
        <v>59</v>
      </c>
      <c r="AH29" s="1" t="s">
        <v>149</v>
      </c>
      <c r="AJ29" s="1" t="s">
        <v>150</v>
      </c>
      <c r="AK29" s="1" t="s">
        <v>157</v>
      </c>
      <c r="AL29" s="1" t="s">
        <v>43</v>
      </c>
      <c r="AM29" s="1" t="s">
        <v>43</v>
      </c>
    </row>
    <row r="30" ht="15.75" customHeight="1">
      <c r="A30" s="1" t="s">
        <v>158</v>
      </c>
      <c r="D30" s="1" t="s">
        <v>75</v>
      </c>
      <c r="E30" t="str">
        <f t="shared" si="0"/>
        <v>0</v>
      </c>
      <c r="F30" t="str">
        <f t="shared" si="1"/>
        <v>Bush_Allman_2003</v>
      </c>
      <c r="G30" t="str">
        <f t="shared" si="2"/>
        <v>Bush</v>
      </c>
      <c r="H30" t="str">
        <f t="shared" si="3"/>
        <v>Allman</v>
      </c>
      <c r="I30" t="str">
        <f t="shared" si="4"/>
        <v>2003</v>
      </c>
      <c r="J30" t="str">
        <f t="shared" si="5"/>
        <v>10.1159%2F000068880</v>
      </c>
      <c r="K30" t="str">
        <f t="shared" si="6"/>
        <v>Bush_Allman_2003_Table1</v>
      </c>
      <c r="L30" t="str">
        <f t="shared" si="7"/>
        <v>10.1159%2F000068880_Table1</v>
      </c>
      <c r="M30" t="str">
        <f t="array" ref="M30">IFERROR(INDEX(FileList!$A$1:$A$100,MATCH(TRUE(),EXACT(L30,_xlfn.TEXTBEFORE(FileList!$A$1:$A$100,".tsv")),0)),"notfound")</f>
        <v>10.1159%2F000068880_Table1.tsv</v>
      </c>
      <c r="N30" s="1" t="s">
        <v>159</v>
      </c>
      <c r="P30" s="1" t="s">
        <v>160</v>
      </c>
      <c r="Y30" s="1" t="s">
        <v>161</v>
      </c>
      <c r="Z30" s="1" t="s">
        <v>162</v>
      </c>
    </row>
    <row r="31" ht="15.75" customHeight="1">
      <c r="A31" s="1" t="s">
        <v>163</v>
      </c>
      <c r="B31" s="1" t="s">
        <v>164</v>
      </c>
      <c r="D31" s="1" t="s">
        <v>119</v>
      </c>
      <c r="E31" t="str">
        <f t="shared" si="0"/>
        <v>1</v>
      </c>
      <c r="F31" t="str">
        <f t="shared" si="1"/>
        <v>Bush_Allman_2004_a</v>
      </c>
      <c r="G31" t="str">
        <f t="shared" si="2"/>
        <v>Bush</v>
      </c>
      <c r="H31" t="str">
        <f t="shared" si="3"/>
        <v>Allman</v>
      </c>
      <c r="I31" t="str">
        <f t="shared" si="4"/>
        <v>2004</v>
      </c>
      <c r="J31" t="str">
        <f t="shared" si="5"/>
        <v>10.1073%2Fpnas.0305760101</v>
      </c>
      <c r="K31" t="str">
        <f t="shared" si="6"/>
        <v>Bush_Allman_2004_a_Table2</v>
      </c>
      <c r="L31" t="str">
        <f t="shared" si="7"/>
        <v>10.1073%2Fpnas.0305760101_Table2</v>
      </c>
      <c r="M31" t="str">
        <f t="array" ref="M31">IFERROR(INDEX(FileList!$A$1:$A$100,MATCH(TRUE(),EXACT(L31,_xlfn.TEXTBEFORE(FileList!$A$1:$A$100,".tsv")),0)),"notfound")</f>
        <v>10.1073%2Fpnas.0305760101_Table2.tsv</v>
      </c>
      <c r="N31" s="1" t="s">
        <v>165</v>
      </c>
      <c r="P31" s="1" t="s">
        <v>166</v>
      </c>
      <c r="R31" s="1" t="s">
        <v>167</v>
      </c>
      <c r="S31" s="1" t="s">
        <v>53</v>
      </c>
      <c r="T31" s="1" t="s">
        <v>168</v>
      </c>
      <c r="U31" s="1" t="s">
        <v>55</v>
      </c>
      <c r="V31" s="1" t="s">
        <v>42</v>
      </c>
      <c r="Y31" s="1" t="s">
        <v>161</v>
      </c>
      <c r="Z31" s="1" t="s">
        <v>162</v>
      </c>
      <c r="AF31" s="1" t="s">
        <v>78</v>
      </c>
      <c r="AG31" s="1" t="s">
        <v>112</v>
      </c>
      <c r="AH31" s="1" t="s">
        <v>169</v>
      </c>
      <c r="AI31" s="1" t="s">
        <v>170</v>
      </c>
      <c r="AK31" s="1" t="s">
        <v>63</v>
      </c>
    </row>
    <row r="32" ht="15.75" customHeight="1">
      <c r="A32" s="1" t="s">
        <v>171</v>
      </c>
      <c r="B32" s="1" t="s">
        <v>172</v>
      </c>
      <c r="D32" s="1" t="s">
        <v>49</v>
      </c>
      <c r="E32" t="str">
        <f t="shared" si="0"/>
        <v>4</v>
      </c>
      <c r="F32" t="str">
        <f t="shared" si="1"/>
        <v>Bush_Allman_2004_b</v>
      </c>
      <c r="G32" t="str">
        <f t="shared" si="2"/>
        <v>Bush</v>
      </c>
      <c r="H32" t="str">
        <f t="shared" si="3"/>
        <v>Allman</v>
      </c>
      <c r="I32" t="str">
        <f t="shared" si="4"/>
        <v>2004</v>
      </c>
      <c r="J32" t="str">
        <f t="shared" si="5"/>
        <v>10.1002%2Far.a.20114</v>
      </c>
      <c r="K32" t="str">
        <f t="shared" si="6"/>
        <v>Bush_Allman_2004_b_TABLE1</v>
      </c>
      <c r="L32" t="str">
        <f t="shared" si="7"/>
        <v>10.1002%2Far.a.20114_TABLE1</v>
      </c>
      <c r="M32" t="str">
        <f t="array" ref="M32">IFERROR(INDEX(FileList!$A$1:$A$100,MATCH(TRUE(),EXACT(L32,_xlfn.TEXTBEFORE(FileList!$A$1:$A$100,".tsv")),0)),"notfound")</f>
        <v>10.1002%2Far.a.20114_TABLE1.tsv</v>
      </c>
      <c r="N32" s="1" t="s">
        <v>173</v>
      </c>
      <c r="P32" s="1" t="s">
        <v>166</v>
      </c>
      <c r="R32" s="1" t="s">
        <v>174</v>
      </c>
      <c r="S32" s="1" t="s">
        <v>53</v>
      </c>
      <c r="T32" s="1" t="s">
        <v>175</v>
      </c>
      <c r="U32" s="1" t="s">
        <v>55</v>
      </c>
      <c r="V32" s="1" t="s">
        <v>42</v>
      </c>
      <c r="Y32" s="1" t="s">
        <v>161</v>
      </c>
      <c r="Z32" s="1" t="s">
        <v>162</v>
      </c>
      <c r="AF32" s="1" t="s">
        <v>78</v>
      </c>
      <c r="AG32" s="1" t="s">
        <v>176</v>
      </c>
      <c r="AH32" s="1" t="s">
        <v>177</v>
      </c>
      <c r="AI32" s="1" t="s">
        <v>178</v>
      </c>
      <c r="AK32" s="1" t="s">
        <v>63</v>
      </c>
    </row>
    <row r="33" ht="15.75" customHeight="1">
      <c r="A33" s="1" t="s">
        <v>179</v>
      </c>
      <c r="D33" s="1" t="s">
        <v>180</v>
      </c>
      <c r="E33" t="str">
        <f t="shared" si="0"/>
        <v>5</v>
      </c>
      <c r="F33" t="str">
        <f t="shared" si="1"/>
        <v>Caspar_etal_2022</v>
      </c>
      <c r="G33" t="str">
        <f t="shared" si="2"/>
        <v>Caspar</v>
      </c>
      <c r="H33" t="str">
        <f t="shared" si="3"/>
        <v>etal</v>
      </c>
      <c r="I33" t="str">
        <f t="shared" si="4"/>
        <v>2022</v>
      </c>
      <c r="J33" t="str">
        <f t="shared" si="5"/>
        <v>10.7554%2FeLife.77875</v>
      </c>
      <c r="K33" t="str">
        <f t="shared" si="6"/>
        <v>Caspar_etal_2022_Supplementaryfile3</v>
      </c>
      <c r="L33" t="str">
        <f t="shared" si="7"/>
        <v>10.7554%2FeLife.77875_Supplementaryfile3</v>
      </c>
      <c r="M33" t="str">
        <f t="array" ref="M33">IFERROR(INDEX(FileList!$A$1:$A$100,MATCH(TRUE(),EXACT(L33,_xlfn.TEXTBEFORE(FileList!$A$1:$A$100,".tsv")),0)),"notfound")</f>
        <v>notfound</v>
      </c>
      <c r="N33" s="1" t="s">
        <v>181</v>
      </c>
      <c r="P33" s="1" t="s">
        <v>41</v>
      </c>
      <c r="Q33" s="1" t="s">
        <v>51</v>
      </c>
      <c r="R33" s="1" t="s">
        <v>182</v>
      </c>
      <c r="S33" s="1" t="s">
        <v>134</v>
      </c>
      <c r="T33" s="1" t="str">
        <f>IF(S33="N", R33, "write file name")</f>
        <v>elife-77875-supp3-v1.xlsx</v>
      </c>
      <c r="U33" s="1" t="s">
        <v>183</v>
      </c>
      <c r="V33" s="1" t="s">
        <v>42</v>
      </c>
      <c r="W33" s="1" t="s">
        <v>184</v>
      </c>
      <c r="X33" s="1" t="s">
        <v>185</v>
      </c>
      <c r="AH33" s="1" t="s">
        <v>177</v>
      </c>
      <c r="AI33" s="1" t="s">
        <v>186</v>
      </c>
      <c r="AJ33" s="1" t="s">
        <v>118</v>
      </c>
      <c r="AK33" s="1" t="s">
        <v>141</v>
      </c>
      <c r="AL33" s="1" t="s">
        <v>141</v>
      </c>
      <c r="AM33" s="1" t="s">
        <v>187</v>
      </c>
    </row>
    <row r="34" ht="15.75" customHeight="1">
      <c r="A34" s="1" t="s">
        <v>179</v>
      </c>
      <c r="D34" s="1" t="s">
        <v>75</v>
      </c>
      <c r="E34" t="str">
        <f t="shared" si="0"/>
        <v>5</v>
      </c>
      <c r="F34" t="str">
        <f t="shared" si="1"/>
        <v>Caspar_etal_2022</v>
      </c>
      <c r="G34" t="str">
        <f t="shared" si="2"/>
        <v>Caspar</v>
      </c>
      <c r="H34" t="str">
        <f t="shared" si="3"/>
        <v>etal</v>
      </c>
      <c r="I34" t="str">
        <f t="shared" si="4"/>
        <v>2022</v>
      </c>
      <c r="J34" t="str">
        <f t="shared" ref="J34:J65" si="8">_xlfn.LET(
_xlpm.doi,IF(C34&lt;&gt;"",C34,_xlfn.TEXTAFTER(A34,"https://doi.org/")),
SUBSTITUTE(
SUBSTITUTE(
SUBSTITUTE(
SUBSTITUTE(
_xlpm.doi,
"/","%2F"),
":","%3A"),
"&lt;","%3C"),
"&gt;","%3E")
)</f>
        <v>10.7554%2FeLife.77875</v>
      </c>
      <c r="K34" t="str">
        <f t="shared" si="6"/>
        <v>Caspar_etal_2022_Table1</v>
      </c>
      <c r="L34" t="str">
        <f t="shared" si="7"/>
        <v>10.7554%2FeLife.77875_Table1</v>
      </c>
      <c r="M34" t="str">
        <f t="array" ref="M34">IFERROR(INDEX(FileList!$A$1:$A$100,MATCH(TRUE(),EXACT(L34,_xlfn.TEXTBEFORE(FileList!$A$1:$A$100,".tsv")),0)),"notfound")</f>
        <v>notfound</v>
      </c>
      <c r="N34" s="1" t="s">
        <v>188</v>
      </c>
      <c r="P34" s="1" t="s">
        <v>41</v>
      </c>
      <c r="Q34" s="1" t="s">
        <v>51</v>
      </c>
      <c r="R34" s="1" t="s">
        <v>189</v>
      </c>
      <c r="S34" s="1" t="s">
        <v>53</v>
      </c>
      <c r="T34" s="1" t="s">
        <v>190</v>
      </c>
      <c r="U34" s="1" t="s">
        <v>55</v>
      </c>
      <c r="V34" s="1" t="s">
        <v>42</v>
      </c>
      <c r="W34" s="1" t="s">
        <v>191</v>
      </c>
      <c r="X34" s="1" t="s">
        <v>192</v>
      </c>
      <c r="AB34" s="1" t="s">
        <v>193</v>
      </c>
      <c r="AH34" s="1" t="s">
        <v>177</v>
      </c>
      <c r="AI34" s="1" t="s">
        <v>194</v>
      </c>
      <c r="AJ34" s="1" t="s">
        <v>118</v>
      </c>
      <c r="AK34" s="1" t="s">
        <v>195</v>
      </c>
      <c r="AL34" s="1" t="s">
        <v>141</v>
      </c>
      <c r="AM34" s="1" t="s">
        <v>196</v>
      </c>
    </row>
    <row r="35" ht="15.75" customHeight="1">
      <c r="A35" s="1" t="s">
        <v>197</v>
      </c>
      <c r="D35" s="1" t="s">
        <v>198</v>
      </c>
      <c r="E35" t="str">
        <f t="shared" si="0"/>
        <v>1</v>
      </c>
      <c r="F35" t="str">
        <f t="shared" si="1"/>
        <v>Caves_etal_2018</v>
      </c>
      <c r="G35" t="str">
        <f t="shared" si="2"/>
        <v>Caves</v>
      </c>
      <c r="H35" t="str">
        <f t="shared" si="3"/>
        <v>etal</v>
      </c>
      <c r="I35" t="str">
        <f t="shared" si="4"/>
        <v>2018</v>
      </c>
      <c r="J35" t="str">
        <f t="shared" si="8"/>
        <v>10.1016%2Fj.tree.2018.03.001</v>
      </c>
      <c r="K35" t="str">
        <f t="shared" si="6"/>
        <v>Caves_etal_2018_TableS1</v>
      </c>
      <c r="L35" t="str">
        <f t="shared" si="7"/>
        <v>10.1016%2Fj.tree.2018.03.001_TableS1</v>
      </c>
      <c r="M35" t="str">
        <f t="array" ref="M35">IFERROR(INDEX(FileList!$A$1:$A$100,MATCH(TRUE(),EXACT(L35,_xlfn.TEXTBEFORE(FileList!$A$1:$A$100,".tsv")),0)),"notfound")</f>
        <v>notfound</v>
      </c>
    </row>
    <row r="36" ht="15.75" customHeight="1">
      <c r="A36" s="1" t="s">
        <v>199</v>
      </c>
      <c r="D36" s="1" t="s">
        <v>200</v>
      </c>
      <c r="E36" t="str">
        <f t="shared" si="0"/>
        <v>5</v>
      </c>
      <c r="F36" t="str">
        <f t="shared" si="1"/>
        <v>Changizi__2001</v>
      </c>
      <c r="G36" t="str">
        <f t="shared" si="2"/>
        <v>Changizi</v>
      </c>
      <c r="H36" t="str">
        <f t="shared" si="3"/>
      </c>
      <c r="I36" t="str">
        <f t="shared" si="4"/>
        <v>2001</v>
      </c>
      <c r="J36" t="str">
        <f t="shared" si="8"/>
        <v>10.1007%2Fs004220000205</v>
      </c>
      <c r="K36" t="str">
        <f t="shared" si="6"/>
        <v>Changizi__2001_Figure3</v>
      </c>
      <c r="L36" t="str">
        <f t="shared" si="7"/>
        <v>10.1007%2Fs004220000205_Figure3</v>
      </c>
      <c r="M36" t="str">
        <f t="array" ref="M36">IFERROR(INDEX(FileList!$A$1:$A$100,MATCH(TRUE(),EXACT(L36,_xlfn.TEXTBEFORE(FileList!$A$1:$A$100,".tsv")),0)),"notfound")</f>
        <v>10.1007%2Fs004220000205_Figure3.tsv</v>
      </c>
      <c r="P36" s="1" t="s">
        <v>201</v>
      </c>
      <c r="Q36" s="1" t="s">
        <v>202</v>
      </c>
      <c r="R36" s="1" t="s">
        <v>203</v>
      </c>
      <c r="S36" s="1" t="s">
        <v>53</v>
      </c>
      <c r="T36" s="1" t="s">
        <v>204</v>
      </c>
      <c r="U36" s="1" t="s">
        <v>55</v>
      </c>
      <c r="V36" s="1" t="s">
        <v>205</v>
      </c>
      <c r="W36" s="1" t="s">
        <v>206</v>
      </c>
      <c r="AB36" s="1" t="s">
        <v>207</v>
      </c>
      <c r="AI36" s="1" t="s">
        <v>208</v>
      </c>
      <c r="AJ36" s="1" t="s">
        <v>140</v>
      </c>
      <c r="AK36" s="1" t="s">
        <v>209</v>
      </c>
      <c r="AL36" s="1" t="s">
        <v>141</v>
      </c>
      <c r="AM36" s="1" t="s">
        <v>210</v>
      </c>
    </row>
    <row r="37" ht="15.75" customHeight="1">
      <c r="A37" s="1" t="s">
        <v>211</v>
      </c>
      <c r="D37" s="1" t="s">
        <v>212</v>
      </c>
      <c r="E37" t="str">
        <f t="shared" si="0"/>
        <v>3</v>
      </c>
      <c r="F37" t="str">
        <f t="shared" si="1"/>
        <v>Chen_Wiens_2020</v>
      </c>
      <c r="G37" t="str">
        <f t="shared" si="2"/>
        <v>Chen</v>
      </c>
      <c r="H37" t="str">
        <f t="shared" si="3"/>
        <v>Wiens</v>
      </c>
      <c r="I37" t="str">
        <f t="shared" si="4"/>
        <v>2020</v>
      </c>
      <c r="J37" t="str">
        <f t="shared" si="8"/>
        <v>10.1038%2Fs41467-020-14356-3</v>
      </c>
      <c r="K37" t="str">
        <f t="shared" si="6"/>
        <v>Chen_Wiens_2020_SupplementaryData3</v>
      </c>
      <c r="L37" t="str">
        <f t="shared" si="7"/>
        <v>10.1038%2Fs41467-020-14356-3_SupplementaryData3</v>
      </c>
      <c r="M37" t="str">
        <f t="array" ref="M37">IFERROR(INDEX(FileList!$A$1:$A$100,MATCH(TRUE(),EXACT(L37,_xlfn.TEXTBEFORE(FileList!$A$1:$A$100,".tsv")),0)),"notfound")</f>
        <v>10.1038%2Fs41467-020-14356-3_SupplementaryData3.tsv</v>
      </c>
      <c r="P37" s="1" t="s">
        <v>41</v>
      </c>
      <c r="Q37" s="1" t="s">
        <v>51</v>
      </c>
      <c r="R37" s="1" t="s">
        <v>213</v>
      </c>
      <c r="S37" s="1" t="s">
        <v>134</v>
      </c>
      <c r="T37" s="1" t="str">
        <f>IF(S37="N", R37, "write file name")</f>
        <v>41467_2020_14356_MOESM6_ESM.xlsx</v>
      </c>
      <c r="U37" s="1" t="s">
        <v>183</v>
      </c>
      <c r="V37" s="1" t="s">
        <v>42</v>
      </c>
      <c r="W37" s="1" t="s">
        <v>184</v>
      </c>
      <c r="X37" s="1" t="s">
        <v>214</v>
      </c>
      <c r="AA37" s="1" t="s">
        <v>215</v>
      </c>
      <c r="AB37" s="1" t="s">
        <v>216</v>
      </c>
      <c r="AH37" s="1" t="s">
        <v>217</v>
      </c>
      <c r="AI37" s="1" t="s">
        <v>218</v>
      </c>
      <c r="AJ37" s="1" t="s">
        <v>219</v>
      </c>
      <c r="AK37" s="1" t="s">
        <v>141</v>
      </c>
      <c r="AL37" s="1" t="s">
        <v>141</v>
      </c>
      <c r="AM37" s="1" t="s">
        <v>220</v>
      </c>
    </row>
    <row r="38" ht="15.75" customHeight="1">
      <c r="A38" s="1" t="s">
        <v>221</v>
      </c>
      <c r="D38" s="1" t="s">
        <v>222</v>
      </c>
      <c r="E38" t="str">
        <f t="shared" si="0"/>
        <v>7</v>
      </c>
      <c r="F38" t="str">
        <f t="shared" si="1"/>
        <v>Collins_etal_2010</v>
      </c>
      <c r="G38" t="str">
        <f t="shared" si="2"/>
        <v>Collins</v>
      </c>
      <c r="H38" t="str">
        <f t="shared" si="3"/>
        <v>etal</v>
      </c>
      <c r="I38" t="str">
        <f t="shared" si="4"/>
        <v>2010</v>
      </c>
      <c r="J38" t="str">
        <f t="shared" si="8"/>
        <v>10.1073%2Fpnas.1010356107</v>
      </c>
      <c r="K38" t="str">
        <f t="shared" si="6"/>
        <v>Collins_etal_2010_DatasetS1</v>
      </c>
      <c r="L38" t="str">
        <f t="shared" si="7"/>
        <v>10.1073%2Fpnas.1010356107_DatasetS1</v>
      </c>
      <c r="M38" t="str">
        <f t="array" ref="M38">IFERROR(INDEX(FileList!$A$1:$A$100,MATCH(TRUE(),EXACT(L38,_xlfn.TEXTBEFORE(FileList!$A$1:$A$100,".tsv")),0)),"notfound")</f>
        <v>notfound</v>
      </c>
      <c r="Y38" s="1" t="s">
        <v>223</v>
      </c>
      <c r="AI38" s="1" t="s">
        <v>224</v>
      </c>
      <c r="AJ38" s="1" t="s">
        <v>118</v>
      </c>
      <c r="AK38" s="1" t="s">
        <v>63</v>
      </c>
      <c r="AL38" s="1" t="s">
        <v>63</v>
      </c>
      <c r="AM38" s="1" t="s">
        <v>127</v>
      </c>
    </row>
    <row r="39" ht="15.75" customHeight="1">
      <c r="A39" s="1" t="s">
        <v>225</v>
      </c>
      <c r="D39" s="1" t="s">
        <v>75</v>
      </c>
      <c r="E39" t="str">
        <f t="shared" si="0"/>
        <v>3</v>
      </c>
      <c r="F39" t="str">
        <f t="shared" si="1"/>
        <v>Collins_etal_2016</v>
      </c>
      <c r="G39" t="str">
        <f t="shared" si="2"/>
        <v>Collins</v>
      </c>
      <c r="H39" t="str">
        <f t="shared" si="3"/>
        <v>etal</v>
      </c>
      <c r="I39" t="str">
        <f t="shared" si="4"/>
        <v>2016</v>
      </c>
      <c r="J39" t="str">
        <f t="shared" si="8"/>
        <v>10.1073%2Fpnas.1524208113</v>
      </c>
      <c r="K39" t="str">
        <f t="shared" si="6"/>
        <v>Collins_etal_2016_Table1</v>
      </c>
      <c r="L39" t="str">
        <f t="shared" si="7"/>
        <v>10.1073%2Fpnas.1524208113_Table1</v>
      </c>
      <c r="M39" t="str">
        <f t="array" ref="M39">IFERROR(INDEX(FileList!$A$1:$A$100,MATCH(TRUE(),EXACT(L39,_xlfn.TEXTBEFORE(FileList!$A$1:$A$100,".tsv")),0)),"notfound")</f>
        <v>notfound</v>
      </c>
      <c r="N39" s="1" t="s">
        <v>226</v>
      </c>
      <c r="V39" s="1" t="s">
        <v>42</v>
      </c>
      <c r="Y39" s="1" t="s">
        <v>223</v>
      </c>
      <c r="Z39" s="1" t="s">
        <v>58</v>
      </c>
      <c r="AG39" s="1" t="s">
        <v>59</v>
      </c>
      <c r="AI39" s="1" t="s">
        <v>227</v>
      </c>
      <c r="AJ39" s="1" t="s">
        <v>118</v>
      </c>
      <c r="AK39" s="1" t="s">
        <v>63</v>
      </c>
      <c r="AL39" s="1" t="s">
        <v>63</v>
      </c>
      <c r="AM39" s="1" t="s">
        <v>228</v>
      </c>
    </row>
    <row r="40" ht="15.75" customHeight="1">
      <c r="A40" s="1" t="s">
        <v>229</v>
      </c>
      <c r="D40" s="1" t="s">
        <v>75</v>
      </c>
      <c r="E40" t="str">
        <f t="shared" si="0"/>
        <v>5</v>
      </c>
      <c r="F40" t="str">
        <f t="shared" si="1"/>
        <v>deSousa_etal_2013</v>
      </c>
      <c r="G40" t="str">
        <f t="shared" si="2"/>
        <v>deSousa</v>
      </c>
      <c r="H40" t="str">
        <f t="shared" si="3"/>
        <v>etal</v>
      </c>
      <c r="I40" t="str">
        <f t="shared" si="4"/>
        <v>2013</v>
      </c>
      <c r="J40" t="str">
        <f t="shared" si="8"/>
        <v>10.1159%2F000346495</v>
      </c>
      <c r="K40" t="str">
        <f t="shared" si="6"/>
        <v>deSousa_etal_2013_Table1</v>
      </c>
      <c r="L40" t="str">
        <f t="shared" si="7"/>
        <v>10.1159%2F000346495_Table1</v>
      </c>
      <c r="M40" t="str">
        <f t="array" ref="M40">IFERROR(INDEX(FileList!$A$1:$A$100,MATCH(TRUE(),EXACT(L40,_xlfn.TEXTBEFORE(FileList!$A$1:$A$100,".tsv")),0)),"notfound")</f>
        <v>10.1159%2F000346495_Table1.tsv</v>
      </c>
      <c r="N40" s="1" t="s">
        <v>230</v>
      </c>
      <c r="P40" s="1" t="s">
        <v>166</v>
      </c>
      <c r="R40" s="1" t="s">
        <v>231</v>
      </c>
      <c r="S40" s="1" t="s">
        <v>53</v>
      </c>
      <c r="T40" s="1" t="s">
        <v>232</v>
      </c>
      <c r="U40" s="1" t="s">
        <v>55</v>
      </c>
      <c r="V40" s="1" t="s">
        <v>42</v>
      </c>
      <c r="Y40" s="1" t="s">
        <v>233</v>
      </c>
      <c r="Z40" s="1" t="s">
        <v>234</v>
      </c>
      <c r="AF40" s="1" t="s">
        <v>78</v>
      </c>
      <c r="AG40" s="1" t="s">
        <v>112</v>
      </c>
      <c r="AH40" s="1" t="s">
        <v>235</v>
      </c>
      <c r="AI40" s="1" t="s">
        <v>236</v>
      </c>
      <c r="AJ40" s="1" t="s">
        <v>237</v>
      </c>
      <c r="AK40" s="1" t="s">
        <v>63</v>
      </c>
      <c r="AL40" s="1" t="s">
        <v>63</v>
      </c>
      <c r="AM40" s="1" t="s">
        <v>84</v>
      </c>
    </row>
    <row r="41" ht="15.75" customHeight="1">
      <c r="A41" s="1" t="s">
        <v>238</v>
      </c>
      <c r="D41" s="1" t="s">
        <v>239</v>
      </c>
      <c r="E41" t="str">
        <f t="shared" si="0"/>
        <v>1</v>
      </c>
      <c r="F41" t="str">
        <f t="shared" si="1"/>
        <v>deSousa_etal_2010</v>
      </c>
      <c r="G41" t="str">
        <f t="shared" si="2"/>
        <v>deSousa</v>
      </c>
      <c r="H41" t="str">
        <f t="shared" si="3"/>
        <v>etal</v>
      </c>
      <c r="I41" t="str">
        <f t="shared" si="4"/>
        <v>2010</v>
      </c>
      <c r="J41" t="str">
        <f t="shared" si="8"/>
        <v>10.1016%2Fj.jhevol.2009.11.011</v>
      </c>
      <c r="K41" t="str">
        <f t="shared" si="6"/>
        <v>deSousa_etal_2010_SupTable2</v>
      </c>
      <c r="L41" t="str">
        <f t="shared" si="7"/>
        <v>10.1016%2Fj.jhevol.2009.11.011_SupTable2</v>
      </c>
      <c r="M41" t="str">
        <f t="array" ref="M41">IFERROR(INDEX(FileList!$A$1:$A$100,MATCH(TRUE(),EXACT(L41,_xlfn.TEXTBEFORE(FileList!$A$1:$A$100,".tsv")),0)),"notfound")</f>
        <v>10.1016%2Fj.jhevol.2009.11.011_SupTable2.tsv</v>
      </c>
      <c r="N41" s="1" t="s">
        <v>240</v>
      </c>
      <c r="O41" s="1" t="s">
        <v>241</v>
      </c>
      <c r="P41" s="1" t="s">
        <v>41</v>
      </c>
      <c r="R41" s="1" t="s">
        <v>242</v>
      </c>
      <c r="S41" s="1" t="s">
        <v>53</v>
      </c>
      <c r="T41" s="1" t="s">
        <v>243</v>
      </c>
      <c r="V41" s="1" t="s">
        <v>244</v>
      </c>
      <c r="X41" s="1" t="s">
        <v>245</v>
      </c>
      <c r="Y41" s="1" t="s">
        <v>246</v>
      </c>
      <c r="Z41" s="1" t="s">
        <v>234</v>
      </c>
      <c r="AB41" s="1" t="s">
        <v>247</v>
      </c>
      <c r="AC41" s="1" t="s">
        <v>248</v>
      </c>
      <c r="AD41" s="1" t="s">
        <v>249</v>
      </c>
      <c r="AF41" s="1" t="s">
        <v>78</v>
      </c>
      <c r="AG41" s="1" t="s">
        <v>112</v>
      </c>
      <c r="AH41" s="1" t="s">
        <v>250</v>
      </c>
      <c r="AI41" s="1" t="s">
        <v>251</v>
      </c>
      <c r="AJ41" s="1" t="s">
        <v>237</v>
      </c>
      <c r="AK41" s="1" t="s">
        <v>63</v>
      </c>
      <c r="AL41" s="1" t="s">
        <v>63</v>
      </c>
      <c r="AM41" s="1" t="s">
        <v>84</v>
      </c>
    </row>
    <row r="42" ht="15.75" customHeight="1">
      <c r="A42" s="1" t="s">
        <v>238</v>
      </c>
      <c r="D42" s="1" t="s">
        <v>75</v>
      </c>
      <c r="E42" t="str">
        <f t="shared" si="0"/>
        <v>1</v>
      </c>
      <c r="F42" t="str">
        <f t="shared" si="1"/>
        <v>deSousa_etal_2010</v>
      </c>
      <c r="G42" t="str">
        <f t="shared" si="2"/>
        <v>deSousa</v>
      </c>
      <c r="H42" t="str">
        <f t="shared" si="3"/>
        <v>etal</v>
      </c>
      <c r="I42" t="str">
        <f t="shared" si="4"/>
        <v>2010</v>
      </c>
      <c r="J42" t="str">
        <f t="shared" si="8"/>
        <v>10.1016%2Fj.jhevol.2009.11.011</v>
      </c>
      <c r="K42" t="str">
        <f t="shared" si="6"/>
        <v>deSousa_etal_2010_Table1</v>
      </c>
      <c r="L42" t="str">
        <f t="shared" si="7"/>
        <v>10.1016%2Fj.jhevol.2009.11.011_Table1</v>
      </c>
      <c r="M42" t="str">
        <f t="array" ref="M42">IFERROR(INDEX(FileList!$A$1:$A$100,MATCH(TRUE(),EXACT(L42,_xlfn.TEXTBEFORE(FileList!$A$1:$A$100,".tsv")),0)),"notfound")</f>
        <v>10.1016%2Fj.jhevol.2009.11.011_Table1.tsv</v>
      </c>
      <c r="N42" s="1" t="s">
        <v>252</v>
      </c>
      <c r="V42" s="1" t="s">
        <v>42</v>
      </c>
      <c r="Y42" s="1" t="s">
        <v>233</v>
      </c>
      <c r="Z42" s="1" t="s">
        <v>234</v>
      </c>
      <c r="AF42" s="1" t="s">
        <v>253</v>
      </c>
      <c r="AG42" s="1" t="s">
        <v>112</v>
      </c>
      <c r="AI42" s="1" t="s">
        <v>254</v>
      </c>
      <c r="AJ42" s="1" t="s">
        <v>237</v>
      </c>
      <c r="AK42" s="1" t="s">
        <v>63</v>
      </c>
      <c r="AL42" s="1" t="s">
        <v>63</v>
      </c>
      <c r="AM42" s="1" t="s">
        <v>84</v>
      </c>
    </row>
    <row r="43" ht="15.75" customHeight="1">
      <c r="A43" s="1" t="s">
        <v>255</v>
      </c>
      <c r="D43" s="1" t="s">
        <v>256</v>
      </c>
      <c r="E43" t="str">
        <f t="shared" si="0"/>
        <v>0</v>
      </c>
      <c r="F43" t="str">
        <f t="shared" si="1"/>
        <v>DeCasien_Higham_2019</v>
      </c>
      <c r="G43" t="str">
        <f t="shared" si="2"/>
        <v>DeCasien</v>
      </c>
      <c r="H43" t="str">
        <f t="shared" si="3"/>
        <v>Higham</v>
      </c>
      <c r="I43" t="str">
        <f t="shared" si="4"/>
        <v>2019</v>
      </c>
      <c r="J43" t="str">
        <f t="shared" si="8"/>
        <v>10.1038%2Fs41559-019-0969-0</v>
      </c>
      <c r="K43" t="str">
        <f>TRIM(_xlfn.TEXTJOIN("_",FALSE(),F43,(SUBSTITUTE(SUBSTITUTE(D44," ",""), "_", ""))))</f>
        <v>DeCasien_Higham_2019_SupplementaryData1-BrainRegion</v>
      </c>
      <c r="L43" t="str">
        <f t="shared" si="7"/>
        <v>10.1038%2Fs41559-019-0969-0_SupplementaryData1-ActivityPeriod</v>
      </c>
      <c r="M43" t="str">
        <f t="array" ref="M43">IFERROR(INDEX(FileList!$A$1:$A$100,MATCH(TRUE(),EXACT(L43,_xlfn.TEXTBEFORE(FileList!$A$1:$A$100,".tsv")),0)),"notfound")</f>
        <v>notfound</v>
      </c>
      <c r="N43" s="1" t="s">
        <v>257</v>
      </c>
      <c r="U43" s="1" t="s">
        <v>183</v>
      </c>
      <c r="V43" s="1" t="s">
        <v>258</v>
      </c>
      <c r="W43" s="1" t="s">
        <v>184</v>
      </c>
      <c r="X43" s="1" t="s">
        <v>259</v>
      </c>
      <c r="AF43" s="1" t="s">
        <v>78</v>
      </c>
      <c r="AH43" s="1" t="s">
        <v>177</v>
      </c>
      <c r="AI43" s="1" t="s">
        <v>260</v>
      </c>
      <c r="AJ43" s="1" t="s">
        <v>118</v>
      </c>
      <c r="AK43" s="1" t="s">
        <v>141</v>
      </c>
      <c r="AL43" s="1" t="s">
        <v>141</v>
      </c>
      <c r="AM43" s="1" t="s">
        <v>261</v>
      </c>
    </row>
    <row r="44" ht="15.75" customHeight="1">
      <c r="A44" s="1" t="s">
        <v>255</v>
      </c>
      <c r="D44" s="1" t="s">
        <v>262</v>
      </c>
      <c r="E44" t="str">
        <f t="shared" si="0"/>
        <v>0</v>
      </c>
      <c r="F44" t="str">
        <f t="shared" si="1"/>
        <v>DeCasien_Higham_2019</v>
      </c>
      <c r="G44" t="str">
        <f t="shared" si="2"/>
        <v>DeCasien</v>
      </c>
      <c r="H44" t="str">
        <f t="shared" si="3"/>
        <v>Higham</v>
      </c>
      <c r="I44" t="str">
        <f t="shared" si="4"/>
        <v>2019</v>
      </c>
      <c r="J44" t="str">
        <f t="shared" si="8"/>
        <v>10.1038%2Fs41559-019-0969-0</v>
      </c>
      <c r="K44" t="str">
        <f>TRIM(_xlfn.TEXTJOIN("_",FALSE(),F44,(SUBSTITUTE(SUBSTITUTE(D44," ",""), "_", ""))))</f>
        <v>DeCasien_Higham_2019_SupplementaryData1-BrainRegion</v>
      </c>
      <c r="L44" t="str">
        <f t="shared" si="7"/>
        <v>10.1038%2Fs41559-019-0969-0_SupplementaryData1-BrainRegion</v>
      </c>
      <c r="M44" t="str">
        <f t="array" ref="M44">IFERROR(INDEX(FileList!$A$1:$A$100,MATCH(TRUE(),EXACT(L44,_xlfn.TEXTBEFORE(FileList!$A$1:$A$100,".tsv")),0)),"notfound")</f>
        <v>notfound</v>
      </c>
      <c r="N44" s="1" t="s">
        <v>257</v>
      </c>
      <c r="U44" s="1" t="s">
        <v>183</v>
      </c>
      <c r="V44" s="1" t="s">
        <v>258</v>
      </c>
      <c r="W44" s="1" t="s">
        <v>184</v>
      </c>
      <c r="X44" s="1" t="s">
        <v>259</v>
      </c>
      <c r="AB44" s="1" t="s">
        <v>263</v>
      </c>
      <c r="AF44" s="1" t="s">
        <v>78</v>
      </c>
      <c r="AH44" s="1" t="s">
        <v>177</v>
      </c>
      <c r="AI44" s="1" t="s">
        <v>264</v>
      </c>
      <c r="AJ44" s="1" t="s">
        <v>118</v>
      </c>
      <c r="AK44" s="1" t="s">
        <v>141</v>
      </c>
      <c r="AL44" s="1" t="s">
        <v>141</v>
      </c>
      <c r="AM44" s="1" t="s">
        <v>84</v>
      </c>
    </row>
    <row r="45" ht="15" customHeight="1">
      <c r="A45" s="1" t="s">
        <v>255</v>
      </c>
      <c r="D45" s="1" t="s">
        <v>265</v>
      </c>
      <c r="E45" t="str">
        <f t="shared" si="0"/>
        <v>0</v>
      </c>
      <c r="F45" t="str">
        <f t="shared" si="1"/>
        <v>DeCasien_Higham_2019</v>
      </c>
      <c r="G45" t="str">
        <f t="shared" si="2"/>
        <v>DeCasien</v>
      </c>
      <c r="H45" t="str">
        <f t="shared" si="3"/>
        <v>Higham</v>
      </c>
      <c r="I45" t="str">
        <f t="shared" si="4"/>
        <v>2019</v>
      </c>
      <c r="J45" t="str">
        <f t="shared" si="8"/>
        <v>10.1038%2Fs41559-019-0969-0</v>
      </c>
      <c r="K45" t="str">
        <f>TRIM(_xlfn.TEXTJOIN("_",FALSE(),F45,(SUBSTITUTE(SUBSTITUTE(D46," ",""), "_", ""))))</f>
        <v>DeCasien_Higham_2019_SupplementaryData1-SocialSystem</v>
      </c>
      <c r="L45" t="str">
        <f t="shared" si="7"/>
        <v>10.1038%2Fs41559-019-0969-0_SupplementaryData1-Diet</v>
      </c>
      <c r="M45" t="str">
        <f t="array" ref="M45">IFERROR(INDEX(FileList!$A$1:$A$100,MATCH(TRUE(),EXACT(L45,_xlfn.TEXTBEFORE(FileList!$A$1:$A$100,".tsv")),0)),"notfound")</f>
        <v>notfound</v>
      </c>
      <c r="N45" s="1" t="s">
        <v>257</v>
      </c>
      <c r="U45" s="1" t="s">
        <v>183</v>
      </c>
      <c r="V45" s="1" t="s">
        <v>258</v>
      </c>
      <c r="W45" s="1" t="s">
        <v>184</v>
      </c>
      <c r="X45" s="1" t="s">
        <v>259</v>
      </c>
      <c r="AF45" s="1" t="s">
        <v>78</v>
      </c>
      <c r="AH45" s="1" t="s">
        <v>177</v>
      </c>
      <c r="AI45" s="1" t="s">
        <v>266</v>
      </c>
      <c r="AJ45" s="1" t="s">
        <v>118</v>
      </c>
      <c r="AK45" s="1" t="s">
        <v>141</v>
      </c>
      <c r="AL45" s="1" t="s">
        <v>141</v>
      </c>
      <c r="AM45" s="1" t="s">
        <v>267</v>
      </c>
    </row>
    <row r="46" ht="15.75" customHeight="1">
      <c r="A46" s="1" t="s">
        <v>255</v>
      </c>
      <c r="D46" s="1" t="s">
        <v>268</v>
      </c>
      <c r="E46" t="str">
        <f t="shared" si="0"/>
        <v>0</v>
      </c>
      <c r="F46" t="str">
        <f t="shared" si="1"/>
        <v>DeCasien_Higham_2019</v>
      </c>
      <c r="G46" t="str">
        <f t="shared" si="2"/>
        <v>DeCasien</v>
      </c>
      <c r="H46" t="str">
        <f t="shared" si="3"/>
        <v>Higham</v>
      </c>
      <c r="I46" t="str">
        <f t="shared" si="4"/>
        <v>2019</v>
      </c>
      <c r="J46" t="str">
        <f t="shared" si="8"/>
        <v>10.1038%2Fs41559-019-0969-0</v>
      </c>
      <c r="K46" t="str">
        <f t="shared" ref="K46:K77" si="9">TRIM(_xlfn.TEXTJOIN("_",FALSE(),F46,(SUBSTITUTE(SUBSTITUTE(D46," ",""), "_", ""))))</f>
        <v>DeCasien_Higham_2019_SupplementaryData1-SocialSystem</v>
      </c>
      <c r="L46" t="str">
        <f t="shared" si="7"/>
        <v>10.1038%2Fs41559-019-0969-0_SupplementaryData1-SocialSystem</v>
      </c>
      <c r="M46" t="str">
        <f t="array" ref="M46">IFERROR(INDEX(FileList!$A$1:$A$100,MATCH(TRUE(),EXACT(L46,_xlfn.TEXTBEFORE(FileList!$A$1:$A$100,".tsv")),0)),"notfound")</f>
        <v>notfound</v>
      </c>
      <c r="N46" s="1" t="s">
        <v>257</v>
      </c>
      <c r="U46" s="1" t="s">
        <v>183</v>
      </c>
      <c r="V46" s="1" t="s">
        <v>258</v>
      </c>
      <c r="W46" s="1" t="s">
        <v>184</v>
      </c>
      <c r="X46" s="1" t="s">
        <v>259</v>
      </c>
      <c r="AF46" s="1" t="s">
        <v>78</v>
      </c>
      <c r="AH46" s="1" t="s">
        <v>177</v>
      </c>
      <c r="AI46" s="1" t="s">
        <v>269</v>
      </c>
      <c r="AJ46" s="1" t="s">
        <v>118</v>
      </c>
      <c r="AK46" s="1" t="s">
        <v>141</v>
      </c>
      <c r="AL46" s="1" t="s">
        <v>141</v>
      </c>
      <c r="AM46" s="1" t="s">
        <v>270</v>
      </c>
    </row>
    <row r="47" ht="15.75" customHeight="1">
      <c r="A47" s="1" t="s">
        <v>271</v>
      </c>
      <c r="D47" s="1" t="s">
        <v>75</v>
      </c>
      <c r="E47" t="str">
        <f t="shared" si="0"/>
        <v>0</v>
      </c>
      <c r="F47" t="str">
        <f t="shared" si="1"/>
        <v>DosSantos_etal_2020</v>
      </c>
      <c r="G47" t="str">
        <f t="shared" si="2"/>
        <v>DosSantos</v>
      </c>
      <c r="H47" t="str">
        <f t="shared" si="3"/>
        <v>etal</v>
      </c>
      <c r="I47" t="str">
        <f t="shared" si="4"/>
        <v>2020</v>
      </c>
      <c r="J47" t="str">
        <f t="shared" si="8"/>
        <v>10.1523%2FJNEUROSCI.2339-19.2020</v>
      </c>
      <c r="K47" t="str">
        <f t="shared" si="9"/>
        <v>DosSantos_etal_2020_Table1</v>
      </c>
      <c r="L47" t="str">
        <f t="shared" si="7"/>
        <v>10.1523%2FJNEUROSCI.2339-19.2020_Table1</v>
      </c>
      <c r="M47" t="str">
        <f t="array" ref="M47">IFERROR(INDEX(FileList!$A$1:$A$100,MATCH(TRUE(),EXACT(L47,_xlfn.TEXTBEFORE(FileList!$A$1:$A$100,".tsv")),0)),"notfound")</f>
        <v>notfound</v>
      </c>
      <c r="O47" s="1" t="s">
        <v>272</v>
      </c>
      <c r="P47" s="1" t="s">
        <v>41</v>
      </c>
      <c r="Q47" s="1" t="s">
        <v>51</v>
      </c>
      <c r="R47" s="1" t="s">
        <v>273</v>
      </c>
      <c r="S47" s="1" t="s">
        <v>53</v>
      </c>
      <c r="T47" s="1" t="s">
        <v>274</v>
      </c>
      <c r="U47" s="1" t="s">
        <v>275</v>
      </c>
      <c r="V47" s="1" t="s">
        <v>42</v>
      </c>
      <c r="Y47" s="1" t="s">
        <v>58</v>
      </c>
      <c r="Z47" s="1" t="s">
        <v>58</v>
      </c>
      <c r="AC47" s="1" t="s">
        <v>276</v>
      </c>
      <c r="AE47" s="1" t="s">
        <v>277</v>
      </c>
      <c r="AG47" s="1" t="s">
        <v>59</v>
      </c>
      <c r="AH47" s="1" t="s">
        <v>278</v>
      </c>
      <c r="AI47" s="1" t="s">
        <v>279</v>
      </c>
      <c r="AJ47" s="1" t="s">
        <v>140</v>
      </c>
      <c r="AK47" s="1" t="s">
        <v>280</v>
      </c>
      <c r="AL47" s="1" t="s">
        <v>63</v>
      </c>
      <c r="AM47" s="1" t="s">
        <v>281</v>
      </c>
    </row>
    <row r="48" ht="15.75" customHeight="1">
      <c r="A48" s="1" t="s">
        <v>271</v>
      </c>
      <c r="D48" s="1" t="s">
        <v>282</v>
      </c>
      <c r="E48" t="str">
        <f t="shared" si="0"/>
        <v>0</v>
      </c>
      <c r="F48" t="str">
        <f t="shared" si="1"/>
        <v>DosSantos_etal_2020</v>
      </c>
      <c r="G48" t="str">
        <f t="shared" si="2"/>
        <v>DosSantos</v>
      </c>
      <c r="H48" t="str">
        <f t="shared" si="3"/>
        <v>etal</v>
      </c>
      <c r="I48" t="str">
        <f t="shared" si="4"/>
        <v>2020</v>
      </c>
      <c r="J48" t="str">
        <f t="shared" si="8"/>
        <v>10.1523%2FJNEUROSCI.2339-19.2020</v>
      </c>
      <c r="K48" t="str">
        <f t="shared" si="9"/>
        <v>DosSantos_etal_2020_unpublished</v>
      </c>
      <c r="L48" t="str">
        <f t="shared" si="7"/>
        <v>10.1523%2FJNEUROSCI.2339-19.2020_unpublished</v>
      </c>
      <c r="M48" t="str">
        <f t="array" ref="M48">IFERROR(INDEX(FileList!$A$1:$A$100,MATCH(TRUE(),EXACT(L48,_xlfn.TEXTBEFORE(FileList!$A$1:$A$100,".tsv")),0)),"notfound")</f>
        <v>notfound</v>
      </c>
      <c r="O48" s="1" t="s">
        <v>283</v>
      </c>
      <c r="P48" s="1" t="s">
        <v>41</v>
      </c>
      <c r="Q48" s="1" t="s">
        <v>51</v>
      </c>
      <c r="R48" s="1" t="s">
        <v>273</v>
      </c>
      <c r="S48" s="1" t="s">
        <v>53</v>
      </c>
      <c r="T48" s="1" t="s">
        <v>274</v>
      </c>
      <c r="U48" s="1" t="s">
        <v>275</v>
      </c>
      <c r="V48" s="1" t="s">
        <v>42</v>
      </c>
      <c r="X48" s="1" t="s">
        <v>284</v>
      </c>
      <c r="Y48" s="1" t="s">
        <v>58</v>
      </c>
      <c r="Z48" s="1" t="s">
        <v>58</v>
      </c>
      <c r="AC48" s="1" t="s">
        <v>285</v>
      </c>
      <c r="AG48" s="1" t="s">
        <v>59</v>
      </c>
      <c r="AH48" s="1" t="s">
        <v>278</v>
      </c>
      <c r="AI48" s="1" t="s">
        <v>279</v>
      </c>
      <c r="AJ48" s="1" t="s">
        <v>140</v>
      </c>
      <c r="AK48" s="1" t="s">
        <v>280</v>
      </c>
      <c r="AL48" s="1" t="s">
        <v>63</v>
      </c>
      <c r="AM48" s="1" t="s">
        <v>281</v>
      </c>
    </row>
    <row r="49" ht="15.75" customHeight="1">
      <c r="A49" s="1" t="s">
        <v>286</v>
      </c>
      <c r="D49" s="1" t="s">
        <v>198</v>
      </c>
      <c r="E49" t="str">
        <f t="shared" si="0"/>
        <v>6</v>
      </c>
      <c r="F49" t="str">
        <f t="shared" si="1"/>
        <v>DosSantos_etal_2017</v>
      </c>
      <c r="G49" t="str">
        <f t="shared" si="2"/>
        <v>DosSantos</v>
      </c>
      <c r="H49" t="str">
        <f t="shared" si="3"/>
        <v>etal</v>
      </c>
      <c r="I49" t="str">
        <f t="shared" si="4"/>
        <v>2017</v>
      </c>
      <c r="J49" t="str">
        <f t="shared" si="8"/>
        <v>10.1159%2F000452856</v>
      </c>
      <c r="K49" t="str">
        <f t="shared" si="9"/>
        <v>DosSantos_etal_2017_TableS1</v>
      </c>
      <c r="L49" t="str">
        <f t="shared" si="7"/>
        <v>10.1159%2F000452856_TableS1</v>
      </c>
      <c r="M49" t="str">
        <f t="array" ref="M49">IFERROR(INDEX(FileList!$A$1:$A$100,MATCH(TRUE(),EXACT(L49,_xlfn.TEXTBEFORE(FileList!$A$1:$A$100,".tsv")),0)),"notfound")</f>
        <v>10.1159%2F000452856_TableS1.tsv</v>
      </c>
      <c r="O49" s="1" t="s">
        <v>287</v>
      </c>
      <c r="P49" s="1" t="s">
        <v>41</v>
      </c>
      <c r="Q49" s="1" t="s">
        <v>51</v>
      </c>
      <c r="R49" s="1" t="s">
        <v>288</v>
      </c>
      <c r="S49" s="1" t="s">
        <v>53</v>
      </c>
      <c r="T49" s="1" t="s">
        <v>289</v>
      </c>
      <c r="U49" s="1" t="s">
        <v>290</v>
      </c>
      <c r="V49" s="1" t="s">
        <v>291</v>
      </c>
      <c r="W49" s="1" t="s">
        <v>184</v>
      </c>
      <c r="X49" s="1" t="s">
        <v>292</v>
      </c>
      <c r="Y49" s="1" t="s">
        <v>58</v>
      </c>
      <c r="Z49" s="1" t="s">
        <v>58</v>
      </c>
      <c r="AC49" s="1" t="s">
        <v>293</v>
      </c>
      <c r="AG49" s="1" t="s">
        <v>59</v>
      </c>
      <c r="AH49" s="1" t="s">
        <v>294</v>
      </c>
      <c r="AI49" s="1" t="s">
        <v>279</v>
      </c>
      <c r="AJ49" s="1" t="s">
        <v>295</v>
      </c>
      <c r="AK49" s="1" t="s">
        <v>63</v>
      </c>
      <c r="AL49" s="1" t="s">
        <v>63</v>
      </c>
      <c r="AM49" s="1" t="s">
        <v>64</v>
      </c>
    </row>
    <row r="50" ht="15.75" customHeight="1">
      <c r="A50" s="1" t="s">
        <v>296</v>
      </c>
      <c r="D50" s="1" t="s">
        <v>49</v>
      </c>
      <c r="E50" t="str">
        <f t="shared" si="0"/>
        <v>3</v>
      </c>
      <c r="F50" t="str">
        <f t="shared" si="1"/>
        <v>Eagleman_Vaughn_2021</v>
      </c>
      <c r="G50" t="str">
        <f t="shared" si="2"/>
        <v>Eagleman</v>
      </c>
      <c r="H50" t="str">
        <f t="shared" si="3"/>
        <v>Vaughn</v>
      </c>
      <c r="I50" t="str">
        <f t="shared" si="4"/>
        <v>2021</v>
      </c>
      <c r="J50" t="str">
        <f t="shared" si="8"/>
        <v>10.3389%2Ffnins.2021.632853</v>
      </c>
      <c r="K50" t="str">
        <f t="shared" si="9"/>
        <v>Eagleman_Vaughn_2021_TABLE1</v>
      </c>
      <c r="L50" t="str">
        <f t="shared" si="7"/>
        <v>10.3389%2Ffnins.2021.632853_TABLE1</v>
      </c>
      <c r="M50" t="str">
        <f t="array" ref="M50">IFERROR(INDEX(FileList!$A$1:$A$100,MATCH(TRUE(),EXACT(L50,_xlfn.TEXTBEFORE(FileList!$A$1:$A$100,".tsv")),0)),"notfound")</f>
        <v>notfound</v>
      </c>
      <c r="N50" s="1" t="s">
        <v>297</v>
      </c>
      <c r="U50" s="1" t="s">
        <v>55</v>
      </c>
      <c r="AI50" s="1" t="s">
        <v>298</v>
      </c>
      <c r="AJ50" s="1" t="s">
        <v>140</v>
      </c>
      <c r="AK50" s="1" t="s">
        <v>141</v>
      </c>
      <c r="AL50" s="1" t="s">
        <v>141</v>
      </c>
      <c r="AM50" s="1" t="s">
        <v>299</v>
      </c>
    </row>
    <row r="51" ht="15.75" customHeight="1">
      <c r="A51" s="1" t="s">
        <v>300</v>
      </c>
      <c r="D51" s="1" t="s">
        <v>49</v>
      </c>
      <c r="E51" t="str">
        <f t="shared" si="0"/>
        <v>5</v>
      </c>
      <c r="F51" t="str">
        <f t="shared" si="1"/>
        <v>Falcone_etal_2019</v>
      </c>
      <c r="G51" t="str">
        <f t="shared" si="2"/>
        <v>Falcone</v>
      </c>
      <c r="H51" t="str">
        <f t="shared" si="3"/>
        <v>etal</v>
      </c>
      <c r="I51" t="str">
        <f t="shared" si="4"/>
        <v>2019</v>
      </c>
      <c r="J51" t="str">
        <f t="shared" si="8"/>
        <v>10.1002%2Fcne.24605</v>
      </c>
      <c r="K51" t="str">
        <f t="shared" si="9"/>
        <v>Falcone_etal_2019_TABLE1</v>
      </c>
      <c r="L51" t="str">
        <f t="shared" si="7"/>
        <v>10.1002%2Fcne.24605_TABLE1</v>
      </c>
      <c r="M51" t="str">
        <f t="array" ref="M51">IFERROR(INDEX(FileList!$A$1:$A$100,MATCH(TRUE(),EXACT(L51,_xlfn.TEXTBEFORE(FileList!$A$1:$A$100,".tsv")),0)),"notfound")</f>
        <v>10.1002%2Fcne.24605_TABLE1.tsv</v>
      </c>
      <c r="N51" s="1" t="s">
        <v>301</v>
      </c>
      <c r="U51" s="1" t="s">
        <v>55</v>
      </c>
      <c r="AI51" s="1" t="s">
        <v>302</v>
      </c>
      <c r="AJ51" s="1" t="s">
        <v>303</v>
      </c>
      <c r="AK51" s="1" t="s">
        <v>63</v>
      </c>
      <c r="AL51" s="1" t="s">
        <v>63</v>
      </c>
      <c r="AM51" s="1" t="s">
        <v>304</v>
      </c>
    </row>
    <row r="52" ht="15.75" customHeight="1">
      <c r="A52" s="1" t="s">
        <v>300</v>
      </c>
      <c r="D52" s="1" t="s">
        <v>92</v>
      </c>
      <c r="E52" t="str">
        <f t="shared" si="0"/>
        <v>5</v>
      </c>
      <c r="F52" t="str">
        <f t="shared" si="1"/>
        <v>Falcone_etal_2019</v>
      </c>
      <c r="G52" t="str">
        <f t="shared" si="2"/>
        <v>Falcone</v>
      </c>
      <c r="H52" t="str">
        <f t="shared" si="3"/>
        <v>etal</v>
      </c>
      <c r="I52" t="str">
        <f t="shared" si="4"/>
        <v>2019</v>
      </c>
      <c r="J52" t="str">
        <f t="shared" si="8"/>
        <v>10.1002%2Fcne.24605</v>
      </c>
      <c r="K52" t="str">
        <f t="shared" si="9"/>
        <v>Falcone_etal_2019_TABLE2</v>
      </c>
      <c r="L52" t="str">
        <f t="shared" si="7"/>
        <v>10.1002%2Fcne.24605_TABLE2</v>
      </c>
      <c r="M52" t="str">
        <f t="array" ref="M52">IFERROR(INDEX(FileList!$A$1:$A$100,MATCH(TRUE(),EXACT(L52,_xlfn.TEXTBEFORE(FileList!$A$1:$A$100,".tsv")),0)),"notfound")</f>
        <v>10.1002%2Fcne.24605_TABLE2.tsv</v>
      </c>
      <c r="N52" s="1" t="s">
        <v>305</v>
      </c>
      <c r="U52" s="1" t="s">
        <v>55</v>
      </c>
      <c r="AI52" s="1" t="s">
        <v>302</v>
      </c>
      <c r="AJ52" s="1" t="s">
        <v>303</v>
      </c>
      <c r="AK52" s="1" t="s">
        <v>63</v>
      </c>
      <c r="AL52" s="1" t="s">
        <v>63</v>
      </c>
      <c r="AM52" s="1" t="s">
        <v>304</v>
      </c>
    </row>
    <row r="53" ht="15.75" customHeight="1">
      <c r="A53" s="1" t="s">
        <v>306</v>
      </c>
      <c r="D53" s="1" t="s">
        <v>307</v>
      </c>
      <c r="E53" t="str">
        <f t="shared" si="0"/>
        <v>6</v>
      </c>
      <c r="F53" t="str">
        <f t="shared" si="1"/>
        <v>Finlay_etal_2006</v>
      </c>
      <c r="G53" t="str">
        <f t="shared" si="2"/>
        <v>Finlay</v>
      </c>
      <c r="H53" t="str">
        <f t="shared" si="3"/>
        <v>etal</v>
      </c>
      <c r="I53" t="str">
        <f t="shared" si="4"/>
        <v>2006</v>
      </c>
      <c r="J53" t="str">
        <f t="shared" si="8"/>
        <v>10.1093%2Foso%2F9780198568742.003.0006</v>
      </c>
      <c r="K53" t="str">
        <f t="shared" si="9"/>
        <v>Finlay_etal_2006_Table6.1</v>
      </c>
      <c r="L53" t="str">
        <f t="shared" si="7"/>
        <v>10.1093%2Foso%2F9780198568742.003.0006_Table6.1</v>
      </c>
      <c r="M53" t="str">
        <f t="array" ref="M53">IFERROR(INDEX(FileList!$A$1:$A$100,MATCH(TRUE(),EXACT(L53,_xlfn.TEXTBEFORE(FileList!$A$1:$A$100,".tsv")),0)),"notfound")</f>
        <v>10.1093%2Foso%2F9780198568742.003.0006_Table6.1.tsv</v>
      </c>
      <c r="P53" s="1" t="s">
        <v>201</v>
      </c>
      <c r="Q53" s="1" t="s">
        <v>202</v>
      </c>
      <c r="R53" s="1" t="s">
        <v>308</v>
      </c>
      <c r="S53" s="1" t="s">
        <v>53</v>
      </c>
      <c r="T53" s="1" t="s">
        <v>309</v>
      </c>
      <c r="U53" s="1" t="s">
        <v>55</v>
      </c>
      <c r="V53" s="1" t="s">
        <v>42</v>
      </c>
      <c r="W53" s="1" t="s">
        <v>191</v>
      </c>
      <c r="X53" s="1" t="s">
        <v>310</v>
      </c>
      <c r="AB53" s="1" t="s">
        <v>207</v>
      </c>
      <c r="AH53" s="1" t="s">
        <v>138</v>
      </c>
      <c r="AI53" s="1" t="s">
        <v>311</v>
      </c>
      <c r="AJ53" s="1" t="s">
        <v>140</v>
      </c>
      <c r="AK53" s="1" t="s">
        <v>209</v>
      </c>
      <c r="AL53" s="1" t="s">
        <v>141</v>
      </c>
      <c r="AM53" s="1" t="s">
        <v>312</v>
      </c>
    </row>
    <row r="54" ht="15.75" customHeight="1">
      <c r="A54" s="1" t="s">
        <v>313</v>
      </c>
      <c r="C54" s="1" t="s">
        <v>314</v>
      </c>
      <c r="D54" s="1" t="s">
        <v>75</v>
      </c>
      <c r="E54" t="str">
        <f t="shared" si="0"/>
        <v>8</v>
      </c>
      <c r="F54" t="str">
        <f t="shared" si="1"/>
        <v>Frahm_Zilles_1994</v>
      </c>
      <c r="G54" t="str">
        <f t="shared" si="2"/>
        <v>Frahm</v>
      </c>
      <c r="H54" t="str">
        <f t="shared" si="3"/>
        <v>Zilles</v>
      </c>
      <c r="I54" t="str">
        <f t="shared" si="4"/>
        <v>1994</v>
      </c>
      <c r="J54" t="str">
        <f t="shared" si="8"/>
        <v>PMID%3A7983368</v>
      </c>
      <c r="K54" t="str">
        <f t="shared" si="9"/>
        <v>Frahm_Zilles_1994_Table1</v>
      </c>
      <c r="L54" t="str">
        <f t="shared" si="7"/>
        <v>PMID%3A7983368_Table1</v>
      </c>
      <c r="M54" t="str">
        <f t="array" ref="M54">IFERROR(INDEX(FileList!$A$1:$A$100,MATCH(TRUE(),EXACT(L54,_xlfn.TEXTBEFORE(FileList!$A$1:$A$100,".tsv")),0)),"notfound")</f>
        <v>notfound</v>
      </c>
      <c r="N54" s="1" t="s">
        <v>315</v>
      </c>
      <c r="V54" s="1" t="s">
        <v>42</v>
      </c>
      <c r="W54" s="1" t="s">
        <v>104</v>
      </c>
      <c r="Y54" s="1" t="s">
        <v>99</v>
      </c>
      <c r="Z54" s="1" t="s">
        <v>99</v>
      </c>
      <c r="AF54" s="1" t="s">
        <v>78</v>
      </c>
      <c r="AG54" s="1" t="s">
        <v>112</v>
      </c>
      <c r="AI54" s="1" t="s">
        <v>316</v>
      </c>
      <c r="AJ54" s="1" t="s">
        <v>101</v>
      </c>
      <c r="AK54" s="1" t="s">
        <v>63</v>
      </c>
      <c r="AL54" s="1" t="s">
        <v>63</v>
      </c>
      <c r="AM54" s="1" t="s">
        <v>84</v>
      </c>
    </row>
    <row r="55" ht="15.75" customHeight="1">
      <c r="A55" s="1" t="s">
        <v>313</v>
      </c>
      <c r="C55" s="1" t="s">
        <v>314</v>
      </c>
      <c r="D55" s="1" t="s">
        <v>119</v>
      </c>
      <c r="E55" t="str">
        <f t="shared" si="0"/>
        <v>8</v>
      </c>
      <c r="F55" t="str">
        <f t="shared" si="1"/>
        <v>Frahm_Zilles_1994</v>
      </c>
      <c r="G55" t="str">
        <f t="shared" si="2"/>
        <v>Frahm</v>
      </c>
      <c r="H55" t="str">
        <f t="shared" si="3"/>
        <v>Zilles</v>
      </c>
      <c r="I55" t="str">
        <f t="shared" si="4"/>
        <v>1994</v>
      </c>
      <c r="J55" t="str">
        <f t="shared" si="8"/>
        <v>PMID%3A7983368</v>
      </c>
      <c r="K55" t="str">
        <f t="shared" si="9"/>
        <v>Frahm_Zilles_1994_Table2</v>
      </c>
      <c r="L55" t="str">
        <f t="shared" si="7"/>
        <v>PMID%3A7983368_Table2</v>
      </c>
      <c r="M55" t="str">
        <f t="array" ref="M55">IFERROR(INDEX(FileList!$A$1:$A$100,MATCH(TRUE(),EXACT(L55,_xlfn.TEXTBEFORE(FileList!$A$1:$A$100,".tsv")),0)),"notfound")</f>
        <v>notfound</v>
      </c>
    </row>
    <row r="56" ht="15.75" customHeight="1">
      <c r="A56" s="1" t="s">
        <v>317</v>
      </c>
      <c r="C56" s="1" t="s">
        <v>318</v>
      </c>
      <c r="D56" s="1" t="s">
        <v>75</v>
      </c>
      <c r="E56" t="str">
        <f t="shared" si="0"/>
        <v>3</v>
      </c>
      <c r="F56" t="str">
        <f t="shared" si="1"/>
        <v>Frahm_etal_1997</v>
      </c>
      <c r="G56" t="str">
        <f t="shared" si="2"/>
        <v>Frahm</v>
      </c>
      <c r="H56" t="str">
        <f t="shared" si="3"/>
        <v>etal</v>
      </c>
      <c r="I56" t="str">
        <f t="shared" si="4"/>
        <v>1997</v>
      </c>
      <c r="J56" t="str">
        <f t="shared" si="8"/>
        <v>PMID%3A9176733</v>
      </c>
      <c r="K56" t="str">
        <f t="shared" si="9"/>
        <v>Frahm_etal_1997_Table1</v>
      </c>
      <c r="L56" t="str">
        <f t="shared" si="7"/>
        <v>PMID%3A9176733_Table1</v>
      </c>
      <c r="M56" t="str">
        <f t="array" ref="M56">IFERROR(INDEX(FileList!$A$1:$A$100,MATCH(TRUE(),EXACT(L56,_xlfn.TEXTBEFORE(FileList!$A$1:$A$100,".tsv")),0)),"notfound")</f>
        <v>notfound</v>
      </c>
      <c r="N56" s="1" t="s">
        <v>319</v>
      </c>
      <c r="V56" s="1" t="s">
        <v>42</v>
      </c>
      <c r="W56" s="1" t="s">
        <v>104</v>
      </c>
      <c r="Y56" s="1" t="s">
        <v>99</v>
      </c>
      <c r="Z56" s="1" t="s">
        <v>99</v>
      </c>
      <c r="AF56" s="1" t="s">
        <v>78</v>
      </c>
      <c r="AG56" s="1" t="s">
        <v>112</v>
      </c>
      <c r="AI56" s="1" t="s">
        <v>320</v>
      </c>
      <c r="AJ56" s="1" t="s">
        <v>101</v>
      </c>
      <c r="AK56" s="1" t="s">
        <v>63</v>
      </c>
      <c r="AL56" s="1" t="s">
        <v>63</v>
      </c>
      <c r="AM56" s="1" t="s">
        <v>84</v>
      </c>
    </row>
    <row r="57" ht="18.75" customHeight="1">
      <c r="A57" s="1" t="s">
        <v>321</v>
      </c>
      <c r="C57" s="1" t="s">
        <v>322</v>
      </c>
      <c r="D57" s="1" t="s">
        <v>75</v>
      </c>
      <c r="E57" t="str">
        <f t="shared" si="0"/>
        <v>9</v>
      </c>
      <c r="F57" t="str">
        <f t="shared" si="1"/>
        <v>Frahm_etal_1984</v>
      </c>
      <c r="G57" t="str">
        <f t="shared" si="2"/>
        <v>Frahm</v>
      </c>
      <c r="H57" t="str">
        <f t="shared" si="3"/>
        <v>etal</v>
      </c>
      <c r="I57" t="str">
        <f t="shared" si="4"/>
        <v>1984</v>
      </c>
      <c r="J57" t="str">
        <f t="shared" si="8"/>
        <v>PMID%3A6501869</v>
      </c>
      <c r="K57" t="str">
        <f t="shared" si="9"/>
        <v>Frahm_etal_1984_Table1</v>
      </c>
      <c r="L57" t="str">
        <f t="shared" si="7"/>
        <v>PMID%3A6501869_Table1</v>
      </c>
      <c r="M57" t="str">
        <f t="array" ref="M57">IFERROR(INDEX(FileList!$A$1:$A$100,MATCH(TRUE(),EXACT(L57,_xlfn.TEXTBEFORE(FileList!$A$1:$A$100,".tsv")),0)),"notfound")</f>
        <v>notfound</v>
      </c>
      <c r="N57" s="1" t="s">
        <v>323</v>
      </c>
      <c r="V57" s="1" t="s">
        <v>42</v>
      </c>
      <c r="W57" s="1" t="s">
        <v>104</v>
      </c>
      <c r="Y57" s="1" t="s">
        <v>99</v>
      </c>
      <c r="Z57" s="1" t="s">
        <v>99</v>
      </c>
      <c r="AF57" s="1" t="s">
        <v>78</v>
      </c>
      <c r="AG57" s="1" t="s">
        <v>112</v>
      </c>
      <c r="AI57" s="1" t="s">
        <v>324</v>
      </c>
      <c r="AJ57" s="1" t="s">
        <v>101</v>
      </c>
      <c r="AK57" s="1" t="s">
        <v>63</v>
      </c>
      <c r="AL57" s="1" t="s">
        <v>63</v>
      </c>
      <c r="AM57" s="1" t="s">
        <v>84</v>
      </c>
    </row>
    <row r="58" ht="16.5" customHeight="1">
      <c r="A58" s="1" t="s">
        <v>325</v>
      </c>
      <c r="C58" s="1" t="s">
        <v>326</v>
      </c>
      <c r="D58" s="1" t="s">
        <v>119</v>
      </c>
      <c r="E58" t="str">
        <f t="shared" si="0"/>
        <v>7</v>
      </c>
      <c r="F58" t="str">
        <f t="shared" si="1"/>
        <v>Frahm_etal_1982</v>
      </c>
      <c r="G58" t="str">
        <f t="shared" si="2"/>
        <v>Frahm</v>
      </c>
      <c r="H58" t="str">
        <f t="shared" si="3"/>
        <v>etal</v>
      </c>
      <c r="I58" t="str">
        <f t="shared" si="4"/>
        <v>1982</v>
      </c>
      <c r="J58" t="str">
        <f t="shared" si="8"/>
        <v>PMID%3A7161477</v>
      </c>
      <c r="K58" t="str">
        <f t="shared" si="9"/>
        <v>Frahm_etal_1982_Table2</v>
      </c>
      <c r="L58" t="str">
        <f t="shared" si="7"/>
        <v>PMID%3A7161477_Table2</v>
      </c>
      <c r="M58" t="str">
        <f t="array" ref="M58">IFERROR(INDEX(FileList!$A$1:$A$100,MATCH(TRUE(),EXACT(L58,_xlfn.TEXTBEFORE(FileList!$A$1:$A$100,".tsv")),0)),"notfound")</f>
        <v>notfound</v>
      </c>
      <c r="N58" s="1" t="s">
        <v>327</v>
      </c>
      <c r="V58" s="1" t="s">
        <v>42</v>
      </c>
      <c r="W58" s="1" t="s">
        <v>104</v>
      </c>
      <c r="Y58" s="1" t="s">
        <v>99</v>
      </c>
      <c r="Z58" s="1" t="s">
        <v>99</v>
      </c>
      <c r="AF58" s="1" t="s">
        <v>78</v>
      </c>
      <c r="AG58" s="1" t="s">
        <v>112</v>
      </c>
      <c r="AI58" s="1" t="s">
        <v>328</v>
      </c>
      <c r="AJ58" s="1" t="s">
        <v>101</v>
      </c>
      <c r="AK58" s="1" t="s">
        <v>63</v>
      </c>
      <c r="AL58" s="1" t="s">
        <v>63</v>
      </c>
      <c r="AM58" s="1" t="s">
        <v>84</v>
      </c>
    </row>
    <row r="59" ht="16.5" customHeight="1">
      <c r="A59" s="1" t="s">
        <v>329</v>
      </c>
      <c r="C59" s="1" t="s">
        <v>330</v>
      </c>
      <c r="D59" s="1" t="s">
        <v>75</v>
      </c>
      <c r="E59" t="str">
        <f t="shared" si="0"/>
        <v>0</v>
      </c>
      <c r="F59" t="str">
        <f t="shared" si="1"/>
        <v>Frahm_etal_1998</v>
      </c>
      <c r="G59" t="str">
        <f t="shared" si="2"/>
        <v>Frahm</v>
      </c>
      <c r="H59" t="str">
        <f t="shared" si="3"/>
        <v>etal</v>
      </c>
      <c r="I59" t="str">
        <f t="shared" si="4"/>
        <v>1998</v>
      </c>
      <c r="J59" t="str">
        <f t="shared" si="8"/>
        <v>PMID%3A9672110</v>
      </c>
      <c r="K59" t="str">
        <f t="shared" si="9"/>
        <v>Frahm_etal_1998_Table1</v>
      </c>
      <c r="L59" t="str">
        <f t="shared" si="7"/>
        <v>PMID%3A9672110_Table1</v>
      </c>
      <c r="M59" t="str">
        <f t="array" ref="M59">IFERROR(INDEX(FileList!$A$1:$A$100,MATCH(TRUE(),EXACT(L59,_xlfn.TEXTBEFORE(FileList!$A$1:$A$100,".tsv")),0)),"notfound")</f>
        <v>notfound</v>
      </c>
      <c r="N59" s="1" t="s">
        <v>331</v>
      </c>
      <c r="V59" s="1" t="s">
        <v>42</v>
      </c>
      <c r="W59" s="1" t="s">
        <v>104</v>
      </c>
      <c r="Y59" s="1" t="s">
        <v>99</v>
      </c>
      <c r="Z59" s="1" t="s">
        <v>99</v>
      </c>
      <c r="AF59" s="1" t="s">
        <v>78</v>
      </c>
      <c r="AG59" s="1" t="s">
        <v>112</v>
      </c>
      <c r="AI59" s="1" t="s">
        <v>332</v>
      </c>
      <c r="AJ59" s="1" t="s">
        <v>101</v>
      </c>
      <c r="AK59" s="1" t="s">
        <v>63</v>
      </c>
      <c r="AL59" s="1" t="s">
        <v>63</v>
      </c>
      <c r="AM59" s="1" t="s">
        <v>84</v>
      </c>
    </row>
    <row r="60" ht="16.5" customHeight="1">
      <c r="A60" s="1" t="s">
        <v>333</v>
      </c>
      <c r="D60" s="1" t="s">
        <v>75</v>
      </c>
      <c r="E60" t="str">
        <f t="shared" si="0"/>
        <v>x</v>
      </c>
      <c r="F60" t="str">
        <f t="shared" si="1"/>
        <v>Fu_etal_2013</v>
      </c>
      <c r="G60" t="str">
        <f t="shared" si="2"/>
        <v>Fu</v>
      </c>
      <c r="H60" t="str">
        <f t="shared" si="3"/>
        <v>etal</v>
      </c>
      <c r="I60" t="str">
        <f t="shared" si="4"/>
        <v>2013</v>
      </c>
      <c r="J60" t="str">
        <f t="shared" si="8"/>
        <v>10.1007%2Fs00429-012-0462-x</v>
      </c>
      <c r="K60" t="str">
        <f t="shared" si="9"/>
        <v>Fu_etal_2013_Table1</v>
      </c>
      <c r="L60" t="str">
        <f t="shared" si="7"/>
        <v>10.1007%2Fs00429-012-0462-x_Table1</v>
      </c>
      <c r="M60" t="str">
        <f t="array" ref="M60">IFERROR(INDEX(FileList!$A$1:$A$100,MATCH(TRUE(),EXACT(L60,_xlfn.TEXTBEFORE(FileList!$A$1:$A$100,".tsv")),0)),"notfound")</f>
        <v>notfound</v>
      </c>
      <c r="N60" s="1" t="s">
        <v>334</v>
      </c>
      <c r="P60" s="1" t="s">
        <v>335</v>
      </c>
      <c r="AA60" s="1" t="s">
        <v>148</v>
      </c>
      <c r="AJ60" s="1" t="s">
        <v>43</v>
      </c>
      <c r="AK60" s="1" t="s">
        <v>336</v>
      </c>
      <c r="AL60" s="1" t="s">
        <v>43</v>
      </c>
      <c r="AM60" s="1" t="s">
        <v>43</v>
      </c>
    </row>
    <row r="61" ht="16.5" customHeight="1">
      <c r="A61" s="1" t="s">
        <v>337</v>
      </c>
      <c r="D61" s="1" t="s">
        <v>198</v>
      </c>
      <c r="E61" t="str">
        <f t="shared" si="0"/>
        <v>6</v>
      </c>
      <c r="F61" t="str">
        <f t="shared" si="1"/>
        <v>Garwicz_etal_2009</v>
      </c>
      <c r="G61" t="str">
        <f t="shared" si="2"/>
        <v>Garwicz</v>
      </c>
      <c r="H61" t="str">
        <f t="shared" si="3"/>
        <v>etal</v>
      </c>
      <c r="I61" t="str">
        <f t="shared" si="4"/>
        <v>2009</v>
      </c>
      <c r="J61" t="str">
        <f t="shared" si="8"/>
        <v>10.1073%2Fpnas.0905777106</v>
      </c>
      <c r="K61" t="str">
        <f t="shared" si="9"/>
        <v>Garwicz_etal_2009_TableS1</v>
      </c>
      <c r="L61" t="str">
        <f t="shared" si="7"/>
        <v>10.1073%2Fpnas.0905777106_TableS1</v>
      </c>
      <c r="M61" t="str">
        <f t="array" ref="M61">IFERROR(INDEX(FileList!$A$1:$A$100,MATCH(TRUE(),EXACT(L61,_xlfn.TEXTBEFORE(FileList!$A$1:$A$100,".tsv")),0)),"notfound")</f>
        <v>10.1073%2Fpnas.0905777106_TableS1.tsv</v>
      </c>
      <c r="N61" s="1" t="s">
        <v>338</v>
      </c>
      <c r="U61" s="1" t="s">
        <v>55</v>
      </c>
      <c r="W61" s="1" t="s">
        <v>184</v>
      </c>
      <c r="X61" s="1" t="s">
        <v>339</v>
      </c>
      <c r="AJ61" s="1" t="s">
        <v>140</v>
      </c>
      <c r="AL61" s="1" t="s">
        <v>141</v>
      </c>
      <c r="AM61" s="1" t="s">
        <v>340</v>
      </c>
    </row>
    <row r="62" ht="16.5" customHeight="1">
      <c r="A62" s="1" t="s">
        <v>337</v>
      </c>
      <c r="D62" s="1" t="s">
        <v>341</v>
      </c>
      <c r="E62" t="str">
        <f t="shared" si="0"/>
        <v>6</v>
      </c>
      <c r="F62" t="str">
        <f t="shared" si="1"/>
        <v>Garwicz_etal_2009</v>
      </c>
      <c r="G62" t="str">
        <f t="shared" si="2"/>
        <v>Garwicz</v>
      </c>
      <c r="H62" t="str">
        <f t="shared" si="3"/>
        <v>etal</v>
      </c>
      <c r="I62" t="str">
        <f t="shared" si="4"/>
        <v>2009</v>
      </c>
      <c r="J62" t="str">
        <f t="shared" si="8"/>
        <v>10.1073%2Fpnas.0905777106</v>
      </c>
      <c r="K62" t="str">
        <f t="shared" si="9"/>
        <v>Garwicz_etal_2009_TableS2</v>
      </c>
      <c r="L62" t="str">
        <f t="shared" si="7"/>
        <v>10.1073%2Fpnas.0905777106_TableS2</v>
      </c>
      <c r="M62" t="str">
        <f t="array" ref="M62">IFERROR(INDEX(FileList!$A$1:$A$100,MATCH(TRUE(),EXACT(L62,_xlfn.TEXTBEFORE(FileList!$A$1:$A$100,".tsv")),0)),"notfound")</f>
        <v>notfound</v>
      </c>
      <c r="N62" s="1" t="s">
        <v>342</v>
      </c>
      <c r="U62" s="1" t="s">
        <v>55</v>
      </c>
      <c r="W62" s="1" t="s">
        <v>184</v>
      </c>
      <c r="X62" s="1" t="s">
        <v>339</v>
      </c>
      <c r="AJ62" s="1" t="s">
        <v>140</v>
      </c>
      <c r="AL62" s="1" t="s">
        <v>141</v>
      </c>
      <c r="AM62" s="1" t="s">
        <v>340</v>
      </c>
    </row>
    <row r="63" ht="15.75" customHeight="1">
      <c r="A63" s="1" t="s">
        <v>343</v>
      </c>
      <c r="D63" s="1" t="s">
        <v>341</v>
      </c>
      <c r="E63" t="str">
        <f t="shared" si="0"/>
        <v>0</v>
      </c>
      <c r="F63" t="str">
        <f t="shared" si="1"/>
        <v>Genoud_etal_2018</v>
      </c>
      <c r="G63" t="str">
        <f t="shared" si="2"/>
        <v>Genoud</v>
      </c>
      <c r="H63" t="str">
        <f t="shared" si="3"/>
        <v>etal</v>
      </c>
      <c r="I63" t="str">
        <f t="shared" si="4"/>
        <v>2018</v>
      </c>
      <c r="J63" t="str">
        <f t="shared" si="8"/>
        <v>10.1111%2Fbrv.12350</v>
      </c>
      <c r="K63" t="str">
        <f t="shared" si="9"/>
        <v>Genoud_etal_2018_TableS2</v>
      </c>
      <c r="L63" t="str">
        <f t="shared" si="7"/>
        <v>10.1111%2Fbrv.12350_TableS2</v>
      </c>
      <c r="M63" t="str">
        <f t="array" ref="M63">IFERROR(INDEX(FileList!$A$1:$A$100,MATCH(TRUE(),EXACT(L63,_xlfn.TEXTBEFORE(FileList!$A$1:$A$100,".tsv")),0)),"notfound")</f>
        <v>notfound</v>
      </c>
      <c r="N63" s="1" t="s">
        <v>344</v>
      </c>
      <c r="P63" s="1" t="s">
        <v>335</v>
      </c>
      <c r="AA63" s="1" t="s">
        <v>345</v>
      </c>
      <c r="AJ63" s="1" t="s">
        <v>43</v>
      </c>
      <c r="AL63" s="1" t="s">
        <v>43</v>
      </c>
      <c r="AM63" s="1" t="s">
        <v>43</v>
      </c>
    </row>
    <row r="64" ht="15.75" customHeight="1">
      <c r="A64" s="1" t="s">
        <v>346</v>
      </c>
      <c r="D64" s="1" t="s">
        <v>198</v>
      </c>
      <c r="E64" t="str">
        <f t="shared" si="0"/>
        <v>8</v>
      </c>
      <c r="F64" t="str">
        <f t="shared" si="1"/>
        <v>Granatosky__2018</v>
      </c>
      <c r="G64" t="str">
        <f t="shared" si="2"/>
        <v>Granatosky</v>
      </c>
      <c r="H64" t="str">
        <f t="shared" si="3"/>
      </c>
      <c r="I64" t="str">
        <f t="shared" si="4"/>
        <v>2018</v>
      </c>
      <c r="J64" t="str">
        <f t="shared" si="8"/>
        <v>10.1111%2Fjzo.12608</v>
      </c>
      <c r="K64" t="str">
        <f t="shared" si="9"/>
        <v>Granatosky__2018_TableS1</v>
      </c>
      <c r="L64" t="str">
        <f t="shared" si="7"/>
        <v>10.1111%2Fjzo.12608_TableS1</v>
      </c>
      <c r="M64" t="str">
        <f t="array" ref="M64">IFERROR(INDEX(FileList!$A$1:$A$100,MATCH(TRUE(),EXACT(L64,_xlfn.TEXTBEFORE(FileList!$A$1:$A$100,".tsv")),0)),"notfound")</f>
        <v>notfound</v>
      </c>
      <c r="N64" s="1" t="s">
        <v>347</v>
      </c>
      <c r="P64" s="1" t="s">
        <v>335</v>
      </c>
      <c r="X64" s="1" t="s">
        <v>348</v>
      </c>
      <c r="AJ64" s="1" t="s">
        <v>140</v>
      </c>
      <c r="AL64" s="1" t="s">
        <v>141</v>
      </c>
      <c r="AM64" s="1" t="s">
        <v>349</v>
      </c>
    </row>
    <row r="65" ht="15.75" customHeight="1">
      <c r="A65" s="1" t="s">
        <v>350</v>
      </c>
      <c r="D65" s="1" t="s">
        <v>351</v>
      </c>
      <c r="E65" t="str">
        <f t="shared" si="0"/>
        <v>7</v>
      </c>
      <c r="F65" t="str">
        <f t="shared" si="1"/>
        <v>Haarlem_etal_2026</v>
      </c>
      <c r="G65" t="str">
        <f t="shared" si="2"/>
        <v>Haarlem</v>
      </c>
      <c r="H65" t="str">
        <f t="shared" si="3"/>
        <v>etal</v>
      </c>
      <c r="I65" t="str">
        <f t="shared" si="4"/>
        <v>2026</v>
      </c>
      <c r="J65" t="str">
        <f t="shared" si="8"/>
        <v>10.1038%2Fs41559-026-02994-7</v>
      </c>
      <c r="K65" t="str">
        <f t="shared" si="9"/>
        <v>Haarlem_etal_2026_CFFdataset</v>
      </c>
      <c r="L65" t="str">
        <f t="shared" si="7"/>
        <v>10.1038%2Fs41559-026-02994-7_CFFdataset</v>
      </c>
      <c r="M65" t="str">
        <f t="array" ref="M65">IFERROR(INDEX(FileList!$A$1:$A$100,MATCH(TRUE(),EXACT(L65,_xlfn.TEXTBEFORE(FileList!$A$1:$A$100,".tsv")),0)),"notfound")</f>
        <v>notfound</v>
      </c>
      <c r="N65" s="1" t="s">
        <v>351</v>
      </c>
      <c r="X65" s="1" t="s">
        <v>348</v>
      </c>
      <c r="AJ65" s="1" t="s">
        <v>43</v>
      </c>
      <c r="AL65" s="1" t="s">
        <v>43</v>
      </c>
      <c r="AM65" s="1" t="s">
        <v>43</v>
      </c>
    </row>
    <row r="66" ht="15.75" customHeight="1">
      <c r="A66" s="1" t="s">
        <v>352</v>
      </c>
      <c r="D66" s="1" t="s">
        <v>353</v>
      </c>
      <c r="E66" t="str">
        <f t="shared" ref="E66:E129" si="10">RIGHT(A66,1)</f>
        <v>4</v>
      </c>
      <c r="F66" t="str">
        <f t="shared" ref="F66:F129" si="11">G66 &amp; IF(H66&lt;&gt;"", "_" &amp; H66, "_") &amp; IF(I66&lt;&gt;"", "_" &amp; I66, "_") &amp; IF(B66&lt;&gt;"", "_" &amp; B66, "")</f>
        <v>Heffner_Masterton_1983</v>
      </c>
      <c r="G66" t="str">
        <f t="shared" ref="G66:G129" si="12">SUBSTITUTE(SUBSTITUTE(_xlfn.TEXTBEFORE(A66,","), "-", ""), " ", "")</f>
        <v>Heffner</v>
      </c>
      <c r="H66" t="str">
        <f t="shared" ref="H66:H129" si="13">_xlfn.LET(
_xlpm.authors,_xlfn.TEXTBEFORE(A66," ("&amp;I66&amp;")"),
_xlpm.hasAmp,ISNUMBER(SEARCH("&amp;",_xlpm.authors)),
_xlpm.commasBeforeAmp,IF(_xlpm.hasAmp,LEN(_xlfn.TEXTBEFORE(_xlpm.authors,"&amp;"))-LEN(SUBSTITUTE(_xlfn.TEXTBEFORE(_xlpm.authors,"&amp;"),",","")),0),
IF(NOT(_xlpm.hasAmp),"",IF(_xlpm.commasBeforeAmp&gt;2,"etal",TRIM(_xlfn.TEXTBEFORE(_xlfn.TEXTAFTER(_xlpm.authors,"&amp; "),","))))
)</f>
        <v>Masterton</v>
      </c>
      <c r="I66" t="str">
        <f t="shared" ref="I66:I129" si="14">_xlfn.TEXTBEFORE(_xlfn.TEXTAFTER(A66, "("), ")")</f>
        <v>1983</v>
      </c>
      <c r="J66" t="str">
        <f t="shared" ref="J66:J97" si="15">_xlfn.LET(
_xlpm.doi,IF(C66&lt;&gt;"",C66,_xlfn.TEXTAFTER(A66,"https://doi.org/")),
SUBSTITUTE(
SUBSTITUTE(
SUBSTITUTE(
SUBSTITUTE(
_xlpm.doi,
"/","%2F"),
":","%3A"),
"&lt;","%3C"),
"&gt;","%3E")
)</f>
        <v>10.1159%2F000121494</v>
      </c>
      <c r="K66" t="str">
        <f t="shared" si="9"/>
        <v>Heffner_Masterton_1983_TableI</v>
      </c>
      <c r="L66" t="str">
        <f t="shared" ref="L66:L129" si="16">J66 &amp; "_" &amp; SUBSTITUTE(SUBSTITUTE(SUBSTITUTE(D66,CHAR(160),"")," ",""),"_","")</f>
        <v>10.1159%2F000121494_TableI</v>
      </c>
      <c r="M66" t="str">
        <f t="array" ref="M66">IFERROR(INDEX(FileList!$A$1:$A$100,MATCH(TRUE(),EXACT(L66,_xlfn.TEXTBEFORE(FileList!$A$1:$A$100,".tsv")),0)),"notfound")</f>
        <v>notfound</v>
      </c>
      <c r="P66" s="1" t="s">
        <v>335</v>
      </c>
      <c r="Q66" s="1" t="s">
        <v>202</v>
      </c>
      <c r="T66" s="1" t="str">
        <f>IF(S66="N", R66, "write file name")</f>
        <v>write file name</v>
      </c>
      <c r="U66" s="1" t="s">
        <v>55</v>
      </c>
      <c r="V66" s="1" t="s">
        <v>42</v>
      </c>
      <c r="W66" s="1" t="s">
        <v>206</v>
      </c>
      <c r="X66" s="1" t="s">
        <v>348</v>
      </c>
      <c r="AD66" s="1" t="s">
        <v>354</v>
      </c>
      <c r="AH66" s="1" t="s">
        <v>138</v>
      </c>
      <c r="AI66" s="1" t="s">
        <v>355</v>
      </c>
      <c r="AJ66" s="1" t="s">
        <v>140</v>
      </c>
      <c r="AL66" s="1" t="s">
        <v>141</v>
      </c>
      <c r="AM66" s="1" t="s">
        <v>356</v>
      </c>
    </row>
    <row r="67" ht="15.75" customHeight="1">
      <c r="A67" s="1" t="s">
        <v>357</v>
      </c>
      <c r="D67" s="1" t="s">
        <v>353</v>
      </c>
      <c r="E67" t="str">
        <f t="shared" si="10"/>
        <v>1</v>
      </c>
      <c r="F67" t="str">
        <f t="shared" si="11"/>
        <v>Heffner_Masterton_1975</v>
      </c>
      <c r="G67" t="str">
        <f t="shared" si="12"/>
        <v>Heffner</v>
      </c>
      <c r="H67" t="str">
        <f t="shared" si="13"/>
        <v>Masterton</v>
      </c>
      <c r="I67" t="str">
        <f t="shared" si="14"/>
        <v>1975</v>
      </c>
      <c r="J67" t="str">
        <f t="shared" si="15"/>
        <v>10.1159%2F000124401</v>
      </c>
      <c r="K67" t="str">
        <f t="shared" si="9"/>
        <v>Heffner_Masterton_1975_TableI</v>
      </c>
      <c r="L67" t="str">
        <f t="shared" si="16"/>
        <v>10.1159%2F000124401_TableI</v>
      </c>
      <c r="M67" t="str">
        <f t="array" ref="M67">IFERROR(INDEX(FileList!$A$1:$A$100,MATCH(TRUE(),EXACT(L67,_xlfn.TEXTBEFORE(FileList!$A$1:$A$100,".tsv")),0)),"notfound")</f>
        <v>10.1159%2F000124401_TableI.tsv</v>
      </c>
      <c r="P67" s="1" t="s">
        <v>41</v>
      </c>
      <c r="Q67" s="1" t="s">
        <v>51</v>
      </c>
      <c r="R67" s="1" t="s">
        <v>358</v>
      </c>
      <c r="S67" s="1" t="s">
        <v>53</v>
      </c>
      <c r="T67" s="1" t="s">
        <v>359</v>
      </c>
      <c r="U67" s="1" t="s">
        <v>55</v>
      </c>
      <c r="V67" s="1" t="s">
        <v>42</v>
      </c>
      <c r="W67" s="1" t="s">
        <v>206</v>
      </c>
      <c r="X67" s="1" t="s">
        <v>348</v>
      </c>
      <c r="AA67" s="1" t="s">
        <v>360</v>
      </c>
      <c r="AH67" s="1" t="s">
        <v>138</v>
      </c>
      <c r="AI67" s="1" t="s">
        <v>355</v>
      </c>
      <c r="AJ67" s="1" t="s">
        <v>140</v>
      </c>
      <c r="AK67" s="1" t="s">
        <v>361</v>
      </c>
      <c r="AL67" s="1" t="s">
        <v>362</v>
      </c>
      <c r="AM67" s="1" t="s">
        <v>363</v>
      </c>
    </row>
    <row r="68" ht="15.75" customHeight="1">
      <c r="A68" s="1" t="s">
        <v>364</v>
      </c>
      <c r="C68" s="1" t="s">
        <v>365</v>
      </c>
      <c r="D68" s="1" t="s">
        <v>49</v>
      </c>
      <c r="E68" t="str">
        <f t="shared" si="10"/>
        <v>8</v>
      </c>
      <c r="F68" t="str">
        <f t="shared" si="11"/>
        <v>Heiss_etal_2004</v>
      </c>
      <c r="G68" t="str">
        <f t="shared" si="12"/>
        <v>Heiss</v>
      </c>
      <c r="H68" t="str">
        <f t="shared" si="13"/>
        <v>etal</v>
      </c>
      <c r="I68" t="str">
        <f t="shared" si="14"/>
        <v>2004</v>
      </c>
      <c r="J68" t="str">
        <f t="shared" si="15"/>
        <v>PMID%3A15534048</v>
      </c>
      <c r="K68" t="str">
        <f t="shared" si="9"/>
        <v>Heiss_etal_2004_TABLE1</v>
      </c>
      <c r="L68" t="str">
        <f t="shared" si="16"/>
        <v>PMID%3A15534048_TABLE1</v>
      </c>
      <c r="M68" t="str">
        <f t="array" ref="M68">IFERROR(INDEX(FileList!$A$1:$A$100,MATCH(TRUE(),EXACT(L68,_xlfn.TEXTBEFORE(FileList!$A$1:$A$100,".tsv")),0)),"notfound")</f>
        <v>notfound</v>
      </c>
      <c r="N68" s="1" t="s">
        <v>366</v>
      </c>
      <c r="X68" s="1" t="s">
        <v>348</v>
      </c>
      <c r="AI68" s="1" t="s">
        <v>367</v>
      </c>
      <c r="AJ68" s="1" t="s">
        <v>368</v>
      </c>
      <c r="AL68" s="1" t="s">
        <v>63</v>
      </c>
      <c r="AM68" s="1" t="s">
        <v>369</v>
      </c>
    </row>
    <row r="69" ht="15.75" customHeight="1">
      <c r="A69" s="1" t="s">
        <v>370</v>
      </c>
      <c r="D69" s="1" t="s">
        <v>198</v>
      </c>
      <c r="E69" t="str">
        <f t="shared" si="10"/>
        <v>8</v>
      </c>
      <c r="F69" t="str">
        <f t="shared" si="11"/>
        <v>Heldstab_etal_2016</v>
      </c>
      <c r="G69" t="str">
        <f t="shared" si="12"/>
        <v>Heldstab</v>
      </c>
      <c r="H69" t="str">
        <f t="shared" si="13"/>
        <v>etal</v>
      </c>
      <c r="I69" t="str">
        <f t="shared" si="14"/>
        <v>2016</v>
      </c>
      <c r="J69" t="str">
        <f t="shared" si="15"/>
        <v>10.1038%2Fsrep24528</v>
      </c>
      <c r="K69" t="str">
        <f t="shared" si="9"/>
        <v>Heldstab_etal_2016_TableS1</v>
      </c>
      <c r="L69" t="str">
        <f t="shared" si="16"/>
        <v>10.1038%2Fsrep24528_TableS1</v>
      </c>
      <c r="M69" t="str">
        <f t="array" ref="M69">IFERROR(INDEX(FileList!$A$1:$A$100,MATCH(TRUE(),EXACT(L69,_xlfn.TEXTBEFORE(FileList!$A$1:$A$100,".tsv")),0)),"notfound")</f>
        <v>notfound</v>
      </c>
      <c r="P69" s="1" t="s">
        <v>335</v>
      </c>
      <c r="Q69" s="1" t="s">
        <v>202</v>
      </c>
      <c r="T69" s="1" t="str">
        <f>IF(S69="N", R69, "write file name")</f>
        <v>write file name</v>
      </c>
      <c r="U69" s="1" t="s">
        <v>55</v>
      </c>
      <c r="V69" s="1" t="s">
        <v>42</v>
      </c>
      <c r="X69" s="1" t="s">
        <v>348</v>
      </c>
      <c r="AH69" s="1" t="s">
        <v>177</v>
      </c>
      <c r="AI69" s="1" t="s">
        <v>371</v>
      </c>
      <c r="AJ69" s="1" t="s">
        <v>118</v>
      </c>
      <c r="AL69" s="1" t="s">
        <v>141</v>
      </c>
      <c r="AM69" s="1" t="s">
        <v>372</v>
      </c>
    </row>
    <row r="70" ht="15.75" customHeight="1">
      <c r="A70" s="1" t="s">
        <v>373</v>
      </c>
      <c r="D70" s="1" t="s">
        <v>75</v>
      </c>
      <c r="E70" t="str">
        <f t="shared" si="10"/>
        <v>3</v>
      </c>
      <c r="F70" t="str">
        <f t="shared" si="11"/>
        <v>HerculanoHouzel__2015</v>
      </c>
      <c r="G70" t="str">
        <f t="shared" si="12"/>
        <v>HerculanoHouzel</v>
      </c>
      <c r="H70" t="str">
        <f t="shared" si="13"/>
      </c>
      <c r="I70" t="str">
        <f t="shared" si="14"/>
        <v>2015</v>
      </c>
      <c r="J70" t="str">
        <f t="shared" si="15"/>
        <v>10.1098%2Frspb.2015.1853</v>
      </c>
      <c r="K70" t="str">
        <f t="shared" si="9"/>
        <v>HerculanoHouzel__2015_Table1</v>
      </c>
      <c r="L70" t="str">
        <f t="shared" si="16"/>
        <v>10.1098%2Frspb.2015.1853_Table1</v>
      </c>
      <c r="M70" t="str">
        <f t="array" ref="M70">IFERROR(INDEX(FileList!$A$1:$A$100,MATCH(TRUE(),EXACT(L70,_xlfn.TEXTBEFORE(FileList!$A$1:$A$100,".tsv")),0)),"notfound")</f>
        <v>10.1098%2Frspb.2015.1853_Table1.tsv</v>
      </c>
      <c r="U70" s="1" t="s">
        <v>55</v>
      </c>
      <c r="V70" s="1" t="s">
        <v>42</v>
      </c>
      <c r="AI70" s="1" t="s">
        <v>374</v>
      </c>
      <c r="AJ70" s="1" t="s">
        <v>140</v>
      </c>
      <c r="AL70" s="1" t="s">
        <v>362</v>
      </c>
      <c r="AM70" s="1" t="s">
        <v>375</v>
      </c>
    </row>
    <row r="71" ht="15.75" customHeight="1">
      <c r="A71" s="1" t="s">
        <v>373</v>
      </c>
      <c r="D71" s="1" t="s">
        <v>119</v>
      </c>
      <c r="E71" t="str">
        <f t="shared" si="10"/>
        <v>3</v>
      </c>
      <c r="F71" t="str">
        <f t="shared" si="11"/>
        <v>HerculanoHouzel__2015</v>
      </c>
      <c r="G71" t="str">
        <f t="shared" si="12"/>
        <v>HerculanoHouzel</v>
      </c>
      <c r="H71" t="str">
        <f t="shared" si="13"/>
      </c>
      <c r="I71" t="str">
        <f t="shared" si="14"/>
        <v>2015</v>
      </c>
      <c r="J71" t="str">
        <f t="shared" si="15"/>
        <v>10.1098%2Frspb.2015.1853</v>
      </c>
      <c r="K71" t="str">
        <f t="shared" si="9"/>
        <v>HerculanoHouzel__2015_Table2</v>
      </c>
      <c r="L71" t="str">
        <f t="shared" si="16"/>
        <v>10.1098%2Frspb.2015.1853_Table2</v>
      </c>
      <c r="M71" t="str">
        <f t="array" ref="M71">IFERROR(INDEX(FileList!$A$1:$A$100,MATCH(TRUE(),EXACT(L71,_xlfn.TEXTBEFORE(FileList!$A$1:$A$100,".tsv")),0)),"notfound")</f>
        <v>10.1098%2Frspb.2015.1853_Table2.tsv</v>
      </c>
      <c r="N71" s="1" t="s">
        <v>376</v>
      </c>
      <c r="U71" s="1" t="s">
        <v>55</v>
      </c>
      <c r="V71" s="1" t="s">
        <v>42</v>
      </c>
      <c r="AI71" s="1" t="s">
        <v>377</v>
      </c>
      <c r="AJ71" s="1" t="s">
        <v>140</v>
      </c>
      <c r="AK71" s="1" t="s">
        <v>141</v>
      </c>
      <c r="AL71" s="1" t="s">
        <v>362</v>
      </c>
      <c r="AM71" s="1" t="s">
        <v>378</v>
      </c>
    </row>
    <row r="72" ht="15.75" customHeight="1">
      <c r="A72" s="1" t="s">
        <v>379</v>
      </c>
      <c r="D72" s="1" t="s">
        <v>75</v>
      </c>
      <c r="E72" t="str">
        <f t="shared" si="10"/>
        <v>3</v>
      </c>
      <c r="F72" t="str">
        <f t="shared" si="11"/>
        <v>HerculanoHouzel_etal_2015</v>
      </c>
      <c r="G72" t="str">
        <f t="shared" si="12"/>
        <v>HerculanoHouzel</v>
      </c>
      <c r="H72" t="str">
        <f t="shared" si="13"/>
        <v>etal</v>
      </c>
      <c r="I72" t="str">
        <f t="shared" si="14"/>
        <v>2015</v>
      </c>
      <c r="J72" t="str">
        <f t="shared" si="15"/>
        <v>10.1159%2F000437413</v>
      </c>
      <c r="K72" t="str">
        <f t="shared" si="9"/>
        <v>HerculanoHouzel_etal_2015_Table1</v>
      </c>
      <c r="L72" t="str">
        <f t="shared" si="16"/>
        <v>10.1159%2F000437413_Table1</v>
      </c>
      <c r="M72" t="str">
        <f t="array" ref="M72">IFERROR(INDEX(FileList!$A$1:$A$100,MATCH(TRUE(),EXACT(L72,_xlfn.TEXTBEFORE(FileList!$A$1:$A$100,".tsv")),0)),"notfound")</f>
        <v>10.1159%2F000437413_Table1.tsv</v>
      </c>
      <c r="N72" s="1" t="s">
        <v>380</v>
      </c>
      <c r="P72" s="1" t="s">
        <v>41</v>
      </c>
      <c r="Q72" s="1" t="s">
        <v>51</v>
      </c>
      <c r="R72" s="1" t="s">
        <v>381</v>
      </c>
      <c r="S72" s="1" t="s">
        <v>53</v>
      </c>
      <c r="T72" s="1" t="s">
        <v>382</v>
      </c>
      <c r="U72" s="1" t="s">
        <v>55</v>
      </c>
      <c r="V72" s="1" t="s">
        <v>42</v>
      </c>
      <c r="W72" s="1" t="s">
        <v>191</v>
      </c>
      <c r="X72" s="1" t="s">
        <v>348</v>
      </c>
      <c r="Y72" s="1" t="s">
        <v>58</v>
      </c>
      <c r="Z72" s="1" t="s">
        <v>58</v>
      </c>
      <c r="AC72" s="1" t="s">
        <v>383</v>
      </c>
      <c r="AG72" s="1" t="s">
        <v>59</v>
      </c>
      <c r="AH72" s="1" t="s">
        <v>60</v>
      </c>
      <c r="AI72" s="1" t="s">
        <v>279</v>
      </c>
      <c r="AJ72" s="1" t="s">
        <v>384</v>
      </c>
      <c r="AL72" s="1" t="s">
        <v>63</v>
      </c>
      <c r="AM72" s="1" t="s">
        <v>64</v>
      </c>
    </row>
    <row r="73" ht="15.75" customHeight="1">
      <c r="A73" s="1" t="s">
        <v>379</v>
      </c>
      <c r="D73" s="1" t="s">
        <v>119</v>
      </c>
      <c r="E73" t="str">
        <f t="shared" si="10"/>
        <v>3</v>
      </c>
      <c r="F73" t="str">
        <f t="shared" si="11"/>
        <v>HerculanoHouzel_etal_2015</v>
      </c>
      <c r="G73" t="str">
        <f t="shared" si="12"/>
        <v>HerculanoHouzel</v>
      </c>
      <c r="H73" t="str">
        <f t="shared" si="13"/>
        <v>etal</v>
      </c>
      <c r="I73" t="str">
        <f t="shared" si="14"/>
        <v>2015</v>
      </c>
      <c r="J73" t="str">
        <f t="shared" si="15"/>
        <v>10.1159%2F000437413</v>
      </c>
      <c r="K73" t="str">
        <f t="shared" si="9"/>
        <v>HerculanoHouzel_etal_2015_Table2</v>
      </c>
      <c r="L73" t="str">
        <f t="shared" si="16"/>
        <v>10.1159%2F000437413_Table2</v>
      </c>
      <c r="M73" t="str">
        <f t="array" ref="M73">IFERROR(INDEX(FileList!$A$1:$A$100,MATCH(TRUE(),EXACT(L73,_xlfn.TEXTBEFORE(FileList!$A$1:$A$100,".tsv")),0)),"notfound")</f>
        <v>10.1159%2F000437413_Table2.tsv</v>
      </c>
      <c r="N73" s="1" t="s">
        <v>385</v>
      </c>
      <c r="P73" s="1" t="s">
        <v>41</v>
      </c>
      <c r="Q73" s="1" t="s">
        <v>51</v>
      </c>
      <c r="R73" s="1" t="s">
        <v>386</v>
      </c>
      <c r="S73" s="1" t="s">
        <v>53</v>
      </c>
      <c r="T73" s="1" t="s">
        <v>387</v>
      </c>
      <c r="U73" s="1" t="s">
        <v>55</v>
      </c>
      <c r="V73" s="1" t="s">
        <v>42</v>
      </c>
      <c r="W73" s="1" t="s">
        <v>191</v>
      </c>
      <c r="X73" s="1" t="s">
        <v>348</v>
      </c>
      <c r="Y73" s="1" t="s">
        <v>58</v>
      </c>
      <c r="Z73" s="1" t="s">
        <v>58</v>
      </c>
      <c r="AG73" s="1" t="s">
        <v>59</v>
      </c>
      <c r="AH73" s="1" t="s">
        <v>60</v>
      </c>
      <c r="AI73" s="1" t="s">
        <v>279</v>
      </c>
      <c r="AJ73" s="1" t="s">
        <v>384</v>
      </c>
      <c r="AL73" s="1" t="s">
        <v>63</v>
      </c>
      <c r="AM73" s="1" t="s">
        <v>64</v>
      </c>
    </row>
    <row r="74" ht="15.75" customHeight="1">
      <c r="A74" s="1" t="s">
        <v>379</v>
      </c>
      <c r="D74" s="1" t="s">
        <v>66</v>
      </c>
      <c r="E74" t="str">
        <f t="shared" si="10"/>
        <v>3</v>
      </c>
      <c r="F74" t="str">
        <f t="shared" si="11"/>
        <v>HerculanoHouzel_etal_2015</v>
      </c>
      <c r="G74" t="str">
        <f t="shared" si="12"/>
        <v>HerculanoHouzel</v>
      </c>
      <c r="H74" t="str">
        <f t="shared" si="13"/>
        <v>etal</v>
      </c>
      <c r="I74" t="str">
        <f t="shared" si="14"/>
        <v>2015</v>
      </c>
      <c r="J74" t="str">
        <f t="shared" si="15"/>
        <v>10.1159%2F000437413</v>
      </c>
      <c r="K74" t="str">
        <f t="shared" si="9"/>
        <v>HerculanoHouzel_etal_2015_Table3</v>
      </c>
      <c r="L74" t="str">
        <f t="shared" si="16"/>
        <v>10.1159%2F000437413_Table3</v>
      </c>
      <c r="M74" t="str">
        <f t="array" ref="M74">IFERROR(INDEX(FileList!$A$1:$A$100,MATCH(TRUE(),EXACT(L74,_xlfn.TEXTBEFORE(FileList!$A$1:$A$100,".tsv")),0)),"notfound")</f>
        <v>10.1159%2F000437413_Table3.tsv</v>
      </c>
      <c r="N74" s="1" t="s">
        <v>388</v>
      </c>
      <c r="P74" s="1" t="s">
        <v>41</v>
      </c>
      <c r="Q74" s="1" t="s">
        <v>51</v>
      </c>
      <c r="R74" s="1" t="s">
        <v>389</v>
      </c>
      <c r="S74" s="1" t="s">
        <v>53</v>
      </c>
      <c r="T74" s="1" t="s">
        <v>390</v>
      </c>
      <c r="U74" s="1" t="s">
        <v>55</v>
      </c>
      <c r="V74" s="1" t="s">
        <v>42</v>
      </c>
      <c r="W74" s="1" t="s">
        <v>191</v>
      </c>
      <c r="X74" s="1" t="s">
        <v>348</v>
      </c>
      <c r="Y74" s="1" t="s">
        <v>58</v>
      </c>
      <c r="Z74" s="1" t="s">
        <v>58</v>
      </c>
      <c r="AG74" s="1" t="s">
        <v>59</v>
      </c>
      <c r="AH74" s="1" t="s">
        <v>60</v>
      </c>
      <c r="AI74" s="1" t="s">
        <v>279</v>
      </c>
      <c r="AJ74" s="1" t="s">
        <v>384</v>
      </c>
      <c r="AL74" s="1" t="s">
        <v>63</v>
      </c>
      <c r="AM74" s="1" t="s">
        <v>64</v>
      </c>
    </row>
    <row r="75" ht="15.75" customHeight="1">
      <c r="A75" s="1" t="s">
        <v>379</v>
      </c>
      <c r="D75" s="1" t="s">
        <v>40</v>
      </c>
      <c r="E75" t="str">
        <f t="shared" si="10"/>
        <v>3</v>
      </c>
      <c r="F75" t="str">
        <f t="shared" si="11"/>
        <v>HerculanoHouzel_etal_2015</v>
      </c>
      <c r="G75" t="str">
        <f t="shared" si="12"/>
        <v>HerculanoHouzel</v>
      </c>
      <c r="H75" t="str">
        <f t="shared" si="13"/>
        <v>etal</v>
      </c>
      <c r="I75" t="str">
        <f t="shared" si="14"/>
        <v>2015</v>
      </c>
      <c r="J75" t="str">
        <f t="shared" si="15"/>
        <v>10.1159%2F000437413</v>
      </c>
      <c r="K75" t="str">
        <f t="shared" si="9"/>
        <v>HerculanoHouzel_etal_2015_Table4</v>
      </c>
      <c r="L75" t="str">
        <f t="shared" si="16"/>
        <v>10.1159%2F000437413_Table4</v>
      </c>
      <c r="M75" t="str">
        <f t="array" ref="M75">IFERROR(INDEX(FileList!$A$1:$A$100,MATCH(TRUE(),EXACT(L75,_xlfn.TEXTBEFORE(FileList!$A$1:$A$100,".tsv")),0)),"notfound")</f>
        <v>10.1159%2F000437413_Table4.tsv</v>
      </c>
      <c r="N75" s="1" t="s">
        <v>391</v>
      </c>
      <c r="P75" s="1" t="s">
        <v>41</v>
      </c>
      <c r="Q75" s="1" t="s">
        <v>51</v>
      </c>
      <c r="R75" s="1" t="s">
        <v>392</v>
      </c>
      <c r="S75" s="1" t="s">
        <v>53</v>
      </c>
      <c r="T75" s="1" t="s">
        <v>393</v>
      </c>
      <c r="U75" s="1" t="s">
        <v>55</v>
      </c>
      <c r="V75" s="1" t="s">
        <v>42</v>
      </c>
      <c r="W75" s="1" t="s">
        <v>191</v>
      </c>
      <c r="X75" s="1" t="s">
        <v>348</v>
      </c>
      <c r="Y75" s="1" t="s">
        <v>58</v>
      </c>
      <c r="Z75" s="1" t="s">
        <v>58</v>
      </c>
      <c r="AG75" s="1" t="s">
        <v>59</v>
      </c>
      <c r="AH75" s="1" t="s">
        <v>60</v>
      </c>
      <c r="AI75" s="1" t="s">
        <v>279</v>
      </c>
      <c r="AJ75" s="1" t="s">
        <v>384</v>
      </c>
      <c r="AL75" s="1" t="s">
        <v>63</v>
      </c>
      <c r="AM75" s="1" t="s">
        <v>64</v>
      </c>
    </row>
    <row r="76" ht="15.75" customHeight="1">
      <c r="A76" s="1" t="s">
        <v>379</v>
      </c>
      <c r="D76" s="1" t="s">
        <v>68</v>
      </c>
      <c r="E76" t="str">
        <f t="shared" si="10"/>
        <v>3</v>
      </c>
      <c r="F76" t="str">
        <f t="shared" si="11"/>
        <v>HerculanoHouzel_etal_2015</v>
      </c>
      <c r="G76" t="str">
        <f t="shared" si="12"/>
        <v>HerculanoHouzel</v>
      </c>
      <c r="H76" t="str">
        <f t="shared" si="13"/>
        <v>etal</v>
      </c>
      <c r="I76" t="str">
        <f t="shared" si="14"/>
        <v>2015</v>
      </c>
      <c r="J76" t="str">
        <f t="shared" si="15"/>
        <v>10.1159%2F000437413</v>
      </c>
      <c r="K76" t="str">
        <f t="shared" si="9"/>
        <v>HerculanoHouzel_etal_2015_Table5</v>
      </c>
      <c r="L76" t="str">
        <f t="shared" si="16"/>
        <v>10.1159%2F000437413_Table5</v>
      </c>
      <c r="M76" t="str">
        <f t="array" ref="M76">IFERROR(INDEX(FileList!$A$1:$A$100,MATCH(TRUE(),EXACT(L76,_xlfn.TEXTBEFORE(FileList!$A$1:$A$100,".tsv")),0)),"notfound")</f>
        <v>10.1159%2F000437413_Table5.tsv</v>
      </c>
      <c r="N76" s="1" t="s">
        <v>394</v>
      </c>
      <c r="P76" s="1" t="s">
        <v>41</v>
      </c>
      <c r="Q76" s="1" t="s">
        <v>51</v>
      </c>
      <c r="R76" s="1" t="s">
        <v>395</v>
      </c>
      <c r="S76" s="1" t="s">
        <v>53</v>
      </c>
      <c r="T76" s="1" t="s">
        <v>396</v>
      </c>
      <c r="U76" s="1" t="s">
        <v>55</v>
      </c>
      <c r="V76" s="1" t="s">
        <v>42</v>
      </c>
      <c r="W76" s="1" t="s">
        <v>191</v>
      </c>
      <c r="X76" s="1" t="s">
        <v>348</v>
      </c>
      <c r="Y76" s="1" t="s">
        <v>58</v>
      </c>
      <c r="Z76" s="1" t="s">
        <v>58</v>
      </c>
      <c r="AG76" s="1" t="s">
        <v>59</v>
      </c>
      <c r="AH76" s="1" t="s">
        <v>60</v>
      </c>
      <c r="AI76" s="1" t="s">
        <v>279</v>
      </c>
      <c r="AJ76" s="1" t="s">
        <v>384</v>
      </c>
      <c r="AL76" s="1" t="s">
        <v>63</v>
      </c>
      <c r="AM76" s="1" t="s">
        <v>64</v>
      </c>
    </row>
    <row r="77" ht="15.75" customHeight="1">
      <c r="A77" s="1" t="s">
        <v>397</v>
      </c>
      <c r="D77" s="1" t="s">
        <v>49</v>
      </c>
      <c r="E77" t="str">
        <f t="shared" si="10"/>
        <v>5</v>
      </c>
      <c r="F77" t="str">
        <f t="shared" si="11"/>
        <v>HerculanoHouzel_etal_2020</v>
      </c>
      <c r="G77" t="str">
        <f t="shared" si="12"/>
        <v>HerculanoHouzel</v>
      </c>
      <c r="H77" t="str">
        <f t="shared" si="13"/>
        <v>etal</v>
      </c>
      <c r="I77" t="str">
        <f t="shared" si="14"/>
        <v>2020</v>
      </c>
      <c r="J77" t="str">
        <f t="shared" si="15"/>
        <v>10.1002%2Fcne.24985</v>
      </c>
      <c r="K77" t="str">
        <f t="shared" si="9"/>
        <v>HerculanoHouzel_etal_2020_TABLE1</v>
      </c>
      <c r="L77" t="str">
        <f t="shared" si="16"/>
        <v>10.1002%2Fcne.24985_TABLE1</v>
      </c>
      <c r="M77" t="str">
        <f t="array" ref="M77">IFERROR(INDEX(FileList!$A$1:$A$100,MATCH(TRUE(),EXACT(L77,_xlfn.TEXTBEFORE(FileList!$A$1:$A$100,".tsv")),0)),"notfound")</f>
        <v>10.1002%2Fcne.24985_TABLE1.tsv</v>
      </c>
      <c r="N77" s="1" t="s">
        <v>398</v>
      </c>
      <c r="P77" s="1" t="s">
        <v>41</v>
      </c>
      <c r="Q77" s="1" t="s">
        <v>51</v>
      </c>
      <c r="R77" s="1" t="s">
        <v>399</v>
      </c>
      <c r="S77" s="1" t="s">
        <v>53</v>
      </c>
      <c r="T77" s="1" t="s">
        <v>400</v>
      </c>
      <c r="U77" s="1" t="s">
        <v>55</v>
      </c>
      <c r="V77" s="1" t="s">
        <v>42</v>
      </c>
      <c r="W77" s="1" t="s">
        <v>206</v>
      </c>
      <c r="X77" s="1" t="s">
        <v>401</v>
      </c>
      <c r="Y77" s="1" t="s">
        <v>58</v>
      </c>
      <c r="Z77" s="1" t="s">
        <v>58</v>
      </c>
      <c r="AC77" s="1" t="s">
        <v>156</v>
      </c>
      <c r="AG77" s="1" t="s">
        <v>59</v>
      </c>
      <c r="AH77" s="1" t="s">
        <v>402</v>
      </c>
      <c r="AI77" s="1" t="s">
        <v>403</v>
      </c>
      <c r="AJ77" s="1" t="s">
        <v>404</v>
      </c>
      <c r="AL77" s="1" t="s">
        <v>63</v>
      </c>
      <c r="AM77" s="1" t="s">
        <v>405</v>
      </c>
    </row>
    <row r="78" ht="15.75" customHeight="1">
      <c r="A78" s="1" t="s">
        <v>397</v>
      </c>
      <c r="D78" s="1" t="s">
        <v>92</v>
      </c>
      <c r="E78" t="str">
        <f t="shared" si="10"/>
        <v>5</v>
      </c>
      <c r="F78" t="str">
        <f t="shared" si="11"/>
        <v>HerculanoHouzel_etal_2020</v>
      </c>
      <c r="G78" t="str">
        <f t="shared" si="12"/>
        <v>HerculanoHouzel</v>
      </c>
      <c r="H78" t="str">
        <f t="shared" si="13"/>
        <v>etal</v>
      </c>
      <c r="I78" t="str">
        <f t="shared" si="14"/>
        <v>2020</v>
      </c>
      <c r="J78" t="str">
        <f t="shared" si="15"/>
        <v>10.1002%2Fcne.24985</v>
      </c>
      <c r="K78" t="str">
        <f t="shared" ref="K78:K109" si="17">TRIM(_xlfn.TEXTJOIN("_",FALSE(),F78,(SUBSTITUTE(SUBSTITUTE(D78," ",""), "_", ""))))</f>
        <v>HerculanoHouzel_etal_2020_TABLE2</v>
      </c>
      <c r="L78" t="str">
        <f t="shared" si="16"/>
        <v>10.1002%2Fcne.24985_TABLE2</v>
      </c>
      <c r="M78" t="str">
        <f t="array" ref="M78">IFERROR(INDEX(FileList!$A$1:$A$100,MATCH(TRUE(),EXACT(L78,_xlfn.TEXTBEFORE(FileList!$A$1:$A$100,".tsv")),0)),"notfound")</f>
        <v>10.1002%2Fcne.24985_TABLE2.tsv</v>
      </c>
      <c r="N78" s="1" t="s">
        <v>406</v>
      </c>
      <c r="P78" s="1" t="s">
        <v>41</v>
      </c>
      <c r="Q78" s="1" t="s">
        <v>51</v>
      </c>
      <c r="R78" s="1" t="s">
        <v>407</v>
      </c>
      <c r="S78" s="1" t="s">
        <v>53</v>
      </c>
      <c r="T78" s="1" t="s">
        <v>408</v>
      </c>
      <c r="U78" s="1" t="s">
        <v>55</v>
      </c>
      <c r="V78" s="1" t="s">
        <v>42</v>
      </c>
      <c r="W78" s="1" t="s">
        <v>206</v>
      </c>
      <c r="X78" s="1" t="s">
        <v>401</v>
      </c>
      <c r="Y78" s="1" t="s">
        <v>58</v>
      </c>
      <c r="Z78" s="1" t="s">
        <v>58</v>
      </c>
      <c r="AC78" s="1" t="s">
        <v>156</v>
      </c>
      <c r="AG78" s="1" t="s">
        <v>59</v>
      </c>
      <c r="AH78" s="1" t="s">
        <v>402</v>
      </c>
      <c r="AI78" s="1" t="s">
        <v>409</v>
      </c>
      <c r="AJ78" s="1" t="s">
        <v>404</v>
      </c>
      <c r="AL78" s="1" t="s">
        <v>63</v>
      </c>
      <c r="AM78" s="1" t="s">
        <v>64</v>
      </c>
    </row>
    <row r="79" ht="15.75" customHeight="1">
      <c r="A79" s="1" t="s">
        <v>410</v>
      </c>
      <c r="D79" s="1" t="s">
        <v>411</v>
      </c>
      <c r="E79" t="str">
        <f t="shared" si="10"/>
        <v>5</v>
      </c>
      <c r="F79" t="str">
        <f t="shared" si="11"/>
        <v>HerculanoHouzel_etal_2013</v>
      </c>
      <c r="G79" t="str">
        <f t="shared" si="12"/>
        <v>HerculanoHouzel</v>
      </c>
      <c r="H79" t="str">
        <f t="shared" si="13"/>
        <v>etal</v>
      </c>
      <c r="I79" t="str">
        <f t="shared" si="14"/>
        <v>2013</v>
      </c>
      <c r="J79" t="str">
        <f t="shared" si="15"/>
        <v>10.3389%2Ffnana.2013.00035</v>
      </c>
      <c r="K79" t="str">
        <f t="shared" si="17"/>
        <v>HerculanoHouzel_etal_2013_Figure2TopLeft</v>
      </c>
      <c r="L79" t="str">
        <f t="shared" si="16"/>
        <v>10.3389%2Ffnana.2013.00035_Figure2TopLeft</v>
      </c>
      <c r="M79" t="str">
        <f t="array" ref="M79">IFERROR(INDEX(FileList!$A$1:$A$100,MATCH(TRUE(),EXACT(L79,_xlfn.TEXTBEFORE(FileList!$A$1:$A$100,".tsv")),0)),"notfound")</f>
        <v>notfound</v>
      </c>
      <c r="Q79" s="1" t="s">
        <v>132</v>
      </c>
      <c r="Y79" s="1" t="s">
        <v>58</v>
      </c>
      <c r="Z79" s="1" t="s">
        <v>58</v>
      </c>
      <c r="AG79" s="1" t="s">
        <v>59</v>
      </c>
      <c r="AI79" s="1" t="s">
        <v>412</v>
      </c>
      <c r="AJ79" s="1" t="s">
        <v>140</v>
      </c>
      <c r="AL79" s="1" t="s">
        <v>63</v>
      </c>
      <c r="AM79" s="1" t="s">
        <v>64</v>
      </c>
    </row>
    <row r="80" ht="15.75" customHeight="1">
      <c r="A80" s="1" t="s">
        <v>410</v>
      </c>
      <c r="D80" s="1" t="s">
        <v>413</v>
      </c>
      <c r="E80" t="str">
        <f t="shared" si="10"/>
        <v>5</v>
      </c>
      <c r="F80" t="str">
        <f t="shared" si="11"/>
        <v>HerculanoHouzel_etal_2013</v>
      </c>
      <c r="G80" t="str">
        <f t="shared" si="12"/>
        <v>HerculanoHouzel</v>
      </c>
      <c r="H80" t="str">
        <f t="shared" si="13"/>
        <v>etal</v>
      </c>
      <c r="I80" t="str">
        <f t="shared" si="14"/>
        <v>2013</v>
      </c>
      <c r="J80" t="str">
        <f t="shared" si="15"/>
        <v>10.3389%2Ffnana.2013.00035</v>
      </c>
      <c r="K80" t="str">
        <f t="shared" si="17"/>
        <v>HerculanoHouzel_etal_2013_Table1-a</v>
      </c>
      <c r="L80" t="str">
        <f t="shared" si="16"/>
        <v>10.3389%2Ffnana.2013.00035_Table1-a</v>
      </c>
      <c r="M80" t="str">
        <f t="array" ref="M80">IFERROR(INDEX(FileList!$A$1:$A$100,MATCH(TRUE(),EXACT(L80,_xlfn.TEXTBEFORE(FileList!$A$1:$A$100,".tsv")),0)),"notfound")</f>
        <v>notfound</v>
      </c>
      <c r="Q80" s="1" t="s">
        <v>132</v>
      </c>
      <c r="V80" s="1" t="s">
        <v>42</v>
      </c>
      <c r="Y80" s="1" t="s">
        <v>58</v>
      </c>
      <c r="Z80" s="1" t="s">
        <v>58</v>
      </c>
      <c r="AG80" s="1" t="s">
        <v>59</v>
      </c>
      <c r="AI80" s="1" t="s">
        <v>412</v>
      </c>
      <c r="AJ80" s="1" t="s">
        <v>140</v>
      </c>
      <c r="AL80" s="1" t="s">
        <v>63</v>
      </c>
      <c r="AM80" s="1" t="s">
        <v>64</v>
      </c>
    </row>
    <row r="81" ht="15.75" customHeight="1">
      <c r="A81" s="1" t="s">
        <v>410</v>
      </c>
      <c r="D81" s="1" t="s">
        <v>414</v>
      </c>
      <c r="E81" t="str">
        <f t="shared" si="10"/>
        <v>5</v>
      </c>
      <c r="F81" t="str">
        <f t="shared" si="11"/>
        <v>HerculanoHouzel_etal_2013</v>
      </c>
      <c r="G81" t="str">
        <f t="shared" si="12"/>
        <v>HerculanoHouzel</v>
      </c>
      <c r="H81" t="str">
        <f t="shared" si="13"/>
        <v>etal</v>
      </c>
      <c r="I81" t="str">
        <f t="shared" si="14"/>
        <v>2013</v>
      </c>
      <c r="J81" t="str">
        <f t="shared" si="15"/>
        <v>10.3389%2Ffnana.2013.00035</v>
      </c>
      <c r="K81" t="str">
        <f t="shared" si="17"/>
        <v>HerculanoHouzel_etal_2013_Table1-b</v>
      </c>
      <c r="L81" t="str">
        <f t="shared" si="16"/>
        <v>10.3389%2Ffnana.2013.00035_Table1-b</v>
      </c>
      <c r="M81" t="str">
        <f t="array" ref="M81">IFERROR(INDEX(FileList!$A$1:$A$100,MATCH(TRUE(),EXACT(L81,_xlfn.TEXTBEFORE(FileList!$A$1:$A$100,".tsv")),0)),"notfound")</f>
        <v>notfound</v>
      </c>
      <c r="Q81" s="1" t="s">
        <v>132</v>
      </c>
      <c r="V81" s="1" t="s">
        <v>42</v>
      </c>
      <c r="Y81" s="1" t="s">
        <v>58</v>
      </c>
      <c r="Z81" s="1" t="s">
        <v>58</v>
      </c>
      <c r="AG81" s="1" t="s">
        <v>59</v>
      </c>
      <c r="AI81" s="1" t="s">
        <v>412</v>
      </c>
      <c r="AJ81" s="1" t="s">
        <v>140</v>
      </c>
      <c r="AL81" s="1" t="s">
        <v>63</v>
      </c>
      <c r="AM81" s="1" t="s">
        <v>64</v>
      </c>
    </row>
    <row r="82" ht="15.75" customHeight="1">
      <c r="A82" s="1" t="s">
        <v>415</v>
      </c>
      <c r="D82" s="1" t="s">
        <v>119</v>
      </c>
      <c r="E82" t="str">
        <f t="shared" si="10"/>
        <v>4</v>
      </c>
      <c r="F82" t="str">
        <f t="shared" si="11"/>
        <v>Isler_etal_2008</v>
      </c>
      <c r="G82" t="str">
        <f t="shared" si="12"/>
        <v>Isler</v>
      </c>
      <c r="H82" t="str">
        <f t="shared" si="13"/>
        <v>etal</v>
      </c>
      <c r="I82" t="str">
        <f t="shared" si="14"/>
        <v>2008</v>
      </c>
      <c r="J82" t="str">
        <f t="shared" si="15"/>
        <v>10.1016%2Fj.jhevol.2008.08.004</v>
      </c>
      <c r="K82" t="str">
        <f t="shared" si="17"/>
        <v>Isler_etal_2008_Table2</v>
      </c>
      <c r="L82" t="str">
        <f t="shared" si="16"/>
        <v>10.1016%2Fj.jhevol.2008.08.004_Table2</v>
      </c>
      <c r="M82" t="str">
        <f t="array" ref="M82">IFERROR(INDEX(FileList!$A$1:$A$100,MATCH(TRUE(),EXACT(L82,_xlfn.TEXTBEFORE(FileList!$A$1:$A$100,".tsv")),0)),"notfound")</f>
        <v>10.1016%2Fj.jhevol.2008.08.004_Table2.tsv</v>
      </c>
      <c r="Q82" s="1" t="s">
        <v>132</v>
      </c>
      <c r="V82" s="1" t="s">
        <v>42</v>
      </c>
      <c r="AI82" s="1" t="s">
        <v>416</v>
      </c>
      <c r="AJ82" s="1" t="s">
        <v>118</v>
      </c>
      <c r="AL82" s="1" t="s">
        <v>141</v>
      </c>
      <c r="AM82" s="1" t="s">
        <v>417</v>
      </c>
    </row>
    <row r="83" ht="15.75" customHeight="1">
      <c r="A83" s="1" t="s">
        <v>415</v>
      </c>
      <c r="D83" s="1" t="s">
        <v>418</v>
      </c>
      <c r="E83" t="str">
        <f t="shared" si="10"/>
        <v>4</v>
      </c>
      <c r="F83" t="str">
        <f t="shared" si="11"/>
        <v>Isler_etal_2008</v>
      </c>
      <c r="G83" t="str">
        <f t="shared" si="12"/>
        <v>Isler</v>
      </c>
      <c r="H83" t="str">
        <f t="shared" si="13"/>
        <v>etal</v>
      </c>
      <c r="I83" t="str">
        <f t="shared" si="14"/>
        <v>2008</v>
      </c>
      <c r="J83" t="str">
        <f t="shared" si="15"/>
        <v>10.1016%2Fj.jhevol.2008.08.004</v>
      </c>
      <c r="K83" t="str">
        <f t="shared" si="17"/>
        <v>Isler_etal_2008_Table7</v>
      </c>
      <c r="L83" t="str">
        <f t="shared" si="16"/>
        <v>10.1016%2Fj.jhevol.2008.08.004_Table7</v>
      </c>
      <c r="M83" t="str">
        <f t="array" ref="M83">IFERROR(INDEX(FileList!$A$1:$A$100,MATCH(TRUE(),EXACT(L83,_xlfn.TEXTBEFORE(FileList!$A$1:$A$100,".tsv")),0)),"notfound")</f>
        <v>10.1016%2Fj.jhevol.2008.08.004_Table7.tsv</v>
      </c>
      <c r="Q83" s="1" t="s">
        <v>132</v>
      </c>
      <c r="V83" s="1" t="s">
        <v>42</v>
      </c>
      <c r="AI83" s="1" t="s">
        <v>416</v>
      </c>
      <c r="AJ83" s="1" t="s">
        <v>118</v>
      </c>
      <c r="AL83" s="1" t="s">
        <v>141</v>
      </c>
      <c r="AM83" s="1" t="s">
        <v>417</v>
      </c>
    </row>
    <row r="84" ht="15.75" customHeight="1">
      <c r="A84" s="1" t="s">
        <v>415</v>
      </c>
      <c r="D84" s="1" t="s">
        <v>198</v>
      </c>
      <c r="E84" t="str">
        <f t="shared" si="10"/>
        <v>4</v>
      </c>
      <c r="F84" t="str">
        <f t="shared" si="11"/>
        <v>Isler_etal_2008</v>
      </c>
      <c r="G84" t="str">
        <f t="shared" si="12"/>
        <v>Isler</v>
      </c>
      <c r="H84" t="str">
        <f t="shared" si="13"/>
        <v>etal</v>
      </c>
      <c r="I84" t="str">
        <f t="shared" si="14"/>
        <v>2008</v>
      </c>
      <c r="J84" t="str">
        <f t="shared" si="15"/>
        <v>10.1016%2Fj.jhevol.2008.08.004</v>
      </c>
      <c r="K84" t="str">
        <f t="shared" si="17"/>
        <v>Isler_etal_2008_TableS1</v>
      </c>
      <c r="L84" t="str">
        <f t="shared" si="16"/>
        <v>10.1016%2Fj.jhevol.2008.08.004_TableS1</v>
      </c>
      <c r="M84" t="str">
        <f t="array" ref="M84">IFERROR(INDEX(FileList!$A$1:$A$100,MATCH(TRUE(),EXACT(L84,_xlfn.TEXTBEFORE(FileList!$A$1:$A$100,".tsv")),0)),"notfound")</f>
        <v>10.1016%2Fj.jhevol.2008.08.004_TableS1.tsv</v>
      </c>
      <c r="Q84" s="1" t="s">
        <v>132</v>
      </c>
      <c r="V84" s="1" t="s">
        <v>42</v>
      </c>
      <c r="AI84" s="1" t="s">
        <v>416</v>
      </c>
      <c r="AJ84" s="1" t="s">
        <v>118</v>
      </c>
      <c r="AL84" s="1" t="s">
        <v>141</v>
      </c>
      <c r="AM84" s="1" t="s">
        <v>417</v>
      </c>
    </row>
    <row r="85" ht="15.75" customHeight="1">
      <c r="A85" s="1" t="s">
        <v>415</v>
      </c>
      <c r="D85" s="1" t="s">
        <v>341</v>
      </c>
      <c r="E85" t="str">
        <f t="shared" si="10"/>
        <v>4</v>
      </c>
      <c r="F85" t="str">
        <f t="shared" si="11"/>
        <v>Isler_etal_2008</v>
      </c>
      <c r="G85" t="str">
        <f t="shared" si="12"/>
        <v>Isler</v>
      </c>
      <c r="H85" t="str">
        <f t="shared" si="13"/>
        <v>etal</v>
      </c>
      <c r="I85" t="str">
        <f t="shared" si="14"/>
        <v>2008</v>
      </c>
      <c r="J85" t="str">
        <f t="shared" si="15"/>
        <v>10.1016%2Fj.jhevol.2008.08.004</v>
      </c>
      <c r="K85" t="str">
        <f t="shared" si="17"/>
        <v>Isler_etal_2008_TableS2</v>
      </c>
      <c r="L85" t="str">
        <f t="shared" si="16"/>
        <v>10.1016%2Fj.jhevol.2008.08.004_TableS2</v>
      </c>
      <c r="M85" t="str">
        <f t="array" ref="M85">IFERROR(INDEX(FileList!$A$1:$A$100,MATCH(TRUE(),EXACT(L85,_xlfn.TEXTBEFORE(FileList!$A$1:$A$100,".tsv")),0)),"notfound")</f>
        <v>10.1016%2Fj.jhevol.2008.08.004_TableS2.tsv</v>
      </c>
      <c r="Q85" s="1" t="s">
        <v>132</v>
      </c>
      <c r="V85" s="1" t="s">
        <v>42</v>
      </c>
      <c r="AI85" s="1" t="s">
        <v>416</v>
      </c>
      <c r="AJ85" s="1" t="s">
        <v>118</v>
      </c>
      <c r="AL85" s="1" t="s">
        <v>141</v>
      </c>
      <c r="AM85" s="1" t="s">
        <v>417</v>
      </c>
    </row>
    <row r="86" ht="15.75" customHeight="1">
      <c r="A86" s="1" t="s">
        <v>415</v>
      </c>
      <c r="D86" s="1" t="s">
        <v>419</v>
      </c>
      <c r="E86" t="str">
        <f t="shared" si="10"/>
        <v>4</v>
      </c>
      <c r="F86" t="str">
        <f t="shared" si="11"/>
        <v>Isler_etal_2008</v>
      </c>
      <c r="G86" t="str">
        <f t="shared" si="12"/>
        <v>Isler</v>
      </c>
      <c r="H86" t="str">
        <f t="shared" si="13"/>
        <v>etal</v>
      </c>
      <c r="I86" t="str">
        <f t="shared" si="14"/>
        <v>2008</v>
      </c>
      <c r="J86" t="str">
        <f t="shared" si="15"/>
        <v>10.1016%2Fj.jhevol.2008.08.004</v>
      </c>
      <c r="K86" t="str">
        <f t="shared" si="17"/>
        <v>Isler_etal_2008_TableS3</v>
      </c>
      <c r="L86" t="str">
        <f t="shared" si="16"/>
        <v>10.1016%2Fj.jhevol.2008.08.004_TableS3</v>
      </c>
      <c r="M86" t="str">
        <f t="array" ref="M86">IFERROR(INDEX(FileList!$A$1:$A$100,MATCH(TRUE(),EXACT(L86,_xlfn.TEXTBEFORE(FileList!$A$1:$A$100,".tsv")),0)),"notfound")</f>
        <v>10.1016%2Fj.jhevol.2008.08.004_TableS3.tsv</v>
      </c>
      <c r="Q86" s="1" t="s">
        <v>132</v>
      </c>
      <c r="V86" s="1" t="s">
        <v>42</v>
      </c>
      <c r="AI86" s="1" t="s">
        <v>416</v>
      </c>
      <c r="AJ86" s="1" t="s">
        <v>118</v>
      </c>
      <c r="AL86" s="1" t="s">
        <v>141</v>
      </c>
      <c r="AM86" s="1" t="s">
        <v>417</v>
      </c>
    </row>
    <row r="87" ht="15.75" customHeight="1">
      <c r="A87" s="1" t="s">
        <v>415</v>
      </c>
      <c r="D87" s="1" t="s">
        <v>420</v>
      </c>
      <c r="E87" t="str">
        <f t="shared" si="10"/>
        <v>4</v>
      </c>
      <c r="F87" t="str">
        <f t="shared" si="11"/>
        <v>Isler_etal_2008</v>
      </c>
      <c r="G87" t="str">
        <f t="shared" si="12"/>
        <v>Isler</v>
      </c>
      <c r="H87" t="str">
        <f t="shared" si="13"/>
        <v>etal</v>
      </c>
      <c r="I87" t="str">
        <f t="shared" si="14"/>
        <v>2008</v>
      </c>
      <c r="J87" t="str">
        <f t="shared" si="15"/>
        <v>10.1016%2Fj.jhevol.2008.08.004</v>
      </c>
      <c r="K87" t="str">
        <f t="shared" si="17"/>
        <v>Isler_etal_2008_Tree.nex</v>
      </c>
      <c r="L87" t="str">
        <f t="shared" si="16"/>
        <v>10.1016%2Fj.jhevol.2008.08.004_Tree.nex</v>
      </c>
      <c r="M87" t="str">
        <f t="array" ref="M87">IFERROR(INDEX(FileList!$A$1:$A$100,MATCH(TRUE(),EXACT(L87,_xlfn.TEXTBEFORE(FileList!$A$1:$A$100,".tsv")),0)),"notfound")</f>
        <v>notfound</v>
      </c>
      <c r="Q87" s="1" t="s">
        <v>132</v>
      </c>
      <c r="V87" s="1" t="s">
        <v>421</v>
      </c>
      <c r="AI87" s="1" t="s">
        <v>422</v>
      </c>
      <c r="AJ87" s="1" t="s">
        <v>118</v>
      </c>
      <c r="AL87" s="1" t="s">
        <v>141</v>
      </c>
      <c r="AM87" s="1" t="s">
        <v>423</v>
      </c>
    </row>
    <row r="88" ht="15.75" customHeight="1">
      <c r="A88" s="1" t="s">
        <v>424</v>
      </c>
      <c r="D88" s="1" t="s">
        <v>75</v>
      </c>
      <c r="E88" t="str">
        <f t="shared" si="10"/>
        <v>9</v>
      </c>
      <c r="F88" t="str">
        <f t="shared" si="11"/>
        <v>Iwaniuk_etal_2001</v>
      </c>
      <c r="G88" t="str">
        <f t="shared" si="12"/>
        <v>Iwaniuk</v>
      </c>
      <c r="H88" t="str">
        <f t="shared" si="13"/>
        <v>etal</v>
      </c>
      <c r="I88" t="str">
        <f t="shared" si="14"/>
        <v>2001</v>
      </c>
      <c r="J88" t="str">
        <f t="shared" si="15"/>
        <v>10.1037%2F0735-7036.115.1.29</v>
      </c>
      <c r="K88" t="str">
        <f t="shared" si="17"/>
        <v>Iwaniuk_etal_2001_Table1</v>
      </c>
      <c r="L88" t="str">
        <f t="shared" si="16"/>
        <v>10.1037%2F0735-7036.115.1.29_Table1</v>
      </c>
      <c r="M88" t="str">
        <f t="array" ref="M88">IFERROR(INDEX(FileList!$A$1:$A$100,MATCH(TRUE(),EXACT(L88,_xlfn.TEXTBEFORE(FileList!$A$1:$A$100,".tsv")),0)),"notfound")</f>
        <v>10.1037%2F0735-7036.115.1.29_Table1.tsv</v>
      </c>
      <c r="N88" s="1" t="s">
        <v>425</v>
      </c>
      <c r="P88" s="1" t="s">
        <v>426</v>
      </c>
      <c r="Q88" s="1" t="s">
        <v>202</v>
      </c>
      <c r="T88" s="1" t="str">
        <f>IF(S88="N", R88, "write file name")</f>
        <v>write file name</v>
      </c>
      <c r="U88" s="1" t="s">
        <v>55</v>
      </c>
      <c r="V88" s="1" t="s">
        <v>42</v>
      </c>
      <c r="AH88" s="1" t="s">
        <v>427</v>
      </c>
      <c r="AI88" s="1" t="s">
        <v>428</v>
      </c>
      <c r="AJ88" s="1" t="s">
        <v>140</v>
      </c>
      <c r="AL88" s="1" t="s">
        <v>141</v>
      </c>
      <c r="AM88" s="1" t="s">
        <v>429</v>
      </c>
    </row>
    <row r="89" ht="15.75" customHeight="1">
      <c r="A89" s="1" t="s">
        <v>424</v>
      </c>
      <c r="D89" s="1" t="s">
        <v>119</v>
      </c>
      <c r="E89" t="str">
        <f t="shared" si="10"/>
        <v>9</v>
      </c>
      <c r="F89" t="str">
        <f t="shared" si="11"/>
        <v>Iwaniuk_etal_2001</v>
      </c>
      <c r="G89" t="str">
        <f t="shared" si="12"/>
        <v>Iwaniuk</v>
      </c>
      <c r="H89" t="str">
        <f t="shared" si="13"/>
        <v>etal</v>
      </c>
      <c r="I89" t="str">
        <f t="shared" si="14"/>
        <v>2001</v>
      </c>
      <c r="J89" t="str">
        <f t="shared" si="15"/>
        <v>10.1037%2F0735-7036.115.1.29</v>
      </c>
      <c r="K89" t="str">
        <f t="shared" si="17"/>
        <v>Iwaniuk_etal_2001_Table2</v>
      </c>
      <c r="L89" t="str">
        <f t="shared" si="16"/>
        <v>10.1037%2F0735-7036.115.1.29_Table2</v>
      </c>
      <c r="M89" t="str">
        <f t="array" ref="M89">IFERROR(INDEX(FileList!$A$1:$A$100,MATCH(TRUE(),EXACT(L89,_xlfn.TEXTBEFORE(FileList!$A$1:$A$100,".tsv")),0)),"notfound")</f>
        <v>10.1037%2F0735-7036.115.1.29_Table2.tsv</v>
      </c>
      <c r="N89" s="1" t="s">
        <v>430</v>
      </c>
      <c r="P89" s="1" t="s">
        <v>426</v>
      </c>
      <c r="Q89" s="1" t="s">
        <v>202</v>
      </c>
      <c r="T89" s="1" t="str">
        <f>IF(S89="N", R89, "write file name")</f>
        <v>write file name</v>
      </c>
      <c r="U89" s="1" t="s">
        <v>55</v>
      </c>
      <c r="V89" s="1" t="s">
        <v>42</v>
      </c>
      <c r="AH89" s="1" t="s">
        <v>427</v>
      </c>
      <c r="AI89" s="1" t="s">
        <v>428</v>
      </c>
      <c r="AJ89" s="1" t="s">
        <v>140</v>
      </c>
      <c r="AL89" s="1" t="s">
        <v>141</v>
      </c>
      <c r="AM89" s="1" t="s">
        <v>429</v>
      </c>
    </row>
    <row r="90" ht="15.75" customHeight="1">
      <c r="A90" s="1" t="s">
        <v>424</v>
      </c>
      <c r="D90" s="1" t="s">
        <v>66</v>
      </c>
      <c r="E90" t="str">
        <f t="shared" si="10"/>
        <v>9</v>
      </c>
      <c r="F90" t="str">
        <f t="shared" si="11"/>
        <v>Iwaniuk_etal_2001</v>
      </c>
      <c r="G90" t="str">
        <f t="shared" si="12"/>
        <v>Iwaniuk</v>
      </c>
      <c r="H90" t="str">
        <f t="shared" si="13"/>
        <v>etal</v>
      </c>
      <c r="I90" t="str">
        <f t="shared" si="14"/>
        <v>2001</v>
      </c>
      <c r="J90" t="str">
        <f t="shared" si="15"/>
        <v>10.1037%2F0735-7036.115.1.29</v>
      </c>
      <c r="K90" t="str">
        <f t="shared" si="17"/>
        <v>Iwaniuk_etal_2001_Table3</v>
      </c>
      <c r="L90" t="str">
        <f t="shared" si="16"/>
        <v>10.1037%2F0735-7036.115.1.29_Table3</v>
      </c>
      <c r="M90" t="str">
        <f t="array" ref="M90">IFERROR(INDEX(FileList!$A$1:$A$100,MATCH(TRUE(),EXACT(L90,_xlfn.TEXTBEFORE(FileList!$A$1:$A$100,".tsv")),0)),"notfound")</f>
        <v>10.1037%2F0735-7036.115.1.29_Table3.tsv</v>
      </c>
      <c r="N90" s="1" t="s">
        <v>431</v>
      </c>
      <c r="P90" s="1" t="s">
        <v>426</v>
      </c>
      <c r="Q90" s="1" t="s">
        <v>202</v>
      </c>
      <c r="T90" s="1" t="str">
        <f>IF(S90="N", R90, "write file name")</f>
        <v>write file name</v>
      </c>
      <c r="U90" s="1" t="s">
        <v>55</v>
      </c>
      <c r="V90" s="1" t="s">
        <v>42</v>
      </c>
      <c r="AH90" s="1" t="s">
        <v>427</v>
      </c>
      <c r="AI90" s="1" t="s">
        <v>428</v>
      </c>
      <c r="AJ90" s="1" t="s">
        <v>140</v>
      </c>
      <c r="AL90" s="1" t="s">
        <v>141</v>
      </c>
      <c r="AM90" s="1" t="s">
        <v>429</v>
      </c>
    </row>
    <row r="91" ht="15.75" customHeight="1">
      <c r="A91" s="1" t="s">
        <v>424</v>
      </c>
      <c r="D91" s="1" t="s">
        <v>40</v>
      </c>
      <c r="E91" t="str">
        <f t="shared" si="10"/>
        <v>9</v>
      </c>
      <c r="F91" t="str">
        <f t="shared" si="11"/>
        <v>Iwaniuk_etal_2001</v>
      </c>
      <c r="G91" t="str">
        <f t="shared" si="12"/>
        <v>Iwaniuk</v>
      </c>
      <c r="H91" t="str">
        <f t="shared" si="13"/>
        <v>etal</v>
      </c>
      <c r="I91" t="str">
        <f t="shared" si="14"/>
        <v>2001</v>
      </c>
      <c r="J91" t="str">
        <f t="shared" si="15"/>
        <v>10.1037%2F0735-7036.115.1.29</v>
      </c>
      <c r="K91" t="str">
        <f t="shared" si="17"/>
        <v>Iwaniuk_etal_2001_Table4</v>
      </c>
      <c r="L91" t="str">
        <f t="shared" si="16"/>
        <v>10.1037%2F0735-7036.115.1.29_Table4</v>
      </c>
      <c r="M91" t="str">
        <f t="array" ref="M91">IFERROR(INDEX(FileList!$A$1:$A$100,MATCH(TRUE(),EXACT(L91,_xlfn.TEXTBEFORE(FileList!$A$1:$A$100,".tsv")),0)),"notfound")</f>
        <v>10.1037%2F0735-7036.115.1.29_Table4.tsv</v>
      </c>
      <c r="N91" s="1" t="s">
        <v>432</v>
      </c>
      <c r="P91" s="1" t="s">
        <v>426</v>
      </c>
      <c r="Q91" s="1" t="s">
        <v>202</v>
      </c>
      <c r="T91" s="1" t="str">
        <f>IF(S91="N", R91, "write file name")</f>
        <v>write file name</v>
      </c>
      <c r="U91" s="1" t="s">
        <v>55</v>
      </c>
      <c r="V91" s="1" t="s">
        <v>42</v>
      </c>
      <c r="AH91" s="1" t="s">
        <v>427</v>
      </c>
      <c r="AI91" s="1" t="s">
        <v>428</v>
      </c>
      <c r="AJ91" s="1" t="s">
        <v>140</v>
      </c>
      <c r="AL91" s="1" t="s">
        <v>141</v>
      </c>
      <c r="AM91" s="1" t="s">
        <v>429</v>
      </c>
    </row>
    <row r="92" ht="15.75" customHeight="1">
      <c r="A92" s="1" t="s">
        <v>433</v>
      </c>
      <c r="D92" s="1" t="s">
        <v>434</v>
      </c>
      <c r="E92" t="str">
        <f t="shared" si="10"/>
        <v>x</v>
      </c>
      <c r="F92" t="str">
        <f t="shared" si="11"/>
        <v>Iwaniuk_etal_1999</v>
      </c>
      <c r="G92" t="str">
        <f t="shared" si="12"/>
        <v>Iwaniuk</v>
      </c>
      <c r="H92" t="str">
        <f t="shared" si="13"/>
        <v>etal</v>
      </c>
      <c r="I92" t="str">
        <f t="shared" si="14"/>
        <v>1999</v>
      </c>
      <c r="J92" t="str">
        <f t="shared" si="15"/>
        <v>10.1016%2Fs0166-4328(98)00151-x</v>
      </c>
      <c r="K92" t="str">
        <f t="shared" si="17"/>
        <v>Iwaniuk_etal_1999_References</v>
      </c>
      <c r="L92" t="str">
        <f t="shared" si="16"/>
        <v>10.1016%2Fs0166-4328(98)00151-x_References</v>
      </c>
      <c r="M92" t="str">
        <f t="array" ref="M92">IFERROR(INDEX(FileList!$A$1:$A$100,MATCH(TRUE(),EXACT(L92,_xlfn.TEXTBEFORE(FileList!$A$1:$A$100,".tsv")),0)),"notfound")</f>
        <v>notfound</v>
      </c>
      <c r="N92" s="1" t="s">
        <v>434</v>
      </c>
      <c r="P92" s="1" t="s">
        <v>335</v>
      </c>
      <c r="V92" s="1" t="s">
        <v>435</v>
      </c>
      <c r="W92" s="1" t="s">
        <v>206</v>
      </c>
      <c r="AI92" s="1" t="s">
        <v>436</v>
      </c>
      <c r="AJ92" s="1" t="s">
        <v>140</v>
      </c>
      <c r="AL92" s="1" t="s">
        <v>141</v>
      </c>
      <c r="AM92" s="1" t="s">
        <v>437</v>
      </c>
    </row>
    <row r="93" ht="15.75" customHeight="1">
      <c r="A93" s="1" t="s">
        <v>433</v>
      </c>
      <c r="D93" s="1" t="s">
        <v>75</v>
      </c>
      <c r="E93" t="str">
        <f t="shared" si="10"/>
        <v>x</v>
      </c>
      <c r="F93" t="str">
        <f t="shared" si="11"/>
        <v>Iwaniuk_etal_1999</v>
      </c>
      <c r="G93" t="str">
        <f t="shared" si="12"/>
        <v>Iwaniuk</v>
      </c>
      <c r="H93" t="str">
        <f t="shared" si="13"/>
        <v>etal</v>
      </c>
      <c r="I93" t="str">
        <f t="shared" si="14"/>
        <v>1999</v>
      </c>
      <c r="J93" t="str">
        <f t="shared" si="15"/>
        <v>10.1016%2Fs0166-4328(98)00151-x</v>
      </c>
      <c r="K93" t="str">
        <f t="shared" si="17"/>
        <v>Iwaniuk_etal_1999_Table1</v>
      </c>
      <c r="L93" t="str">
        <f t="shared" si="16"/>
        <v>10.1016%2Fs0166-4328(98)00151-x_Table1</v>
      </c>
      <c r="M93" t="str">
        <f t="array" ref="M93">IFERROR(INDEX(FileList!$A$1:$A$100,MATCH(TRUE(),EXACT(L93,_xlfn.TEXTBEFORE(FileList!$A$1:$A$100,".tsv")),0)),"notfound")</f>
        <v>10.1016%2Fs0166-4328(98)00151-x_Table1.tsv</v>
      </c>
      <c r="N93" s="1" t="s">
        <v>438</v>
      </c>
      <c r="P93" s="1" t="s">
        <v>335</v>
      </c>
      <c r="V93" s="1" t="s">
        <v>42</v>
      </c>
      <c r="W93" s="1" t="s">
        <v>206</v>
      </c>
      <c r="AI93" s="1" t="s">
        <v>436</v>
      </c>
      <c r="AJ93" s="1" t="s">
        <v>140</v>
      </c>
      <c r="AL93" s="1" t="s">
        <v>141</v>
      </c>
      <c r="AM93" s="1" t="s">
        <v>437</v>
      </c>
    </row>
    <row r="94" ht="15.75" customHeight="1">
      <c r="A94" s="1" t="s">
        <v>439</v>
      </c>
      <c r="D94" s="1" t="s">
        <v>75</v>
      </c>
      <c r="E94" t="str">
        <f t="shared" si="10"/>
        <v>8</v>
      </c>
      <c r="F94" t="str">
        <f t="shared" si="11"/>
        <v>JardimMesseder_etal_2017</v>
      </c>
      <c r="G94" t="str">
        <f t="shared" si="12"/>
        <v>JardimMesseder</v>
      </c>
      <c r="H94" t="str">
        <f t="shared" si="13"/>
        <v>etal</v>
      </c>
      <c r="I94" t="str">
        <f t="shared" si="14"/>
        <v>2017</v>
      </c>
      <c r="J94" t="str">
        <f t="shared" si="15"/>
        <v>10.3389%2Ffnana.2017.00118</v>
      </c>
      <c r="K94" t="str">
        <f t="shared" si="17"/>
        <v>JardimMesseder_etal_2017_Table1</v>
      </c>
      <c r="L94" t="str">
        <f t="shared" si="16"/>
        <v>10.3389%2Ffnana.2017.00118_Table1</v>
      </c>
      <c r="M94" t="str">
        <f t="array" ref="M94">IFERROR(INDEX(FileList!$A$1:$A$100,MATCH(TRUE(),EXACT(L94,_xlfn.TEXTBEFORE(FileList!$A$1:$A$100,".tsv")),0)),"notfound")</f>
        <v>notfound</v>
      </c>
      <c r="N94" s="1" t="s">
        <v>440</v>
      </c>
      <c r="P94" s="1" t="s">
        <v>41</v>
      </c>
      <c r="Q94" s="1" t="s">
        <v>51</v>
      </c>
      <c r="R94" s="1" t="s">
        <v>441</v>
      </c>
      <c r="S94" s="1" t="s">
        <v>53</v>
      </c>
      <c r="T94" s="1" t="s">
        <v>442</v>
      </c>
      <c r="U94" s="1" t="s">
        <v>55</v>
      </c>
      <c r="V94" s="1" t="s">
        <v>42</v>
      </c>
      <c r="W94" s="1" t="s">
        <v>191</v>
      </c>
      <c r="X94" s="1" t="s">
        <v>443</v>
      </c>
      <c r="Y94" s="1" t="s">
        <v>58</v>
      </c>
      <c r="Z94" s="1" t="s">
        <v>58</v>
      </c>
      <c r="AG94" s="1" t="s">
        <v>59</v>
      </c>
      <c r="AH94" s="1" t="s">
        <v>444</v>
      </c>
      <c r="AI94" s="1" t="s">
        <v>279</v>
      </c>
      <c r="AJ94" s="1" t="s">
        <v>445</v>
      </c>
      <c r="AK94" s="1" t="s">
        <v>63</v>
      </c>
      <c r="AL94" s="1" t="s">
        <v>63</v>
      </c>
      <c r="AM94" s="1" t="s">
        <v>64</v>
      </c>
    </row>
    <row r="95" ht="15.75" customHeight="1">
      <c r="A95" s="1" t="s">
        <v>446</v>
      </c>
      <c r="D95" s="1" t="s">
        <v>119</v>
      </c>
      <c r="E95" t="str">
        <f t="shared" si="10"/>
        <v>4</v>
      </c>
      <c r="F95" t="str">
        <f t="shared" si="11"/>
        <v>Johansen_etal_2024</v>
      </c>
      <c r="G95" t="str">
        <f t="shared" si="12"/>
        <v>Johansen</v>
      </c>
      <c r="H95" t="str">
        <f t="shared" si="13"/>
        <v>etal</v>
      </c>
      <c r="I95" t="str">
        <f t="shared" si="14"/>
        <v>2024</v>
      </c>
      <c r="J95" t="str">
        <f t="shared" si="15"/>
        <v>10.1523%2FJNEUROSCI.1750-23.2024</v>
      </c>
      <c r="K95" t="str">
        <f t="shared" si="17"/>
        <v>Johansen_etal_2024_Table2</v>
      </c>
      <c r="L95" t="str">
        <f t="shared" si="16"/>
        <v>10.1523%2FJNEUROSCI.1750-23.2024_Table2</v>
      </c>
      <c r="M95" t="str">
        <f t="array" ref="M95">IFERROR(INDEX(FileList!$A$1:$A$100,MATCH(TRUE(),EXACT(L95,_xlfn.TEXTBEFORE(FileList!$A$1:$A$100,".tsv")),0)),"notfound")</f>
        <v>notfound</v>
      </c>
      <c r="N95" s="1" t="s">
        <v>447</v>
      </c>
      <c r="V95" s="1" t="s">
        <v>42</v>
      </c>
      <c r="AI95" s="1" t="s">
        <v>448</v>
      </c>
      <c r="AJ95" s="1" t="s">
        <v>449</v>
      </c>
      <c r="AL95" s="1" t="s">
        <v>63</v>
      </c>
      <c r="AM95" s="1" t="s">
        <v>450</v>
      </c>
    </row>
    <row r="96" ht="15.75" customHeight="1">
      <c r="A96" s="1" t="s">
        <v>451</v>
      </c>
      <c r="D96" s="1" t="s">
        <v>75</v>
      </c>
      <c r="E96" t="str">
        <f t="shared" si="10"/>
        <v>8</v>
      </c>
      <c r="F96" t="str">
        <f t="shared" si="11"/>
        <v>Karbowski__2007</v>
      </c>
      <c r="G96" t="str">
        <f t="shared" si="12"/>
        <v>Karbowski</v>
      </c>
      <c r="H96" t="str">
        <f t="shared" si="13"/>
      </c>
      <c r="I96" t="str">
        <f t="shared" si="14"/>
        <v>2007</v>
      </c>
      <c r="J96" t="str">
        <f t="shared" si="15"/>
        <v>10.1186%2F1741-7007-5-18</v>
      </c>
      <c r="K96" t="str">
        <f t="shared" si="17"/>
        <v>Karbowski__2007_Table1</v>
      </c>
      <c r="L96" t="str">
        <f t="shared" si="16"/>
        <v>10.1186%2F1741-7007-5-18_Table1</v>
      </c>
      <c r="M96" t="str">
        <f t="array" ref="M96">IFERROR(INDEX(FileList!$A$1:$A$100,MATCH(TRUE(),EXACT(L96,_xlfn.TEXTBEFORE(FileList!$A$1:$A$100,".tsv")),0)),"notfound")</f>
        <v>notfound</v>
      </c>
      <c r="N96" s="1" t="s">
        <v>452</v>
      </c>
      <c r="V96" s="1" t="s">
        <v>42</v>
      </c>
      <c r="AG96" s="1" t="s">
        <v>453</v>
      </c>
      <c r="AI96" s="1" t="s">
        <v>454</v>
      </c>
      <c r="AJ96" s="1" t="s">
        <v>140</v>
      </c>
      <c r="AK96" s="1" t="s">
        <v>63</v>
      </c>
      <c r="AL96" s="1" t="s">
        <v>141</v>
      </c>
      <c r="AM96" s="1" t="s">
        <v>455</v>
      </c>
    </row>
    <row r="97" ht="15.75" customHeight="1">
      <c r="A97" s="1" t="s">
        <v>451</v>
      </c>
      <c r="D97" s="1" t="s">
        <v>198</v>
      </c>
      <c r="E97" t="str">
        <f t="shared" si="10"/>
        <v>8</v>
      </c>
      <c r="F97" t="str">
        <f t="shared" si="11"/>
        <v>Karbowski__2007</v>
      </c>
      <c r="G97" t="str">
        <f t="shared" si="12"/>
        <v>Karbowski</v>
      </c>
      <c r="H97" t="str">
        <f t="shared" si="13"/>
      </c>
      <c r="I97" t="str">
        <f t="shared" si="14"/>
        <v>2007</v>
      </c>
      <c r="J97" t="str">
        <f t="shared" si="15"/>
        <v>10.1186%2F1741-7007-5-18</v>
      </c>
      <c r="K97" t="str">
        <f t="shared" si="17"/>
        <v>Karbowski__2007_TableS1</v>
      </c>
      <c r="L97" t="str">
        <f t="shared" si="16"/>
        <v>10.1186%2F1741-7007-5-18_TableS1</v>
      </c>
      <c r="M97" t="str">
        <f t="array" ref="M97">IFERROR(INDEX(FileList!$A$1:$A$100,MATCH(TRUE(),EXACT(L97,_xlfn.TEXTBEFORE(FileList!$A$1:$A$100,".tsv")),0)),"notfound")</f>
        <v>notfound</v>
      </c>
      <c r="N97" s="1" t="s">
        <v>456</v>
      </c>
      <c r="V97" s="1" t="s">
        <v>42</v>
      </c>
      <c r="AG97" s="1" t="s">
        <v>453</v>
      </c>
      <c r="AI97" s="1" t="s">
        <v>457</v>
      </c>
      <c r="AJ97" s="1" t="s">
        <v>140</v>
      </c>
      <c r="AK97" s="1" t="s">
        <v>458</v>
      </c>
      <c r="AL97" s="1" t="s">
        <v>141</v>
      </c>
      <c r="AM97" s="1" t="s">
        <v>459</v>
      </c>
    </row>
    <row r="98" ht="15.75" customHeight="1">
      <c r="A98" s="1" t="s">
        <v>451</v>
      </c>
      <c r="D98" s="1" t="s">
        <v>341</v>
      </c>
      <c r="E98" t="str">
        <f t="shared" si="10"/>
        <v>8</v>
      </c>
      <c r="F98" t="str">
        <f t="shared" si="11"/>
        <v>Karbowski__2007</v>
      </c>
      <c r="G98" t="str">
        <f t="shared" si="12"/>
        <v>Karbowski</v>
      </c>
      <c r="H98" t="str">
        <f t="shared" si="13"/>
      </c>
      <c r="I98" t="str">
        <f t="shared" si="14"/>
        <v>2007</v>
      </c>
      <c r="J98" t="str">
        <f t="shared" ref="J98:J129" si="18">_xlfn.LET(
_xlpm.doi,IF(C98&lt;&gt;"",C98,_xlfn.TEXTAFTER(A98,"https://doi.org/")),
SUBSTITUTE(
SUBSTITUTE(
SUBSTITUTE(
SUBSTITUTE(
_xlpm.doi,
"/","%2F"),
":","%3A"),
"&lt;","%3C"),
"&gt;","%3E")
)</f>
        <v>10.1186%2F1741-7007-5-18</v>
      </c>
      <c r="K98" t="str">
        <f t="shared" si="17"/>
        <v>Karbowski__2007_TableS2</v>
      </c>
      <c r="L98" t="str">
        <f t="shared" si="16"/>
        <v>10.1186%2F1741-7007-5-18_TableS2</v>
      </c>
      <c r="M98" t="str">
        <f t="array" ref="M98">IFERROR(INDEX(FileList!$A$1:$A$100,MATCH(TRUE(),EXACT(L98,_xlfn.TEXTBEFORE(FileList!$A$1:$A$100,".tsv")),0)),"notfound")</f>
        <v>notfound</v>
      </c>
      <c r="N98" s="1" t="s">
        <v>460</v>
      </c>
      <c r="V98" s="1" t="s">
        <v>42</v>
      </c>
      <c r="AG98" s="1" t="s">
        <v>453</v>
      </c>
      <c r="AI98" s="1" t="s">
        <v>461</v>
      </c>
      <c r="AJ98" s="1" t="s">
        <v>140</v>
      </c>
      <c r="AK98" s="1" t="s">
        <v>458</v>
      </c>
      <c r="AL98" s="1" t="s">
        <v>141</v>
      </c>
      <c r="AM98" s="1" t="s">
        <v>459</v>
      </c>
    </row>
    <row r="99" ht="15.75" customHeight="1">
      <c r="A99" s="1" t="s">
        <v>451</v>
      </c>
      <c r="D99" s="1" t="s">
        <v>419</v>
      </c>
      <c r="E99" t="str">
        <f t="shared" si="10"/>
        <v>8</v>
      </c>
      <c r="F99" t="str">
        <f t="shared" si="11"/>
        <v>Karbowski__2007</v>
      </c>
      <c r="G99" t="str">
        <f t="shared" si="12"/>
        <v>Karbowski</v>
      </c>
      <c r="H99" t="str">
        <f t="shared" si="13"/>
      </c>
      <c r="I99" t="str">
        <f t="shared" si="14"/>
        <v>2007</v>
      </c>
      <c r="J99" t="str">
        <f t="shared" si="18"/>
        <v>10.1186%2F1741-7007-5-18</v>
      </c>
      <c r="K99" t="str">
        <f t="shared" si="17"/>
        <v>Karbowski__2007_TableS3</v>
      </c>
      <c r="L99" t="str">
        <f t="shared" si="16"/>
        <v>10.1186%2F1741-7007-5-18_TableS3</v>
      </c>
      <c r="M99" t="str">
        <f t="array" ref="M99">IFERROR(INDEX(FileList!$A$1:$A$100,MATCH(TRUE(),EXACT(L99,_xlfn.TEXTBEFORE(FileList!$A$1:$A$100,".tsv")),0)),"notfound")</f>
        <v>notfound</v>
      </c>
      <c r="N99" s="1" t="s">
        <v>462</v>
      </c>
      <c r="V99" s="1" t="s">
        <v>42</v>
      </c>
      <c r="AG99" s="1" t="s">
        <v>453</v>
      </c>
      <c r="AI99" s="1" t="s">
        <v>461</v>
      </c>
      <c r="AJ99" s="1" t="s">
        <v>140</v>
      </c>
      <c r="AK99" s="1" t="s">
        <v>458</v>
      </c>
      <c r="AL99" s="1" t="s">
        <v>141</v>
      </c>
      <c r="AM99" s="1" t="s">
        <v>459</v>
      </c>
    </row>
    <row r="100" ht="15.75" customHeight="1">
      <c r="A100" s="1" t="s">
        <v>451</v>
      </c>
      <c r="D100" s="1" t="s">
        <v>463</v>
      </c>
      <c r="E100" t="str">
        <f t="shared" si="10"/>
        <v>8</v>
      </c>
      <c r="F100" t="str">
        <f t="shared" si="11"/>
        <v>Karbowski__2007</v>
      </c>
      <c r="G100" t="str">
        <f t="shared" si="12"/>
        <v>Karbowski</v>
      </c>
      <c r="H100" t="str">
        <f t="shared" si="13"/>
      </c>
      <c r="I100" t="str">
        <f t="shared" si="14"/>
        <v>2007</v>
      </c>
      <c r="J100" t="str">
        <f t="shared" si="18"/>
        <v>10.1186%2F1741-7007-5-18</v>
      </c>
      <c r="K100" t="str">
        <f t="shared" si="17"/>
        <v>Karbowski__2007_TableS4</v>
      </c>
      <c r="L100" t="str">
        <f t="shared" si="16"/>
        <v>10.1186%2F1741-7007-5-18_TableS4</v>
      </c>
      <c r="M100" t="str">
        <f t="array" ref="M100">IFERROR(INDEX(FileList!$A$1:$A$100,MATCH(TRUE(),EXACT(L100,_xlfn.TEXTBEFORE(FileList!$A$1:$A$100,".tsv")),0)),"notfound")</f>
        <v>notfound</v>
      </c>
      <c r="N100" s="1" t="s">
        <v>464</v>
      </c>
      <c r="V100" s="1" t="s">
        <v>42</v>
      </c>
      <c r="AG100" s="1" t="s">
        <v>453</v>
      </c>
      <c r="AI100" s="1" t="s">
        <v>461</v>
      </c>
      <c r="AJ100" s="1" t="s">
        <v>140</v>
      </c>
      <c r="AK100" s="1" t="s">
        <v>458</v>
      </c>
      <c r="AL100" s="1" t="s">
        <v>141</v>
      </c>
      <c r="AM100" s="1" t="s">
        <v>459</v>
      </c>
    </row>
    <row r="101" ht="15.75" customHeight="1">
      <c r="A101" s="1" t="s">
        <v>451</v>
      </c>
      <c r="D101" s="1" t="s">
        <v>465</v>
      </c>
      <c r="E101" t="str">
        <f t="shared" si="10"/>
        <v>8</v>
      </c>
      <c r="F101" t="str">
        <f t="shared" si="11"/>
        <v>Karbowski__2007</v>
      </c>
      <c r="G101" t="str">
        <f t="shared" si="12"/>
        <v>Karbowski</v>
      </c>
      <c r="H101" t="str">
        <f t="shared" si="13"/>
      </c>
      <c r="I101" t="str">
        <f t="shared" si="14"/>
        <v>2007</v>
      </c>
      <c r="J101" t="str">
        <f t="shared" si="18"/>
        <v>10.1186%2F1741-7007-5-18</v>
      </c>
      <c r="K101" t="str">
        <f t="shared" si="17"/>
        <v>Karbowski__2007_TableS5</v>
      </c>
      <c r="L101" t="str">
        <f t="shared" si="16"/>
        <v>10.1186%2F1741-7007-5-18_TableS5</v>
      </c>
      <c r="M101" t="str">
        <f t="array" ref="M101">IFERROR(INDEX(FileList!$A$1:$A$100,MATCH(TRUE(),EXACT(L101,_xlfn.TEXTBEFORE(FileList!$A$1:$A$100,".tsv")),0)),"notfound")</f>
        <v>notfound</v>
      </c>
      <c r="N101" s="1" t="s">
        <v>466</v>
      </c>
      <c r="V101" s="1" t="s">
        <v>42</v>
      </c>
      <c r="AG101" s="1" t="s">
        <v>453</v>
      </c>
      <c r="AI101" s="1" t="s">
        <v>461</v>
      </c>
      <c r="AJ101" s="1" t="s">
        <v>140</v>
      </c>
      <c r="AK101" s="1" t="s">
        <v>458</v>
      </c>
      <c r="AL101" s="1" t="s">
        <v>141</v>
      </c>
      <c r="AM101" s="1" t="s">
        <v>459</v>
      </c>
    </row>
    <row r="102" ht="15.75" customHeight="1">
      <c r="A102" s="1" t="s">
        <v>451</v>
      </c>
      <c r="D102" s="1" t="s">
        <v>467</v>
      </c>
      <c r="E102" t="str">
        <f t="shared" si="10"/>
        <v>8</v>
      </c>
      <c r="F102" t="str">
        <f t="shared" si="11"/>
        <v>Karbowski__2007</v>
      </c>
      <c r="G102" t="str">
        <f t="shared" si="12"/>
        <v>Karbowski</v>
      </c>
      <c r="H102" t="str">
        <f t="shared" si="13"/>
      </c>
      <c r="I102" t="str">
        <f t="shared" si="14"/>
        <v>2007</v>
      </c>
      <c r="J102" t="str">
        <f t="shared" si="18"/>
        <v>10.1186%2F1741-7007-5-18</v>
      </c>
      <c r="K102" t="str">
        <f t="shared" si="17"/>
        <v>Karbowski__2007_TableS6</v>
      </c>
      <c r="L102" t="str">
        <f t="shared" si="16"/>
        <v>10.1186%2F1741-7007-5-18_TableS6</v>
      </c>
      <c r="M102" t="str">
        <f t="array" ref="M102">IFERROR(INDEX(FileList!$A$1:$A$100,MATCH(TRUE(),EXACT(L102,_xlfn.TEXTBEFORE(FileList!$A$1:$A$100,".tsv")),0)),"notfound")</f>
        <v>notfound</v>
      </c>
      <c r="N102" s="1" t="s">
        <v>468</v>
      </c>
      <c r="V102" s="1" t="s">
        <v>42</v>
      </c>
      <c r="AG102" s="1" t="s">
        <v>453</v>
      </c>
      <c r="AI102" s="1" t="s">
        <v>461</v>
      </c>
      <c r="AJ102" s="1" t="s">
        <v>140</v>
      </c>
      <c r="AK102" s="1" t="s">
        <v>458</v>
      </c>
      <c r="AL102" s="1" t="s">
        <v>141</v>
      </c>
      <c r="AM102" s="1" t="s">
        <v>459</v>
      </c>
    </row>
    <row r="103" ht="15.75" customHeight="1">
      <c r="A103" s="1" t="s">
        <v>451</v>
      </c>
      <c r="D103" s="1" t="s">
        <v>469</v>
      </c>
      <c r="E103" t="str">
        <f t="shared" si="10"/>
        <v>8</v>
      </c>
      <c r="F103" t="str">
        <f t="shared" si="11"/>
        <v>Karbowski__2007</v>
      </c>
      <c r="G103" t="str">
        <f t="shared" si="12"/>
        <v>Karbowski</v>
      </c>
      <c r="H103" t="str">
        <f t="shared" si="13"/>
      </c>
      <c r="I103" t="str">
        <f t="shared" si="14"/>
        <v>2007</v>
      </c>
      <c r="J103" t="str">
        <f t="shared" si="18"/>
        <v>10.1186%2F1741-7007-5-18</v>
      </c>
      <c r="K103" t="str">
        <f t="shared" si="17"/>
        <v>Karbowski__2007_TableS7</v>
      </c>
      <c r="L103" t="str">
        <f t="shared" si="16"/>
        <v>10.1186%2F1741-7007-5-18_TableS7</v>
      </c>
      <c r="M103" t="str">
        <f t="array" ref="M103">IFERROR(INDEX(FileList!$A$1:$A$100,MATCH(TRUE(),EXACT(L103,_xlfn.TEXTBEFORE(FileList!$A$1:$A$100,".tsv")),0)),"notfound")</f>
        <v>notfound</v>
      </c>
      <c r="N103" s="1" t="s">
        <v>470</v>
      </c>
      <c r="V103" s="1" t="s">
        <v>42</v>
      </c>
      <c r="AG103" s="1" t="s">
        <v>453</v>
      </c>
      <c r="AI103" s="1" t="s">
        <v>461</v>
      </c>
      <c r="AJ103" s="1" t="s">
        <v>140</v>
      </c>
      <c r="AK103" s="1" t="s">
        <v>458</v>
      </c>
      <c r="AL103" s="1" t="s">
        <v>141</v>
      </c>
      <c r="AM103" s="1" t="s">
        <v>459</v>
      </c>
    </row>
    <row r="104" ht="15.75" customHeight="1">
      <c r="A104" s="1" t="s">
        <v>451</v>
      </c>
      <c r="D104" s="1" t="s">
        <v>471</v>
      </c>
      <c r="E104" t="str">
        <f t="shared" si="10"/>
        <v>8</v>
      </c>
      <c r="F104" t="str">
        <f t="shared" si="11"/>
        <v>Karbowski__2007</v>
      </c>
      <c r="G104" t="str">
        <f t="shared" si="12"/>
        <v>Karbowski</v>
      </c>
      <c r="H104" t="str">
        <f t="shared" si="13"/>
      </c>
      <c r="I104" t="str">
        <f t="shared" si="14"/>
        <v>2007</v>
      </c>
      <c r="J104" t="str">
        <f t="shared" si="18"/>
        <v>10.1186%2F1741-7007-5-18</v>
      </c>
      <c r="K104" t="str">
        <f t="shared" si="17"/>
        <v>Karbowski__2007_TableS8</v>
      </c>
      <c r="L104" t="str">
        <f t="shared" si="16"/>
        <v>10.1186%2F1741-7007-5-18_TableS8</v>
      </c>
      <c r="M104" t="str">
        <f t="array" ref="M104">IFERROR(INDEX(FileList!$A$1:$A$100,MATCH(TRUE(),EXACT(L104,_xlfn.TEXTBEFORE(FileList!$A$1:$A$100,".tsv")),0)),"notfound")</f>
        <v>notfound</v>
      </c>
      <c r="N104" s="1" t="s">
        <v>472</v>
      </c>
      <c r="V104" s="1" t="s">
        <v>42</v>
      </c>
      <c r="AG104" s="1" t="s">
        <v>453</v>
      </c>
      <c r="AI104" s="1" t="s">
        <v>461</v>
      </c>
      <c r="AJ104" s="1" t="s">
        <v>140</v>
      </c>
      <c r="AK104" s="1" t="s">
        <v>458</v>
      </c>
      <c r="AL104" s="1" t="s">
        <v>141</v>
      </c>
      <c r="AM104" s="1" t="s">
        <v>459</v>
      </c>
    </row>
    <row r="105" ht="15.75" customHeight="1">
      <c r="A105" s="1" t="s">
        <v>451</v>
      </c>
      <c r="D105" s="1" t="s">
        <v>473</v>
      </c>
      <c r="E105" t="str">
        <f t="shared" si="10"/>
        <v>8</v>
      </c>
      <c r="F105" t="str">
        <f t="shared" si="11"/>
        <v>Karbowski__2007</v>
      </c>
      <c r="G105" t="str">
        <f t="shared" si="12"/>
        <v>Karbowski</v>
      </c>
      <c r="H105" t="str">
        <f t="shared" si="13"/>
      </c>
      <c r="I105" t="str">
        <f t="shared" si="14"/>
        <v>2007</v>
      </c>
      <c r="J105" t="str">
        <f t="shared" si="18"/>
        <v>10.1186%2F1741-7007-5-18</v>
      </c>
      <c r="K105" t="str">
        <f t="shared" si="17"/>
        <v>Karbowski__2007_TableS9</v>
      </c>
      <c r="L105" t="str">
        <f t="shared" si="16"/>
        <v>10.1186%2F1741-7007-5-18_TableS9</v>
      </c>
      <c r="M105" t="str">
        <f t="array" ref="M105">IFERROR(INDEX(FileList!$A$1:$A$100,MATCH(TRUE(),EXACT(L105,_xlfn.TEXTBEFORE(FileList!$A$1:$A$100,".tsv")),0)),"notfound")</f>
        <v>notfound</v>
      </c>
      <c r="N105" s="1" t="s">
        <v>474</v>
      </c>
      <c r="V105" s="1" t="s">
        <v>42</v>
      </c>
      <c r="AG105" s="1" t="s">
        <v>453</v>
      </c>
      <c r="AI105" s="1" t="s">
        <v>461</v>
      </c>
      <c r="AJ105" s="1" t="s">
        <v>140</v>
      </c>
      <c r="AK105" s="1" t="s">
        <v>458</v>
      </c>
      <c r="AL105" s="1" t="s">
        <v>141</v>
      </c>
      <c r="AM105" s="1" t="s">
        <v>459</v>
      </c>
    </row>
    <row r="106" ht="15.75" customHeight="1">
      <c r="A106" s="1" t="s">
        <v>451</v>
      </c>
      <c r="D106" s="1" t="s">
        <v>475</v>
      </c>
      <c r="E106" t="str">
        <f t="shared" si="10"/>
        <v>8</v>
      </c>
      <c r="F106" t="str">
        <f t="shared" si="11"/>
        <v>Karbowski__2007</v>
      </c>
      <c r="G106" t="str">
        <f t="shared" si="12"/>
        <v>Karbowski</v>
      </c>
      <c r="H106" t="str">
        <f t="shared" si="13"/>
      </c>
      <c r="I106" t="str">
        <f t="shared" si="14"/>
        <v>2007</v>
      </c>
      <c r="J106" t="str">
        <f t="shared" si="18"/>
        <v>10.1186%2F1741-7007-5-18</v>
      </c>
      <c r="K106" t="str">
        <f t="shared" si="17"/>
        <v>Karbowski__2007_TableS10</v>
      </c>
      <c r="L106" t="str">
        <f t="shared" si="16"/>
        <v>10.1186%2F1741-7007-5-18_TableS10</v>
      </c>
      <c r="M106" t="str">
        <f t="array" ref="M106">IFERROR(INDEX(FileList!$A$1:$A$100,MATCH(TRUE(),EXACT(L106,_xlfn.TEXTBEFORE(FileList!$A$1:$A$100,".tsv")),0)),"notfound")</f>
        <v>notfound</v>
      </c>
      <c r="N106" s="1" t="s">
        <v>476</v>
      </c>
      <c r="V106" s="1" t="s">
        <v>42</v>
      </c>
      <c r="AG106" s="1" t="s">
        <v>453</v>
      </c>
      <c r="AI106" s="1" t="s">
        <v>461</v>
      </c>
      <c r="AJ106" s="1" t="s">
        <v>140</v>
      </c>
      <c r="AK106" s="1" t="s">
        <v>458</v>
      </c>
      <c r="AL106" s="1" t="s">
        <v>141</v>
      </c>
      <c r="AM106" s="1" t="s">
        <v>459</v>
      </c>
    </row>
    <row r="107" ht="15.75" customHeight="1">
      <c r="A107" s="1" t="s">
        <v>451</v>
      </c>
      <c r="D107" s="1" t="s">
        <v>477</v>
      </c>
      <c r="E107" t="str">
        <f t="shared" si="10"/>
        <v>8</v>
      </c>
      <c r="F107" t="str">
        <f t="shared" si="11"/>
        <v>Karbowski__2007</v>
      </c>
      <c r="G107" t="str">
        <f t="shared" si="12"/>
        <v>Karbowski</v>
      </c>
      <c r="H107" t="str">
        <f t="shared" si="13"/>
      </c>
      <c r="I107" t="str">
        <f t="shared" si="14"/>
        <v>2007</v>
      </c>
      <c r="J107" t="str">
        <f t="shared" si="18"/>
        <v>10.1186%2F1741-7007-5-18</v>
      </c>
      <c r="K107" t="str">
        <f t="shared" si="17"/>
        <v>Karbowski__2007_TableS11</v>
      </c>
      <c r="L107" t="str">
        <f t="shared" si="16"/>
        <v>10.1186%2F1741-7007-5-18_TableS11</v>
      </c>
      <c r="M107" t="str">
        <f t="array" ref="M107">IFERROR(INDEX(FileList!$A$1:$A$100,MATCH(TRUE(),EXACT(L107,_xlfn.TEXTBEFORE(FileList!$A$1:$A$100,".tsv")),0)),"notfound")</f>
        <v>notfound</v>
      </c>
      <c r="N107" s="1" t="s">
        <v>478</v>
      </c>
      <c r="V107" s="1" t="s">
        <v>42</v>
      </c>
      <c r="AG107" s="1" t="s">
        <v>453</v>
      </c>
      <c r="AI107" s="1" t="s">
        <v>461</v>
      </c>
      <c r="AJ107" s="1" t="s">
        <v>140</v>
      </c>
      <c r="AK107" s="1" t="s">
        <v>458</v>
      </c>
      <c r="AL107" s="1" t="s">
        <v>141</v>
      </c>
      <c r="AM107" s="1" t="s">
        <v>459</v>
      </c>
    </row>
    <row r="108" ht="15.75" customHeight="1">
      <c r="A108" s="1" t="s">
        <v>451</v>
      </c>
      <c r="D108" s="1" t="s">
        <v>479</v>
      </c>
      <c r="E108" t="str">
        <f t="shared" si="10"/>
        <v>8</v>
      </c>
      <c r="F108" t="str">
        <f t="shared" si="11"/>
        <v>Karbowski__2007</v>
      </c>
      <c r="G108" t="str">
        <f t="shared" si="12"/>
        <v>Karbowski</v>
      </c>
      <c r="H108" t="str">
        <f t="shared" si="13"/>
      </c>
      <c r="I108" t="str">
        <f t="shared" si="14"/>
        <v>2007</v>
      </c>
      <c r="J108" t="str">
        <f t="shared" si="18"/>
        <v>10.1186%2F1741-7007-5-18</v>
      </c>
      <c r="K108" t="str">
        <f t="shared" si="17"/>
        <v>Karbowski__2007_TableS12</v>
      </c>
      <c r="L108" t="str">
        <f t="shared" si="16"/>
        <v>10.1186%2F1741-7007-5-18_TableS12</v>
      </c>
      <c r="M108" t="str">
        <f t="array" ref="M108">IFERROR(INDEX(FileList!$A$1:$A$100,MATCH(TRUE(),EXACT(L108,_xlfn.TEXTBEFORE(FileList!$A$1:$A$100,".tsv")),0)),"notfound")</f>
        <v>notfound</v>
      </c>
      <c r="N108" s="1" t="s">
        <v>480</v>
      </c>
      <c r="V108" s="1" t="s">
        <v>42</v>
      </c>
      <c r="AG108" s="1" t="s">
        <v>453</v>
      </c>
      <c r="AI108" s="1" t="s">
        <v>461</v>
      </c>
      <c r="AJ108" s="1" t="s">
        <v>140</v>
      </c>
      <c r="AK108" s="1" t="s">
        <v>458</v>
      </c>
      <c r="AL108" s="1" t="s">
        <v>141</v>
      </c>
      <c r="AM108" s="1" t="s">
        <v>459</v>
      </c>
    </row>
    <row r="109" ht="15.75" customHeight="1">
      <c r="A109" s="1" t="s">
        <v>451</v>
      </c>
      <c r="D109" s="1" t="s">
        <v>481</v>
      </c>
      <c r="E109" t="str">
        <f t="shared" si="10"/>
        <v>8</v>
      </c>
      <c r="F109" t="str">
        <f t="shared" si="11"/>
        <v>Karbowski__2007</v>
      </c>
      <c r="G109" t="str">
        <f t="shared" si="12"/>
        <v>Karbowski</v>
      </c>
      <c r="H109" t="str">
        <f t="shared" si="13"/>
      </c>
      <c r="I109" t="str">
        <f t="shared" si="14"/>
        <v>2007</v>
      </c>
      <c r="J109" t="str">
        <f t="shared" si="18"/>
        <v>10.1186%2F1741-7007-5-18</v>
      </c>
      <c r="K109" t="str">
        <f t="shared" si="17"/>
        <v>Karbowski__2007_TableS13</v>
      </c>
      <c r="L109" t="str">
        <f t="shared" si="16"/>
        <v>10.1186%2F1741-7007-5-18_TableS13</v>
      </c>
      <c r="M109" t="str">
        <f t="array" ref="M109">IFERROR(INDEX(FileList!$A$1:$A$100,MATCH(TRUE(),EXACT(L109,_xlfn.TEXTBEFORE(FileList!$A$1:$A$100,".tsv")),0)),"notfound")</f>
        <v>notfound</v>
      </c>
      <c r="N109" s="1" t="s">
        <v>482</v>
      </c>
      <c r="V109" s="1" t="s">
        <v>42</v>
      </c>
      <c r="AG109" s="1" t="s">
        <v>453</v>
      </c>
      <c r="AI109" s="1" t="s">
        <v>461</v>
      </c>
      <c r="AJ109" s="1" t="s">
        <v>140</v>
      </c>
      <c r="AK109" s="1" t="s">
        <v>458</v>
      </c>
      <c r="AL109" s="1" t="s">
        <v>141</v>
      </c>
      <c r="AM109" s="1" t="s">
        <v>459</v>
      </c>
    </row>
    <row r="110" ht="15.75" customHeight="1">
      <c r="A110" s="1" t="s">
        <v>451</v>
      </c>
      <c r="D110" s="1" t="s">
        <v>483</v>
      </c>
      <c r="E110" t="str">
        <f t="shared" si="10"/>
        <v>8</v>
      </c>
      <c r="F110" t="str">
        <f t="shared" si="11"/>
        <v>Karbowski__2007</v>
      </c>
      <c r="G110" t="str">
        <f t="shared" si="12"/>
        <v>Karbowski</v>
      </c>
      <c r="H110" t="str">
        <f t="shared" si="13"/>
      </c>
      <c r="I110" t="str">
        <f t="shared" si="14"/>
        <v>2007</v>
      </c>
      <c r="J110" t="str">
        <f t="shared" si="18"/>
        <v>10.1186%2F1741-7007-5-18</v>
      </c>
      <c r="K110" t="str">
        <f t="shared" ref="K110:K141" si="19">TRIM(_xlfn.TEXTJOIN("_",FALSE(),F110,(SUBSTITUTE(SUBSTITUTE(D110," ",""), "_", ""))))</f>
        <v>Karbowski__2007_TableS14</v>
      </c>
      <c r="L110" t="str">
        <f t="shared" si="16"/>
        <v>10.1186%2F1741-7007-5-18_TableS14</v>
      </c>
      <c r="M110" t="str">
        <f t="array" ref="M110">IFERROR(INDEX(FileList!$A$1:$A$100,MATCH(TRUE(),EXACT(L110,_xlfn.TEXTBEFORE(FileList!$A$1:$A$100,".tsv")),0)),"notfound")</f>
        <v>notfound</v>
      </c>
      <c r="N110" s="1" t="s">
        <v>484</v>
      </c>
      <c r="V110" s="1" t="s">
        <v>42</v>
      </c>
      <c r="AG110" s="1" t="s">
        <v>453</v>
      </c>
      <c r="AI110" s="1" t="s">
        <v>461</v>
      </c>
      <c r="AJ110" s="1" t="s">
        <v>140</v>
      </c>
      <c r="AK110" s="1" t="s">
        <v>458</v>
      </c>
      <c r="AL110" s="1" t="s">
        <v>141</v>
      </c>
      <c r="AM110" s="1" t="s">
        <v>459</v>
      </c>
    </row>
    <row r="111" ht="15.75" customHeight="1">
      <c r="A111" s="1" t="s">
        <v>451</v>
      </c>
      <c r="D111" s="1" t="s">
        <v>485</v>
      </c>
      <c r="E111" t="str">
        <f t="shared" si="10"/>
        <v>8</v>
      </c>
      <c r="F111" t="str">
        <f t="shared" si="11"/>
        <v>Karbowski__2007</v>
      </c>
      <c r="G111" t="str">
        <f t="shared" si="12"/>
        <v>Karbowski</v>
      </c>
      <c r="H111" t="str">
        <f t="shared" si="13"/>
      </c>
      <c r="I111" t="str">
        <f t="shared" si="14"/>
        <v>2007</v>
      </c>
      <c r="J111" t="str">
        <f t="shared" si="18"/>
        <v>10.1186%2F1741-7007-5-18</v>
      </c>
      <c r="K111" t="str">
        <f t="shared" si="19"/>
        <v>Karbowski__2007_TableS15</v>
      </c>
      <c r="L111" t="str">
        <f t="shared" si="16"/>
        <v>10.1186%2F1741-7007-5-18_TableS15</v>
      </c>
      <c r="M111" t="str">
        <f t="array" ref="M111">IFERROR(INDEX(FileList!$A$1:$A$100,MATCH(TRUE(),EXACT(L111,_xlfn.TEXTBEFORE(FileList!$A$1:$A$100,".tsv")),0)),"notfound")</f>
        <v>notfound</v>
      </c>
      <c r="N111" s="1" t="s">
        <v>486</v>
      </c>
      <c r="V111" s="1" t="s">
        <v>42</v>
      </c>
      <c r="AG111" s="1" t="s">
        <v>453</v>
      </c>
      <c r="AI111" s="1" t="s">
        <v>461</v>
      </c>
      <c r="AJ111" s="1" t="s">
        <v>140</v>
      </c>
      <c r="AK111" s="1" t="s">
        <v>458</v>
      </c>
      <c r="AL111" s="1" t="s">
        <v>141</v>
      </c>
      <c r="AM111" s="1" t="s">
        <v>459</v>
      </c>
    </row>
    <row r="112" ht="15.75" customHeight="1">
      <c r="A112" s="1" t="s">
        <v>451</v>
      </c>
      <c r="D112" s="1" t="s">
        <v>487</v>
      </c>
      <c r="E112" t="str">
        <f t="shared" si="10"/>
        <v>8</v>
      </c>
      <c r="F112" t="str">
        <f t="shared" si="11"/>
        <v>Karbowski__2007</v>
      </c>
      <c r="G112" t="str">
        <f t="shared" si="12"/>
        <v>Karbowski</v>
      </c>
      <c r="H112" t="str">
        <f t="shared" si="13"/>
      </c>
      <c r="I112" t="str">
        <f t="shared" si="14"/>
        <v>2007</v>
      </c>
      <c r="J112" t="str">
        <f t="shared" si="18"/>
        <v>10.1186%2F1741-7007-5-18</v>
      </c>
      <c r="K112" t="str">
        <f t="shared" si="19"/>
        <v>Karbowski__2007_TableS16</v>
      </c>
      <c r="L112" t="str">
        <f t="shared" si="16"/>
        <v>10.1186%2F1741-7007-5-18_TableS16</v>
      </c>
      <c r="M112" t="str">
        <f t="array" ref="M112">IFERROR(INDEX(FileList!$A$1:$A$100,MATCH(TRUE(),EXACT(L112,_xlfn.TEXTBEFORE(FileList!$A$1:$A$100,".tsv")),0)),"notfound")</f>
        <v>notfound</v>
      </c>
      <c r="N112" s="1" t="s">
        <v>488</v>
      </c>
      <c r="V112" s="1" t="s">
        <v>42</v>
      </c>
      <c r="AG112" s="1" t="s">
        <v>453</v>
      </c>
      <c r="AI112" s="1" t="s">
        <v>461</v>
      </c>
      <c r="AJ112" s="1" t="s">
        <v>140</v>
      </c>
      <c r="AK112" s="1" t="s">
        <v>458</v>
      </c>
      <c r="AL112" s="1" t="s">
        <v>141</v>
      </c>
      <c r="AM112" s="1" t="s">
        <v>459</v>
      </c>
    </row>
    <row r="113" ht="15.75" customHeight="1">
      <c r="A113" s="1" t="s">
        <v>451</v>
      </c>
      <c r="D113" s="1" t="s">
        <v>489</v>
      </c>
      <c r="E113" t="str">
        <f t="shared" si="10"/>
        <v>8</v>
      </c>
      <c r="F113" t="str">
        <f t="shared" si="11"/>
        <v>Karbowski__2007</v>
      </c>
      <c r="G113" t="str">
        <f t="shared" si="12"/>
        <v>Karbowski</v>
      </c>
      <c r="H113" t="str">
        <f t="shared" si="13"/>
      </c>
      <c r="I113" t="str">
        <f t="shared" si="14"/>
        <v>2007</v>
      </c>
      <c r="J113" t="str">
        <f t="shared" si="18"/>
        <v>10.1186%2F1741-7007-5-18</v>
      </c>
      <c r="K113" t="str">
        <f t="shared" si="19"/>
        <v>Karbowski__2007_TableS17</v>
      </c>
      <c r="L113" t="str">
        <f t="shared" si="16"/>
        <v>10.1186%2F1741-7007-5-18_TableS17</v>
      </c>
      <c r="M113" t="str">
        <f t="array" ref="M113">IFERROR(INDEX(FileList!$A$1:$A$100,MATCH(TRUE(),EXACT(L113,_xlfn.TEXTBEFORE(FileList!$A$1:$A$100,".tsv")),0)),"notfound")</f>
        <v>notfound</v>
      </c>
      <c r="N113" s="1" t="s">
        <v>490</v>
      </c>
      <c r="V113" s="1" t="s">
        <v>42</v>
      </c>
      <c r="AG113" s="1" t="s">
        <v>453</v>
      </c>
      <c r="AI113" s="1" t="s">
        <v>461</v>
      </c>
      <c r="AJ113" s="1" t="s">
        <v>140</v>
      </c>
      <c r="AK113" s="1" t="s">
        <v>458</v>
      </c>
      <c r="AL113" s="1" t="s">
        <v>141</v>
      </c>
      <c r="AM113" s="1" t="s">
        <v>459</v>
      </c>
    </row>
    <row r="114" ht="15.75" customHeight="1">
      <c r="A114" s="1" t="s">
        <v>451</v>
      </c>
      <c r="D114" s="1" t="s">
        <v>491</v>
      </c>
      <c r="E114" t="str">
        <f t="shared" si="10"/>
        <v>8</v>
      </c>
      <c r="F114" t="str">
        <f t="shared" si="11"/>
        <v>Karbowski__2007</v>
      </c>
      <c r="G114" t="str">
        <f t="shared" si="12"/>
        <v>Karbowski</v>
      </c>
      <c r="H114" t="str">
        <f t="shared" si="13"/>
      </c>
      <c r="I114" t="str">
        <f t="shared" si="14"/>
        <v>2007</v>
      </c>
      <c r="J114" t="str">
        <f t="shared" si="18"/>
        <v>10.1186%2F1741-7007-5-18</v>
      </c>
      <c r="K114" t="str">
        <f t="shared" si="19"/>
        <v>Karbowski__2007_TableS18</v>
      </c>
      <c r="L114" t="str">
        <f t="shared" si="16"/>
        <v>10.1186%2F1741-7007-5-18_TableS18</v>
      </c>
      <c r="M114" t="str">
        <f t="array" ref="M114">IFERROR(INDEX(FileList!$A$1:$A$100,MATCH(TRUE(),EXACT(L114,_xlfn.TEXTBEFORE(FileList!$A$1:$A$100,".tsv")),0)),"notfound")</f>
        <v>notfound</v>
      </c>
      <c r="N114" s="1" t="s">
        <v>492</v>
      </c>
      <c r="V114" s="1" t="s">
        <v>42</v>
      </c>
      <c r="AG114" s="1" t="s">
        <v>453</v>
      </c>
      <c r="AI114" s="1" t="s">
        <v>461</v>
      </c>
      <c r="AJ114" s="1" t="s">
        <v>140</v>
      </c>
      <c r="AK114" s="1" t="s">
        <v>458</v>
      </c>
      <c r="AL114" s="1" t="s">
        <v>141</v>
      </c>
      <c r="AM114" s="1" t="s">
        <v>459</v>
      </c>
    </row>
    <row r="115" ht="15.75" customHeight="1">
      <c r="A115" s="1" t="s">
        <v>451</v>
      </c>
      <c r="D115" s="1" t="s">
        <v>493</v>
      </c>
      <c r="E115" t="str">
        <f t="shared" si="10"/>
        <v>8</v>
      </c>
      <c r="F115" t="str">
        <f t="shared" si="11"/>
        <v>Karbowski__2007</v>
      </c>
      <c r="G115" t="str">
        <f t="shared" si="12"/>
        <v>Karbowski</v>
      </c>
      <c r="H115" t="str">
        <f t="shared" si="13"/>
      </c>
      <c r="I115" t="str">
        <f t="shared" si="14"/>
        <v>2007</v>
      </c>
      <c r="J115" t="str">
        <f t="shared" si="18"/>
        <v>10.1186%2F1741-7007-5-18</v>
      </c>
      <c r="K115" t="str">
        <f t="shared" si="19"/>
        <v>Karbowski__2007_TableS19</v>
      </c>
      <c r="L115" t="str">
        <f t="shared" si="16"/>
        <v>10.1186%2F1741-7007-5-18_TableS19</v>
      </c>
      <c r="M115" t="str">
        <f t="array" ref="M115">IFERROR(INDEX(FileList!$A$1:$A$100,MATCH(TRUE(),EXACT(L115,_xlfn.TEXTBEFORE(FileList!$A$1:$A$100,".tsv")),0)),"notfound")</f>
        <v>notfound</v>
      </c>
      <c r="N115" s="1" t="s">
        <v>494</v>
      </c>
      <c r="V115" s="1" t="s">
        <v>42</v>
      </c>
      <c r="AG115" s="1" t="s">
        <v>453</v>
      </c>
      <c r="AI115" s="1" t="s">
        <v>461</v>
      </c>
      <c r="AJ115" s="1" t="s">
        <v>140</v>
      </c>
      <c r="AK115" s="1" t="s">
        <v>458</v>
      </c>
      <c r="AL115" s="1" t="s">
        <v>141</v>
      </c>
      <c r="AM115" s="1" t="s">
        <v>459</v>
      </c>
    </row>
    <row r="116" ht="15.75" customHeight="1">
      <c r="A116" s="1" t="s">
        <v>451</v>
      </c>
      <c r="D116" s="1" t="s">
        <v>495</v>
      </c>
      <c r="E116" t="str">
        <f t="shared" si="10"/>
        <v>8</v>
      </c>
      <c r="F116" t="str">
        <f t="shared" si="11"/>
        <v>Karbowski__2007</v>
      </c>
      <c r="G116" t="str">
        <f t="shared" si="12"/>
        <v>Karbowski</v>
      </c>
      <c r="H116" t="str">
        <f t="shared" si="13"/>
      </c>
      <c r="I116" t="str">
        <f t="shared" si="14"/>
        <v>2007</v>
      </c>
      <c r="J116" t="str">
        <f t="shared" si="18"/>
        <v>10.1186%2F1741-7007-5-18</v>
      </c>
      <c r="K116" t="str">
        <f t="shared" si="19"/>
        <v>Karbowski__2007_TableS20</v>
      </c>
      <c r="L116" t="str">
        <f t="shared" si="16"/>
        <v>10.1186%2F1741-7007-5-18_TableS20</v>
      </c>
      <c r="M116" t="str">
        <f t="array" ref="M116">IFERROR(INDEX(FileList!$A$1:$A$100,MATCH(TRUE(),EXACT(L116,_xlfn.TEXTBEFORE(FileList!$A$1:$A$100,".tsv")),0)),"notfound")</f>
        <v>notfound</v>
      </c>
      <c r="N116" s="1" t="s">
        <v>496</v>
      </c>
      <c r="V116" s="1" t="s">
        <v>42</v>
      </c>
      <c r="AG116" s="1" t="s">
        <v>453</v>
      </c>
      <c r="AI116" s="1" t="s">
        <v>461</v>
      </c>
      <c r="AJ116" s="1" t="s">
        <v>140</v>
      </c>
      <c r="AK116" s="1" t="s">
        <v>458</v>
      </c>
      <c r="AL116" s="1" t="s">
        <v>141</v>
      </c>
      <c r="AM116" s="1" t="s">
        <v>459</v>
      </c>
    </row>
    <row r="117" ht="15.75" customHeight="1">
      <c r="A117" s="1" t="s">
        <v>451</v>
      </c>
      <c r="D117" s="1" t="s">
        <v>497</v>
      </c>
      <c r="E117" t="str">
        <f t="shared" si="10"/>
        <v>8</v>
      </c>
      <c r="F117" t="str">
        <f t="shared" si="11"/>
        <v>Karbowski__2007</v>
      </c>
      <c r="G117" t="str">
        <f t="shared" si="12"/>
        <v>Karbowski</v>
      </c>
      <c r="H117" t="str">
        <f t="shared" si="13"/>
      </c>
      <c r="I117" t="str">
        <f t="shared" si="14"/>
        <v>2007</v>
      </c>
      <c r="J117" t="str">
        <f t="shared" si="18"/>
        <v>10.1186%2F1741-7007-5-18</v>
      </c>
      <c r="K117" t="str">
        <f t="shared" si="19"/>
        <v>Karbowski__2007_TableS21</v>
      </c>
      <c r="L117" t="str">
        <f t="shared" si="16"/>
        <v>10.1186%2F1741-7007-5-18_TableS21</v>
      </c>
      <c r="M117" t="str">
        <f t="array" ref="M117">IFERROR(INDEX(FileList!$A$1:$A$100,MATCH(TRUE(),EXACT(L117,_xlfn.TEXTBEFORE(FileList!$A$1:$A$100,".tsv")),0)),"notfound")</f>
        <v>notfound</v>
      </c>
      <c r="N117" s="1" t="s">
        <v>498</v>
      </c>
      <c r="V117" s="1" t="s">
        <v>42</v>
      </c>
      <c r="AG117" s="1" t="s">
        <v>453</v>
      </c>
      <c r="AI117" s="1" t="s">
        <v>461</v>
      </c>
      <c r="AJ117" s="1" t="s">
        <v>140</v>
      </c>
      <c r="AK117" s="1" t="s">
        <v>458</v>
      </c>
      <c r="AL117" s="1" t="s">
        <v>141</v>
      </c>
      <c r="AM117" s="1" t="s">
        <v>459</v>
      </c>
    </row>
    <row r="118" ht="15.75" customHeight="1">
      <c r="A118" s="1" t="s">
        <v>451</v>
      </c>
      <c r="D118" s="1" t="s">
        <v>499</v>
      </c>
      <c r="E118" t="str">
        <f t="shared" si="10"/>
        <v>8</v>
      </c>
      <c r="F118" t="str">
        <f t="shared" si="11"/>
        <v>Karbowski__2007</v>
      </c>
      <c r="G118" t="str">
        <f t="shared" si="12"/>
        <v>Karbowski</v>
      </c>
      <c r="H118" t="str">
        <f t="shared" si="13"/>
      </c>
      <c r="I118" t="str">
        <f t="shared" si="14"/>
        <v>2007</v>
      </c>
      <c r="J118" t="str">
        <f t="shared" si="18"/>
        <v>10.1186%2F1741-7007-5-18</v>
      </c>
      <c r="K118" t="str">
        <f t="shared" si="19"/>
        <v>Karbowski__2007_TableS22</v>
      </c>
      <c r="L118" t="str">
        <f t="shared" si="16"/>
        <v>10.1186%2F1741-7007-5-18_TableS22</v>
      </c>
      <c r="M118" t="str">
        <f t="array" ref="M118">IFERROR(INDEX(FileList!$A$1:$A$100,MATCH(TRUE(),EXACT(L118,_xlfn.TEXTBEFORE(FileList!$A$1:$A$100,".tsv")),0)),"notfound")</f>
        <v>notfound</v>
      </c>
      <c r="N118" s="1" t="s">
        <v>500</v>
      </c>
      <c r="V118" s="1" t="s">
        <v>42</v>
      </c>
      <c r="AG118" s="1" t="s">
        <v>453</v>
      </c>
      <c r="AI118" s="1" t="s">
        <v>461</v>
      </c>
      <c r="AJ118" s="1" t="s">
        <v>140</v>
      </c>
      <c r="AK118" s="1" t="s">
        <v>458</v>
      </c>
      <c r="AL118" s="1" t="s">
        <v>141</v>
      </c>
      <c r="AM118" s="1" t="s">
        <v>459</v>
      </c>
    </row>
    <row r="119" ht="15.75" customHeight="1">
      <c r="A119" s="1" t="s">
        <v>451</v>
      </c>
      <c r="D119" s="1" t="s">
        <v>501</v>
      </c>
      <c r="E119" t="str">
        <f t="shared" si="10"/>
        <v>8</v>
      </c>
      <c r="F119" t="str">
        <f t="shared" si="11"/>
        <v>Karbowski__2007</v>
      </c>
      <c r="G119" t="str">
        <f t="shared" si="12"/>
        <v>Karbowski</v>
      </c>
      <c r="H119" t="str">
        <f t="shared" si="13"/>
      </c>
      <c r="I119" t="str">
        <f t="shared" si="14"/>
        <v>2007</v>
      </c>
      <c r="J119" t="str">
        <f t="shared" si="18"/>
        <v>10.1186%2F1741-7007-5-18</v>
      </c>
      <c r="K119" t="str">
        <f t="shared" si="19"/>
        <v>Karbowski__2007_TableS23</v>
      </c>
      <c r="L119" t="str">
        <f t="shared" si="16"/>
        <v>10.1186%2F1741-7007-5-18_TableS23</v>
      </c>
      <c r="M119" t="str">
        <f t="array" ref="M119">IFERROR(INDEX(FileList!$A$1:$A$100,MATCH(TRUE(),EXACT(L119,_xlfn.TEXTBEFORE(FileList!$A$1:$A$100,".tsv")),0)),"notfound")</f>
        <v>notfound</v>
      </c>
      <c r="N119" s="1" t="s">
        <v>502</v>
      </c>
      <c r="V119" s="1" t="s">
        <v>42</v>
      </c>
      <c r="AG119" s="1" t="s">
        <v>453</v>
      </c>
      <c r="AI119" s="1" t="s">
        <v>461</v>
      </c>
      <c r="AJ119" s="1" t="s">
        <v>140</v>
      </c>
      <c r="AK119" s="1" t="s">
        <v>458</v>
      </c>
      <c r="AL119" s="1" t="s">
        <v>141</v>
      </c>
      <c r="AM119" s="1" t="s">
        <v>459</v>
      </c>
    </row>
    <row r="120" ht="15.75" customHeight="1">
      <c r="A120" s="1" t="s">
        <v>503</v>
      </c>
      <c r="D120" s="1" t="s">
        <v>49</v>
      </c>
      <c r="E120" t="str">
        <f t="shared" si="10"/>
        <v>9</v>
      </c>
      <c r="F120" t="str">
        <f t="shared" si="11"/>
        <v>Karl_etal_2024</v>
      </c>
      <c r="G120" t="str">
        <f t="shared" si="12"/>
        <v>Karl</v>
      </c>
      <c r="H120" t="str">
        <f t="shared" si="13"/>
        <v>etal</v>
      </c>
      <c r="I120" t="str">
        <f t="shared" si="14"/>
        <v>2024</v>
      </c>
      <c r="J120" t="str">
        <f t="shared" si="18"/>
        <v>10.1002%2Fcne.25669</v>
      </c>
      <c r="K120" t="str">
        <f t="shared" si="19"/>
        <v>Karl_etal_2024_TABLE1</v>
      </c>
      <c r="L120" t="str">
        <f t="shared" si="16"/>
        <v>10.1002%2Fcne.25669_TABLE1</v>
      </c>
      <c r="M120" t="str">
        <f t="array" ref="M120">IFERROR(INDEX(FileList!$A$1:$A$100,MATCH(TRUE(),EXACT(L120,_xlfn.TEXTBEFORE(FileList!$A$1:$A$100,".tsv")),0)),"notfound")</f>
        <v>10.1002%2Fcne.25669_TABLE1.tsv</v>
      </c>
      <c r="N120" s="1" t="s">
        <v>504</v>
      </c>
      <c r="P120" s="1" t="s">
        <v>41</v>
      </c>
      <c r="U120" s="1" t="s">
        <v>55</v>
      </c>
      <c r="V120" s="1" t="s">
        <v>42</v>
      </c>
      <c r="W120" s="1" t="s">
        <v>206</v>
      </c>
      <c r="AI120" s="1" t="s">
        <v>505</v>
      </c>
      <c r="AJ120" s="1" t="s">
        <v>140</v>
      </c>
      <c r="AK120" s="1" t="s">
        <v>63</v>
      </c>
      <c r="AL120" s="1" t="s">
        <v>63</v>
      </c>
      <c r="AM120" s="1" t="s">
        <v>505</v>
      </c>
    </row>
    <row r="121">
      <c r="A121" s="1" t="s">
        <v>506</v>
      </c>
      <c r="C121" s="1" t="s">
        <v>507</v>
      </c>
      <c r="D121" s="1" t="s">
        <v>508</v>
      </c>
      <c r="E121" t="str">
        <f t="shared" si="10"/>
        <v>.</v>
      </c>
      <c r="F121" t="str">
        <f t="shared" si="11"/>
        <v>Kaufman__2004</v>
      </c>
      <c r="G121" t="str">
        <f t="shared" si="12"/>
        <v>Kaufman</v>
      </c>
      <c r="H121" t="str">
        <f t="shared" si="13"/>
      </c>
      <c r="I121" t="str">
        <f t="shared" si="14"/>
        <v>2004</v>
      </c>
      <c r="J121" t="str">
        <f t="shared" si="18"/>
        <v>UMI%3A3147447</v>
      </c>
      <c r="K121" t="str">
        <f t="shared" si="19"/>
        <v>Kaufman__2004_TableA1</v>
      </c>
      <c r="L121" t="str">
        <f t="shared" si="16"/>
        <v>UMI%3A3147447_TableA1</v>
      </c>
      <c r="M121" t="str">
        <f t="array" ref="M121">IFERROR(INDEX(FileList!$A$1:$A$100,MATCH(TRUE(),EXACT(L121,_xlfn.TEXTBEFORE(FileList!$A$1:$A$100,".tsv")),0)),"notfound")</f>
        <v>notfound</v>
      </c>
      <c r="N121" s="1" t="s">
        <v>509</v>
      </c>
      <c r="P121" s="1" t="s">
        <v>166</v>
      </c>
      <c r="R121" s="1" t="s">
        <v>510</v>
      </c>
      <c r="T121" s="1" t="s">
        <v>511</v>
      </c>
      <c r="V121" s="1" t="s">
        <v>42</v>
      </c>
      <c r="AB121" s="1" t="s">
        <v>512</v>
      </c>
      <c r="AI121" s="1" t="s">
        <v>513</v>
      </c>
      <c r="AJ121" s="1" t="s">
        <v>140</v>
      </c>
      <c r="AK121" s="1" t="s">
        <v>63</v>
      </c>
      <c r="AL121" s="1" t="s">
        <v>141</v>
      </c>
      <c r="AM121" s="1" t="s">
        <v>514</v>
      </c>
    </row>
    <row r="122">
      <c r="A122" s="1" t="s">
        <v>506</v>
      </c>
      <c r="C122" s="1" t="s">
        <v>507</v>
      </c>
      <c r="D122" s="1" t="s">
        <v>515</v>
      </c>
      <c r="E122" t="str">
        <f t="shared" si="10"/>
        <v>.</v>
      </c>
      <c r="F122" t="str">
        <f t="shared" si="11"/>
        <v>Kaufman__2004</v>
      </c>
      <c r="G122" t="str">
        <f t="shared" si="12"/>
        <v>Kaufman</v>
      </c>
      <c r="H122" t="str">
        <f t="shared" si="13"/>
      </c>
      <c r="I122" t="str">
        <f t="shared" si="14"/>
        <v>2004</v>
      </c>
      <c r="J122" t="str">
        <f t="shared" si="18"/>
        <v>UMI%3A3147447</v>
      </c>
      <c r="K122" t="str">
        <f t="shared" si="19"/>
        <v>Kaufman__2004_TableA2</v>
      </c>
      <c r="L122" t="str">
        <f t="shared" si="16"/>
        <v>UMI%3A3147447_TableA2</v>
      </c>
      <c r="M122" t="str">
        <f t="array" ref="M122">IFERROR(INDEX(FileList!$A$1:$A$100,MATCH(TRUE(),EXACT(L122,_xlfn.TEXTBEFORE(FileList!$A$1:$A$100,".tsv")),0)),"notfound")</f>
        <v>notfound</v>
      </c>
      <c r="N122" s="1" t="s">
        <v>516</v>
      </c>
      <c r="P122" s="1" t="s">
        <v>166</v>
      </c>
      <c r="R122" s="1" t="s">
        <v>517</v>
      </c>
      <c r="T122" s="1" t="s">
        <v>518</v>
      </c>
      <c r="V122" s="1" t="s">
        <v>42</v>
      </c>
      <c r="AB122" s="1" t="s">
        <v>512</v>
      </c>
      <c r="AI122" s="1" t="s">
        <v>513</v>
      </c>
      <c r="AJ122" s="1" t="s">
        <v>140</v>
      </c>
      <c r="AK122" s="1" t="s">
        <v>63</v>
      </c>
      <c r="AL122" s="1" t="s">
        <v>141</v>
      </c>
      <c r="AM122" s="1" t="s">
        <v>514</v>
      </c>
    </row>
    <row r="123">
      <c r="A123" s="1" t="s">
        <v>506</v>
      </c>
      <c r="C123" s="1" t="s">
        <v>507</v>
      </c>
      <c r="D123" s="1" t="s">
        <v>519</v>
      </c>
      <c r="E123" t="str">
        <f t="shared" si="10"/>
        <v>.</v>
      </c>
      <c r="F123" t="str">
        <f t="shared" si="11"/>
        <v>Kaufman__2004</v>
      </c>
      <c r="G123" t="str">
        <f t="shared" si="12"/>
        <v>Kaufman</v>
      </c>
      <c r="H123" t="str">
        <f t="shared" si="13"/>
      </c>
      <c r="I123" t="str">
        <f t="shared" si="14"/>
        <v>2004</v>
      </c>
      <c r="J123" t="str">
        <f t="shared" si="18"/>
        <v>UMI%3A3147447</v>
      </c>
      <c r="K123" t="str">
        <f t="shared" si="19"/>
        <v>Kaufman__2004_TableA3</v>
      </c>
      <c r="L123" t="str">
        <f t="shared" si="16"/>
        <v>UMI%3A3147447_TableA3</v>
      </c>
      <c r="M123" t="str">
        <f t="array" ref="M123">IFERROR(INDEX(FileList!$A$1:$A$100,MATCH(TRUE(),EXACT(L123,_xlfn.TEXTBEFORE(FileList!$A$1:$A$100,".tsv")),0)),"notfound")</f>
        <v>notfound</v>
      </c>
      <c r="N123" s="1" t="s">
        <v>520</v>
      </c>
      <c r="P123" s="1" t="s">
        <v>166</v>
      </c>
      <c r="R123" s="1" t="s">
        <v>521</v>
      </c>
      <c r="T123" s="1" t="s">
        <v>522</v>
      </c>
      <c r="V123" s="1" t="s">
        <v>42</v>
      </c>
      <c r="AB123" s="1" t="s">
        <v>512</v>
      </c>
      <c r="AI123" s="1" t="s">
        <v>513</v>
      </c>
      <c r="AJ123" s="1" t="s">
        <v>140</v>
      </c>
      <c r="AK123" s="1" t="s">
        <v>63</v>
      </c>
      <c r="AL123" s="1" t="s">
        <v>141</v>
      </c>
      <c r="AM123" s="1" t="s">
        <v>514</v>
      </c>
    </row>
    <row r="124">
      <c r="A124" s="1" t="s">
        <v>506</v>
      </c>
      <c r="C124" s="1" t="s">
        <v>507</v>
      </c>
      <c r="D124" s="1" t="s">
        <v>523</v>
      </c>
      <c r="E124" t="str">
        <f t="shared" si="10"/>
        <v>.</v>
      </c>
      <c r="F124" t="str">
        <f t="shared" si="11"/>
        <v>Kaufman__2004</v>
      </c>
      <c r="G124" t="str">
        <f t="shared" si="12"/>
        <v>Kaufman</v>
      </c>
      <c r="H124" t="str">
        <f t="shared" si="13"/>
      </c>
      <c r="I124" t="str">
        <f t="shared" si="14"/>
        <v>2004</v>
      </c>
      <c r="J124" t="str">
        <f t="shared" si="18"/>
        <v>UMI%3A3147447</v>
      </c>
      <c r="K124" t="str">
        <f t="shared" si="19"/>
        <v>Kaufman__2004_TableA4</v>
      </c>
      <c r="L124" t="str">
        <f t="shared" si="16"/>
        <v>UMI%3A3147447_TableA4</v>
      </c>
      <c r="M124" t="str">
        <f t="array" ref="M124">IFERROR(INDEX(FileList!$A$1:$A$100,MATCH(TRUE(),EXACT(L124,_xlfn.TEXTBEFORE(FileList!$A$1:$A$100,".tsv")),0)),"notfound")</f>
        <v>notfound</v>
      </c>
      <c r="N124" s="1" t="s">
        <v>524</v>
      </c>
      <c r="P124" s="1" t="s">
        <v>166</v>
      </c>
      <c r="R124" s="1" t="s">
        <v>525</v>
      </c>
      <c r="T124" s="1" t="s">
        <v>526</v>
      </c>
      <c r="V124" s="1" t="s">
        <v>42</v>
      </c>
      <c r="AB124" s="1" t="s">
        <v>512</v>
      </c>
      <c r="AI124" s="1" t="s">
        <v>513</v>
      </c>
      <c r="AJ124" s="1" t="s">
        <v>140</v>
      </c>
      <c r="AK124" s="1" t="s">
        <v>63</v>
      </c>
      <c r="AL124" s="1" t="s">
        <v>141</v>
      </c>
      <c r="AM124" s="1" t="s">
        <v>514</v>
      </c>
    </row>
    <row r="125">
      <c r="A125" s="1" t="s">
        <v>506</v>
      </c>
      <c r="C125" s="1" t="s">
        <v>507</v>
      </c>
      <c r="D125" s="1" t="s">
        <v>527</v>
      </c>
      <c r="E125" t="str">
        <f t="shared" si="10"/>
        <v>.</v>
      </c>
      <c r="F125" t="str">
        <f t="shared" si="11"/>
        <v>Kaufman__2004</v>
      </c>
      <c r="G125" t="str">
        <f t="shared" si="12"/>
        <v>Kaufman</v>
      </c>
      <c r="H125" t="str">
        <f t="shared" si="13"/>
      </c>
      <c r="I125" t="str">
        <f t="shared" si="14"/>
        <v>2004</v>
      </c>
      <c r="J125" t="str">
        <f t="shared" si="18"/>
        <v>UMI%3A3147447</v>
      </c>
      <c r="K125" t="str">
        <f t="shared" si="19"/>
        <v>Kaufman__2004_TableA5</v>
      </c>
      <c r="L125" t="str">
        <f t="shared" si="16"/>
        <v>UMI%3A3147447_TableA5</v>
      </c>
      <c r="M125" t="str">
        <f t="array" ref="M125">IFERROR(INDEX(FileList!$A$1:$A$100,MATCH(TRUE(),EXACT(L125,_xlfn.TEXTBEFORE(FileList!$A$1:$A$100,".tsv")),0)),"notfound")</f>
        <v>notfound</v>
      </c>
      <c r="N125" s="1" t="s">
        <v>528</v>
      </c>
      <c r="P125" s="1" t="s">
        <v>166</v>
      </c>
      <c r="R125" s="1" t="s">
        <v>529</v>
      </c>
      <c r="T125" s="1" t="s">
        <v>530</v>
      </c>
      <c r="V125" s="1" t="s">
        <v>42</v>
      </c>
      <c r="AB125" s="1" t="s">
        <v>512</v>
      </c>
      <c r="AI125" s="1" t="s">
        <v>513</v>
      </c>
      <c r="AJ125" s="1" t="s">
        <v>140</v>
      </c>
      <c r="AK125" s="1" t="s">
        <v>63</v>
      </c>
      <c r="AL125" s="1" t="s">
        <v>141</v>
      </c>
      <c r="AM125" s="1" t="s">
        <v>514</v>
      </c>
    </row>
    <row r="126">
      <c r="A126" s="1" t="s">
        <v>506</v>
      </c>
      <c r="C126" s="1" t="s">
        <v>507</v>
      </c>
      <c r="D126" s="1" t="s">
        <v>531</v>
      </c>
      <c r="E126" t="str">
        <f t="shared" si="10"/>
        <v>.</v>
      </c>
      <c r="F126" t="str">
        <f t="shared" si="11"/>
        <v>Kaufman__2004</v>
      </c>
      <c r="G126" t="str">
        <f t="shared" si="12"/>
        <v>Kaufman</v>
      </c>
      <c r="H126" t="str">
        <f t="shared" si="13"/>
      </c>
      <c r="I126" t="str">
        <f t="shared" si="14"/>
        <v>2004</v>
      </c>
      <c r="J126" t="str">
        <f t="shared" si="18"/>
        <v>UMI%3A3147447</v>
      </c>
      <c r="K126" t="str">
        <f t="shared" si="19"/>
        <v>Kaufman__2004_TableA6</v>
      </c>
      <c r="L126" t="str">
        <f t="shared" si="16"/>
        <v>UMI%3A3147447_TableA6</v>
      </c>
      <c r="M126" t="str">
        <f t="array" ref="M126">IFERROR(INDEX(FileList!$A$1:$A$100,MATCH(TRUE(),EXACT(L126,_xlfn.TEXTBEFORE(FileList!$A$1:$A$100,".tsv")),0)),"notfound")</f>
        <v>notfound</v>
      </c>
      <c r="N126" s="1" t="s">
        <v>532</v>
      </c>
      <c r="P126" s="1" t="s">
        <v>166</v>
      </c>
      <c r="R126" s="1" t="s">
        <v>533</v>
      </c>
      <c r="T126" s="1" t="s">
        <v>534</v>
      </c>
      <c r="V126" s="1" t="s">
        <v>42</v>
      </c>
      <c r="AB126" s="1" t="s">
        <v>512</v>
      </c>
      <c r="AI126" s="1" t="s">
        <v>513</v>
      </c>
      <c r="AJ126" s="1" t="s">
        <v>140</v>
      </c>
      <c r="AK126" s="1" t="s">
        <v>63</v>
      </c>
      <c r="AL126" s="1" t="s">
        <v>141</v>
      </c>
      <c r="AM126" s="1" t="s">
        <v>514</v>
      </c>
    </row>
    <row r="127">
      <c r="A127" s="1" t="s">
        <v>506</v>
      </c>
      <c r="C127" s="1" t="s">
        <v>507</v>
      </c>
      <c r="D127" s="1" t="s">
        <v>535</v>
      </c>
      <c r="E127" t="str">
        <f t="shared" si="10"/>
        <v>.</v>
      </c>
      <c r="F127" t="str">
        <f t="shared" si="11"/>
        <v>Kaufman__2004</v>
      </c>
      <c r="G127" t="str">
        <f t="shared" si="12"/>
        <v>Kaufman</v>
      </c>
      <c r="H127" t="str">
        <f t="shared" si="13"/>
      </c>
      <c r="I127" t="str">
        <f t="shared" si="14"/>
        <v>2004</v>
      </c>
      <c r="J127" t="str">
        <f t="shared" si="18"/>
        <v>UMI%3A3147447</v>
      </c>
      <c r="K127" t="str">
        <f t="shared" si="19"/>
        <v>Kaufman__2004_TableA7</v>
      </c>
      <c r="L127" t="str">
        <f t="shared" si="16"/>
        <v>UMI%3A3147447_TableA7</v>
      </c>
      <c r="M127" t="str">
        <f t="array" ref="M127">IFERROR(INDEX(FileList!$A$1:$A$100,MATCH(TRUE(),EXACT(L127,_xlfn.TEXTBEFORE(FileList!$A$1:$A$100,".tsv")),0)),"notfound")</f>
        <v>notfound</v>
      </c>
      <c r="N127" s="1" t="s">
        <v>536</v>
      </c>
      <c r="P127" s="1" t="s">
        <v>166</v>
      </c>
      <c r="R127" s="1" t="s">
        <v>537</v>
      </c>
      <c r="T127" s="1" t="s">
        <v>538</v>
      </c>
      <c r="V127" s="1" t="s">
        <v>42</v>
      </c>
      <c r="AB127" s="1" t="s">
        <v>512</v>
      </c>
      <c r="AI127" s="1" t="s">
        <v>513</v>
      </c>
      <c r="AJ127" s="1" t="s">
        <v>140</v>
      </c>
      <c r="AK127" s="1" t="s">
        <v>63</v>
      </c>
      <c r="AL127" s="1" t="s">
        <v>141</v>
      </c>
      <c r="AM127" s="1" t="s">
        <v>514</v>
      </c>
    </row>
    <row r="128">
      <c r="A128" s="1" t="s">
        <v>506</v>
      </c>
      <c r="C128" s="1" t="s">
        <v>507</v>
      </c>
      <c r="D128" s="1" t="s">
        <v>539</v>
      </c>
      <c r="E128" t="str">
        <f t="shared" si="10"/>
        <v>.</v>
      </c>
      <c r="F128" t="str">
        <f t="shared" si="11"/>
        <v>Kaufman__2004</v>
      </c>
      <c r="G128" t="str">
        <f t="shared" si="12"/>
        <v>Kaufman</v>
      </c>
      <c r="H128" t="str">
        <f t="shared" si="13"/>
      </c>
      <c r="I128" t="str">
        <f t="shared" si="14"/>
        <v>2004</v>
      </c>
      <c r="J128" t="str">
        <f t="shared" si="18"/>
        <v>UMI%3A3147447</v>
      </c>
      <c r="K128" t="str">
        <f t="shared" si="19"/>
        <v>Kaufman__2004_TableA8</v>
      </c>
      <c r="L128" t="str">
        <f t="shared" si="16"/>
        <v>UMI%3A3147447_TableA8</v>
      </c>
      <c r="M128" t="str">
        <f t="array" ref="M128">IFERROR(INDEX(FileList!$A$1:$A$100,MATCH(TRUE(),EXACT(L128,_xlfn.TEXTBEFORE(FileList!$A$1:$A$100,".tsv")),0)),"notfound")</f>
        <v>notfound</v>
      </c>
      <c r="N128" s="1" t="s">
        <v>540</v>
      </c>
      <c r="P128" s="1" t="s">
        <v>166</v>
      </c>
      <c r="R128" s="1" t="s">
        <v>541</v>
      </c>
      <c r="T128" s="1" t="s">
        <v>542</v>
      </c>
      <c r="V128" s="1" t="s">
        <v>42</v>
      </c>
      <c r="AB128" s="1" t="s">
        <v>512</v>
      </c>
      <c r="AI128" s="1" t="s">
        <v>513</v>
      </c>
      <c r="AJ128" s="1" t="s">
        <v>140</v>
      </c>
      <c r="AK128" s="1" t="s">
        <v>63</v>
      </c>
      <c r="AL128" s="1" t="s">
        <v>141</v>
      </c>
      <c r="AM128" s="1" t="s">
        <v>514</v>
      </c>
    </row>
    <row r="129">
      <c r="A129" s="1" t="s">
        <v>506</v>
      </c>
      <c r="C129" s="1" t="s">
        <v>507</v>
      </c>
      <c r="D129" s="1" t="s">
        <v>543</v>
      </c>
      <c r="E129" t="str">
        <f t="shared" si="10"/>
        <v>.</v>
      </c>
      <c r="F129" t="str">
        <f t="shared" si="11"/>
        <v>Kaufman__2004</v>
      </c>
      <c r="G129" t="str">
        <f t="shared" si="12"/>
        <v>Kaufman</v>
      </c>
      <c r="H129" t="str">
        <f t="shared" si="13"/>
      </c>
      <c r="I129" t="str">
        <f t="shared" si="14"/>
        <v>2004</v>
      </c>
      <c r="J129" t="str">
        <f t="shared" si="18"/>
        <v>UMI%3A3147447</v>
      </c>
      <c r="K129" t="str">
        <f t="shared" si="19"/>
        <v>Kaufman__2004_TableA9</v>
      </c>
      <c r="L129" t="str">
        <f t="shared" si="16"/>
        <v>UMI%3A3147447_TableA9</v>
      </c>
      <c r="M129" t="str">
        <f t="array" ref="M129">IFERROR(INDEX(FileList!$A$1:$A$100,MATCH(TRUE(),EXACT(L129,_xlfn.TEXTBEFORE(FileList!$A$1:$A$100,".tsv")),0)),"notfound")</f>
        <v>notfound</v>
      </c>
      <c r="N129" s="1" t="s">
        <v>544</v>
      </c>
      <c r="P129" s="1" t="s">
        <v>166</v>
      </c>
      <c r="R129" s="1" t="s">
        <v>545</v>
      </c>
      <c r="T129" s="1" t="s">
        <v>546</v>
      </c>
      <c r="V129" s="1" t="s">
        <v>42</v>
      </c>
      <c r="AB129" s="1" t="s">
        <v>512</v>
      </c>
      <c r="AI129" s="1" t="s">
        <v>513</v>
      </c>
      <c r="AJ129" s="1" t="s">
        <v>140</v>
      </c>
      <c r="AK129" s="1" t="s">
        <v>63</v>
      </c>
      <c r="AL129" s="1" t="s">
        <v>141</v>
      </c>
      <c r="AM129" s="1" t="s">
        <v>514</v>
      </c>
    </row>
    <row r="130">
      <c r="A130" s="1" t="s">
        <v>506</v>
      </c>
      <c r="C130" s="1" t="s">
        <v>507</v>
      </c>
      <c r="D130" s="1" t="s">
        <v>547</v>
      </c>
      <c r="E130" t="str">
        <f t="shared" ref="E130:E194" si="20">RIGHT(A130,1)</f>
        <v>.</v>
      </c>
      <c r="F130" t="str">
        <f t="shared" ref="F130:F194" si="21">G130 &amp; IF(H130&lt;&gt;"", "_" &amp; H130, "_") &amp; IF(I130&lt;&gt;"", "_" &amp; I130, "_") &amp; IF(B130&lt;&gt;"", "_" &amp; B130, "")</f>
        <v>Kaufman__2004</v>
      </c>
      <c r="G130" t="str">
        <f t="shared" ref="G130:G194" si="22">SUBSTITUTE(SUBSTITUTE(_xlfn.TEXTBEFORE(A130,","), "-", ""), " ", "")</f>
        <v>Kaufman</v>
      </c>
      <c r="H130" t="str">
        <f t="shared" ref="H130:H194" si="23">_xlfn.LET(
_xlpm.authors,_xlfn.TEXTBEFORE(A130," ("&amp;I130&amp;")"),
_xlpm.hasAmp,ISNUMBER(SEARCH("&amp;",_xlpm.authors)),
_xlpm.commasBeforeAmp,IF(_xlpm.hasAmp,LEN(_xlfn.TEXTBEFORE(_xlpm.authors,"&amp;"))-LEN(SUBSTITUTE(_xlfn.TEXTBEFORE(_xlpm.authors,"&amp;"),",","")),0),
IF(NOT(_xlpm.hasAmp),"",IF(_xlpm.commasBeforeAmp&gt;2,"etal",TRIM(_xlfn.TEXTBEFORE(_xlfn.TEXTAFTER(_xlpm.authors,"&amp; "),","))))
)</f>
      </c>
      <c r="I130" t="str">
        <f t="shared" ref="I130:I194" si="24">_xlfn.TEXTBEFORE(_xlfn.TEXTAFTER(A130, "("), ")")</f>
        <v>2004</v>
      </c>
      <c r="J130" t="str">
        <f t="shared" ref="J130:J154" si="25">_xlfn.LET(
_xlpm.doi,IF(C130&lt;&gt;"",C130,_xlfn.TEXTAFTER(A130,"https://doi.org/")),
SUBSTITUTE(
SUBSTITUTE(
SUBSTITUTE(
SUBSTITUTE(
_xlpm.doi,
"/","%2F"),
":","%3A"),
"&lt;","%3C"),
"&gt;","%3E")
)</f>
        <v>UMI%3A3147447</v>
      </c>
      <c r="K130" t="str">
        <f t="shared" si="19"/>
        <v>Kaufman__2004_TableA10</v>
      </c>
      <c r="L130" t="str">
        <f t="shared" ref="L130:L194" si="26">J130 &amp; "_" &amp; SUBSTITUTE(SUBSTITUTE(SUBSTITUTE(D130,CHAR(160),"")," ",""),"_","")</f>
        <v>UMI%3A3147447_TableA10</v>
      </c>
      <c r="M130" t="str">
        <f t="array" ref="M130">IFERROR(INDEX(FileList!$A$1:$A$100,MATCH(TRUE(),EXACT(L130,_xlfn.TEXTBEFORE(FileList!$A$1:$A$100,".tsv")),0)),"notfound")</f>
        <v>notfound</v>
      </c>
      <c r="N130" s="1" t="s">
        <v>548</v>
      </c>
      <c r="P130" s="1" t="s">
        <v>166</v>
      </c>
      <c r="R130" s="1" t="s">
        <v>549</v>
      </c>
      <c r="T130" s="1" t="s">
        <v>550</v>
      </c>
      <c r="V130" s="1" t="s">
        <v>42</v>
      </c>
      <c r="AB130" s="1" t="s">
        <v>512</v>
      </c>
      <c r="AI130" s="1" t="s">
        <v>513</v>
      </c>
      <c r="AJ130" s="1" t="s">
        <v>140</v>
      </c>
      <c r="AK130" s="1" t="s">
        <v>63</v>
      </c>
      <c r="AL130" s="1" t="s">
        <v>141</v>
      </c>
      <c r="AM130" s="1" t="s">
        <v>514</v>
      </c>
    </row>
    <row r="131">
      <c r="A131" s="1" t="s">
        <v>506</v>
      </c>
      <c r="C131" s="1" t="s">
        <v>507</v>
      </c>
      <c r="D131" s="1" t="s">
        <v>551</v>
      </c>
      <c r="E131" t="str">
        <f t="shared" si="20"/>
        <v>.</v>
      </c>
      <c r="F131" t="str">
        <f t="shared" si="21"/>
        <v>Kaufman__2004</v>
      </c>
      <c r="G131" t="str">
        <f t="shared" si="22"/>
        <v>Kaufman</v>
      </c>
      <c r="H131" t="str">
        <f t="shared" si="23"/>
      </c>
      <c r="I131" t="str">
        <f t="shared" si="24"/>
        <v>2004</v>
      </c>
      <c r="J131" t="str">
        <f t="shared" si="25"/>
        <v>UMI%3A3147447</v>
      </c>
      <c r="K131" t="str">
        <f t="shared" si="19"/>
        <v>Kaufman__2004_TableA11</v>
      </c>
      <c r="L131" t="str">
        <f t="shared" si="26"/>
        <v>UMI%3A3147447_TableA11</v>
      </c>
      <c r="M131" t="str">
        <f t="array" ref="M131">IFERROR(INDEX(FileList!$A$1:$A$100,MATCH(TRUE(),EXACT(L131,_xlfn.TEXTBEFORE(FileList!$A$1:$A$100,".tsv")),0)),"notfound")</f>
        <v>notfound</v>
      </c>
      <c r="N131" s="1" t="s">
        <v>552</v>
      </c>
      <c r="P131" s="1" t="s">
        <v>166</v>
      </c>
      <c r="R131" s="1" t="s">
        <v>553</v>
      </c>
      <c r="T131" s="1" t="s">
        <v>554</v>
      </c>
      <c r="V131" s="1" t="s">
        <v>42</v>
      </c>
      <c r="AB131" s="1" t="s">
        <v>512</v>
      </c>
      <c r="AI131" s="1" t="s">
        <v>513</v>
      </c>
      <c r="AJ131" s="1" t="s">
        <v>140</v>
      </c>
      <c r="AK131" s="1" t="s">
        <v>63</v>
      </c>
      <c r="AL131" s="1" t="s">
        <v>141</v>
      </c>
      <c r="AM131" s="1" t="s">
        <v>514</v>
      </c>
    </row>
    <row r="132">
      <c r="A132" s="1" t="s">
        <v>506</v>
      </c>
      <c r="C132" s="1" t="s">
        <v>507</v>
      </c>
      <c r="D132" s="1" t="s">
        <v>555</v>
      </c>
      <c r="E132" t="str">
        <f t="shared" si="20"/>
        <v>.</v>
      </c>
      <c r="F132" t="str">
        <f t="shared" si="21"/>
        <v>Kaufman__2004</v>
      </c>
      <c r="G132" t="str">
        <f t="shared" si="22"/>
        <v>Kaufman</v>
      </c>
      <c r="H132" t="str">
        <f t="shared" si="23"/>
      </c>
      <c r="I132" t="str">
        <f t="shared" si="24"/>
        <v>2004</v>
      </c>
      <c r="J132" t="str">
        <f t="shared" si="25"/>
        <v>UMI%3A3147447</v>
      </c>
      <c r="K132" t="str">
        <f t="shared" si="19"/>
        <v>Kaufman__2004_TableA12</v>
      </c>
      <c r="L132" t="str">
        <f t="shared" si="26"/>
        <v>UMI%3A3147447_TableA12</v>
      </c>
      <c r="M132" t="str">
        <f t="array" ref="M132">IFERROR(INDEX(FileList!$A$1:$A$100,MATCH(TRUE(),EXACT(L132,_xlfn.TEXTBEFORE(FileList!$A$1:$A$100,".tsv")),0)),"notfound")</f>
        <v>notfound</v>
      </c>
      <c r="N132" s="1" t="s">
        <v>556</v>
      </c>
      <c r="P132" s="1" t="s">
        <v>166</v>
      </c>
      <c r="R132" s="1" t="s">
        <v>557</v>
      </c>
      <c r="T132" s="1" t="s">
        <v>558</v>
      </c>
      <c r="V132" s="1" t="s">
        <v>42</v>
      </c>
      <c r="AB132" s="1" t="s">
        <v>512</v>
      </c>
      <c r="AI132" s="1" t="s">
        <v>513</v>
      </c>
      <c r="AJ132" s="1" t="s">
        <v>140</v>
      </c>
      <c r="AK132" s="1" t="s">
        <v>63</v>
      </c>
      <c r="AL132" s="1" t="s">
        <v>141</v>
      </c>
      <c r="AM132" s="1" t="s">
        <v>514</v>
      </c>
    </row>
    <row r="133">
      <c r="A133" s="1" t="s">
        <v>506</v>
      </c>
      <c r="C133" s="1" t="s">
        <v>507</v>
      </c>
      <c r="D133" s="1" t="s">
        <v>559</v>
      </c>
      <c r="E133" t="str">
        <f t="shared" si="20"/>
        <v>.</v>
      </c>
      <c r="F133" t="str">
        <f t="shared" si="21"/>
        <v>Kaufman__2004</v>
      </c>
      <c r="G133" t="str">
        <f t="shared" si="22"/>
        <v>Kaufman</v>
      </c>
      <c r="H133" t="str">
        <f t="shared" si="23"/>
      </c>
      <c r="I133" t="str">
        <f t="shared" si="24"/>
        <v>2004</v>
      </c>
      <c r="J133" t="str">
        <f t="shared" si="25"/>
        <v>UMI%3A3147447</v>
      </c>
      <c r="K133" t="str">
        <f t="shared" si="19"/>
        <v>Kaufman__2004_TableA13</v>
      </c>
      <c r="L133" t="str">
        <f t="shared" si="26"/>
        <v>UMI%3A3147447_TableA13</v>
      </c>
      <c r="M133" t="str">
        <f t="array" ref="M133">IFERROR(INDEX(FileList!$A$1:$A$100,MATCH(TRUE(),EXACT(L133,_xlfn.TEXTBEFORE(FileList!$A$1:$A$100,".tsv")),0)),"notfound")</f>
        <v>notfound</v>
      </c>
      <c r="N133" s="1" t="s">
        <v>560</v>
      </c>
      <c r="P133" s="1" t="s">
        <v>166</v>
      </c>
      <c r="R133" s="1" t="s">
        <v>561</v>
      </c>
      <c r="T133" s="1" t="s">
        <v>562</v>
      </c>
      <c r="V133" s="1" t="s">
        <v>42</v>
      </c>
      <c r="AB133" s="1" t="s">
        <v>512</v>
      </c>
      <c r="AI133" s="1" t="s">
        <v>513</v>
      </c>
      <c r="AJ133" s="1" t="s">
        <v>140</v>
      </c>
      <c r="AK133" s="1" t="s">
        <v>63</v>
      </c>
      <c r="AL133" s="1" t="s">
        <v>141</v>
      </c>
      <c r="AM133" s="1" t="s">
        <v>514</v>
      </c>
    </row>
    <row r="134">
      <c r="A134" s="1" t="s">
        <v>506</v>
      </c>
      <c r="C134" s="1" t="s">
        <v>507</v>
      </c>
      <c r="D134" s="1" t="s">
        <v>563</v>
      </c>
      <c r="E134" t="str">
        <f t="shared" si="20"/>
        <v>.</v>
      </c>
      <c r="F134" t="str">
        <f t="shared" si="21"/>
        <v>Kaufman__2004</v>
      </c>
      <c r="G134" t="str">
        <f t="shared" si="22"/>
        <v>Kaufman</v>
      </c>
      <c r="H134" t="str">
        <f t="shared" si="23"/>
      </c>
      <c r="I134" t="str">
        <f t="shared" si="24"/>
        <v>2004</v>
      </c>
      <c r="J134" t="str">
        <f t="shared" si="25"/>
        <v>UMI%3A3147447</v>
      </c>
      <c r="K134" t="str">
        <f t="shared" si="19"/>
        <v>Kaufman__2004_TableA14</v>
      </c>
      <c r="L134" t="str">
        <f t="shared" si="26"/>
        <v>UMI%3A3147447_TableA14</v>
      </c>
      <c r="M134" t="str">
        <f t="array" ref="M134">IFERROR(INDEX(FileList!$A$1:$A$100,MATCH(TRUE(),EXACT(L134,_xlfn.TEXTBEFORE(FileList!$A$1:$A$100,".tsv")),0)),"notfound")</f>
        <v>notfound</v>
      </c>
      <c r="N134" s="1" t="s">
        <v>564</v>
      </c>
      <c r="P134" s="1" t="s">
        <v>166</v>
      </c>
      <c r="R134" s="1" t="s">
        <v>565</v>
      </c>
      <c r="T134" s="1" t="s">
        <v>566</v>
      </c>
      <c r="V134" s="1" t="s">
        <v>42</v>
      </c>
      <c r="AB134" s="1" t="s">
        <v>512</v>
      </c>
      <c r="AI134" s="1" t="s">
        <v>513</v>
      </c>
      <c r="AJ134" s="1" t="s">
        <v>140</v>
      </c>
      <c r="AK134" s="1" t="s">
        <v>63</v>
      </c>
      <c r="AL134" s="1" t="s">
        <v>141</v>
      </c>
      <c r="AM134" s="1" t="s">
        <v>514</v>
      </c>
    </row>
    <row r="135">
      <c r="A135" s="1" t="s">
        <v>506</v>
      </c>
      <c r="C135" s="1" t="s">
        <v>507</v>
      </c>
      <c r="D135" s="1" t="s">
        <v>567</v>
      </c>
      <c r="E135" t="str">
        <f t="shared" si="20"/>
        <v>.</v>
      </c>
      <c r="F135" t="str">
        <f t="shared" si="21"/>
        <v>Kaufman__2004</v>
      </c>
      <c r="G135" t="str">
        <f t="shared" si="22"/>
        <v>Kaufman</v>
      </c>
      <c r="H135" t="str">
        <f t="shared" si="23"/>
      </c>
      <c r="I135" t="str">
        <f t="shared" si="24"/>
        <v>2004</v>
      </c>
      <c r="J135" t="str">
        <f t="shared" si="25"/>
        <v>UMI%3A3147447</v>
      </c>
      <c r="K135" t="str">
        <f t="shared" si="19"/>
        <v>Kaufman__2004_TableA15</v>
      </c>
      <c r="L135" t="str">
        <f t="shared" si="26"/>
        <v>UMI%3A3147447_TableA15</v>
      </c>
      <c r="M135" t="str">
        <f t="array" ref="M135">IFERROR(INDEX(FileList!$A$1:$A$100,MATCH(TRUE(),EXACT(L135,_xlfn.TEXTBEFORE(FileList!$A$1:$A$100,".tsv")),0)),"notfound")</f>
        <v>notfound</v>
      </c>
      <c r="N135" s="1" t="s">
        <v>568</v>
      </c>
      <c r="P135" s="1" t="s">
        <v>166</v>
      </c>
      <c r="R135" s="1" t="s">
        <v>569</v>
      </c>
      <c r="T135" s="1" t="s">
        <v>570</v>
      </c>
      <c r="V135" s="1" t="s">
        <v>42</v>
      </c>
      <c r="AB135" s="1" t="s">
        <v>512</v>
      </c>
      <c r="AI135" s="1" t="s">
        <v>513</v>
      </c>
      <c r="AJ135" s="1" t="s">
        <v>140</v>
      </c>
      <c r="AK135" s="1" t="s">
        <v>63</v>
      </c>
      <c r="AL135" s="1" t="s">
        <v>141</v>
      </c>
      <c r="AM135" s="1" t="s">
        <v>514</v>
      </c>
    </row>
    <row r="136">
      <c r="A136" s="1" t="s">
        <v>571</v>
      </c>
      <c r="C136" s="4"/>
      <c r="D136" s="1" t="s">
        <v>572</v>
      </c>
      <c r="E136" t="str">
        <f t="shared" si="20"/>
        <v>0</v>
      </c>
      <c r="F136" t="str">
        <f t="shared" si="21"/>
        <v>Kochiyama_etal_2018</v>
      </c>
      <c r="G136" t="str">
        <f t="shared" si="22"/>
        <v>Kochiyama</v>
      </c>
      <c r="H136" t="str">
        <f t="shared" si="23"/>
        <v>etal</v>
      </c>
      <c r="I136" t="str">
        <f t="shared" si="24"/>
        <v>2018</v>
      </c>
      <c r="J136" t="str">
        <f t="shared" si="25"/>
        <v>10.1038%2Fs41598-018-24331-0</v>
      </c>
      <c r="K136" t="str">
        <f t="shared" si="19"/>
        <v>Kochiyama_etal_2018_ExtendedDataFigure4</v>
      </c>
      <c r="L136" t="str">
        <f t="shared" si="26"/>
        <v>10.1038%2Fs41598-018-24331-0_ExtendedDataFigure4</v>
      </c>
      <c r="M136" t="str">
        <f t="array" ref="M136">IFERROR(INDEX(FileList!$A$1:$A$100,MATCH(TRUE(),EXACT(L136,_xlfn.TEXTBEFORE(FileList!$A$1:$A$100,".tsv")),0)),"notfound")</f>
        <v>10.1038%2Fs41598-018-24331-0_ExtendedDataFigure4.tsv</v>
      </c>
      <c r="N136" s="1" t="s">
        <v>573</v>
      </c>
      <c r="O136" s="1" t="s">
        <v>574</v>
      </c>
      <c r="V136" s="1" t="s">
        <v>575</v>
      </c>
    </row>
    <row r="137">
      <c r="A137" s="1" t="s">
        <v>571</v>
      </c>
      <c r="C137" s="4"/>
      <c r="D137" s="1" t="s">
        <v>576</v>
      </c>
      <c r="E137" t="str">
        <f t="shared" si="20"/>
        <v>0</v>
      </c>
      <c r="F137" t="str">
        <f t="shared" si="21"/>
        <v>Kochiyama_etal_2018</v>
      </c>
      <c r="G137" t="str">
        <f t="shared" si="22"/>
        <v>Kochiyama</v>
      </c>
      <c r="H137" t="str">
        <f t="shared" si="23"/>
        <v>etal</v>
      </c>
      <c r="I137" t="str">
        <f t="shared" si="24"/>
        <v>2018</v>
      </c>
      <c r="J137" t="str">
        <f t="shared" si="25"/>
        <v>10.1038%2Fs41598-018-24331-0</v>
      </c>
      <c r="K137" t="str">
        <f t="shared" si="19"/>
        <v>Kochiyama_etal_2018_ExtendedDataTable1</v>
      </c>
      <c r="L137" t="str">
        <f t="shared" si="26"/>
        <v>10.1038%2Fs41598-018-24331-0_ExtendedDataTable1</v>
      </c>
      <c r="M137" t="str">
        <f t="array" ref="M137">IFERROR(INDEX(FileList!$A$1:$A$100,MATCH(TRUE(),EXACT(L137,_xlfn.TEXTBEFORE(FileList!$A$1:$A$100,".tsv")),0)),"notfound")</f>
        <v>10.1038%2Fs41598-018-24331-0_ExtendedDataTable1.tsv</v>
      </c>
      <c r="N137" s="1" t="s">
        <v>577</v>
      </c>
      <c r="V137" s="1" t="s">
        <v>42</v>
      </c>
    </row>
    <row r="138">
      <c r="A138" s="1" t="s">
        <v>571</v>
      </c>
      <c r="C138" s="4"/>
      <c r="D138" s="1" t="s">
        <v>578</v>
      </c>
      <c r="E138" t="str">
        <f t="shared" si="20"/>
        <v>0</v>
      </c>
      <c r="F138" t="str">
        <f t="shared" si="21"/>
        <v>Kochiyama_etal_2018</v>
      </c>
      <c r="G138" t="str">
        <f t="shared" si="22"/>
        <v>Kochiyama</v>
      </c>
      <c r="H138" t="str">
        <f t="shared" si="23"/>
        <v>etal</v>
      </c>
      <c r="I138" t="str">
        <f t="shared" si="24"/>
        <v>2018</v>
      </c>
      <c r="J138" t="str">
        <f t="shared" si="25"/>
        <v>10.1038%2Fs41598-018-24331-0</v>
      </c>
      <c r="K138" t="str">
        <f t="shared" si="19"/>
        <v>Kochiyama_etal_2018_ExtendedDataTable3</v>
      </c>
      <c r="L138" t="str">
        <f t="shared" si="26"/>
        <v>10.1038%2Fs41598-018-24331-0_ExtendedDataTable3</v>
      </c>
      <c r="M138" t="str">
        <f t="array" ref="M138">IFERROR(INDEX(FileList!$A$1:$A$100,MATCH(TRUE(),EXACT(L138,_xlfn.TEXTBEFORE(FileList!$A$1:$A$100,".tsv")),0)),"notfound")</f>
        <v>10.1038%2Fs41598-018-24331-0_ExtendedDataTable3.tsv</v>
      </c>
      <c r="N138" s="1" t="s">
        <v>579</v>
      </c>
      <c r="V138" s="1" t="s">
        <v>42</v>
      </c>
    </row>
    <row r="139">
      <c r="A139" s="1" t="s">
        <v>571</v>
      </c>
      <c r="C139" s="4"/>
      <c r="D139" s="1" t="s">
        <v>580</v>
      </c>
      <c r="E139" t="str">
        <f t="shared" si="20"/>
        <v>0</v>
      </c>
      <c r="F139" t="str">
        <f t="shared" si="21"/>
        <v>Kochiyama_etal_2018</v>
      </c>
      <c r="G139" t="str">
        <f t="shared" si="22"/>
        <v>Kochiyama</v>
      </c>
      <c r="H139" t="str">
        <f t="shared" si="23"/>
        <v>etal</v>
      </c>
      <c r="I139" t="str">
        <f t="shared" si="24"/>
        <v>2018</v>
      </c>
      <c r="J139" t="str">
        <f t="shared" si="25"/>
        <v>10.1038%2Fs41598-018-24331-0</v>
      </c>
      <c r="K139" t="str">
        <f t="shared" si="19"/>
        <v>Kochiyama_etal_2018_Figure3legend</v>
      </c>
      <c r="L139" t="str">
        <f t="shared" si="26"/>
        <v>10.1038%2Fs41598-018-24331-0_Figure3legend</v>
      </c>
      <c r="M139" t="str">
        <f t="array" ref="M139">IFERROR(INDEX(FileList!$A$1:$A$100,MATCH(TRUE(),EXACT(L139,_xlfn.TEXTBEFORE(FileList!$A$1:$A$100,".tsv")),0)),"notfound")</f>
        <v>10.1038%2Fs41598-018-24331-0_Figure3legend.tsv</v>
      </c>
      <c r="N139" s="1" t="s">
        <v>581</v>
      </c>
      <c r="O139" s="1" t="s">
        <v>582</v>
      </c>
      <c r="V139" s="1" t="s">
        <v>583</v>
      </c>
    </row>
    <row r="140">
      <c r="A140" s="1" t="s">
        <v>571</v>
      </c>
      <c r="C140" s="4"/>
      <c r="D140" s="1" t="s">
        <v>584</v>
      </c>
      <c r="E140" t="str">
        <f t="shared" si="20"/>
        <v>0</v>
      </c>
      <c r="F140" t="str">
        <f t="shared" si="21"/>
        <v>Kochiyama_etal_2018</v>
      </c>
      <c r="G140" t="str">
        <f t="shared" si="22"/>
        <v>Kochiyama</v>
      </c>
      <c r="H140" t="str">
        <f t="shared" si="23"/>
        <v>etal</v>
      </c>
      <c r="I140" t="str">
        <f t="shared" si="24"/>
        <v>2018</v>
      </c>
      <c r="J140" t="str">
        <f t="shared" si="25"/>
        <v>10.1038%2Fs41598-018-24331-0</v>
      </c>
      <c r="K140" t="str">
        <f t="shared" si="19"/>
        <v>Kochiyama_etal_2018_Figure3A</v>
      </c>
      <c r="L140" t="str">
        <f t="shared" si="26"/>
        <v>10.1038%2Fs41598-018-24331-0_Figure3A</v>
      </c>
      <c r="M140" t="str">
        <f t="array" ref="M140">IFERROR(INDEX(FileList!$A$1:$A$100,MATCH(TRUE(),EXACT(L140,_xlfn.TEXTBEFORE(FileList!$A$1:$A$100,".tsv")),0)),"notfound")</f>
        <v>10.1038%2Fs41598-018-24331-0_Figure3A.tsv</v>
      </c>
      <c r="N140" s="1" t="s">
        <v>581</v>
      </c>
      <c r="O140" s="1" t="s">
        <v>574</v>
      </c>
      <c r="V140" s="1" t="s">
        <v>575</v>
      </c>
    </row>
    <row r="141">
      <c r="A141" s="1" t="s">
        <v>571</v>
      </c>
      <c r="C141" s="4"/>
      <c r="D141" s="1" t="s">
        <v>585</v>
      </c>
      <c r="E141" t="str">
        <f t="shared" si="20"/>
        <v>0</v>
      </c>
      <c r="F141" t="str">
        <f t="shared" si="21"/>
        <v>Kochiyama_etal_2018</v>
      </c>
      <c r="G141" t="str">
        <f t="shared" si="22"/>
        <v>Kochiyama</v>
      </c>
      <c r="H141" t="str">
        <f t="shared" si="23"/>
        <v>etal</v>
      </c>
      <c r="I141" t="str">
        <f t="shared" si="24"/>
        <v>2018</v>
      </c>
      <c r="J141" t="str">
        <f t="shared" si="25"/>
        <v>10.1038%2Fs41598-018-24331-0</v>
      </c>
      <c r="K141" t="str">
        <f t="shared" si="19"/>
        <v>Kochiyama_etal_2018_Figure3B</v>
      </c>
      <c r="L141" t="str">
        <f t="shared" si="26"/>
        <v>10.1038%2Fs41598-018-24331-0_Figure3B</v>
      </c>
      <c r="M141" t="str">
        <f t="array" ref="M141">IFERROR(INDEX(FileList!$A$1:$A$100,MATCH(TRUE(),EXACT(L141,_xlfn.TEXTBEFORE(FileList!$A$1:$A$100,".tsv")),0)),"notfound")</f>
        <v>10.1038%2Fs41598-018-24331-0_Figure3B.tsv</v>
      </c>
      <c r="N141" s="1" t="s">
        <v>581</v>
      </c>
      <c r="O141" s="1" t="s">
        <v>574</v>
      </c>
      <c r="V141" s="1" t="s">
        <v>575</v>
      </c>
    </row>
    <row r="142">
      <c r="A142" s="1" t="s">
        <v>571</v>
      </c>
      <c r="C142" s="4"/>
      <c r="D142" s="1" t="s">
        <v>586</v>
      </c>
      <c r="E142" t="str">
        <f t="shared" si="20"/>
        <v>0</v>
      </c>
      <c r="F142" t="str">
        <f t="shared" si="21"/>
        <v>Kochiyama_etal_2018</v>
      </c>
      <c r="G142" t="str">
        <f t="shared" si="22"/>
        <v>Kochiyama</v>
      </c>
      <c r="H142" t="str">
        <f t="shared" si="23"/>
        <v>etal</v>
      </c>
      <c r="I142" t="str">
        <f t="shared" si="24"/>
        <v>2018</v>
      </c>
      <c r="J142" t="str">
        <f t="shared" si="25"/>
        <v>10.1038%2Fs41598-018-24331-0</v>
      </c>
      <c r="K142" t="str">
        <f t="shared" ref="K142:K174" si="27">TRIM(_xlfn.TEXTJOIN("_",FALSE(),F142,(SUBSTITUTE(SUBSTITUTE(D142," ",""), "_", ""))))</f>
        <v>Kochiyama_etal_2018_FossilSpecimensText</v>
      </c>
      <c r="L142" t="str">
        <f t="shared" si="26"/>
        <v>10.1038%2Fs41598-018-24331-0_FossilSpecimensText</v>
      </c>
      <c r="M142" t="str">
        <f t="array" ref="M142">IFERROR(INDEX(FileList!$A$1:$A$100,MATCH(TRUE(),EXACT(L142,_xlfn.TEXTBEFORE(FileList!$A$1:$A$100,".tsv")),0)),"notfound")</f>
        <v>10.1038%2Fs41598-018-24331-0_FossilSpecimensText.tsv</v>
      </c>
      <c r="N142" s="1" t="s">
        <v>587</v>
      </c>
      <c r="O142" s="1" t="s">
        <v>588</v>
      </c>
      <c r="V142" s="1" t="s">
        <v>42</v>
      </c>
    </row>
    <row r="143">
      <c r="A143" s="1" t="s">
        <v>966</v>
      </c>
      <c r="C143" s="4"/>
      <c r="D143" s="1" t="s">
        <v>75</v>
      </c>
      <c r="E143" t="str">
        <f t="shared" ref="E143" si="28">RIGHT(A143,1)</f>
        <v>3</v>
      </c>
      <c r="F143" t="str">
        <f t="shared" ref="F143" si="29">G143 &amp; IF(H143&lt;&gt;"", "_" &amp; H143, "_") &amp; IF(I143&lt;&gt;"", "_" &amp; I143, "_") &amp; IF(B143&lt;&gt;"", "_" &amp; B143, "")</f>
        <v>Krubitzer_Kaas_1990</v>
      </c>
      <c r="G143" t="str">
        <f t="shared" ref="G143" si="30">SUBSTITUTE(SUBSTITUTE(_xlfn.TEXTBEFORE(A143,","), "-", ""), " ", "")</f>
        <v>Krubitzer</v>
      </c>
      <c r="H143" t="str">
        <f t="shared" ref="H143" si="31">_xlfn.LET(
_xlpm.authors,_xlfn.TEXTBEFORE(A143," ("&amp;I143&amp;")"),
_xlpm.hasAmp,ISNUMBER(SEARCH("&amp;",_xlpm.authors)),
_xlpm.commasBeforeAmp,IF(_xlpm.hasAmp,LEN(_xlfn.TEXTBEFORE(_xlpm.authors,"&amp;"))-LEN(SUBSTITUTE(_xlfn.TEXTBEFORE(_xlpm.authors,"&amp;"),",","")),0),
IF(NOT(_xlpm.hasAmp),"",IF(_xlpm.commasBeforeAmp&gt;2,"etal",TRIM(_xlfn.TEXTBEFORE(_xlfn.TEXTAFTER(_xlpm.authors,"&amp; "),","))))
)</f>
        <v>Kaas</v>
      </c>
      <c r="I143" t="str">
        <f t="shared" ref="I143" si="32">_xlfn.TEXTBEFORE(_xlfn.TEXTAFTER(A143, "("), ")")</f>
        <v>1990</v>
      </c>
      <c r="J143" t="str">
        <f t="shared" ref="J143" si="33">_xlfn.LET(
_xlpm.doi,IF(C143&lt;&gt;"",C143,_xlfn.TEXTAFTER(A143,"https://doi.org/")),
SUBSTITUTE(
SUBSTITUTE(
SUBSTITUTE(
SUBSTITUTE(
_xlpm.doi,
"/","%2F"),
":","%3A"),
"&lt;","%3C"),
"&gt;","%3E")
)</f>
        <v>10.1017%2Fs0952523800000213</v>
      </c>
      <c r="K143" t="str">
        <f t="shared" ref="K143" si="34">TRIM(_xlfn.TEXTJOIN("_",FALSE(),F143,(SUBSTITUTE(SUBSTITUTE(D143," ",""), "_", ""))))</f>
        <v>Krubitzer_Kaas_1990_Table1</v>
      </c>
      <c r="L143" t="str">
        <f t="shared" ref="L143" si="35">J143 &amp; "_" &amp; SUBSTITUTE(SUBSTITUTE(SUBSTITUTE(D143,CHAR(160),"")," ",""),"_","")</f>
        <v>10.1017%2Fs0952523800000213_Table1</v>
      </c>
      <c r="M143" t="str">
        <f t="array" ref="M143">IFERROR(INDEX(FileList!$A$1:$A$100,MATCH(TRUE(),EXACT(L143,_xlfn.TEXTBEFORE(FileList!$A$1:$A$100,".tsv")),0)),"notfound")</f>
        <v>notfound</v>
      </c>
      <c r="N143" s="1" t="s">
        <v>967</v>
      </c>
    </row>
    <row r="144">
      <c r="A144" s="1" t="s">
        <v>589</v>
      </c>
      <c r="D144" s="1" t="s">
        <v>75</v>
      </c>
      <c r="E144" t="str">
        <f t="shared" si="20"/>
        <v>8</v>
      </c>
      <c r="F144" t="str">
        <f t="shared" si="21"/>
        <v>Kverkova_etal_2018</v>
      </c>
      <c r="G144" t="str">
        <f t="shared" si="22"/>
        <v>Kverkova</v>
      </c>
      <c r="H144" t="str">
        <f t="shared" si="23"/>
        <v>etal</v>
      </c>
      <c r="I144" t="str">
        <f t="shared" si="24"/>
        <v>2018</v>
      </c>
      <c r="J144" t="str">
        <f t="shared" si="25"/>
        <v>10.1038%2Fs41598-018-26062-8</v>
      </c>
      <c r="K144" t="str">
        <f t="shared" si="27"/>
        <v>Kverkova_etal_2018_Table1</v>
      </c>
      <c r="L144" t="str">
        <f t="shared" si="26"/>
        <v>10.1038%2Fs41598-018-26062-8_Table1</v>
      </c>
      <c r="M144" t="str">
        <f t="array" ref="M144">IFERROR(INDEX(FileList!$A$1:$A$100,MATCH(TRUE(),EXACT(L144,_xlfn.TEXTBEFORE(FileList!$A$1:$A$100,".tsv")),0)),"notfound")</f>
        <v>10.1038%2Fs41598-018-26062-8_Table1.tsv</v>
      </c>
      <c r="N144" s="1" t="s">
        <v>590</v>
      </c>
      <c r="P144" s="1" t="s">
        <v>41</v>
      </c>
      <c r="Q144" s="1" t="s">
        <v>51</v>
      </c>
      <c r="R144" s="1" t="s">
        <v>591</v>
      </c>
      <c r="S144" s="1" t="s">
        <v>53</v>
      </c>
      <c r="T144" s="1" t="s">
        <v>592</v>
      </c>
      <c r="U144" s="1" t="s">
        <v>593</v>
      </c>
      <c r="V144" s="1" t="s">
        <v>42</v>
      </c>
      <c r="Y144" s="1" t="s">
        <v>594</v>
      </c>
      <c r="Z144" s="1" t="s">
        <v>594</v>
      </c>
      <c r="AH144" s="1" t="s">
        <v>595</v>
      </c>
      <c r="AI144" s="1" t="s">
        <v>596</v>
      </c>
      <c r="AJ144" s="1" t="s">
        <v>597</v>
      </c>
      <c r="AK144" s="1" t="s">
        <v>63</v>
      </c>
      <c r="AL144" s="1" t="s">
        <v>63</v>
      </c>
      <c r="AM144" s="1" t="s">
        <v>598</v>
      </c>
    </row>
    <row r="145">
      <c r="A145" s="1" t="s">
        <v>589</v>
      </c>
      <c r="D145" s="1" t="s">
        <v>198</v>
      </c>
      <c r="E145" t="str">
        <f t="shared" si="20"/>
        <v>8</v>
      </c>
      <c r="F145" t="str">
        <f t="shared" si="21"/>
        <v>Kverkova_etal_2018</v>
      </c>
      <c r="G145" t="str">
        <f t="shared" si="22"/>
        <v>Kverkova</v>
      </c>
      <c r="H145" t="str">
        <f t="shared" si="23"/>
        <v>etal</v>
      </c>
      <c r="I145" t="str">
        <f t="shared" si="24"/>
        <v>2018</v>
      </c>
      <c r="J145" t="str">
        <f t="shared" si="25"/>
        <v>10.1038%2Fs41598-018-26062-8</v>
      </c>
      <c r="K145" t="str">
        <f t="shared" si="27"/>
        <v>Kverkova_etal_2018_TableS1</v>
      </c>
      <c r="L145" t="str">
        <f t="shared" si="26"/>
        <v>10.1038%2Fs41598-018-26062-8_TableS1</v>
      </c>
      <c r="M145" t="str">
        <f t="array" ref="M145">IFERROR(INDEX(FileList!$A$1:$A$100,MATCH(TRUE(),EXACT(L145,_xlfn.TEXTBEFORE(FileList!$A$1:$A$100,".tsv")),0)),"notfound")</f>
        <v>10.1038%2Fs41598-018-26062-8_TableS1.tsv</v>
      </c>
      <c r="N145" s="1" t="s">
        <v>599</v>
      </c>
      <c r="P145" s="1" t="s">
        <v>41</v>
      </c>
      <c r="Q145" s="1" t="s">
        <v>51</v>
      </c>
      <c r="R145" s="1" t="s">
        <v>600</v>
      </c>
      <c r="S145" s="1" t="s">
        <v>53</v>
      </c>
      <c r="T145" s="1" t="s">
        <v>592</v>
      </c>
      <c r="U145" s="1" t="s">
        <v>593</v>
      </c>
      <c r="V145" s="1" t="s">
        <v>42</v>
      </c>
      <c r="W145" s="1" t="s">
        <v>191</v>
      </c>
      <c r="X145" s="1" t="s">
        <v>601</v>
      </c>
      <c r="Y145" s="1" t="s">
        <v>594</v>
      </c>
      <c r="Z145" s="1" t="s">
        <v>594</v>
      </c>
      <c r="AH145" s="1" t="s">
        <v>595</v>
      </c>
      <c r="AI145" s="1" t="s">
        <v>403</v>
      </c>
      <c r="AJ145" s="1" t="s">
        <v>597</v>
      </c>
      <c r="AK145" s="1" t="s">
        <v>602</v>
      </c>
      <c r="AL145" s="1" t="s">
        <v>63</v>
      </c>
      <c r="AM145" s="1" t="s">
        <v>405</v>
      </c>
    </row>
    <row r="146">
      <c r="A146" s="1" t="s">
        <v>589</v>
      </c>
      <c r="D146" s="1" t="s">
        <v>465</v>
      </c>
      <c r="E146" t="str">
        <f t="shared" si="20"/>
        <v>8</v>
      </c>
      <c r="F146" t="str">
        <f t="shared" si="21"/>
        <v>Kverkova_etal_2018</v>
      </c>
      <c r="G146" t="str">
        <f t="shared" si="22"/>
        <v>Kverkova</v>
      </c>
      <c r="H146" t="str">
        <f t="shared" si="23"/>
        <v>etal</v>
      </c>
      <c r="I146" t="str">
        <f t="shared" si="24"/>
        <v>2018</v>
      </c>
      <c r="J146" t="str">
        <f t="shared" si="25"/>
        <v>10.1038%2Fs41598-018-26062-8</v>
      </c>
      <c r="K146" t="str">
        <f t="shared" si="27"/>
        <v>Kverkova_etal_2018_TableS5</v>
      </c>
      <c r="L146" t="str">
        <f t="shared" si="26"/>
        <v>10.1038%2Fs41598-018-26062-8_TableS5</v>
      </c>
      <c r="M146" t="str">
        <f t="array" ref="M146">IFERROR(INDEX(FileList!$A$1:$A$100,MATCH(TRUE(),EXACT(L146,_xlfn.TEXTBEFORE(FileList!$A$1:$A$100,".tsv")),0)),"notfound")</f>
        <v>10.1038%2Fs41598-018-26062-8_TableS5.tsv</v>
      </c>
      <c r="N146" s="1" t="s">
        <v>603</v>
      </c>
      <c r="P146" s="1" t="s">
        <v>41</v>
      </c>
      <c r="Q146" s="1" t="s">
        <v>51</v>
      </c>
      <c r="R146" s="1" t="s">
        <v>604</v>
      </c>
      <c r="S146" s="1" t="s">
        <v>53</v>
      </c>
      <c r="T146" s="1" t="s">
        <v>605</v>
      </c>
      <c r="U146" s="1" t="s">
        <v>606</v>
      </c>
      <c r="V146" s="1" t="s">
        <v>42</v>
      </c>
      <c r="W146" s="1" t="s">
        <v>191</v>
      </c>
      <c r="X146" s="1" t="s">
        <v>601</v>
      </c>
      <c r="Y146" s="1" t="s">
        <v>594</v>
      </c>
      <c r="Z146" s="1" t="s">
        <v>594</v>
      </c>
      <c r="AG146" s="1" t="s">
        <v>59</v>
      </c>
      <c r="AH146" s="1" t="s">
        <v>595</v>
      </c>
      <c r="AI146" s="1" t="s">
        <v>409</v>
      </c>
      <c r="AJ146" s="1" t="s">
        <v>597</v>
      </c>
      <c r="AK146" s="1" t="s">
        <v>63</v>
      </c>
      <c r="AL146" s="1" t="s">
        <v>63</v>
      </c>
      <c r="AM146" s="1" t="s">
        <v>64</v>
      </c>
    </row>
    <row r="147">
      <c r="A147" s="1" t="s">
        <v>607</v>
      </c>
      <c r="D147" s="1" t="s">
        <v>608</v>
      </c>
      <c r="E147" t="str">
        <f t="shared" si="20"/>
        <v>4</v>
      </c>
      <c r="F147" t="str">
        <f t="shared" si="21"/>
        <v>Lewitus_etal_2013</v>
      </c>
      <c r="G147" t="str">
        <f t="shared" si="22"/>
        <v>Lewitus</v>
      </c>
      <c r="H147" t="str">
        <f t="shared" si="23"/>
        <v>etal</v>
      </c>
      <c r="I147" t="str">
        <f t="shared" si="24"/>
        <v>2013</v>
      </c>
      <c r="J147" t="str">
        <f t="shared" si="25"/>
        <v>10.3389%2Ffnhum.2013.00424</v>
      </c>
      <c r="K147" t="str">
        <f t="shared" si="27"/>
        <v>Lewitus_etal_2013_TableS2partial</v>
      </c>
      <c r="L147" t="str">
        <f t="shared" si="26"/>
        <v>10.3389%2Ffnhum.2013.00424_TableS2partial</v>
      </c>
      <c r="M147" t="str">
        <f t="array" ref="M147">IFERROR(INDEX(FileList!$A$1:$A$100,MATCH(TRUE(),EXACT(L147,_xlfn.TEXTBEFORE(FileList!$A$1:$A$100,".tsv")),0)),"notfound")</f>
        <v>notfound</v>
      </c>
      <c r="Q147" s="1" t="s">
        <v>132</v>
      </c>
      <c r="AI147" s="1" t="s">
        <v>609</v>
      </c>
      <c r="AJ147" s="1" t="s">
        <v>140</v>
      </c>
      <c r="AL147" s="1" t="s">
        <v>63</v>
      </c>
      <c r="AM147" s="1" t="s">
        <v>610</v>
      </c>
    </row>
    <row r="148">
      <c r="A148" s="1" t="s">
        <v>611</v>
      </c>
      <c r="D148" s="1" t="s">
        <v>198</v>
      </c>
      <c r="E148" t="str">
        <f t="shared" si="20"/>
        <v>0</v>
      </c>
      <c r="F148" t="str">
        <f t="shared" si="21"/>
        <v>Lewitus_etal_2014</v>
      </c>
      <c r="G148" t="str">
        <f t="shared" si="22"/>
        <v>Lewitus</v>
      </c>
      <c r="H148" t="str">
        <f t="shared" si="23"/>
        <v>etal</v>
      </c>
      <c r="I148" t="str">
        <f t="shared" si="24"/>
        <v>2014</v>
      </c>
      <c r="J148" t="str">
        <f t="shared" si="25"/>
        <v>10.1371%2Fjournal.pbio.1002000</v>
      </c>
      <c r="K148" t="str">
        <f t="shared" si="27"/>
        <v>Lewitus_etal_2014_TableS1</v>
      </c>
      <c r="L148" t="str">
        <f t="shared" si="26"/>
        <v>10.1371%2Fjournal.pbio.1002000_TableS1</v>
      </c>
      <c r="M148" t="str">
        <f t="array" ref="M148">IFERROR(INDEX(FileList!$A$1:$A$100,MATCH(TRUE(),EXACT(L148,_xlfn.TEXTBEFORE(FileList!$A$1:$A$100,".tsv")),0)),"notfound")</f>
        <v>10.1371%2Fjournal.pbio.1002000_TableS1.tsv</v>
      </c>
      <c r="N148" s="1" t="s">
        <v>612</v>
      </c>
      <c r="Q148" s="1" t="s">
        <v>132</v>
      </c>
      <c r="AI148" s="1" t="s">
        <v>613</v>
      </c>
      <c r="AJ148" s="1" t="s">
        <v>140</v>
      </c>
      <c r="AL148" s="1" t="s">
        <v>141</v>
      </c>
      <c r="AM148" s="1" t="s">
        <v>614</v>
      </c>
    </row>
    <row r="149">
      <c r="A149" s="1" t="s">
        <v>611</v>
      </c>
      <c r="D149" s="1" t="s">
        <v>471</v>
      </c>
      <c r="E149" t="str">
        <f t="shared" si="20"/>
        <v>0</v>
      </c>
      <c r="F149" t="str">
        <f t="shared" si="21"/>
        <v>Lewitus_etal_2014</v>
      </c>
      <c r="G149" t="str">
        <f t="shared" si="22"/>
        <v>Lewitus</v>
      </c>
      <c r="H149" t="str">
        <f t="shared" si="23"/>
        <v>etal</v>
      </c>
      <c r="I149" t="str">
        <f t="shared" si="24"/>
        <v>2014</v>
      </c>
      <c r="J149" t="str">
        <f t="shared" si="25"/>
        <v>10.1371%2Fjournal.pbio.1002000</v>
      </c>
      <c r="K149" t="str">
        <f t="shared" si="27"/>
        <v>Lewitus_etal_2014_TableS8</v>
      </c>
      <c r="L149" t="str">
        <f t="shared" si="26"/>
        <v>10.1371%2Fjournal.pbio.1002000_TableS8</v>
      </c>
      <c r="M149" t="str">
        <f t="array" ref="M149">IFERROR(INDEX(FileList!$A$1:$A$100,MATCH(TRUE(),EXACT(L149,_xlfn.TEXTBEFORE(FileList!$A$1:$A$100,".tsv")),0)),"notfound")</f>
        <v>notfound</v>
      </c>
      <c r="N149" s="1" t="s">
        <v>615</v>
      </c>
      <c r="Q149" s="1" t="s">
        <v>132</v>
      </c>
      <c r="AI149" s="1" t="s">
        <v>613</v>
      </c>
      <c r="AJ149" s="1" t="s">
        <v>140</v>
      </c>
      <c r="AL149" s="1" t="s">
        <v>141</v>
      </c>
      <c r="AM149" s="1" t="s">
        <v>614</v>
      </c>
    </row>
    <row r="150">
      <c r="A150" s="1" t="s">
        <v>616</v>
      </c>
      <c r="D150" s="1" t="s">
        <v>75</v>
      </c>
      <c r="E150" t="str">
        <f t="shared" si="20"/>
        <v>5</v>
      </c>
      <c r="F150" t="str">
        <f t="shared" si="21"/>
        <v>MacLarnon__1996</v>
      </c>
      <c r="G150" t="str">
        <f t="shared" si="22"/>
        <v>MacLarnon</v>
      </c>
      <c r="H150" t="str">
        <f t="shared" si="23"/>
      </c>
      <c r="I150" t="str">
        <f t="shared" si="24"/>
        <v>1996</v>
      </c>
      <c r="J150" t="str">
        <f t="shared" si="25"/>
        <v>10.1006%2Fjhev.1996.0005</v>
      </c>
      <c r="K150" t="str">
        <f t="shared" si="27"/>
        <v>MacLarnon__1996_Table1</v>
      </c>
      <c r="L150" t="str">
        <f t="shared" si="26"/>
        <v>10.1006%2Fjhev.1996.0005_Table1</v>
      </c>
      <c r="M150" t="str">
        <f t="array" ref="M150">IFERROR(INDEX(FileList!$A$1:$A$100,MATCH(TRUE(),EXACT(L150,_xlfn.TEXTBEFORE(FileList!$A$1:$A$100,".tsv")),0)),"notfound")</f>
        <v>10.1006%2Fjhev.1996.0005_Table1.tsv</v>
      </c>
      <c r="N150" s="1" t="s">
        <v>617</v>
      </c>
      <c r="P150" s="1" t="s">
        <v>41</v>
      </c>
      <c r="AI150" s="1" t="s">
        <v>618</v>
      </c>
      <c r="AJ150" s="1" t="s">
        <v>118</v>
      </c>
      <c r="AL150" s="1" t="s">
        <v>63</v>
      </c>
      <c r="AM150" s="1" t="s">
        <v>619</v>
      </c>
    </row>
    <row r="151">
      <c r="A151" s="1" t="s">
        <v>620</v>
      </c>
      <c r="C151" t="s">
        <v>621</v>
      </c>
      <c r="D151" s="1" t="s">
        <v>622</v>
      </c>
      <c r="E151" t="str">
        <f t="shared" si="20"/>
        <v>.</v>
      </c>
      <c r="F151" t="str">
        <f t="shared" si="21"/>
        <v>MacLeod__2000</v>
      </c>
      <c r="G151" t="str">
        <f t="shared" si="22"/>
        <v>MacLeod</v>
      </c>
      <c r="H151" t="str">
        <f t="shared" si="23"/>
      </c>
      <c r="I151" t="str">
        <f t="shared" si="24"/>
        <v>2000</v>
      </c>
      <c r="J151" t="str">
        <f t="shared" si="25"/>
        <v>NQ%3A61662</v>
      </c>
      <c r="K151" t="str">
        <f t="shared" si="27"/>
        <v>MacLeod__2000_APPENDIXI</v>
      </c>
      <c r="L151" t="str">
        <f t="shared" si="26"/>
        <v>NQ%3A61662_APPENDIXI</v>
      </c>
      <c r="M151" t="str">
        <f t="array" ref="M151">IFERROR(INDEX(FileList!$A$1:$A$100,MATCH(TRUE(),EXACT(L151,_xlfn.TEXTBEFORE(FileList!$A$1:$A$100,".tsv")),0)),"notfound")</f>
        <v>notfound</v>
      </c>
      <c r="N151" s="1" t="s">
        <v>623</v>
      </c>
    </row>
    <row r="152">
      <c r="A152" s="1" t="s">
        <v>624</v>
      </c>
      <c r="D152" s="1" t="s">
        <v>75</v>
      </c>
      <c r="E152" t="str">
        <f t="shared" si="20"/>
        <v>9</v>
      </c>
      <c r="F152" t="str">
        <f t="shared" si="21"/>
        <v>MacLeod_etal_2003</v>
      </c>
      <c r="G152" t="str">
        <f t="shared" si="22"/>
        <v>MacLeod</v>
      </c>
      <c r="H152" t="str">
        <f t="shared" si="23"/>
        <v>etal</v>
      </c>
      <c r="I152" t="str">
        <f t="shared" si="24"/>
        <v>2003</v>
      </c>
      <c r="J152" t="str">
        <f t="shared" si="25"/>
        <v>10.1016%2Fs0047-2484(03)00028-9</v>
      </c>
      <c r="K152" t="str">
        <f t="shared" si="27"/>
        <v>MacLeod_etal_2003_Table1</v>
      </c>
      <c r="L152" t="str">
        <f t="shared" si="26"/>
        <v>10.1016%2Fs0047-2484(03)00028-9_Table1</v>
      </c>
      <c r="M152" t="str">
        <f t="array" ref="M152">IFERROR(INDEX(FileList!$A$1:$A$100,MATCH(TRUE(),EXACT(L152,_xlfn.TEXTBEFORE(FileList!$A$1:$A$100,".tsv")),0)),"notfound")</f>
        <v>10.1016%2Fs0047-2484(03)00028-9_Table1.tsv</v>
      </c>
      <c r="N152" s="1" t="s">
        <v>625</v>
      </c>
      <c r="Y152" s="1" t="s">
        <v>626</v>
      </c>
      <c r="Z152" s="1" t="s">
        <v>626</v>
      </c>
      <c r="AF152" s="1" t="s">
        <v>627</v>
      </c>
      <c r="AG152" s="1" t="s">
        <v>112</v>
      </c>
      <c r="AI152" s="1" t="s">
        <v>628</v>
      </c>
      <c r="AJ152" s="1" t="s">
        <v>118</v>
      </c>
      <c r="AK152" s="1" t="s">
        <v>63</v>
      </c>
      <c r="AL152" s="1" t="s">
        <v>63</v>
      </c>
      <c r="AM152" s="1" t="s">
        <v>84</v>
      </c>
    </row>
    <row r="153">
      <c r="A153" s="1" t="s">
        <v>624</v>
      </c>
      <c r="D153" s="1" t="s">
        <v>119</v>
      </c>
      <c r="E153" t="str">
        <f t="shared" si="20"/>
        <v>9</v>
      </c>
      <c r="F153" t="str">
        <f t="shared" si="21"/>
        <v>MacLeod_etal_2003</v>
      </c>
      <c r="G153" t="str">
        <f t="shared" si="22"/>
        <v>MacLeod</v>
      </c>
      <c r="H153" t="str">
        <f t="shared" si="23"/>
        <v>etal</v>
      </c>
      <c r="I153" t="str">
        <f t="shared" si="24"/>
        <v>2003</v>
      </c>
      <c r="J153" t="str">
        <f t="shared" si="25"/>
        <v>10.1016%2Fs0047-2484(03)00028-9</v>
      </c>
      <c r="K153" t="str">
        <f t="shared" si="27"/>
        <v>MacLeod_etal_2003_Table2</v>
      </c>
      <c r="L153" t="str">
        <f t="shared" si="26"/>
        <v>10.1016%2Fs0047-2484(03)00028-9_Table2</v>
      </c>
      <c r="M153" t="str">
        <f t="array" ref="M153">IFERROR(INDEX(FileList!$A$1:$A$100,MATCH(TRUE(),EXACT(L153,_xlfn.TEXTBEFORE(FileList!$A$1:$A$100,".tsv")),0)),"notfound")</f>
        <v>10.1016%2Fs0047-2484(03)00028-9_Table2.tsv</v>
      </c>
      <c r="N153" s="1" t="s">
        <v>629</v>
      </c>
      <c r="Y153" s="1" t="s">
        <v>233</v>
      </c>
      <c r="Z153" s="1" t="s">
        <v>233</v>
      </c>
      <c r="AF153" s="1" t="s">
        <v>78</v>
      </c>
      <c r="AG153" s="1" t="s">
        <v>112</v>
      </c>
      <c r="AI153" s="1" t="s">
        <v>628</v>
      </c>
      <c r="AJ153" s="1" t="s">
        <v>118</v>
      </c>
      <c r="AK153" s="1" t="s">
        <v>63</v>
      </c>
      <c r="AL153" s="1" t="s">
        <v>63</v>
      </c>
      <c r="AM153" s="1" t="s">
        <v>84</v>
      </c>
    </row>
    <row r="154">
      <c r="A154" s="1" t="s">
        <v>630</v>
      </c>
      <c r="D154" s="5" t="s">
        <v>631</v>
      </c>
      <c r="E154" t="str">
        <f t="shared" si="20"/>
        <v>2</v>
      </c>
      <c r="F154" t="str">
        <f t="shared" si="21"/>
        <v>ManyPrimates__2022</v>
      </c>
      <c r="G154" t="str">
        <f t="shared" si="22"/>
        <v>ManyPrimates</v>
      </c>
      <c r="H154" t="str">
        <f t="shared" si="23"/>
      </c>
      <c r="I154" t="str">
        <f t="shared" si="24"/>
        <v>2022</v>
      </c>
      <c r="J154" t="str">
        <f t="shared" si="25"/>
        <v>10.26451%2Fabc.09.04.06.2022</v>
      </c>
      <c r="K154" t="str">
        <f t="shared" si="27"/>
        <v>ManyPrimates__2022_data/speciespredictors.xlsx</v>
      </c>
      <c r="L154" t="str">
        <f t="shared" si="26"/>
        <v>10.26451%2Fabc.09.04.06.2022_data/speciespredictors.xlsx</v>
      </c>
      <c r="M154" t="str">
        <f t="array" ref="M154">IFERROR(INDEX(FileList!$A$1:$A$100,MATCH(TRUE(),EXACT(L154,_xlfn.TEXTBEFORE(FileList!$A$1:$A$100,".tsv")),0)),"notfound")</f>
        <v>notfound</v>
      </c>
      <c r="P154" s="1" t="s">
        <v>632</v>
      </c>
      <c r="Q154" s="1" t="s">
        <v>202</v>
      </c>
      <c r="T154" s="1" t="str">
        <f>IF(S154="N", R154, "write file name")</f>
        <v>write file name</v>
      </c>
      <c r="U154" s="1" t="s">
        <v>183</v>
      </c>
      <c r="V154" s="1" t="s">
        <v>42</v>
      </c>
      <c r="W154" s="1" t="s">
        <v>184</v>
      </c>
      <c r="X154" s="1" t="s">
        <v>633</v>
      </c>
      <c r="AA154" s="1" t="s">
        <v>634</v>
      </c>
      <c r="AH154" s="1" t="s">
        <v>177</v>
      </c>
      <c r="AI154" s="1" t="s">
        <v>635</v>
      </c>
      <c r="AJ154" s="1" t="s">
        <v>118</v>
      </c>
      <c r="AK154" s="1" t="s">
        <v>141</v>
      </c>
      <c r="AM154" s="1" t="s">
        <v>636</v>
      </c>
    </row>
    <row r="155">
      <c r="A155" s="1" t="s">
        <v>630</v>
      </c>
      <c r="D155" s="1"/>
      <c r="E155" t="str">
        <f t="shared" si="20"/>
        <v>2</v>
      </c>
      <c r="F155" t="str">
        <f t="shared" si="21"/>
        <v>ManyPrimates__2022</v>
      </c>
      <c r="G155" t="str">
        <f t="shared" si="22"/>
        <v>ManyPrimates</v>
      </c>
      <c r="H155" t="str">
        <f t="shared" si="23"/>
      </c>
      <c r="I155" t="str">
        <f t="shared" si="24"/>
        <v>2022</v>
      </c>
      <c r="J155" t="str">
        <f>_xlfn.LET(
_xlpm.doi,IF(C152&lt;&gt;"",C152,_xlfn.TEXTAFTER(A155,"https://doi.org/")),
SUBSTITUTE(
SUBSTITUTE(
SUBSTITUTE(
SUBSTITUTE(
_xlpm.doi,
"/","%2F"),
":","%3A"),
"&lt;","%3C"),
"&gt;","%3E")
)</f>
        <v>10.26451%2Fabc.09.04.06.2022</v>
      </c>
      <c r="K155" t="str">
        <f t="shared" si="27"/>
        <v>ManyPrimates__2022_</v>
      </c>
      <c r="L155" t="str">
        <f t="shared" si="26"/>
        <v>10.26451%2Fabc.09.04.06.2022_</v>
      </c>
      <c r="M155" t="str">
        <f t="array" ref="M155">IFERROR(INDEX(FileList!$A$1:$A$100,MATCH(TRUE(),EXACT(L155,_xlfn.TEXTBEFORE(FileList!$A$1:$A$100,".tsv")),0)),"notfound")</f>
        <v>notfound</v>
      </c>
      <c r="P155" s="1" t="s">
        <v>335</v>
      </c>
      <c r="AJ155" s="1" t="s">
        <v>118</v>
      </c>
      <c r="AL155" s="1" t="s">
        <v>63</v>
      </c>
      <c r="AM155" s="1" t="s">
        <v>636</v>
      </c>
    </row>
    <row r="156">
      <c r="A156" s="1" t="s">
        <v>637</v>
      </c>
      <c r="B156" s="6"/>
      <c r="D156" s="1" t="s">
        <v>92</v>
      </c>
      <c r="E156" t="str">
        <f t="shared" si="20"/>
        <v>F</v>
      </c>
      <c r="F156" t="str">
        <f t="shared" si="21"/>
        <v>Matano__2001</v>
      </c>
      <c r="G156" t="str">
        <f t="shared" si="22"/>
        <v>Matano</v>
      </c>
      <c r="H156" t="str">
        <f t="shared" si="23"/>
      </c>
      <c r="I156" t="str">
        <f t="shared" si="24"/>
        <v>2001</v>
      </c>
      <c r="J156" t="str">
        <f t="shared" ref="J156:J187" si="36">_xlfn.LET(
_xlpm.doi,IF(C156&lt;&gt;"",C156,_xlfn.TEXTAFTER(A156,"https://doi.org/")),
SUBSTITUTE(
SUBSTITUTE(
SUBSTITUTE(
SUBSTITUTE(
_xlpm.doi,
"/","%2F"),
":","%3A"),
"&lt;","%3C"),
"&gt;","%3E")
)</f>
        <v>10.1002%2F1096-8644(200102)114%3A2%3C163%3A%3AAID-AJPA1016%3E3.0.CO;2-F</v>
      </c>
      <c r="K156" t="str">
        <f t="shared" si="27"/>
        <v>Matano__2001_TABLE2</v>
      </c>
      <c r="L156" t="str">
        <f t="shared" si="26"/>
        <v>10.1002%2F1096-8644(200102)114%3A2%3C163%3A%3AAID-AJPA1016%3E3.0.CO;2-F_TABLE2</v>
      </c>
      <c r="M156" t="str">
        <f t="array" ref="M156">IFERROR(INDEX(FileList!$A$1:$A$100,MATCH(TRUE(),EXACT(L156,_xlfn.TEXTBEFORE(FileList!$A$1:$A$100,".tsv")),0)),"notfound")</f>
        <v>10.1002%2F1096-8644(200102)114%3A2%3C163%3A%3AAID-AJPA1016%3E3.0.CO;2-F_TABLE2.tsv</v>
      </c>
      <c r="N156" s="1" t="s">
        <v>638</v>
      </c>
    </row>
    <row r="157">
      <c r="A157" s="1" t="s">
        <v>639</v>
      </c>
      <c r="B157" s="1" t="s">
        <v>164</v>
      </c>
      <c r="D157" s="1" t="s">
        <v>75</v>
      </c>
      <c r="E157" t="str">
        <f t="shared" si="20"/>
        <v>2</v>
      </c>
      <c r="F157" t="str">
        <f t="shared" si="21"/>
        <v>Matano_etal_1985_a</v>
      </c>
      <c r="G157" t="str">
        <f t="shared" si="22"/>
        <v>Matano</v>
      </c>
      <c r="H157" t="str">
        <f t="shared" si="23"/>
        <v>etal</v>
      </c>
      <c r="I157" t="str">
        <f t="shared" si="24"/>
        <v>1985</v>
      </c>
      <c r="J157" t="str">
        <f t="shared" si="36"/>
        <v>10.1159%2F000156212</v>
      </c>
      <c r="K157" t="str">
        <f t="shared" si="27"/>
        <v>Matano_etal_1985_a_Table1</v>
      </c>
      <c r="L157" t="str">
        <f t="shared" si="26"/>
        <v>10.1159%2F000156212_Table1</v>
      </c>
      <c r="M157" t="str">
        <f t="array" ref="M157">IFERROR(INDEX(FileList!$A$1:$A$100,MATCH(TRUE(),EXACT(L157,_xlfn.TEXTBEFORE(FileList!$A$1:$A$100,".tsv")),0)),"notfound")</f>
        <v>10.1159%2F000156212_Table1.tsv</v>
      </c>
      <c r="N157" s="1" t="s">
        <v>640</v>
      </c>
      <c r="P157" s="1" t="s">
        <v>41</v>
      </c>
      <c r="V157" s="1" t="s">
        <v>42</v>
      </c>
      <c r="Y157" s="1" t="s">
        <v>99</v>
      </c>
      <c r="Z157" s="1" t="s">
        <v>99</v>
      </c>
      <c r="AF157" s="1" t="s">
        <v>78</v>
      </c>
      <c r="AG157" s="1" t="s">
        <v>112</v>
      </c>
      <c r="AI157" s="1" t="s">
        <v>641</v>
      </c>
      <c r="AJ157" s="1" t="s">
        <v>101</v>
      </c>
      <c r="AK157" s="1" t="s">
        <v>63</v>
      </c>
      <c r="AL157" s="1" t="s">
        <v>63</v>
      </c>
      <c r="AM157" s="1" t="s">
        <v>84</v>
      </c>
    </row>
    <row r="158">
      <c r="A158" s="1" t="s">
        <v>642</v>
      </c>
      <c r="B158" s="4" t="s">
        <v>172</v>
      </c>
      <c r="D158" s="1" t="s">
        <v>75</v>
      </c>
      <c r="E158" t="str">
        <f t="shared" si="20"/>
        <v>1</v>
      </c>
      <c r="F158" t="str">
        <f t="shared" si="21"/>
        <v>Matano_etal_1985_b</v>
      </c>
      <c r="G158" t="str">
        <f t="shared" si="22"/>
        <v>Matano</v>
      </c>
      <c r="H158" t="str">
        <f t="shared" si="23"/>
        <v>etal</v>
      </c>
      <c r="I158" t="str">
        <f t="shared" si="24"/>
        <v>1985</v>
      </c>
      <c r="J158" t="str">
        <f t="shared" si="36"/>
        <v>10.1159%2F000156211</v>
      </c>
      <c r="K158" t="str">
        <f t="shared" si="27"/>
        <v>Matano_etal_1985_b_Table1</v>
      </c>
      <c r="L158" t="str">
        <f t="shared" si="26"/>
        <v>10.1159%2F000156211_Table1</v>
      </c>
      <c r="M158" t="str">
        <f t="array" ref="M158">IFERROR(INDEX(FileList!$A$1:$A$100,MATCH(TRUE(),EXACT(L158,_xlfn.TEXTBEFORE(FileList!$A$1:$A$100,".tsv")),0)),"notfound")</f>
        <v>10.1159%2F000156211_Table1.tsv</v>
      </c>
      <c r="P158" s="1" t="s">
        <v>41</v>
      </c>
      <c r="Y158" s="1" t="s">
        <v>99</v>
      </c>
      <c r="Z158" s="1" t="s">
        <v>99</v>
      </c>
      <c r="AF158" s="1" t="s">
        <v>78</v>
      </c>
    </row>
    <row r="159">
      <c r="A159" s="1" t="s">
        <v>643</v>
      </c>
      <c r="D159" s="1" t="s">
        <v>198</v>
      </c>
      <c r="E159" t="str">
        <f t="shared" si="20"/>
        <v>1</v>
      </c>
      <c r="F159" t="str">
        <f t="shared" si="21"/>
        <v>Mota_Herculano-Houzel_2015</v>
      </c>
      <c r="G159" t="str">
        <f t="shared" si="22"/>
        <v>Mota</v>
      </c>
      <c r="H159" t="str">
        <f t="shared" si="23"/>
        <v>Herculano-Houzel</v>
      </c>
      <c r="I159" t="str">
        <f t="shared" si="24"/>
        <v>2015</v>
      </c>
      <c r="J159" t="str">
        <f t="shared" si="36"/>
        <v>10.1126%2Fscience.aaa9101</v>
      </c>
      <c r="K159" t="str">
        <f t="shared" si="27"/>
        <v>Mota_Herculano-Houzel_2015_TableS1</v>
      </c>
      <c r="L159" t="str">
        <f t="shared" si="26"/>
        <v>10.1126%2Fscience.aaa9101_TableS1</v>
      </c>
      <c r="M159" t="str">
        <f t="array" ref="M159">IFERROR(INDEX(FileList!$A$1:$A$100,MATCH(TRUE(),EXACT(L159,_xlfn.TEXTBEFORE(FileList!$A$1:$A$100,".tsv")),0)),"notfound")</f>
        <v>10.1126%2Fscience.aaa9101_TableS1.tsv</v>
      </c>
      <c r="Q159" s="1" t="s">
        <v>132</v>
      </c>
      <c r="AI159" s="1" t="s">
        <v>644</v>
      </c>
      <c r="AJ159" s="1" t="s">
        <v>140</v>
      </c>
      <c r="AL159" s="1" t="s">
        <v>362</v>
      </c>
      <c r="AM159" s="1" t="s">
        <v>644</v>
      </c>
    </row>
    <row r="160">
      <c r="A160" s="1" t="s">
        <v>645</v>
      </c>
      <c r="D160" s="1" t="s">
        <v>646</v>
      </c>
      <c r="E160" t="str">
        <f t="shared" si="20"/>
        <v>6</v>
      </c>
      <c r="F160" t="str">
        <f t="shared" si="21"/>
        <v>Mota_etal_2019</v>
      </c>
      <c r="G160" t="str">
        <f t="shared" si="22"/>
        <v>Mota</v>
      </c>
      <c r="H160" t="str">
        <f t="shared" si="23"/>
        <v>etal</v>
      </c>
      <c r="I160" t="str">
        <f t="shared" si="24"/>
        <v>2019</v>
      </c>
      <c r="J160" t="str">
        <f t="shared" si="36"/>
        <v>10.1073%2Fpnas.1716956116</v>
      </c>
      <c r="K160" t="str">
        <f t="shared" si="27"/>
        <v>Mota_etal_2019_SupplementaryTableS1</v>
      </c>
      <c r="L160" t="str">
        <f t="shared" si="26"/>
        <v>10.1073%2Fpnas.1716956116_SupplementaryTableS1</v>
      </c>
      <c r="M160" t="str">
        <f t="array" ref="M160">IFERROR(INDEX(FileList!$A$1:$A$100,MATCH(TRUE(),EXACT(L160,_xlfn.TEXTBEFORE(FileList!$A$1:$A$100,".tsv")),0)),"notfound")</f>
        <v>10.1073%2Fpnas.1716956116_SupplementaryTableS1.tsv</v>
      </c>
      <c r="N160" s="1" t="s">
        <v>647</v>
      </c>
      <c r="P160" s="1" t="s">
        <v>335</v>
      </c>
      <c r="AA160" s="1" t="s">
        <v>648</v>
      </c>
      <c r="AI160" s="1" t="s">
        <v>649</v>
      </c>
      <c r="AJ160" s="1" t="s">
        <v>140</v>
      </c>
      <c r="AL160" s="1" t="s">
        <v>362</v>
      </c>
      <c r="AM160" s="1" t="s">
        <v>650</v>
      </c>
    </row>
    <row r="161">
      <c r="A161" s="1" t="s">
        <v>651</v>
      </c>
      <c r="C161" s="1" t="s">
        <v>652</v>
      </c>
      <c r="D161" s="1" t="s">
        <v>653</v>
      </c>
      <c r="E161" t="str">
        <f t="shared" si="20"/>
        <v>5</v>
      </c>
      <c r="F161" t="str">
        <f t="shared" si="21"/>
        <v>Powell_etal_2017</v>
      </c>
      <c r="G161" t="str">
        <f t="shared" si="22"/>
        <v>Powell</v>
      </c>
      <c r="H161" t="str">
        <f t="shared" si="23"/>
        <v>etal</v>
      </c>
      <c r="I161" t="str">
        <f t="shared" si="24"/>
        <v>2017</v>
      </c>
      <c r="J161" t="str">
        <f t="shared" si="36"/>
        <v>10.6084%2Fm9.figshare.c.3899422.v1</v>
      </c>
      <c r="K161" t="str">
        <f t="shared" si="27"/>
        <v>Powell_etal_2017_Dataset1</v>
      </c>
      <c r="L161" t="str">
        <f t="shared" si="26"/>
        <v>10.6084%2Fm9.figshare.c.3899422.v1_Dataset1</v>
      </c>
      <c r="M161" t="str">
        <f t="array" ref="M161">IFERROR(INDEX(FileList!$A$1:$A$100,MATCH(TRUE(),EXACT(L161,_xlfn.TEXTBEFORE(FileList!$A$1:$A$100,".tsv")),0)),"notfound")</f>
        <v>notfound</v>
      </c>
      <c r="P161" s="1" t="s">
        <v>335</v>
      </c>
      <c r="Q161" s="1" t="s">
        <v>202</v>
      </c>
      <c r="T161" s="1" t="str">
        <f>IF(S161="N", R161, "write file name")</f>
        <v>write file name</v>
      </c>
      <c r="U161" s="1" t="s">
        <v>183</v>
      </c>
      <c r="V161" s="1" t="s">
        <v>42</v>
      </c>
      <c r="W161" s="1" t="s">
        <v>184</v>
      </c>
      <c r="X161" s="1" t="s">
        <v>654</v>
      </c>
      <c r="AA161" s="1" t="s">
        <v>139</v>
      </c>
      <c r="AH161" s="1" t="s">
        <v>177</v>
      </c>
      <c r="AI161" s="1" t="s">
        <v>655</v>
      </c>
      <c r="AJ161" s="1" t="s">
        <v>118</v>
      </c>
      <c r="AK161" s="1" t="s">
        <v>141</v>
      </c>
      <c r="AL161" s="1" t="s">
        <v>141</v>
      </c>
      <c r="AM161" s="1" t="s">
        <v>655</v>
      </c>
    </row>
    <row r="162">
      <c r="A162" s="1" t="s">
        <v>656</v>
      </c>
      <c r="D162" s="1" t="s">
        <v>75</v>
      </c>
      <c r="E162" t="str">
        <f t="shared" si="20"/>
        <v>5</v>
      </c>
      <c r="F162" t="str">
        <f t="shared" si="21"/>
        <v>Rilling_Insel_1998</v>
      </c>
      <c r="G162" t="str">
        <f t="shared" si="22"/>
        <v>Rilling</v>
      </c>
      <c r="H162" t="str">
        <f t="shared" si="23"/>
        <v>Insel</v>
      </c>
      <c r="I162" t="str">
        <f t="shared" si="24"/>
        <v>1998</v>
      </c>
      <c r="J162" t="str">
        <f t="shared" si="36"/>
        <v>10.1159%2F000006575</v>
      </c>
      <c r="K162" t="str">
        <f t="shared" si="27"/>
        <v>Rilling_Insel_1998_Table1</v>
      </c>
      <c r="L162" t="str">
        <f t="shared" si="26"/>
        <v>10.1159%2F000006575_Table1</v>
      </c>
      <c r="M162" t="str">
        <f t="array" ref="M162">IFERROR(INDEX(FileList!$A$1:$A$100,MATCH(TRUE(),EXACT(L162,_xlfn.TEXTBEFORE(FileList!$A$1:$A$100,".tsv")),0)),"notfound")</f>
        <v>10.1159%2F000006575_Table1.tsv</v>
      </c>
      <c r="N162" s="1" t="s">
        <v>657</v>
      </c>
      <c r="Y162" s="1" t="s">
        <v>626</v>
      </c>
      <c r="Z162" s="1" t="s">
        <v>626</v>
      </c>
      <c r="AF162" s="1" t="s">
        <v>627</v>
      </c>
      <c r="AG162" s="1" t="s">
        <v>112</v>
      </c>
    </row>
    <row r="163">
      <c r="A163" s="1" t="s">
        <v>658</v>
      </c>
      <c r="D163" s="1" t="s">
        <v>75</v>
      </c>
      <c r="E163" t="str">
        <f t="shared" si="20"/>
        <v>3</v>
      </c>
      <c r="F163" t="str">
        <f t="shared" si="21"/>
        <v>Rilling_Insel_1999</v>
      </c>
      <c r="G163" t="str">
        <f t="shared" si="22"/>
        <v>Rilling</v>
      </c>
      <c r="H163" t="str">
        <f t="shared" si="23"/>
        <v>Insel</v>
      </c>
      <c r="I163" t="str">
        <f t="shared" si="24"/>
        <v>1999</v>
      </c>
      <c r="J163" t="str">
        <f t="shared" si="36"/>
        <v>10.1006%2Fjhev.1999.0313</v>
      </c>
      <c r="K163" t="str">
        <f t="shared" si="27"/>
        <v>Rilling_Insel_1999_Table1</v>
      </c>
      <c r="L163" t="str">
        <f t="shared" si="26"/>
        <v>10.1006%2Fjhev.1999.0313_Table1</v>
      </c>
      <c r="M163" t="str">
        <f t="array" ref="M163">IFERROR(INDEX(FileList!$A$1:$A$100,MATCH(TRUE(),EXACT(L163,_xlfn.TEXTBEFORE(FileList!$A$1:$A$100,".tsv")),0)),"notfound")</f>
        <v>10.1006%2Fjhev.1999.0313_Table1.tsv</v>
      </c>
      <c r="N163" s="1" t="s">
        <v>659</v>
      </c>
      <c r="Y163" s="1" t="s">
        <v>626</v>
      </c>
      <c r="Z163" s="1" t="s">
        <v>626</v>
      </c>
    </row>
    <row r="164">
      <c r="A164" s="1" t="s">
        <v>660</v>
      </c>
      <c r="D164" s="1" t="s">
        <v>661</v>
      </c>
      <c r="E164" t="str">
        <f t="shared" si="20"/>
        <v>2</v>
      </c>
      <c r="F164" t="str">
        <f t="shared" si="21"/>
        <v>Schniter_Penaherrera-Aguirre_2026</v>
      </c>
      <c r="G164" t="str">
        <f t="shared" si="22"/>
        <v>Schniter</v>
      </c>
      <c r="H164" t="str">
        <f t="shared" si="23"/>
        <v>Penaherrera-Aguirre</v>
      </c>
      <c r="I164" t="str">
        <f t="shared" si="24"/>
        <v>2026</v>
      </c>
      <c r="J164" t="str">
        <f t="shared" si="36"/>
        <v>10.1007%2Fs10329-026-01271-2</v>
      </c>
      <c r="K164" t="str">
        <f t="shared" si="27"/>
        <v>Schniter_Penaherrera-Aguirre_2026_data</v>
      </c>
      <c r="L164" t="str">
        <f t="shared" si="26"/>
        <v>10.1007%2Fs10329-026-01271-2_data</v>
      </c>
      <c r="M164" t="str">
        <f t="array" ref="M164">IFERROR(INDEX(FileList!$A$1:$A$100,MATCH(TRUE(),EXACT(L164,_xlfn.TEXTBEFORE(FileList!$A$1:$A$100,".tsv")),0)),"notfound")</f>
        <v>notfound</v>
      </c>
      <c r="N164" s="1" t="s">
        <v>661</v>
      </c>
    </row>
    <row r="165">
      <c r="A165" s="1" t="s">
        <v>662</v>
      </c>
      <c r="D165" s="1"/>
      <c r="E165" t="str">
        <f t="shared" si="20"/>
        <v>1</v>
      </c>
      <c r="F165" t="str">
        <f t="shared" si="21"/>
        <v>Semendeferi_Damasio_2000</v>
      </c>
      <c r="G165" t="str">
        <f t="shared" si="22"/>
        <v>Semendeferi</v>
      </c>
      <c r="H165" t="str">
        <f t="shared" si="23"/>
        <v>Damasio</v>
      </c>
      <c r="I165" t="str">
        <f t="shared" si="24"/>
        <v>2000</v>
      </c>
      <c r="J165" t="str">
        <f t="shared" si="36"/>
        <v>10.1006%2Fjhev.1999.0381</v>
      </c>
      <c r="K165" t="str">
        <f t="shared" si="27"/>
        <v>Semendeferi_Damasio_2000_</v>
      </c>
      <c r="L165" t="str">
        <f t="shared" si="26"/>
        <v>10.1006%2Fjhev.1999.0381_</v>
      </c>
      <c r="M165" t="str">
        <f t="array" ref="M165">IFERROR(INDEX(FileList!$A$1:$A$100,MATCH(TRUE(),EXACT(L165,_xlfn.TEXTBEFORE(FileList!$A$1:$A$100,".tsv")),0)),"notfound")</f>
        <v>notfound</v>
      </c>
    </row>
    <row r="166">
      <c r="A166" s="1" t="s">
        <v>663</v>
      </c>
      <c r="D166" s="1" t="s">
        <v>92</v>
      </c>
      <c r="E166" t="str">
        <f t="shared" si="20"/>
        <v>L</v>
      </c>
      <c r="F166" t="str">
        <f t="shared" si="21"/>
        <v>Semendeferi_etal_1998</v>
      </c>
      <c r="G166" t="str">
        <f t="shared" si="22"/>
        <v>Semendeferi</v>
      </c>
      <c r="H166" t="str">
        <f t="shared" si="23"/>
        <v>etal</v>
      </c>
      <c r="I166" t="str">
        <f t="shared" si="24"/>
        <v>1998</v>
      </c>
      <c r="J166" t="str">
        <f t="shared" si="36"/>
        <v>10.1002%2F(SICI)1096-8644(199806)106%3A2%3C129%3A%3AAID-AJPA3%3E3.0.CO;2-L</v>
      </c>
      <c r="K166" t="str">
        <f t="shared" si="27"/>
        <v>Semendeferi_etal_1998_TABLE2</v>
      </c>
      <c r="L166" t="str">
        <f t="shared" si="26"/>
        <v>10.1002%2F(SICI)1096-8644(199806)106%3A2%3C129%3A%3AAID-AJPA3%3E3.0.CO;2-L_TABLE2</v>
      </c>
      <c r="M166" t="str">
        <f t="array" ref="M166">IFERROR(INDEX(FileList!$A$1:$A$100,MATCH(TRUE(),EXACT(L166,_xlfn.TEXTBEFORE(FileList!$A$1:$A$100,".tsv")),0)),"notfound")</f>
        <v>10.1002%2F(SICI)1096-8644(199806)106%3A2%3C129%3A%3AAID-AJPA3%3E3.0.CO;2-L_TABLE2.tsv</v>
      </c>
      <c r="N166" s="1" t="s">
        <v>664</v>
      </c>
      <c r="P166" s="1" t="s">
        <v>41</v>
      </c>
      <c r="Y166" s="1" t="s">
        <v>77</v>
      </c>
      <c r="AF166" s="1" t="s">
        <v>78</v>
      </c>
      <c r="AG166" s="1" t="s">
        <v>112</v>
      </c>
      <c r="AI166" s="1" t="s">
        <v>665</v>
      </c>
      <c r="AJ166" s="1" t="s">
        <v>83</v>
      </c>
      <c r="AK166" s="1" t="s">
        <v>63</v>
      </c>
      <c r="AL166" s="1" t="s">
        <v>63</v>
      </c>
      <c r="AM166" s="1" t="s">
        <v>84</v>
      </c>
    </row>
    <row r="167">
      <c r="A167" s="1" t="s">
        <v>666</v>
      </c>
      <c r="D167" s="1" t="s">
        <v>92</v>
      </c>
      <c r="E167" t="str">
        <f t="shared" si="20"/>
        <v>I</v>
      </c>
      <c r="F167" t="str">
        <f t="shared" si="21"/>
        <v>Semendeferi_etal_2001</v>
      </c>
      <c r="G167" t="str">
        <f t="shared" si="22"/>
        <v>Semendeferi</v>
      </c>
      <c r="H167" t="str">
        <f t="shared" si="23"/>
        <v>etal</v>
      </c>
      <c r="I167" t="str">
        <f t="shared" si="24"/>
        <v>2001</v>
      </c>
      <c r="J167" t="str">
        <f t="shared" si="36"/>
        <v>10.1002%2F1096-8644(200103)114%3A3%3C224%3A%3AAID-AJPA1022%3E3.0.CO;2-I</v>
      </c>
      <c r="K167" t="str">
        <f t="shared" si="27"/>
        <v>Semendeferi_etal_2001_TABLE2</v>
      </c>
      <c r="L167" t="str">
        <f t="shared" si="26"/>
        <v>10.1002%2F1096-8644(200103)114%3A3%3C224%3A%3AAID-AJPA1022%3E3.0.CO;2-I_TABLE2</v>
      </c>
      <c r="M167" t="str">
        <f t="array" ref="M167">IFERROR(INDEX(FileList!$A$1:$A$100,MATCH(TRUE(),EXACT(L167,_xlfn.TEXTBEFORE(FileList!$A$1:$A$100,".tsv")),0)),"notfound")</f>
        <v>10.1002%2F1096-8644(200103)114%3A3%3C224%3A%3AAID-AJPA1022%3E3.0.CO;2-I_TABLE2.tsv</v>
      </c>
      <c r="N167" s="1" t="s">
        <v>667</v>
      </c>
      <c r="P167" s="1" t="s">
        <v>41</v>
      </c>
      <c r="Y167" s="1" t="s">
        <v>77</v>
      </c>
      <c r="AF167" s="1" t="s">
        <v>78</v>
      </c>
      <c r="AG167" s="1" t="s">
        <v>112</v>
      </c>
      <c r="AI167" s="1" t="s">
        <v>668</v>
      </c>
      <c r="AJ167" s="1" t="s">
        <v>83</v>
      </c>
      <c r="AK167" s="1" t="s">
        <v>63</v>
      </c>
      <c r="AL167" s="1" t="s">
        <v>63</v>
      </c>
      <c r="AM167" s="1" t="s">
        <v>84</v>
      </c>
    </row>
    <row r="168">
      <c r="A168" s="1" t="s">
        <v>669</v>
      </c>
      <c r="D168" s="1" t="s">
        <v>75</v>
      </c>
      <c r="E168" t="str">
        <f t="shared" si="20"/>
        <v>4</v>
      </c>
      <c r="F168" t="str">
        <f t="shared" si="21"/>
        <v>Semendeferi_etal_2002</v>
      </c>
      <c r="G168" t="str">
        <f t="shared" si="22"/>
        <v>Semendeferi</v>
      </c>
      <c r="H168" t="str">
        <f t="shared" si="23"/>
        <v>etal</v>
      </c>
      <c r="I168" t="str">
        <f t="shared" si="24"/>
        <v>2002</v>
      </c>
      <c r="J168" t="str">
        <f t="shared" si="36"/>
        <v>10.1038%2Fnn814</v>
      </c>
      <c r="K168" t="str">
        <f t="shared" si="27"/>
        <v>Semendeferi_etal_2002_Table1</v>
      </c>
      <c r="L168" t="str">
        <f t="shared" si="26"/>
        <v>10.1038%2Fnn814_Table1</v>
      </c>
      <c r="M168" t="str">
        <f t="array" ref="M168">IFERROR(INDEX(FileList!$A$1:$A$100,MATCH(TRUE(),EXACT(L168,_xlfn.TEXTBEFORE(FileList!$A$1:$A$100,".tsv")),0)),"notfound")</f>
        <v>notfound</v>
      </c>
      <c r="N168" s="1" t="s">
        <v>670</v>
      </c>
      <c r="Y168" s="1" t="s">
        <v>77</v>
      </c>
      <c r="AF168" s="1" t="s">
        <v>78</v>
      </c>
      <c r="AG168" s="1" t="s">
        <v>112</v>
      </c>
      <c r="AI168" s="1" t="s">
        <v>671</v>
      </c>
      <c r="AJ168" s="1" t="s">
        <v>83</v>
      </c>
      <c r="AK168" s="1" t="s">
        <v>63</v>
      </c>
      <c r="AL168" s="1" t="s">
        <v>63</v>
      </c>
      <c r="AM168" s="1" t="s">
        <v>84</v>
      </c>
    </row>
    <row r="169">
      <c r="A169" s="1" t="s">
        <v>672</v>
      </c>
      <c r="D169" s="1" t="s">
        <v>673</v>
      </c>
      <c r="E169" t="str">
        <f t="shared" si="20"/>
        <v>6</v>
      </c>
      <c r="F169" t="str">
        <f t="shared" si="21"/>
        <v>Seymour_etal_2015</v>
      </c>
      <c r="G169" t="str">
        <f t="shared" si="22"/>
        <v>Seymour</v>
      </c>
      <c r="H169" t="str">
        <f t="shared" si="23"/>
        <v>etal</v>
      </c>
      <c r="I169" t="str">
        <f t="shared" si="24"/>
        <v>2015</v>
      </c>
      <c r="J169" t="str">
        <f t="shared" si="36"/>
        <v>10.1242%2Fjeb.124826</v>
      </c>
      <c r="K169" t="str">
        <f t="shared" si="27"/>
        <v>Seymour_etal_2015_TableS1</v>
      </c>
      <c r="L169" t="str">
        <f t="shared" si="26"/>
        <v>10.1242%2Fjeb.124826_TableS1</v>
      </c>
      <c r="M169" t="str">
        <f t="array" ref="M169">IFERROR(INDEX(FileList!$A$1:$A$100,MATCH(TRUE(),EXACT(L169,_xlfn.TEXTBEFORE(FileList!$A$1:$A$100,".tsv")),0)),"notfound")</f>
        <v>notfound</v>
      </c>
    </row>
    <row r="170">
      <c r="A170" s="1" t="s">
        <v>674</v>
      </c>
      <c r="D170" s="1" t="s">
        <v>198</v>
      </c>
      <c r="E170" t="str">
        <f t="shared" si="20"/>
        <v>6</v>
      </c>
      <c r="F170" t="str">
        <f t="shared" si="21"/>
        <v>Seymour_etal_2017</v>
      </c>
      <c r="G170" t="str">
        <f t="shared" si="22"/>
        <v>Seymour</v>
      </c>
      <c r="H170" t="str">
        <f t="shared" si="23"/>
        <v>etal</v>
      </c>
      <c r="I170" t="str">
        <f t="shared" si="24"/>
        <v>2017</v>
      </c>
      <c r="J170" t="str">
        <f t="shared" si="36"/>
        <v>10.1098%2Frsos.170846</v>
      </c>
      <c r="K170" t="str">
        <f t="shared" si="27"/>
        <v>Seymour_etal_2017_TableS1</v>
      </c>
      <c r="L170" t="str">
        <f t="shared" si="26"/>
        <v>10.1098%2Frsos.170846_TableS1</v>
      </c>
      <c r="M170" t="str">
        <f t="array" ref="M170">IFERROR(INDEX(FileList!$A$1:$A$100,MATCH(TRUE(),EXACT(L170,_xlfn.TEXTBEFORE(FileList!$A$1:$A$100,".tsv")),0)),"notfound")</f>
        <v>notfound</v>
      </c>
    </row>
    <row r="171">
      <c r="A171" s="1" t="s">
        <v>675</v>
      </c>
      <c r="D171" s="1" t="s">
        <v>676</v>
      </c>
      <c r="E171" t="str">
        <f t="shared" si="20"/>
        <v>8</v>
      </c>
      <c r="F171" t="str">
        <f t="shared" si="21"/>
        <v>Seymour_etal_2019</v>
      </c>
      <c r="G171" t="str">
        <f t="shared" si="22"/>
        <v>Seymour</v>
      </c>
      <c r="H171" t="str">
        <f t="shared" si="23"/>
        <v>etal</v>
      </c>
      <c r="I171" t="str">
        <f t="shared" si="24"/>
        <v>2019</v>
      </c>
      <c r="J171" t="str">
        <f t="shared" si="36"/>
        <v>10.1098%2Frspb.2019.2208</v>
      </c>
      <c r="K171" t="str">
        <f t="shared" si="27"/>
        <v>Seymour_etal_2019_rspb20192208si002</v>
      </c>
      <c r="L171" t="str">
        <f t="shared" si="26"/>
        <v>10.1098%2Frspb.2019.2208_rspb20192208si002</v>
      </c>
      <c r="M171" t="str">
        <f t="array" ref="M171">IFERROR(INDEX(FileList!$A$1:$A$100,MATCH(TRUE(),EXACT(L171,_xlfn.TEXTBEFORE(FileList!$A$1:$A$100,".tsv")),0)),"notfound")</f>
        <v>notfound</v>
      </c>
    </row>
    <row r="172">
      <c r="A172" s="1" t="s">
        <v>677</v>
      </c>
      <c r="D172" s="1" t="s">
        <v>678</v>
      </c>
      <c r="E172" t="str">
        <f t="shared" si="20"/>
        <v>8</v>
      </c>
      <c r="F172" t="str">
        <f t="shared" si="21"/>
        <v>Sherwood_etal_2004</v>
      </c>
      <c r="G172" t="str">
        <f t="shared" si="22"/>
        <v>Sherwood</v>
      </c>
      <c r="H172" t="str">
        <f t="shared" si="23"/>
        <v>etal</v>
      </c>
      <c r="I172" t="str">
        <f t="shared" si="24"/>
        <v>2004</v>
      </c>
      <c r="J172" t="str">
        <f t="shared" si="36"/>
        <v>10.1002%2Fajp.20048</v>
      </c>
      <c r="K172" t="str">
        <f t="shared" si="27"/>
        <v>Sherwood_etal_2004_TABLEI</v>
      </c>
      <c r="L172" t="str">
        <f t="shared" si="26"/>
        <v>10.1002%2Fajp.20048_TABLEI</v>
      </c>
      <c r="M172" t="str">
        <f t="array" ref="M172">IFERROR(INDEX(FileList!$A$1:$A$100,MATCH(TRUE(),EXACT(L172,_xlfn.TEXTBEFORE(FileList!$A$1:$A$100,".tsv")),0)),"notfound")</f>
        <v>10.1002%2Fajp.20048_TABLEI.tsv</v>
      </c>
      <c r="N172" s="1" t="s">
        <v>679</v>
      </c>
      <c r="Y172" s="1" t="s">
        <v>680</v>
      </c>
      <c r="Z172" s="1" t="s">
        <v>681</v>
      </c>
      <c r="AF172" s="1" t="s">
        <v>627</v>
      </c>
      <c r="AG172" s="1" t="s">
        <v>112</v>
      </c>
      <c r="AK172" s="1" t="s">
        <v>63</v>
      </c>
    </row>
    <row r="173">
      <c r="A173" s="1" t="s">
        <v>677</v>
      </c>
      <c r="B173" s="6"/>
      <c r="D173" s="1" t="s">
        <v>94</v>
      </c>
      <c r="E173" t="str">
        <f t="shared" si="20"/>
        <v>8</v>
      </c>
      <c r="F173" t="str">
        <f t="shared" si="21"/>
        <v>Sherwood_etal_2004</v>
      </c>
      <c r="G173" t="str">
        <f t="shared" si="22"/>
        <v>Sherwood</v>
      </c>
      <c r="H173" t="str">
        <f t="shared" si="23"/>
        <v>etal</v>
      </c>
      <c r="I173" t="str">
        <f t="shared" si="24"/>
        <v>2004</v>
      </c>
      <c r="J173" t="str">
        <f t="shared" si="36"/>
        <v>10.1002%2Fajp.20048</v>
      </c>
      <c r="K173" t="str">
        <f t="shared" si="27"/>
        <v>Sherwood_etal_2004_unpublishedviaDeCasien</v>
      </c>
      <c r="L173" t="str">
        <f t="shared" si="26"/>
        <v>10.1002%2Fajp.20048_unpublishedviaDeCasien</v>
      </c>
      <c r="M173" t="str">
        <f t="array" ref="M173">IFERROR(INDEX(FileList!$A$1:$A$100,MATCH(TRUE(),EXACT(L173,_xlfn.TEXTBEFORE(FileList!$A$1:$A$100,".tsv")),0)),"notfound")</f>
        <v>10.1002%2Fajp.20048_unpublishedviaDeCasien.tsv</v>
      </c>
      <c r="O173" s="1" t="s">
        <v>95</v>
      </c>
      <c r="Y173" s="1" t="s">
        <v>680</v>
      </c>
      <c r="Z173" s="1" t="s">
        <v>681</v>
      </c>
      <c r="AF173" s="1" t="s">
        <v>627</v>
      </c>
      <c r="AG173" s="1" t="s">
        <v>112</v>
      </c>
      <c r="AK173" s="1" t="s">
        <v>63</v>
      </c>
    </row>
    <row r="174">
      <c r="A174" s="1" t="s">
        <v>682</v>
      </c>
      <c r="B174" s="6"/>
      <c r="D174" s="1" t="s">
        <v>75</v>
      </c>
      <c r="E174" t="str">
        <f t="shared" si="20"/>
        <v>3</v>
      </c>
      <c r="F174" t="str">
        <f t="shared" si="21"/>
        <v>Sherwood_etal_2005</v>
      </c>
      <c r="G174" t="str">
        <f t="shared" si="22"/>
        <v>Sherwood</v>
      </c>
      <c r="H174" t="str">
        <f t="shared" si="23"/>
        <v>etal</v>
      </c>
      <c r="I174" t="str">
        <f t="shared" si="24"/>
        <v>2005</v>
      </c>
      <c r="J174" t="str">
        <f t="shared" si="36"/>
        <v>10.1016%2Fj.jhevol.2004.10.003</v>
      </c>
      <c r="K174" t="str">
        <f t="shared" si="27"/>
        <v>Sherwood_etal_2005_Table1</v>
      </c>
      <c r="L174" t="str">
        <f t="shared" si="26"/>
        <v>10.1016%2Fj.jhevol.2004.10.003_Table1</v>
      </c>
      <c r="M174" t="str">
        <f t="array" ref="M174">IFERROR(INDEX(FileList!$A$1:$A$100,MATCH(TRUE(),EXACT(L174,_xlfn.TEXTBEFORE(FileList!$A$1:$A$100,".tsv")),0)),"notfound")</f>
        <v>10.1016%2Fj.jhevol.2004.10.003_Table1.tsv</v>
      </c>
      <c r="N174" s="1" t="s">
        <v>683</v>
      </c>
      <c r="V174" s="1" t="s">
        <v>42</v>
      </c>
      <c r="Y174" s="1" t="s">
        <v>99</v>
      </c>
      <c r="Z174" s="1" t="s">
        <v>233</v>
      </c>
      <c r="AF174" s="1" t="s">
        <v>78</v>
      </c>
      <c r="AG174" s="1" t="s">
        <v>112</v>
      </c>
      <c r="AI174" s="1" t="s">
        <v>684</v>
      </c>
      <c r="AJ174" s="1" t="s">
        <v>150</v>
      </c>
      <c r="AK174" s="1" t="s">
        <v>63</v>
      </c>
      <c r="AL174" s="1" t="s">
        <v>63</v>
      </c>
      <c r="AM174" s="1" t="s">
        <v>84</v>
      </c>
    </row>
    <row r="175">
      <c r="A175" s="1" t="s">
        <v>685</v>
      </c>
      <c r="B175" s="4" t="s">
        <v>686</v>
      </c>
      <c r="D175" s="1" t="s">
        <v>40</v>
      </c>
      <c r="E175" t="str">
        <f t="shared" si="20"/>
        <v>2</v>
      </c>
      <c r="F175" t="str">
        <f t="shared" si="21"/>
        <v>Sherwood_etal_2004_I</v>
      </c>
      <c r="G175" t="str">
        <f t="shared" si="22"/>
        <v>Sherwood</v>
      </c>
      <c r="H175" t="str">
        <f t="shared" si="23"/>
        <v>etal</v>
      </c>
      <c r="I175" t="str">
        <f t="shared" si="24"/>
        <v>2004</v>
      </c>
      <c r="J175" t="str">
        <f t="shared" si="36"/>
        <v>10.1159%2F000075672</v>
      </c>
      <c r="K175" t="str">
        <f t="shared" ref="K175:K206" si="37">TRIM(_xlfn.TEXTJOIN("_",FALSE(),F175,(SUBSTITUTE(SUBSTITUTE(D175," ",""), "_", ""))))</f>
        <v>Sherwood_etal_2004_I_Table4</v>
      </c>
      <c r="L175" t="str">
        <f t="shared" si="26"/>
        <v>10.1159%2F000075672_Table4</v>
      </c>
      <c r="M175" t="str">
        <f t="array" ref="M175">IFERROR(INDEX(FileList!$A$1:$A$100,MATCH(TRUE(),EXACT(L175,_xlfn.TEXTBEFORE(FileList!$A$1:$A$100,".tsv")),0)),"notfound")</f>
        <v>notfound</v>
      </c>
      <c r="N175" s="1" t="s">
        <v>687</v>
      </c>
      <c r="P175" s="1" t="s">
        <v>632</v>
      </c>
      <c r="Q175" s="1" t="s">
        <v>202</v>
      </c>
      <c r="T175" s="1" t="str">
        <f>IF(S175="N", R175, "write file name")</f>
        <v>write file name</v>
      </c>
      <c r="U175" s="1" t="s">
        <v>55</v>
      </c>
      <c r="V175" s="1" t="s">
        <v>688</v>
      </c>
      <c r="Z175" s="1" t="s">
        <v>77</v>
      </c>
      <c r="AF175" s="1" t="s">
        <v>78</v>
      </c>
      <c r="AH175" s="1" t="s">
        <v>177</v>
      </c>
      <c r="AI175" s="1" t="s">
        <v>689</v>
      </c>
      <c r="AJ175" s="1" t="s">
        <v>118</v>
      </c>
      <c r="AK175" s="1" t="s">
        <v>63</v>
      </c>
      <c r="AL175" s="1" t="s">
        <v>63</v>
      </c>
      <c r="AM175" s="1" t="s">
        <v>690</v>
      </c>
    </row>
    <row r="176">
      <c r="A176" s="1" t="s">
        <v>685</v>
      </c>
      <c r="B176" s="4" t="s">
        <v>686</v>
      </c>
      <c r="D176" s="1" t="s">
        <v>68</v>
      </c>
      <c r="E176" t="str">
        <f t="shared" si="20"/>
        <v>2</v>
      </c>
      <c r="F176" t="str">
        <f t="shared" si="21"/>
        <v>Sherwood_etal_2004_I</v>
      </c>
      <c r="G176" t="str">
        <f t="shared" si="22"/>
        <v>Sherwood</v>
      </c>
      <c r="H176" t="str">
        <f t="shared" si="23"/>
        <v>etal</v>
      </c>
      <c r="I176" t="str">
        <f t="shared" si="24"/>
        <v>2004</v>
      </c>
      <c r="J176" t="str">
        <f t="shared" si="36"/>
        <v>10.1159%2F000075672</v>
      </c>
      <c r="K176" t="str">
        <f t="shared" si="37"/>
        <v>Sherwood_etal_2004_I_Table5</v>
      </c>
      <c r="L176" t="str">
        <f t="shared" si="26"/>
        <v>10.1159%2F000075672_Table5</v>
      </c>
      <c r="M176" t="str">
        <f t="array" ref="M176">IFERROR(INDEX(FileList!$A$1:$A$100,MATCH(TRUE(),EXACT(L176,_xlfn.TEXTBEFORE(FileList!$A$1:$A$100,".tsv")),0)),"notfound")</f>
        <v>notfound</v>
      </c>
      <c r="N176" s="1" t="s">
        <v>691</v>
      </c>
      <c r="P176" s="1" t="s">
        <v>632</v>
      </c>
      <c r="Q176" s="1" t="s">
        <v>202</v>
      </c>
      <c r="T176" s="1" t="str">
        <f>IF(S176="N", R176, "write file name")</f>
        <v>write file name</v>
      </c>
      <c r="U176" s="1" t="s">
        <v>55</v>
      </c>
      <c r="V176" s="1" t="s">
        <v>688</v>
      </c>
      <c r="Z176" s="1" t="s">
        <v>233</v>
      </c>
      <c r="AF176" s="1" t="s">
        <v>78</v>
      </c>
      <c r="AG176" s="1" t="s">
        <v>112</v>
      </c>
      <c r="AH176" s="1" t="s">
        <v>177</v>
      </c>
      <c r="AI176" s="1" t="s">
        <v>689</v>
      </c>
      <c r="AJ176" s="1" t="s">
        <v>118</v>
      </c>
      <c r="AK176" s="1" t="s">
        <v>63</v>
      </c>
      <c r="AL176" s="1" t="s">
        <v>63</v>
      </c>
      <c r="AM176" s="1" t="s">
        <v>690</v>
      </c>
    </row>
    <row r="177">
      <c r="A177" s="1" t="s">
        <v>692</v>
      </c>
      <c r="C177" s="1" t="s">
        <v>693</v>
      </c>
      <c r="D177" s="1" t="s">
        <v>694</v>
      </c>
      <c r="E177" t="str">
        <f t="shared" si="20"/>
        <v>9</v>
      </c>
      <c r="F177" t="str">
        <f t="shared" si="21"/>
        <v>Smaers_Soligo_2013</v>
      </c>
      <c r="G177" t="str">
        <f t="shared" si="22"/>
        <v>Smaers</v>
      </c>
      <c r="H177" t="str">
        <f t="shared" si="23"/>
        <v>Soligo</v>
      </c>
      <c r="I177" t="str">
        <f t="shared" si="24"/>
        <v>2013</v>
      </c>
      <c r="J177" t="str">
        <f t="shared" si="36"/>
        <v>10.1098%2Frspb.2013.0269</v>
      </c>
      <c r="K177" t="str">
        <f t="shared" si="37"/>
        <v>Smaers_Soligo_2013_Supplement</v>
      </c>
      <c r="L177" t="str">
        <f t="shared" si="26"/>
        <v>10.1098%2Frspb.2013.0269_Supplement</v>
      </c>
      <c r="M177" t="str">
        <f t="array" ref="M177">IFERROR(INDEX(FileList!$A$1:$A$100,MATCH(TRUE(),EXACT(L177,_xlfn.TEXTBEFORE(FileList!$A$1:$A$100,".tsv")),0)),"notfound")</f>
        <v>notfound</v>
      </c>
      <c r="N177" s="1" t="s">
        <v>695</v>
      </c>
      <c r="AF177" s="1" t="s">
        <v>78</v>
      </c>
      <c r="AG177" s="1" t="s">
        <v>112</v>
      </c>
      <c r="AI177" s="1" t="s">
        <v>696</v>
      </c>
      <c r="AJ177" s="1" t="s">
        <v>697</v>
      </c>
      <c r="AL177" s="1" t="s">
        <v>362</v>
      </c>
      <c r="AM177" s="1" t="s">
        <v>84</v>
      </c>
    </row>
    <row r="178">
      <c r="A178" s="1" t="s">
        <v>698</v>
      </c>
      <c r="D178" s="1" t="s">
        <v>699</v>
      </c>
      <c r="E178" t="str">
        <f t="shared" si="20"/>
        <v>0</v>
      </c>
      <c r="F178" t="str">
        <f t="shared" si="21"/>
        <v>Smaers_etal_2017</v>
      </c>
      <c r="G178" t="str">
        <f t="shared" si="22"/>
        <v>Smaers</v>
      </c>
      <c r="H178" t="str">
        <f t="shared" si="23"/>
        <v>etal</v>
      </c>
      <c r="I178" t="str">
        <f t="shared" si="24"/>
        <v>2017</v>
      </c>
      <c r="J178" t="str">
        <f t="shared" si="36"/>
        <v>10.1016%2Fj.cub.2017.01.020</v>
      </c>
      <c r="K178" t="str">
        <f t="shared" si="37"/>
        <v>Smaers_etal_2017_TableS1part1</v>
      </c>
      <c r="L178" t="str">
        <f t="shared" si="26"/>
        <v>10.1016%2Fj.cub.2017.01.020_TableS1part1</v>
      </c>
      <c r="M178" t="str">
        <f t="array" ref="M178">IFERROR(INDEX(FileList!$A$1:$A$100,MATCH(TRUE(),EXACT(L178,_xlfn.TEXTBEFORE(FileList!$A$1:$A$100,".tsv")),0)),"notfound")</f>
        <v>10.1016%2Fj.cub.2017.01.020_TableS1part1.tsv</v>
      </c>
      <c r="N178" s="1" t="s">
        <v>700</v>
      </c>
      <c r="O178" s="1" t="s">
        <v>701</v>
      </c>
      <c r="P178" s="1" t="s">
        <v>41</v>
      </c>
      <c r="V178" s="1" t="s">
        <v>42</v>
      </c>
      <c r="Y178" s="1" t="s">
        <v>702</v>
      </c>
      <c r="Z178" s="1" t="s">
        <v>233</v>
      </c>
      <c r="AC178" s="1" t="s">
        <v>703</v>
      </c>
      <c r="AF178" s="1" t="s">
        <v>78</v>
      </c>
      <c r="AG178" s="1" t="s">
        <v>112</v>
      </c>
      <c r="AI178" s="1" t="s">
        <v>704</v>
      </c>
      <c r="AJ178" s="1" t="s">
        <v>118</v>
      </c>
      <c r="AK178" s="1" t="s">
        <v>705</v>
      </c>
      <c r="AL178" s="1" t="s">
        <v>362</v>
      </c>
      <c r="AM178" s="1" t="s">
        <v>84</v>
      </c>
    </row>
    <row r="179">
      <c r="A179" s="1" t="s">
        <v>698</v>
      </c>
      <c r="D179" s="1" t="s">
        <v>706</v>
      </c>
      <c r="E179" t="str">
        <f t="shared" si="20"/>
        <v>0</v>
      </c>
      <c r="F179" t="str">
        <f t="shared" si="21"/>
        <v>Smaers_etal_2017</v>
      </c>
      <c r="G179" t="str">
        <f t="shared" si="22"/>
        <v>Smaers</v>
      </c>
      <c r="H179" t="str">
        <f t="shared" si="23"/>
        <v>etal</v>
      </c>
      <c r="I179" t="str">
        <f t="shared" si="24"/>
        <v>2017</v>
      </c>
      <c r="J179" t="str">
        <f t="shared" si="36"/>
        <v>10.1016%2Fj.cub.2017.01.020</v>
      </c>
      <c r="K179" t="str">
        <f t="shared" si="37"/>
        <v>Smaers_etal_2017_TableS1part2</v>
      </c>
      <c r="L179" t="str">
        <f t="shared" si="26"/>
        <v>10.1016%2Fj.cub.2017.01.020_TableS1part2</v>
      </c>
      <c r="M179" t="str">
        <f t="array" ref="M179">IFERROR(INDEX(FileList!$A$1:$A$100,MATCH(TRUE(),EXACT(L179,_xlfn.TEXTBEFORE(FileList!$A$1:$A$100,".tsv")),0)),"notfound")</f>
        <v>10.1016%2Fj.cub.2017.01.020_TableS1part2.tsv</v>
      </c>
      <c r="N179" s="1" t="s">
        <v>700</v>
      </c>
      <c r="O179" s="1" t="s">
        <v>707</v>
      </c>
      <c r="P179" s="1" t="s">
        <v>41</v>
      </c>
      <c r="V179" s="1" t="s">
        <v>42</v>
      </c>
      <c r="Y179" s="1" t="s">
        <v>702</v>
      </c>
      <c r="Z179" s="1" t="s">
        <v>233</v>
      </c>
      <c r="AC179" s="1" t="s">
        <v>703</v>
      </c>
      <c r="AF179" s="1" t="s">
        <v>78</v>
      </c>
      <c r="AG179" s="1" t="s">
        <v>112</v>
      </c>
      <c r="AI179" s="1" t="s">
        <v>704</v>
      </c>
      <c r="AJ179" s="1" t="s">
        <v>118</v>
      </c>
      <c r="AK179" s="1" t="s">
        <v>705</v>
      </c>
      <c r="AL179" s="1" t="s">
        <v>362</v>
      </c>
      <c r="AM179" s="1" t="s">
        <v>84</v>
      </c>
    </row>
    <row r="180">
      <c r="A180" s="1" t="s">
        <v>708</v>
      </c>
      <c r="D180" s="1" t="s">
        <v>709</v>
      </c>
      <c r="E180" t="str">
        <f t="shared" si="20"/>
        <v>1</v>
      </c>
      <c r="F180" t="str">
        <f t="shared" si="21"/>
        <v>Smaers_etal_2011</v>
      </c>
      <c r="G180" t="str">
        <f t="shared" si="22"/>
        <v>Smaers</v>
      </c>
      <c r="H180" t="str">
        <f t="shared" si="23"/>
        <v>etal</v>
      </c>
      <c r="I180" t="str">
        <f t="shared" si="24"/>
        <v>2011</v>
      </c>
      <c r="J180" t="str">
        <f t="shared" si="36"/>
        <v>10.1159%2F000323671</v>
      </c>
      <c r="K180" t="str">
        <f t="shared" si="37"/>
        <v>Smaers_etal_2011_SupplementaryTable1</v>
      </c>
      <c r="L180" t="str">
        <f t="shared" si="26"/>
        <v>10.1159%2F000323671_SupplementaryTable1</v>
      </c>
      <c r="M180" t="str">
        <f t="array" ref="M180">IFERROR(INDEX(FileList!$A$1:$A$100,MATCH(TRUE(),EXACT(L180,_xlfn.TEXTBEFORE(FileList!$A$1:$A$100,".tsv")),0)),"notfound")</f>
        <v>10.1159%2F000323671_SupplementaryTable1.tsv</v>
      </c>
      <c r="Q180" s="1" t="s">
        <v>132</v>
      </c>
      <c r="V180" s="1" t="s">
        <v>42</v>
      </c>
      <c r="Z180" s="1" t="s">
        <v>233</v>
      </c>
      <c r="AF180" s="1" t="s">
        <v>78</v>
      </c>
      <c r="AG180" s="1" t="s">
        <v>112</v>
      </c>
      <c r="AI180" s="1" t="s">
        <v>710</v>
      </c>
      <c r="AJ180" s="1" t="s">
        <v>118</v>
      </c>
      <c r="AL180" s="1" t="s">
        <v>362</v>
      </c>
      <c r="AM180" s="1" t="s">
        <v>84</v>
      </c>
    </row>
    <row r="181">
      <c r="A181" s="1" t="s">
        <v>708</v>
      </c>
      <c r="D181" s="1" t="s">
        <v>711</v>
      </c>
      <c r="E181" t="str">
        <f t="shared" si="20"/>
        <v>1</v>
      </c>
      <c r="F181" t="str">
        <f t="shared" si="21"/>
        <v>Smaers_etal_2011</v>
      </c>
      <c r="G181" t="str">
        <f t="shared" si="22"/>
        <v>Smaers</v>
      </c>
      <c r="H181" t="str">
        <f t="shared" si="23"/>
        <v>etal</v>
      </c>
      <c r="I181" t="str">
        <f t="shared" si="24"/>
        <v>2011</v>
      </c>
      <c r="J181" t="str">
        <f t="shared" si="36"/>
        <v>10.1159%2F000323671</v>
      </c>
      <c r="K181" t="str">
        <f t="shared" si="37"/>
        <v>Smaers_etal_2011_SupplementaryTable2</v>
      </c>
      <c r="L181" t="str">
        <f t="shared" si="26"/>
        <v>10.1159%2F000323671_SupplementaryTable2</v>
      </c>
      <c r="M181" t="str">
        <f t="array" ref="M181">IFERROR(INDEX(FileList!$A$1:$A$100,MATCH(TRUE(),EXACT(L181,_xlfn.TEXTBEFORE(FileList!$A$1:$A$100,".tsv")),0)),"notfound")</f>
        <v>10.1159%2F000323671_SupplementaryTable2.tsv</v>
      </c>
      <c r="Q181" s="1" t="s">
        <v>132</v>
      </c>
      <c r="V181" s="1" t="s">
        <v>42</v>
      </c>
      <c r="Z181" s="1" t="s">
        <v>233</v>
      </c>
      <c r="AF181" s="1" t="s">
        <v>78</v>
      </c>
      <c r="AG181" s="1" t="s">
        <v>112</v>
      </c>
      <c r="AI181" s="1" t="s">
        <v>710</v>
      </c>
      <c r="AJ181" s="1" t="s">
        <v>118</v>
      </c>
      <c r="AL181" s="1" t="s">
        <v>362</v>
      </c>
      <c r="AM181" s="1" t="s">
        <v>84</v>
      </c>
    </row>
    <row r="182">
      <c r="A182" s="1" t="s">
        <v>712</v>
      </c>
      <c r="C182" s="1" t="s">
        <v>713</v>
      </c>
      <c r="D182" s="1" t="s">
        <v>714</v>
      </c>
      <c r="E182" t="str">
        <f t="shared" si="20"/>
        <v>6</v>
      </c>
      <c r="F182" t="str">
        <f t="shared" si="21"/>
        <v>Smaers_etal_2018</v>
      </c>
      <c r="G182" t="str">
        <f t="shared" si="22"/>
        <v>Smaers</v>
      </c>
      <c r="H182" t="str">
        <f t="shared" si="23"/>
        <v>etal</v>
      </c>
      <c r="I182" t="str">
        <f t="shared" si="24"/>
        <v>2018</v>
      </c>
      <c r="J182" t="str">
        <f t="shared" si="36"/>
        <v>10.7554%2FeLife.35696</v>
      </c>
      <c r="K182" t="str">
        <f t="shared" si="37"/>
        <v>Smaers_etal_2018_Figure2-data1</v>
      </c>
      <c r="L182" t="str">
        <f t="shared" si="26"/>
        <v>10.7554%2FeLife.35696_Figure2-data1</v>
      </c>
      <c r="M182" t="str">
        <f t="array" ref="M182">IFERROR(INDEX(FileList!$A$1:$A$100,MATCH(TRUE(),EXACT(L182,_xlfn.TEXTBEFORE(FileList!$A$1:$A$100,".tsv")),0)),"notfound")</f>
        <v>notfound</v>
      </c>
      <c r="N182" s="1" t="s">
        <v>715</v>
      </c>
      <c r="Z182" s="1" t="s">
        <v>233</v>
      </c>
      <c r="AF182" s="1" t="s">
        <v>78</v>
      </c>
      <c r="AG182" s="1" t="s">
        <v>112</v>
      </c>
      <c r="AI182" s="1" t="s">
        <v>716</v>
      </c>
      <c r="AJ182" s="1" t="s">
        <v>140</v>
      </c>
      <c r="AL182" s="1" t="s">
        <v>362</v>
      </c>
      <c r="AM182" s="1" t="s">
        <v>84</v>
      </c>
    </row>
    <row r="183">
      <c r="A183" s="1" t="s">
        <v>717</v>
      </c>
      <c r="C183" s="1" t="s">
        <v>718</v>
      </c>
      <c r="D183" s="1" t="s">
        <v>75</v>
      </c>
      <c r="E183" t="str">
        <f t="shared" si="20"/>
        <v>3</v>
      </c>
      <c r="F183" t="str">
        <f t="shared" si="21"/>
        <v>Stephan_etal_1982</v>
      </c>
      <c r="G183" t="str">
        <f t="shared" si="22"/>
        <v>Stephan</v>
      </c>
      <c r="H183" t="str">
        <f t="shared" si="23"/>
        <v>etal</v>
      </c>
      <c r="I183" t="str">
        <f t="shared" si="24"/>
        <v>1982</v>
      </c>
      <c r="J183" t="str">
        <f t="shared" si="36"/>
        <v>PMID%3A7161483</v>
      </c>
      <c r="K183" t="str">
        <f t="shared" si="37"/>
        <v>Stephan_etal_1982_Table1</v>
      </c>
      <c r="L183" t="str">
        <f t="shared" si="26"/>
        <v>PMID%3A7161483_Table1</v>
      </c>
      <c r="M183" t="str">
        <f t="array" ref="M183">IFERROR(INDEX(FileList!$A$1:$A$100,MATCH(TRUE(),EXACT(L183,_xlfn.TEXTBEFORE(FileList!$A$1:$A$100,".tsv")),0)),"notfound")</f>
        <v>notfound</v>
      </c>
      <c r="N183" s="1" t="s">
        <v>719</v>
      </c>
      <c r="P183" s="1" t="s">
        <v>41</v>
      </c>
      <c r="V183" s="1" t="s">
        <v>42</v>
      </c>
      <c r="W183" s="1" t="s">
        <v>104</v>
      </c>
      <c r="Y183" s="1" t="s">
        <v>99</v>
      </c>
      <c r="Z183" s="1" t="s">
        <v>99</v>
      </c>
      <c r="AF183" s="1" t="s">
        <v>78</v>
      </c>
      <c r="AG183" s="1" t="s">
        <v>112</v>
      </c>
      <c r="AI183" s="1" t="s">
        <v>720</v>
      </c>
      <c r="AJ183" s="1" t="s">
        <v>101</v>
      </c>
      <c r="AK183" s="1" t="s">
        <v>63</v>
      </c>
      <c r="AL183" s="1" t="s">
        <v>63</v>
      </c>
      <c r="AM183" s="1" t="s">
        <v>84</v>
      </c>
    </row>
    <row r="184">
      <c r="A184" s="1" t="s">
        <v>721</v>
      </c>
      <c r="C184" s="1" t="s">
        <v>722</v>
      </c>
      <c r="D184" s="1" t="s">
        <v>49</v>
      </c>
      <c r="E184" t="str">
        <f t="shared" si="20"/>
        <v>.</v>
      </c>
      <c r="F184" t="str">
        <f t="shared" si="21"/>
        <v>Stephan_etal_1988</v>
      </c>
      <c r="G184" t="str">
        <f t="shared" si="22"/>
        <v>Stephan</v>
      </c>
      <c r="H184" t="str">
        <f t="shared" si="23"/>
        <v>etal</v>
      </c>
      <c r="I184" t="str">
        <f t="shared" si="24"/>
        <v>1988</v>
      </c>
      <c r="J184" t="str">
        <f t="shared" si="36"/>
        <v>ISBN%3A0845140000</v>
      </c>
      <c r="K184" t="str">
        <f t="shared" si="37"/>
        <v>Stephan_etal_1988_TABLE1</v>
      </c>
      <c r="L184" t="str">
        <f t="shared" si="26"/>
        <v>ISBN%3A0845140000_TABLE1</v>
      </c>
      <c r="M184" t="str">
        <f t="array" ref="M184">IFERROR(INDEX(FileList!$A$1:$A$100,MATCH(TRUE(),EXACT(L184,_xlfn.TEXTBEFORE(FileList!$A$1:$A$100,".tsv")),0)),"notfound")</f>
        <v>notfound</v>
      </c>
      <c r="N184" s="1" t="s">
        <v>723</v>
      </c>
    </row>
    <row r="185">
      <c r="A185" s="1" t="s">
        <v>724</v>
      </c>
      <c r="C185" s="1" t="s">
        <v>725</v>
      </c>
      <c r="D185" s="1" t="s">
        <v>49</v>
      </c>
      <c r="E185" t="str">
        <f t="shared" si="20"/>
        <v>s</v>
      </c>
      <c r="F185" t="str">
        <f t="shared" si="21"/>
        <v>Stephan_etal_1970</v>
      </c>
      <c r="G185" t="str">
        <f t="shared" si="22"/>
        <v>Stephan</v>
      </c>
      <c r="H185" t="str">
        <f t="shared" si="23"/>
        <v>etal</v>
      </c>
      <c r="I185" t="str">
        <f t="shared" si="24"/>
        <v>1970</v>
      </c>
      <c r="J185" t="str">
        <f t="shared" si="36"/>
        <v>ISBN%3A0390672505</v>
      </c>
      <c r="K185" t="str">
        <f t="shared" si="37"/>
        <v>Stephan_etal_1970_TABLE1</v>
      </c>
      <c r="L185" t="str">
        <f t="shared" si="26"/>
        <v>ISBN%3A0390672505_TABLE1</v>
      </c>
      <c r="M185" t="str">
        <f t="array" ref="M185">IFERROR(INDEX(FileList!$A$1:$A$100,MATCH(TRUE(),EXACT(L185,_xlfn.TEXTBEFORE(FileList!$A$1:$A$100,".tsv")),0)),"notfound")</f>
        <v>notfound</v>
      </c>
      <c r="N185" s="1" t="s">
        <v>726</v>
      </c>
      <c r="V185" s="1" t="s">
        <v>42</v>
      </c>
      <c r="Z185" s="1" t="s">
        <v>99</v>
      </c>
      <c r="AF185" s="1" t="s">
        <v>78</v>
      </c>
      <c r="AG185" s="1" t="s">
        <v>112</v>
      </c>
      <c r="AJ185" s="1" t="s">
        <v>727</v>
      </c>
      <c r="AL185" s="1" t="s">
        <v>63</v>
      </c>
      <c r="AM185" s="1" t="s">
        <v>84</v>
      </c>
    </row>
    <row r="186">
      <c r="A186" s="1" t="s">
        <v>724</v>
      </c>
      <c r="C186" s="1" t="s">
        <v>725</v>
      </c>
      <c r="D186" s="1" t="s">
        <v>92</v>
      </c>
      <c r="E186" t="str">
        <f t="shared" si="20"/>
        <v>s</v>
      </c>
      <c r="F186" t="str">
        <f t="shared" si="21"/>
        <v>Stephan_etal_1970</v>
      </c>
      <c r="G186" t="str">
        <f t="shared" si="22"/>
        <v>Stephan</v>
      </c>
      <c r="H186" t="str">
        <f t="shared" si="23"/>
        <v>etal</v>
      </c>
      <c r="I186" t="str">
        <f t="shared" si="24"/>
        <v>1970</v>
      </c>
      <c r="J186" t="str">
        <f t="shared" si="36"/>
        <v>ISBN%3A0390672505</v>
      </c>
      <c r="K186" t="str">
        <f t="shared" si="37"/>
        <v>Stephan_etal_1970_TABLE2</v>
      </c>
      <c r="L186" t="str">
        <f t="shared" si="26"/>
        <v>ISBN%3A0390672505_TABLE2</v>
      </c>
      <c r="M186" t="str">
        <f t="array" ref="M186">IFERROR(INDEX(FileList!$A$1:$A$100,MATCH(TRUE(),EXACT(L186,_xlfn.TEXTBEFORE(FileList!$A$1:$A$100,".tsv")),0)),"notfound")</f>
        <v>notfound</v>
      </c>
      <c r="N186" s="1" t="s">
        <v>728</v>
      </c>
      <c r="V186" s="1" t="s">
        <v>42</v>
      </c>
      <c r="Z186" s="1" t="s">
        <v>99</v>
      </c>
      <c r="AF186" s="1" t="s">
        <v>78</v>
      </c>
      <c r="AG186" s="1" t="s">
        <v>112</v>
      </c>
      <c r="AJ186" s="1" t="s">
        <v>118</v>
      </c>
      <c r="AL186" s="1" t="s">
        <v>63</v>
      </c>
      <c r="AM186" s="1" t="s">
        <v>84</v>
      </c>
    </row>
    <row r="187">
      <c r="A187" s="1" t="s">
        <v>724</v>
      </c>
      <c r="C187" s="1" t="s">
        <v>725</v>
      </c>
      <c r="D187" s="1" t="s">
        <v>729</v>
      </c>
      <c r="E187" t="str">
        <f t="shared" si="20"/>
        <v>s</v>
      </c>
      <c r="F187" t="str">
        <f t="shared" si="21"/>
        <v>Stephan_etal_1970</v>
      </c>
      <c r="G187" t="str">
        <f t="shared" si="22"/>
        <v>Stephan</v>
      </c>
      <c r="H187" t="str">
        <f t="shared" si="23"/>
        <v>etal</v>
      </c>
      <c r="I187" t="str">
        <f t="shared" si="24"/>
        <v>1970</v>
      </c>
      <c r="J187" t="str">
        <f t="shared" si="36"/>
        <v>ISBN%3A0390672505</v>
      </c>
      <c r="K187" t="str">
        <f t="shared" si="37"/>
        <v>Stephan_etal_1970_TABLE3</v>
      </c>
      <c r="L187" t="str">
        <f t="shared" si="26"/>
        <v>ISBN%3A0390672505_TABLE3</v>
      </c>
      <c r="M187" t="str">
        <f t="array" ref="M187">IFERROR(INDEX(FileList!$A$1:$A$100,MATCH(TRUE(),EXACT(L187,_xlfn.TEXTBEFORE(FileList!$A$1:$A$100,".tsv")),0)),"notfound")</f>
        <v>notfound</v>
      </c>
      <c r="N187" s="1" t="s">
        <v>730</v>
      </c>
      <c r="V187" s="1" t="s">
        <v>42</v>
      </c>
      <c r="Z187" s="1" t="s">
        <v>99</v>
      </c>
      <c r="AF187" s="1" t="s">
        <v>78</v>
      </c>
      <c r="AG187" s="1" t="s">
        <v>112</v>
      </c>
      <c r="AJ187" s="1" t="s">
        <v>118</v>
      </c>
      <c r="AL187" s="1" t="s">
        <v>63</v>
      </c>
      <c r="AM187" s="1" t="s">
        <v>84</v>
      </c>
    </row>
    <row r="188">
      <c r="A188" s="1" t="s">
        <v>724</v>
      </c>
      <c r="C188" s="1" t="s">
        <v>725</v>
      </c>
      <c r="D188" s="1" t="s">
        <v>731</v>
      </c>
      <c r="E188" t="str">
        <f t="shared" si="20"/>
        <v>s</v>
      </c>
      <c r="F188" t="str">
        <f t="shared" si="21"/>
        <v>Stephan_etal_1970</v>
      </c>
      <c r="G188" t="str">
        <f t="shared" si="22"/>
        <v>Stephan</v>
      </c>
      <c r="H188" t="str">
        <f t="shared" si="23"/>
        <v>etal</v>
      </c>
      <c r="I188" t="str">
        <f t="shared" si="24"/>
        <v>1970</v>
      </c>
      <c r="J188" t="str">
        <f t="shared" ref="J188:J222" si="38">_xlfn.LET(
_xlpm.doi,IF(C188&lt;&gt;"",C188,_xlfn.TEXTAFTER(A188,"https://doi.org/")),
SUBSTITUTE(
SUBSTITUTE(
SUBSTITUTE(
SUBSTITUTE(
_xlpm.doi,
"/","%2F"),
":","%3A"),
"&lt;","%3C"),
"&gt;","%3E")
)</f>
        <v>ISBN%3A0390672505</v>
      </c>
      <c r="K188" t="str">
        <f t="shared" si="37"/>
        <v>Stephan_etal_1970_TABLE4</v>
      </c>
      <c r="L188" t="str">
        <f t="shared" si="26"/>
        <v>ISBN%3A0390672505_TABLE4</v>
      </c>
      <c r="M188" t="str">
        <f t="array" ref="M188">IFERROR(INDEX(FileList!$A$1:$A$100,MATCH(TRUE(),EXACT(L188,_xlfn.TEXTBEFORE(FileList!$A$1:$A$100,".tsv")),0)),"notfound")</f>
        <v>notfound</v>
      </c>
      <c r="N188" s="1" t="s">
        <v>732</v>
      </c>
      <c r="V188" s="1" t="s">
        <v>42</v>
      </c>
      <c r="Z188" s="1" t="s">
        <v>99</v>
      </c>
      <c r="AF188" s="1" t="s">
        <v>78</v>
      </c>
      <c r="AG188" s="1" t="s">
        <v>112</v>
      </c>
      <c r="AJ188" s="1" t="s">
        <v>727</v>
      </c>
      <c r="AL188" s="1" t="s">
        <v>63</v>
      </c>
      <c r="AM188" s="1" t="s">
        <v>84</v>
      </c>
    </row>
    <row r="189">
      <c r="A189" s="1" t="s">
        <v>724</v>
      </c>
      <c r="C189" s="1" t="s">
        <v>725</v>
      </c>
      <c r="D189" s="1" t="s">
        <v>733</v>
      </c>
      <c r="E189" t="str">
        <f t="shared" si="20"/>
        <v>s</v>
      </c>
      <c r="F189" t="str">
        <f t="shared" si="21"/>
        <v>Stephan_etal_1970</v>
      </c>
      <c r="G189" t="str">
        <f t="shared" si="22"/>
        <v>Stephan</v>
      </c>
      <c r="H189" t="str">
        <f t="shared" si="23"/>
        <v>etal</v>
      </c>
      <c r="I189" t="str">
        <f t="shared" si="24"/>
        <v>1970</v>
      </c>
      <c r="J189" t="str">
        <f t="shared" si="38"/>
        <v>ISBN%3A0390672505</v>
      </c>
      <c r="K189" t="str">
        <f t="shared" si="37"/>
        <v>Stephan_etal_1970_TABLE5</v>
      </c>
      <c r="L189" t="str">
        <f t="shared" si="26"/>
        <v>ISBN%3A0390672505_TABLE5</v>
      </c>
      <c r="M189" t="str">
        <f t="array" ref="M189">IFERROR(INDEX(FileList!$A$1:$A$100,MATCH(TRUE(),EXACT(L189,_xlfn.TEXTBEFORE(FileList!$A$1:$A$100,".tsv")),0)),"notfound")</f>
        <v>notfound</v>
      </c>
      <c r="N189" s="1" t="s">
        <v>734</v>
      </c>
      <c r="V189" s="1" t="s">
        <v>42</v>
      </c>
      <c r="Z189" s="1" t="s">
        <v>99</v>
      </c>
      <c r="AF189" s="1" t="s">
        <v>78</v>
      </c>
      <c r="AG189" s="1" t="s">
        <v>112</v>
      </c>
      <c r="AJ189" s="1" t="s">
        <v>118</v>
      </c>
      <c r="AL189" s="1" t="s">
        <v>63</v>
      </c>
      <c r="AM189" s="1" t="s">
        <v>84</v>
      </c>
    </row>
    <row r="190">
      <c r="A190" s="1" t="s">
        <v>724</v>
      </c>
      <c r="C190" s="1" t="s">
        <v>725</v>
      </c>
      <c r="D190" s="1" t="s">
        <v>735</v>
      </c>
      <c r="E190" t="str">
        <f t="shared" si="20"/>
        <v>s</v>
      </c>
      <c r="F190" t="str">
        <f t="shared" si="21"/>
        <v>Stephan_etal_1970</v>
      </c>
      <c r="G190" t="str">
        <f t="shared" si="22"/>
        <v>Stephan</v>
      </c>
      <c r="H190" t="str">
        <f t="shared" si="23"/>
        <v>etal</v>
      </c>
      <c r="I190" t="str">
        <f t="shared" si="24"/>
        <v>1970</v>
      </c>
      <c r="J190" t="str">
        <f t="shared" si="38"/>
        <v>ISBN%3A0390672505</v>
      </c>
      <c r="K190" t="str">
        <f t="shared" si="37"/>
        <v>Stephan_etal_1970_TABLE6</v>
      </c>
      <c r="L190" t="str">
        <f t="shared" si="26"/>
        <v>ISBN%3A0390672505_TABLE6</v>
      </c>
      <c r="M190" t="str">
        <f t="array" ref="M190">IFERROR(INDEX(FileList!$A$1:$A$100,MATCH(TRUE(),EXACT(L190,_xlfn.TEXTBEFORE(FileList!$A$1:$A$100,".tsv")),0)),"notfound")</f>
        <v>notfound</v>
      </c>
      <c r="N190" s="1" t="s">
        <v>736</v>
      </c>
      <c r="V190" s="1" t="s">
        <v>42</v>
      </c>
      <c r="Z190" s="1" t="s">
        <v>99</v>
      </c>
      <c r="AF190" s="1" t="s">
        <v>78</v>
      </c>
      <c r="AG190" s="1" t="s">
        <v>112</v>
      </c>
      <c r="AJ190" s="1" t="s">
        <v>118</v>
      </c>
      <c r="AL190" s="1" t="s">
        <v>63</v>
      </c>
      <c r="AM190" s="1" t="s">
        <v>84</v>
      </c>
    </row>
    <row r="191">
      <c r="A191" s="1" t="s">
        <v>724</v>
      </c>
      <c r="C191" s="1" t="s">
        <v>725</v>
      </c>
      <c r="D191" s="1" t="s">
        <v>737</v>
      </c>
      <c r="E191" t="str">
        <f t="shared" si="20"/>
        <v>s</v>
      </c>
      <c r="F191" t="str">
        <f t="shared" si="21"/>
        <v>Stephan_etal_1970</v>
      </c>
      <c r="G191" t="str">
        <f t="shared" si="22"/>
        <v>Stephan</v>
      </c>
      <c r="H191" t="str">
        <f t="shared" si="23"/>
        <v>etal</v>
      </c>
      <c r="I191" t="str">
        <f t="shared" si="24"/>
        <v>1970</v>
      </c>
      <c r="J191" t="str">
        <f t="shared" si="38"/>
        <v>ISBN%3A0390672505</v>
      </c>
      <c r="K191" t="str">
        <f t="shared" si="37"/>
        <v>Stephan_etal_1970_Tables1-6</v>
      </c>
      <c r="L191" t="str">
        <f t="shared" si="26"/>
        <v>ISBN%3A0390672505_Tables1-6</v>
      </c>
      <c r="M191" t="str">
        <f t="array" ref="M191">IFERROR(INDEX(FileList!$A$1:$A$100,MATCH(TRUE(),EXACT(L191,_xlfn.TEXTBEFORE(FileList!$A$1:$A$100,".tsv")),0)),"notfound")</f>
        <v>notfound</v>
      </c>
      <c r="O191" s="1" t="s">
        <v>738</v>
      </c>
      <c r="P191" s="1" t="s">
        <v>41</v>
      </c>
      <c r="V191" s="1" t="s">
        <v>688</v>
      </c>
      <c r="Y191" s="1" t="s">
        <v>99</v>
      </c>
      <c r="Z191" s="1" t="s">
        <v>99</v>
      </c>
      <c r="AF191" s="1" t="s">
        <v>78</v>
      </c>
      <c r="AG191" s="1" t="s">
        <v>112</v>
      </c>
      <c r="AJ191" s="1" t="s">
        <v>101</v>
      </c>
      <c r="AL191" s="1" t="s">
        <v>63</v>
      </c>
      <c r="AM191" s="1" t="s">
        <v>84</v>
      </c>
    </row>
    <row r="192">
      <c r="A192" s="1" t="s">
        <v>739</v>
      </c>
      <c r="C192" s="1" t="s">
        <v>740</v>
      </c>
      <c r="D192" s="1" t="s">
        <v>75</v>
      </c>
      <c r="E192" t="str">
        <f t="shared" si="20"/>
        <v>4</v>
      </c>
      <c r="F192" t="str">
        <f t="shared" si="21"/>
        <v>Stephan_etal_1984</v>
      </c>
      <c r="G192" t="str">
        <f t="shared" si="22"/>
        <v>Stephan</v>
      </c>
      <c r="H192" t="str">
        <f t="shared" si="23"/>
        <v>etal</v>
      </c>
      <c r="I192" t="str">
        <f t="shared" si="24"/>
        <v>1984</v>
      </c>
      <c r="J192" t="str">
        <f t="shared" si="38"/>
        <v>PMID%3A6481154</v>
      </c>
      <c r="K192" t="str">
        <f t="shared" si="37"/>
        <v>Stephan_etal_1984_Table1</v>
      </c>
      <c r="L192" t="str">
        <f t="shared" si="26"/>
        <v>PMID%3A6481154_Table1</v>
      </c>
      <c r="M192" t="str">
        <f t="array" ref="M192">IFERROR(INDEX(FileList!$A$1:$A$100,MATCH(TRUE(),EXACT(L192,_xlfn.TEXTBEFORE(FileList!$A$1:$A$100,".tsv")),0)),"notfound")</f>
        <v>notfound</v>
      </c>
      <c r="N192" s="1" t="s">
        <v>741</v>
      </c>
      <c r="P192" s="1" t="s">
        <v>41</v>
      </c>
      <c r="V192" s="1" t="s">
        <v>42</v>
      </c>
      <c r="W192" s="1" t="s">
        <v>104</v>
      </c>
      <c r="Y192" s="1" t="s">
        <v>99</v>
      </c>
      <c r="Z192" s="1" t="s">
        <v>99</v>
      </c>
      <c r="AF192" s="1" t="s">
        <v>78</v>
      </c>
      <c r="AG192" s="1" t="s">
        <v>112</v>
      </c>
      <c r="AI192" s="1" t="s">
        <v>742</v>
      </c>
      <c r="AJ192" s="1" t="s">
        <v>101</v>
      </c>
      <c r="AK192" s="1" t="s">
        <v>63</v>
      </c>
      <c r="AL192" s="1" t="s">
        <v>63</v>
      </c>
      <c r="AM192" s="1" t="s">
        <v>84</v>
      </c>
    </row>
    <row r="193">
      <c r="A193" s="1" t="s">
        <v>743</v>
      </c>
      <c r="C193" s="4" t="s">
        <v>744</v>
      </c>
      <c r="D193" s="1" t="s">
        <v>75</v>
      </c>
      <c r="E193" t="str">
        <f t="shared" si="20"/>
        <v>5</v>
      </c>
      <c r="F193" t="str">
        <f t="shared" si="21"/>
        <v>Stephan_etal_1987</v>
      </c>
      <c r="G193" t="str">
        <f t="shared" si="22"/>
        <v>Stephan</v>
      </c>
      <c r="H193" t="str">
        <f t="shared" si="23"/>
        <v>etal</v>
      </c>
      <c r="I193" t="str">
        <f t="shared" si="24"/>
        <v>1987</v>
      </c>
      <c r="J193" t="str">
        <f t="shared" si="38"/>
        <v>PMID%3A3693895</v>
      </c>
      <c r="K193" t="str">
        <f t="shared" si="37"/>
        <v>Stephan_etal_1987_Table1</v>
      </c>
      <c r="L193" t="str">
        <f t="shared" si="26"/>
        <v>PMID%3A3693895_Table1</v>
      </c>
      <c r="M193" t="str">
        <f t="array" ref="M193">IFERROR(INDEX(FileList!$A$1:$A$100,MATCH(TRUE(),EXACT(L193,_xlfn.TEXTBEFORE(FileList!$A$1:$A$100,".tsv")),0)),"notfound")</f>
        <v>notfound</v>
      </c>
      <c r="N193" s="1" t="s">
        <v>745</v>
      </c>
      <c r="P193" s="1" t="s">
        <v>41</v>
      </c>
      <c r="V193" s="1" t="s">
        <v>42</v>
      </c>
      <c r="W193" s="1" t="s">
        <v>104</v>
      </c>
      <c r="Y193" s="1" t="s">
        <v>99</v>
      </c>
      <c r="Z193" s="1" t="s">
        <v>99</v>
      </c>
      <c r="AF193" s="1" t="s">
        <v>78</v>
      </c>
      <c r="AG193" s="1" t="s">
        <v>112</v>
      </c>
      <c r="AI193" s="1" t="s">
        <v>746</v>
      </c>
      <c r="AJ193" s="1" t="s">
        <v>101</v>
      </c>
      <c r="AK193" s="1" t="s">
        <v>63</v>
      </c>
      <c r="AL193" s="1" t="s">
        <v>63</v>
      </c>
      <c r="AM193" s="1" t="s">
        <v>84</v>
      </c>
    </row>
    <row r="194">
      <c r="A194" s="1" t="s">
        <v>747</v>
      </c>
      <c r="D194" s="1" t="s">
        <v>353</v>
      </c>
      <c r="E194" t="str">
        <f t="shared" si="20"/>
        <v>3</v>
      </c>
      <c r="F194" t="str">
        <f t="shared" si="21"/>
        <v>Stephan_etal_1981</v>
      </c>
      <c r="G194" t="str">
        <f t="shared" si="22"/>
        <v>Stephan</v>
      </c>
      <c r="H194" t="str">
        <f t="shared" si="23"/>
        <v>etal</v>
      </c>
      <c r="I194" t="str">
        <f t="shared" si="24"/>
        <v>1981</v>
      </c>
      <c r="J194" t="str">
        <f t="shared" si="38"/>
        <v>10.1159%2F000155963</v>
      </c>
      <c r="K194" t="str">
        <f t="shared" si="37"/>
        <v>Stephan_etal_1981_TableI</v>
      </c>
      <c r="L194" t="str">
        <f t="shared" si="26"/>
        <v>10.1159%2F000155963_TableI</v>
      </c>
      <c r="M194" t="str">
        <f t="array" ref="M194">IFERROR(INDEX(FileList!$A$1:$A$100,MATCH(TRUE(),EXACT(L194,_xlfn.TEXTBEFORE(FileList!$A$1:$A$100,".tsv")),0)),"notfound")</f>
        <v>10.1159%2F000155963_TableI.tsv</v>
      </c>
      <c r="N194" s="1" t="s">
        <v>748</v>
      </c>
      <c r="V194" s="1" t="s">
        <v>42</v>
      </c>
      <c r="Y194" s="1" t="s">
        <v>99</v>
      </c>
      <c r="Z194" s="1" t="s">
        <v>99</v>
      </c>
      <c r="AF194" s="1" t="s">
        <v>78</v>
      </c>
      <c r="AG194" s="1" t="s">
        <v>112</v>
      </c>
      <c r="AI194" s="1" t="s">
        <v>749</v>
      </c>
      <c r="AJ194" s="1" t="s">
        <v>101</v>
      </c>
      <c r="AK194" s="1" t="s">
        <v>63</v>
      </c>
      <c r="AL194" s="1" t="s">
        <v>63</v>
      </c>
      <c r="AM194" s="1" t="s">
        <v>84</v>
      </c>
    </row>
    <row r="195">
      <c r="A195" s="1" t="s">
        <v>747</v>
      </c>
      <c r="D195" s="1" t="s">
        <v>750</v>
      </c>
      <c r="E195" t="str">
        <f t="shared" ref="E195:E222" si="39">RIGHT(A195,1)</f>
        <v>3</v>
      </c>
      <c r="F195" t="str">
        <f t="shared" ref="F195:F258" si="40">G195 &amp; IF(H195&lt;&gt;"", "_" &amp; H195, "_") &amp; IF(I195&lt;&gt;"", "_" &amp; I195, "_") &amp; IF(B195&lt;&gt;"", "_" &amp; B195, "")</f>
        <v>Stephan_etal_1981</v>
      </c>
      <c r="G195" t="str">
        <f t="shared" ref="G195:G222" si="41">SUBSTITUTE(SUBSTITUTE(_xlfn.TEXTBEFORE(A195,","), "-", ""), " ", "")</f>
        <v>Stephan</v>
      </c>
      <c r="H195" t="str">
        <f t="shared" ref="H195:H258" si="42">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etal</v>
      </c>
      <c r="I195" t="str">
        <f t="shared" ref="I195:I222" si="43">_xlfn.TEXTBEFORE(_xlfn.TEXTAFTER(A195, "("), ")")</f>
        <v>1981</v>
      </c>
      <c r="J195" t="str">
        <f t="shared" si="38"/>
        <v>10.1159%2F000155963</v>
      </c>
      <c r="K195" t="str">
        <f t="shared" si="37"/>
        <v>Stephan_etal_1981_TableII</v>
      </c>
      <c r="L195" t="str">
        <f t="shared" ref="L195:L222" si="44">J195 &amp; "_" &amp; SUBSTITUTE(SUBSTITUTE(SUBSTITUTE(D195,CHAR(160),"")," ",""),"_","")</f>
        <v>10.1159%2F000155963_TableII</v>
      </c>
      <c r="M195" t="str">
        <f t="array" ref="M195">IFERROR(INDEX(FileList!$A$1:$A$100,MATCH(TRUE(),EXACT(L195,_xlfn.TEXTBEFORE(FileList!$A$1:$A$100,".tsv")),0)),"notfound")</f>
        <v>10.1159%2F000155963_TableII.tsv</v>
      </c>
      <c r="N195" s="1" t="s">
        <v>751</v>
      </c>
      <c r="V195" s="1" t="s">
        <v>42</v>
      </c>
      <c r="Y195" s="1" t="s">
        <v>99</v>
      </c>
      <c r="Z195" s="1" t="s">
        <v>99</v>
      </c>
      <c r="AF195" s="1" t="s">
        <v>78</v>
      </c>
      <c r="AG195" s="1" t="s">
        <v>112</v>
      </c>
      <c r="AI195" s="1" t="s">
        <v>749</v>
      </c>
      <c r="AJ195" s="1" t="s">
        <v>101</v>
      </c>
      <c r="AK195" s="1" t="s">
        <v>63</v>
      </c>
      <c r="AL195" s="1" t="s">
        <v>63</v>
      </c>
      <c r="AM195" s="1" t="s">
        <v>84</v>
      </c>
    </row>
    <row r="196">
      <c r="A196" s="1" t="s">
        <v>747</v>
      </c>
      <c r="D196" s="1" t="s">
        <v>752</v>
      </c>
      <c r="E196" t="str">
        <f t="shared" si="39"/>
        <v>3</v>
      </c>
      <c r="F196" t="str">
        <f t="shared" si="40"/>
        <v>Stephan_etal_1981</v>
      </c>
      <c r="G196" t="str">
        <f t="shared" si="41"/>
        <v>Stephan</v>
      </c>
      <c r="H196" t="str">
        <f t="shared" si="42"/>
        <v>etal</v>
      </c>
      <c r="I196" t="str">
        <f t="shared" si="43"/>
        <v>1981</v>
      </c>
      <c r="J196" t="str">
        <f t="shared" si="38"/>
        <v>10.1159%2F000155963</v>
      </c>
      <c r="K196" t="str">
        <f t="shared" si="37"/>
        <v>Stephan_etal_1981_TableIII</v>
      </c>
      <c r="L196" t="str">
        <f t="shared" si="44"/>
        <v>10.1159%2F000155963_TableIII</v>
      </c>
      <c r="M196" t="str">
        <f t="array" ref="M196">IFERROR(INDEX(FileList!$A$1:$A$100,MATCH(TRUE(),EXACT(L196,_xlfn.TEXTBEFORE(FileList!$A$1:$A$100,".tsv")),0)),"notfound")</f>
        <v>10.1159%2F000155963_TableIII.tsv</v>
      </c>
      <c r="N196" s="1" t="s">
        <v>753</v>
      </c>
      <c r="V196" s="1" t="s">
        <v>42</v>
      </c>
      <c r="Y196" s="1" t="s">
        <v>99</v>
      </c>
      <c r="Z196" s="1" t="s">
        <v>99</v>
      </c>
      <c r="AF196" s="1" t="s">
        <v>78</v>
      </c>
      <c r="AG196" s="1" t="s">
        <v>112</v>
      </c>
      <c r="AI196" s="1" t="s">
        <v>749</v>
      </c>
      <c r="AJ196" s="1" t="s">
        <v>101</v>
      </c>
      <c r="AK196" s="1" t="s">
        <v>63</v>
      </c>
      <c r="AL196" s="1" t="s">
        <v>63</v>
      </c>
      <c r="AM196" s="1" t="s">
        <v>84</v>
      </c>
    </row>
    <row r="197">
      <c r="A197" s="1" t="s">
        <v>747</v>
      </c>
      <c r="D197" s="1" t="s">
        <v>754</v>
      </c>
      <c r="E197" t="str">
        <f t="shared" si="39"/>
        <v>3</v>
      </c>
      <c r="F197" t="str">
        <f t="shared" si="40"/>
        <v>Stephan_etal_1981</v>
      </c>
      <c r="G197" t="str">
        <f t="shared" si="41"/>
        <v>Stephan</v>
      </c>
      <c r="H197" t="str">
        <f t="shared" si="42"/>
        <v>etal</v>
      </c>
      <c r="I197" t="str">
        <f t="shared" si="43"/>
        <v>1981</v>
      </c>
      <c r="J197" t="str">
        <f t="shared" si="38"/>
        <v>10.1159%2F000155963</v>
      </c>
      <c r="K197" t="str">
        <f t="shared" si="37"/>
        <v>Stephan_etal_1981_TableIV</v>
      </c>
      <c r="L197" t="str">
        <f t="shared" si="44"/>
        <v>10.1159%2F000155963_TableIV</v>
      </c>
      <c r="M197" t="str">
        <f t="array" ref="M197">IFERROR(INDEX(FileList!$A$1:$A$100,MATCH(TRUE(),EXACT(L197,_xlfn.TEXTBEFORE(FileList!$A$1:$A$100,".tsv")),0)),"notfound")</f>
        <v>10.1159%2F000155963_TableIV.tsv</v>
      </c>
      <c r="N197" s="1" t="s">
        <v>755</v>
      </c>
      <c r="V197" s="1" t="s">
        <v>42</v>
      </c>
      <c r="Y197" s="1" t="s">
        <v>99</v>
      </c>
      <c r="Z197" s="1" t="s">
        <v>99</v>
      </c>
      <c r="AF197" s="1" t="s">
        <v>78</v>
      </c>
      <c r="AG197" s="1" t="s">
        <v>112</v>
      </c>
      <c r="AI197" s="1" t="s">
        <v>749</v>
      </c>
      <c r="AJ197" s="1" t="s">
        <v>101</v>
      </c>
      <c r="AK197" s="1" t="s">
        <v>63</v>
      </c>
      <c r="AL197" s="1" t="s">
        <v>63</v>
      </c>
      <c r="AM197" s="1" t="s">
        <v>84</v>
      </c>
    </row>
    <row r="198">
      <c r="A198" s="1" t="s">
        <v>747</v>
      </c>
      <c r="D198" s="1" t="s">
        <v>756</v>
      </c>
      <c r="E198" t="str">
        <f t="shared" si="39"/>
        <v>3</v>
      </c>
      <c r="F198" t="str">
        <f t="shared" si="40"/>
        <v>Stephan_etal_1981</v>
      </c>
      <c r="G198" t="str">
        <f t="shared" si="41"/>
        <v>Stephan</v>
      </c>
      <c r="H198" t="str">
        <f t="shared" si="42"/>
        <v>etal</v>
      </c>
      <c r="I198" t="str">
        <f t="shared" si="43"/>
        <v>1981</v>
      </c>
      <c r="J198" t="str">
        <f t="shared" si="38"/>
        <v>10.1159%2F000155963</v>
      </c>
      <c r="K198" t="str">
        <f t="shared" si="37"/>
        <v>Stephan_etal_1981_TableV</v>
      </c>
      <c r="L198" t="str">
        <f t="shared" si="44"/>
        <v>10.1159%2F000155963_TableV</v>
      </c>
      <c r="M198" t="str">
        <f t="array" ref="M198">IFERROR(INDEX(FileList!$A$1:$A$100,MATCH(TRUE(),EXACT(L198,_xlfn.TEXTBEFORE(FileList!$A$1:$A$100,".tsv")),0)),"notfound")</f>
        <v>10.1159%2F000155963_TableV.tsv</v>
      </c>
      <c r="N198" s="1" t="s">
        <v>757</v>
      </c>
      <c r="V198" s="1" t="s">
        <v>42</v>
      </c>
      <c r="Y198" s="1" t="s">
        <v>99</v>
      </c>
      <c r="Z198" s="1" t="s">
        <v>99</v>
      </c>
      <c r="AF198" s="1" t="s">
        <v>78</v>
      </c>
      <c r="AG198" s="1" t="s">
        <v>112</v>
      </c>
      <c r="AI198" s="1" t="s">
        <v>749</v>
      </c>
      <c r="AJ198" s="1" t="s">
        <v>101</v>
      </c>
      <c r="AK198" s="1" t="s">
        <v>63</v>
      </c>
      <c r="AL198" s="1" t="s">
        <v>63</v>
      </c>
      <c r="AM198" s="1" t="s">
        <v>84</v>
      </c>
    </row>
    <row r="199">
      <c r="A199" s="1" t="s">
        <v>747</v>
      </c>
      <c r="D199" s="1" t="s">
        <v>758</v>
      </c>
      <c r="E199" t="str">
        <f t="shared" si="39"/>
        <v>3</v>
      </c>
      <c r="F199" t="str">
        <f t="shared" si="40"/>
        <v>Stephan_etal_1981</v>
      </c>
      <c r="G199" t="str">
        <f t="shared" si="41"/>
        <v>Stephan</v>
      </c>
      <c r="H199" t="str">
        <f t="shared" si="42"/>
        <v>etal</v>
      </c>
      <c r="I199" t="str">
        <f t="shared" si="43"/>
        <v>1981</v>
      </c>
      <c r="J199" t="str">
        <f t="shared" si="38"/>
        <v>10.1159%2F000155963</v>
      </c>
      <c r="K199" t="str">
        <f t="shared" si="37"/>
        <v>Stephan_etal_1981_TableVI</v>
      </c>
      <c r="L199" t="str">
        <f t="shared" si="44"/>
        <v>10.1159%2F000155963_TableVI</v>
      </c>
      <c r="M199" t="str">
        <f t="array" ref="M199">IFERROR(INDEX(FileList!$A$1:$A$100,MATCH(TRUE(),EXACT(L199,_xlfn.TEXTBEFORE(FileList!$A$1:$A$100,".tsv")),0)),"notfound")</f>
        <v>10.1159%2F000155963_TableVI.tsv</v>
      </c>
      <c r="N199" s="1" t="s">
        <v>759</v>
      </c>
      <c r="V199" s="1" t="s">
        <v>42</v>
      </c>
      <c r="Y199" s="1" t="s">
        <v>99</v>
      </c>
      <c r="Z199" s="1" t="s">
        <v>99</v>
      </c>
      <c r="AF199" s="1" t="s">
        <v>78</v>
      </c>
      <c r="AG199" s="1" t="s">
        <v>112</v>
      </c>
      <c r="AI199" s="1" t="s">
        <v>749</v>
      </c>
      <c r="AJ199" s="1" t="s">
        <v>101</v>
      </c>
      <c r="AK199" s="1" t="s">
        <v>63</v>
      </c>
      <c r="AL199" s="1" t="s">
        <v>63</v>
      </c>
      <c r="AM199" s="1" t="s">
        <v>84</v>
      </c>
    </row>
    <row r="200">
      <c r="A200" s="1" t="s">
        <v>747</v>
      </c>
      <c r="C200" s="7"/>
      <c r="D200" s="1" t="s">
        <v>760</v>
      </c>
      <c r="E200" t="str">
        <f t="shared" si="39"/>
        <v>3</v>
      </c>
      <c r="F200" t="str">
        <f t="shared" si="40"/>
        <v>Stephan_etal_1981</v>
      </c>
      <c r="G200" t="str">
        <f t="shared" si="41"/>
        <v>Stephan</v>
      </c>
      <c r="H200" t="str">
        <f t="shared" si="42"/>
        <v>etal</v>
      </c>
      <c r="I200" t="str">
        <f t="shared" si="43"/>
        <v>1981</v>
      </c>
      <c r="J200" t="str">
        <f t="shared" si="38"/>
        <v>10.1159%2F000155963</v>
      </c>
      <c r="K200" t="str">
        <f t="shared" si="37"/>
        <v>Stephan_etal_1981_TableVII</v>
      </c>
      <c r="L200" t="str">
        <f t="shared" si="44"/>
        <v>10.1159%2F000155963_TableVII</v>
      </c>
      <c r="M200" t="str">
        <f t="array" ref="M200">IFERROR(INDEX(FileList!$A$1:$A$100,MATCH(TRUE(),EXACT(L200,_xlfn.TEXTBEFORE(FileList!$A$1:$A$100,".tsv")),0)),"notfound")</f>
        <v>10.1159%2F000155963_TableVII.tsv</v>
      </c>
      <c r="N200" s="1" t="s">
        <v>761</v>
      </c>
      <c r="V200" s="1" t="s">
        <v>42</v>
      </c>
      <c r="Y200" s="1" t="s">
        <v>99</v>
      </c>
      <c r="Z200" s="1" t="s">
        <v>99</v>
      </c>
      <c r="AF200" s="1" t="s">
        <v>78</v>
      </c>
      <c r="AG200" s="1" t="s">
        <v>112</v>
      </c>
      <c r="AI200" s="1" t="s">
        <v>749</v>
      </c>
      <c r="AJ200" s="1" t="s">
        <v>101</v>
      </c>
      <c r="AK200" s="1" t="s">
        <v>63</v>
      </c>
      <c r="AL200" s="1" t="s">
        <v>63</v>
      </c>
      <c r="AM200" s="1" t="s">
        <v>84</v>
      </c>
    </row>
    <row r="201">
      <c r="A201" s="1" t="s">
        <v>762</v>
      </c>
      <c r="C201" s="7"/>
      <c r="D201" s="1" t="s">
        <v>763</v>
      </c>
      <c r="E201" t="str">
        <f t="shared" si="39"/>
        <v>4</v>
      </c>
      <c r="F201" t="str">
        <f t="shared" si="40"/>
        <v>Stephan_etal_1981</v>
      </c>
      <c r="G201" t="str">
        <f t="shared" si="41"/>
        <v>Stephan</v>
      </c>
      <c r="H201" t="str">
        <f t="shared" si="42"/>
        <v>etal</v>
      </c>
      <c r="I201" t="str">
        <f t="shared" si="43"/>
        <v>1981</v>
      </c>
      <c r="J201" t="str">
        <f t="shared" si="38"/>
        <v>10.1159%2F000155964</v>
      </c>
      <c r="K201" t="str">
        <f t="shared" si="37"/>
        <v>Stephan_etal_1981_TableVIII</v>
      </c>
      <c r="L201" t="str">
        <f t="shared" si="44"/>
        <v>10.1159%2F000155964_TableVIII</v>
      </c>
      <c r="M201" t="str">
        <f t="array" ref="M201">IFERROR(INDEX(FileList!$A$1:$A$100,MATCH(TRUE(),EXACT(L201,_xlfn.TEXTBEFORE(FileList!$A$1:$A$100,".tsv")),0)),"notfound")</f>
        <v>notfound</v>
      </c>
      <c r="N201" s="1" t="s">
        <v>764</v>
      </c>
    </row>
    <row r="202">
      <c r="A202" s="1" t="s">
        <v>765</v>
      </c>
      <c r="C202" s="7"/>
      <c r="D202" s="1" t="s">
        <v>766</v>
      </c>
      <c r="E202" t="str">
        <f t="shared" si="39"/>
        <v>5</v>
      </c>
      <c r="F202" t="str">
        <f t="shared" si="40"/>
        <v>Stephan_etal_1981</v>
      </c>
      <c r="G202" t="str">
        <f t="shared" si="41"/>
        <v>Stephan</v>
      </c>
      <c r="H202" t="str">
        <f t="shared" si="42"/>
        <v>etal</v>
      </c>
      <c r="I202" t="str">
        <f t="shared" si="43"/>
        <v>1981</v>
      </c>
      <c r="J202" t="str">
        <f t="shared" si="38"/>
        <v>10.1159%2F000155965</v>
      </c>
      <c r="K202" t="str">
        <f t="shared" si="37"/>
        <v>Stephan_etal_1981_TableIX</v>
      </c>
      <c r="L202" t="str">
        <f t="shared" si="44"/>
        <v>10.1159%2F000155965_TableIX</v>
      </c>
      <c r="M202" t="str">
        <f t="array" ref="M202">IFERROR(INDEX(FileList!$A$1:$A$100,MATCH(TRUE(),EXACT(L202,_xlfn.TEXTBEFORE(FileList!$A$1:$A$100,".tsv")),0)),"notfound")</f>
        <v>notfound</v>
      </c>
      <c r="N202" s="1" t="s">
        <v>767</v>
      </c>
    </row>
    <row r="203">
      <c r="A203" s="1" t="s">
        <v>768</v>
      </c>
      <c r="C203" s="7"/>
      <c r="D203" s="1" t="s">
        <v>769</v>
      </c>
      <c r="E203" t="str">
        <f t="shared" si="39"/>
        <v>6</v>
      </c>
      <c r="F203" t="str">
        <f t="shared" si="40"/>
        <v>Stephan_etal_1981</v>
      </c>
      <c r="G203" t="str">
        <f t="shared" si="41"/>
        <v>Stephan</v>
      </c>
      <c r="H203" t="str">
        <f t="shared" si="42"/>
        <v>etal</v>
      </c>
      <c r="I203" t="str">
        <f t="shared" si="43"/>
        <v>1981</v>
      </c>
      <c r="J203" t="str">
        <f t="shared" si="38"/>
        <v>10.1159%2F000155966</v>
      </c>
      <c r="K203" t="str">
        <f t="shared" si="37"/>
        <v>Stephan_etal_1981_TableX</v>
      </c>
      <c r="L203" t="str">
        <f t="shared" si="44"/>
        <v>10.1159%2F000155966_TableX</v>
      </c>
      <c r="M203" t="str">
        <f t="array" ref="M203">IFERROR(INDEX(FileList!$A$1:$A$100,MATCH(TRUE(),EXACT(L203,_xlfn.TEXTBEFORE(FileList!$A$1:$A$100,".tsv")),0)),"notfound")</f>
        <v>notfound</v>
      </c>
      <c r="N203" s="1" t="s">
        <v>770</v>
      </c>
    </row>
    <row r="204">
      <c r="A204" s="1" t="s">
        <v>747</v>
      </c>
      <c r="D204" s="1" t="s">
        <v>771</v>
      </c>
      <c r="E204" t="str">
        <f t="shared" si="39"/>
        <v>3</v>
      </c>
      <c r="F204" t="str">
        <f t="shared" si="40"/>
        <v>Stephan_etal_1981</v>
      </c>
      <c r="G204" t="str">
        <f t="shared" si="41"/>
        <v>Stephan</v>
      </c>
      <c r="H204" t="str">
        <f t="shared" si="42"/>
        <v>etal</v>
      </c>
      <c r="I204" t="str">
        <f t="shared" si="43"/>
        <v>1981</v>
      </c>
      <c r="J204" t="str">
        <f t="shared" si="38"/>
        <v>10.1159%2F000155963</v>
      </c>
      <c r="K204" t="str">
        <f t="shared" si="37"/>
        <v>Stephan_etal_1981_TableXI</v>
      </c>
      <c r="L204" t="str">
        <f t="shared" si="44"/>
        <v>10.1159%2F000155963_TableXI</v>
      </c>
      <c r="M204" t="str">
        <f t="array" ref="M204">IFERROR(INDEX(FileList!$A$1:$A$100,MATCH(TRUE(),EXACT(L204,_xlfn.TEXTBEFORE(FileList!$A$1:$A$100,".tsv")),0)),"notfound")</f>
        <v>10.1159%2F000155963_TableXI.tsv</v>
      </c>
      <c r="N204" s="1" t="s">
        <v>772</v>
      </c>
      <c r="V204" s="1" t="s">
        <v>42</v>
      </c>
      <c r="Y204" s="1" t="s">
        <v>99</v>
      </c>
      <c r="Z204" s="1" t="s">
        <v>99</v>
      </c>
      <c r="AF204" s="1" t="s">
        <v>78</v>
      </c>
      <c r="AG204" s="1" t="s">
        <v>112</v>
      </c>
      <c r="AI204" s="1" t="s">
        <v>749</v>
      </c>
      <c r="AJ204" s="1" t="s">
        <v>101</v>
      </c>
      <c r="AK204" s="1" t="s">
        <v>63</v>
      </c>
      <c r="AL204" s="1" t="s">
        <v>63</v>
      </c>
      <c r="AM204" s="1" t="s">
        <v>84</v>
      </c>
    </row>
    <row r="205">
      <c r="A205" s="1" t="s">
        <v>747</v>
      </c>
      <c r="D205" s="1" t="s">
        <v>773</v>
      </c>
      <c r="E205" t="str">
        <f t="shared" si="39"/>
        <v>3</v>
      </c>
      <c r="F205" t="str">
        <f t="shared" si="40"/>
        <v>Stephan_etal_1981</v>
      </c>
      <c r="G205" t="str">
        <f t="shared" si="41"/>
        <v>Stephan</v>
      </c>
      <c r="H205" t="str">
        <f t="shared" si="42"/>
        <v>etal</v>
      </c>
      <c r="I205" t="str">
        <f t="shared" si="43"/>
        <v>1981</v>
      </c>
      <c r="J205" t="str">
        <f t="shared" si="38"/>
        <v>10.1159%2F000155963</v>
      </c>
      <c r="K205" t="str">
        <f t="shared" si="37"/>
        <v>Stephan_etal_1981_TableXII</v>
      </c>
      <c r="L205" t="str">
        <f t="shared" si="44"/>
        <v>10.1159%2F000155963_TableXII</v>
      </c>
      <c r="M205" t="str">
        <f t="array" ref="M205">IFERROR(INDEX(FileList!$A$1:$A$100,MATCH(TRUE(),EXACT(L205,_xlfn.TEXTBEFORE(FileList!$A$1:$A$100,".tsv")),0)),"notfound")</f>
        <v>10.1159%2F000155963_TableXII.tsv</v>
      </c>
      <c r="N205" s="1" t="s">
        <v>774</v>
      </c>
      <c r="V205" s="1" t="s">
        <v>42</v>
      </c>
      <c r="Y205" s="1" t="s">
        <v>99</v>
      </c>
      <c r="Z205" s="1" t="s">
        <v>99</v>
      </c>
      <c r="AF205" s="1" t="s">
        <v>78</v>
      </c>
      <c r="AG205" s="1" t="s">
        <v>112</v>
      </c>
      <c r="AI205" s="1" t="s">
        <v>749</v>
      </c>
      <c r="AJ205" s="1" t="s">
        <v>101</v>
      </c>
      <c r="AK205" s="1" t="s">
        <v>63</v>
      </c>
      <c r="AL205" s="1" t="s">
        <v>63</v>
      </c>
      <c r="AM205" s="1" t="s">
        <v>84</v>
      </c>
    </row>
    <row r="206">
      <c r="A206" s="1" t="s">
        <v>747</v>
      </c>
      <c r="D206" s="1" t="s">
        <v>775</v>
      </c>
      <c r="E206" t="str">
        <f t="shared" si="39"/>
        <v>3</v>
      </c>
      <c r="F206" t="str">
        <f t="shared" si="40"/>
        <v>Stephan_etal_1981</v>
      </c>
      <c r="G206" t="str">
        <f t="shared" si="41"/>
        <v>Stephan</v>
      </c>
      <c r="H206" t="str">
        <f t="shared" si="42"/>
        <v>etal</v>
      </c>
      <c r="I206" t="str">
        <f t="shared" si="43"/>
        <v>1981</v>
      </c>
      <c r="J206" t="str">
        <f t="shared" si="38"/>
        <v>10.1159%2F000155963</v>
      </c>
      <c r="K206" t="str">
        <f t="shared" si="37"/>
        <v>Stephan_etal_1981_TableXIII</v>
      </c>
      <c r="L206" t="str">
        <f t="shared" si="44"/>
        <v>10.1159%2F000155963_TableXIII</v>
      </c>
      <c r="M206" t="str">
        <f t="array" ref="M206">IFERROR(INDEX(FileList!$A$1:$A$100,MATCH(TRUE(),EXACT(L206,_xlfn.TEXTBEFORE(FileList!$A$1:$A$100,".tsv")),0)),"notfound")</f>
        <v>10.1159%2F000155963_TableXIII.tsv</v>
      </c>
      <c r="N206" s="1" t="s">
        <v>776</v>
      </c>
      <c r="V206" s="1" t="s">
        <v>42</v>
      </c>
      <c r="Y206" s="1" t="s">
        <v>99</v>
      </c>
      <c r="Z206" s="1" t="s">
        <v>99</v>
      </c>
      <c r="AF206" s="1" t="s">
        <v>78</v>
      </c>
      <c r="AG206" s="1" t="s">
        <v>112</v>
      </c>
      <c r="AI206" s="1" t="s">
        <v>749</v>
      </c>
      <c r="AJ206" s="1" t="s">
        <v>101</v>
      </c>
      <c r="AK206" s="1" t="s">
        <v>63</v>
      </c>
      <c r="AL206" s="1" t="s">
        <v>63</v>
      </c>
      <c r="AM206" s="1" t="s">
        <v>84</v>
      </c>
    </row>
    <row r="207">
      <c r="A207" s="1" t="s">
        <v>747</v>
      </c>
      <c r="D207" s="1" t="s">
        <v>777</v>
      </c>
      <c r="E207" t="str">
        <f t="shared" si="39"/>
        <v>3</v>
      </c>
      <c r="F207" t="str">
        <f t="shared" si="40"/>
        <v>Stephan_etal_1981</v>
      </c>
      <c r="G207" t="str">
        <f t="shared" si="41"/>
        <v>Stephan</v>
      </c>
      <c r="H207" t="str">
        <f t="shared" si="42"/>
        <v>etal</v>
      </c>
      <c r="I207" t="str">
        <f t="shared" si="43"/>
        <v>1981</v>
      </c>
      <c r="J207" t="str">
        <f t="shared" si="38"/>
        <v>10.1159%2F000155963</v>
      </c>
      <c r="K207" t="str">
        <f t="shared" ref="K207:K222" si="45">TRIM(_xlfn.TEXTJOIN("_",FALSE(),F207,(SUBSTITUTE(SUBSTITUTE(D207," ",""), "_", ""))))</f>
        <v>Stephan_etal_1981_TableXIV</v>
      </c>
      <c r="L207" t="str">
        <f t="shared" si="44"/>
        <v>10.1159%2F000155963_TableXIV</v>
      </c>
      <c r="M207" t="str">
        <f t="array" ref="M207">IFERROR(INDEX(FileList!$A$1:$A$100,MATCH(TRUE(),EXACT(L207,_xlfn.TEXTBEFORE(FileList!$A$1:$A$100,".tsv")),0)),"notfound")</f>
        <v>10.1159%2F000155963_TableXIV.tsv</v>
      </c>
      <c r="N207" s="1" t="s">
        <v>778</v>
      </c>
      <c r="V207" s="1" t="s">
        <v>42</v>
      </c>
      <c r="Y207" s="1" t="s">
        <v>99</v>
      </c>
      <c r="Z207" s="1" t="s">
        <v>99</v>
      </c>
      <c r="AF207" s="1" t="s">
        <v>78</v>
      </c>
      <c r="AG207" s="1" t="s">
        <v>112</v>
      </c>
      <c r="AI207" s="1" t="s">
        <v>749</v>
      </c>
      <c r="AJ207" s="1" t="s">
        <v>101</v>
      </c>
      <c r="AK207" s="1" t="s">
        <v>63</v>
      </c>
      <c r="AL207" s="1" t="s">
        <v>63</v>
      </c>
      <c r="AM207" s="1" t="s">
        <v>84</v>
      </c>
    </row>
    <row r="208">
      <c r="A208" s="1" t="s">
        <v>747</v>
      </c>
      <c r="D208" s="1" t="s">
        <v>779</v>
      </c>
      <c r="E208" t="str">
        <f t="shared" si="39"/>
        <v>3</v>
      </c>
      <c r="F208" t="str">
        <f t="shared" si="40"/>
        <v>Stephan_etal_1981</v>
      </c>
      <c r="G208" t="str">
        <f t="shared" si="41"/>
        <v>Stephan</v>
      </c>
      <c r="H208" t="str">
        <f t="shared" si="42"/>
        <v>etal</v>
      </c>
      <c r="I208" t="str">
        <f t="shared" si="43"/>
        <v>1981</v>
      </c>
      <c r="J208" t="str">
        <f t="shared" si="38"/>
        <v>10.1159%2F000155963</v>
      </c>
      <c r="K208" t="str">
        <f t="shared" si="45"/>
        <v>Stephan_etal_1981_TableXV</v>
      </c>
      <c r="L208" t="str">
        <f t="shared" si="44"/>
        <v>10.1159%2F000155963_TableXV</v>
      </c>
      <c r="M208" t="str">
        <f t="array" ref="M208">IFERROR(INDEX(FileList!$A$1:$A$100,MATCH(TRUE(),EXACT(L208,_xlfn.TEXTBEFORE(FileList!$A$1:$A$100,".tsv")),0)),"notfound")</f>
        <v>10.1159%2F000155963_TableXV.tsv</v>
      </c>
      <c r="N208" s="1" t="s">
        <v>780</v>
      </c>
      <c r="V208" s="1" t="s">
        <v>42</v>
      </c>
      <c r="Y208" s="1" t="s">
        <v>99</v>
      </c>
      <c r="Z208" s="1" t="s">
        <v>99</v>
      </c>
      <c r="AF208" s="1" t="s">
        <v>78</v>
      </c>
      <c r="AG208" s="1" t="s">
        <v>112</v>
      </c>
      <c r="AI208" s="1" t="s">
        <v>749</v>
      </c>
      <c r="AJ208" s="1" t="s">
        <v>101</v>
      </c>
      <c r="AK208" s="1" t="s">
        <v>63</v>
      </c>
      <c r="AL208" s="1" t="s">
        <v>63</v>
      </c>
      <c r="AM208" s="1" t="s">
        <v>84</v>
      </c>
    </row>
    <row r="209">
      <c r="A209" s="1" t="s">
        <v>747</v>
      </c>
      <c r="D209" s="1" t="s">
        <v>781</v>
      </c>
      <c r="E209" t="str">
        <f t="shared" si="39"/>
        <v>3</v>
      </c>
      <c r="F209" t="str">
        <f t="shared" si="40"/>
        <v>Stephan_etal_1981</v>
      </c>
      <c r="G209" t="str">
        <f t="shared" si="41"/>
        <v>Stephan</v>
      </c>
      <c r="H209" t="str">
        <f t="shared" si="42"/>
        <v>etal</v>
      </c>
      <c r="I209" t="str">
        <f t="shared" si="43"/>
        <v>1981</v>
      </c>
      <c r="J209" t="str">
        <f t="shared" si="38"/>
        <v>10.1159%2F000155963</v>
      </c>
      <c r="K209" t="str">
        <f t="shared" si="45"/>
        <v>Stephan_etal_1981_TableXVI</v>
      </c>
      <c r="L209" t="str">
        <f t="shared" si="44"/>
        <v>10.1159%2F000155963_TableXVI</v>
      </c>
      <c r="M209" t="str">
        <f t="array" ref="M209">IFERROR(INDEX(FileList!$A$1:$A$100,MATCH(TRUE(),EXACT(L209,_xlfn.TEXTBEFORE(FileList!$A$1:$A$100,".tsv")),0)),"notfound")</f>
        <v>10.1159%2F000155963_TableXVI.tsv</v>
      </c>
      <c r="N209" s="1" t="s">
        <v>782</v>
      </c>
      <c r="V209" s="1" t="s">
        <v>42</v>
      </c>
      <c r="Y209" s="1" t="s">
        <v>99</v>
      </c>
      <c r="Z209" s="1" t="s">
        <v>99</v>
      </c>
      <c r="AF209" s="1" t="s">
        <v>78</v>
      </c>
      <c r="AG209" s="1" t="s">
        <v>112</v>
      </c>
      <c r="AI209" s="1" t="s">
        <v>749</v>
      </c>
      <c r="AJ209" s="1" t="s">
        <v>101</v>
      </c>
      <c r="AK209" s="1" t="s">
        <v>63</v>
      </c>
      <c r="AL209" s="1" t="s">
        <v>63</v>
      </c>
      <c r="AM209" s="1" t="s">
        <v>84</v>
      </c>
    </row>
    <row r="210">
      <c r="A210" s="1" t="s">
        <v>747</v>
      </c>
      <c r="C210" s="7"/>
      <c r="D210" s="1" t="s">
        <v>783</v>
      </c>
      <c r="E210" t="str">
        <f t="shared" si="39"/>
        <v>3</v>
      </c>
      <c r="F210" t="str">
        <f t="shared" si="40"/>
        <v>Stephan_etal_1981</v>
      </c>
      <c r="G210" t="str">
        <f t="shared" si="41"/>
        <v>Stephan</v>
      </c>
      <c r="H210" t="str">
        <f t="shared" si="42"/>
        <v>etal</v>
      </c>
      <c r="I210" t="str">
        <f t="shared" si="43"/>
        <v>1981</v>
      </c>
      <c r="J210" t="str">
        <f t="shared" si="38"/>
        <v>10.1159%2F000155963</v>
      </c>
      <c r="K210" t="str">
        <f t="shared" si="45"/>
        <v>Stephan_etal_1981_TablesI-VI</v>
      </c>
      <c r="L210" t="str">
        <f t="shared" si="44"/>
        <v>10.1159%2F000155963_TablesI-VI</v>
      </c>
      <c r="M210" t="str">
        <f t="array" ref="M210">IFERROR(INDEX(FileList!$A$1:$A$100,MATCH(TRUE(),EXACT(L210,_xlfn.TEXTBEFORE(FileList!$A$1:$A$100,".tsv")),0)),"notfound")</f>
        <v>10.1159%2F000155963_TablesI-VI.tsv</v>
      </c>
      <c r="O210" s="1" t="s">
        <v>784</v>
      </c>
      <c r="P210" s="1" t="s">
        <v>41</v>
      </c>
      <c r="V210" s="1" t="s">
        <v>42</v>
      </c>
      <c r="Y210" s="1" t="s">
        <v>99</v>
      </c>
      <c r="Z210" s="1" t="s">
        <v>99</v>
      </c>
      <c r="AF210" s="1" t="s">
        <v>78</v>
      </c>
      <c r="AG210" s="1" t="s">
        <v>112</v>
      </c>
      <c r="AI210" s="1" t="s">
        <v>749</v>
      </c>
      <c r="AJ210" s="1" t="s">
        <v>101</v>
      </c>
      <c r="AK210" s="1" t="s">
        <v>63</v>
      </c>
      <c r="AL210" s="1" t="s">
        <v>63</v>
      </c>
      <c r="AM210" s="1" t="s">
        <v>84</v>
      </c>
    </row>
    <row r="211">
      <c r="A211" s="1" t="s">
        <v>785</v>
      </c>
      <c r="D211" s="1" t="s">
        <v>786</v>
      </c>
      <c r="E211" t="str">
        <f t="shared" si="39"/>
        <v>8</v>
      </c>
      <c r="F211" t="str">
        <f t="shared" si="40"/>
        <v>Stimpson_etal_2015</v>
      </c>
      <c r="G211" t="str">
        <f t="shared" si="41"/>
        <v>Stimpson</v>
      </c>
      <c r="H211" t="str">
        <f t="shared" si="42"/>
        <v>etal</v>
      </c>
      <c r="I211" t="str">
        <f t="shared" si="43"/>
        <v>2015</v>
      </c>
      <c r="J211" t="str">
        <f t="shared" si="38"/>
        <v>10.1093%2Fscan%2Fnsv128</v>
      </c>
      <c r="K211" t="str">
        <f t="shared" si="45"/>
        <v>Stimpson_etal_2015_TableS1</v>
      </c>
      <c r="L211" t="str">
        <f t="shared" si="44"/>
        <v>10.1093%2Fscan%2Fnsv128_TableS1</v>
      </c>
      <c r="M211" t="str">
        <f t="array" ref="M211">IFERROR(INDEX(FileList!$A$1:$A$100,MATCH(TRUE(),EXACT(L211,_xlfn.TEXTBEFORE(FileList!$A$1:$A$100,".tsv")),0)),"notfound")</f>
        <v>10.1093%2Fscan%2Fnsv128_TableS1.tsv</v>
      </c>
      <c r="N211" s="1" t="s">
        <v>786</v>
      </c>
      <c r="P211" s="1" t="s">
        <v>41</v>
      </c>
      <c r="V211" s="1" t="s">
        <v>42</v>
      </c>
      <c r="Y211" s="1" t="s">
        <v>680</v>
      </c>
      <c r="Z211" s="1" t="s">
        <v>680</v>
      </c>
      <c r="AF211" s="1" t="s">
        <v>78</v>
      </c>
      <c r="AG211" s="1" t="s">
        <v>112</v>
      </c>
      <c r="AL211" s="1" t="s">
        <v>63</v>
      </c>
      <c r="AM211" s="1" t="s">
        <v>84</v>
      </c>
    </row>
    <row r="212">
      <c r="A212" s="1" t="s">
        <v>785</v>
      </c>
      <c r="D212" s="1" t="s">
        <v>787</v>
      </c>
      <c r="E212" t="str">
        <f t="shared" si="39"/>
        <v>8</v>
      </c>
      <c r="F212" t="str">
        <f t="shared" si="40"/>
        <v>Stimpson_etal_2015</v>
      </c>
      <c r="G212" t="str">
        <f t="shared" si="41"/>
        <v>Stimpson</v>
      </c>
      <c r="H212" t="str">
        <f t="shared" si="42"/>
        <v>etal</v>
      </c>
      <c r="I212" t="str">
        <f t="shared" si="43"/>
        <v>2015</v>
      </c>
      <c r="J212" t="str">
        <f t="shared" si="38"/>
        <v>10.1093%2Fscan%2Fnsv128</v>
      </c>
      <c r="K212" t="str">
        <f t="shared" si="45"/>
        <v>Stimpson_etal_2015_TableS2</v>
      </c>
      <c r="L212" t="str">
        <f t="shared" si="44"/>
        <v>10.1093%2Fscan%2Fnsv128_TableS2</v>
      </c>
      <c r="M212" t="str">
        <f t="array" ref="M212">IFERROR(INDEX(FileList!$A$1:$A$100,MATCH(TRUE(),EXACT(L212,_xlfn.TEXTBEFORE(FileList!$A$1:$A$100,".tsv")),0)),"notfound")</f>
        <v>10.1093%2Fscan%2Fnsv128_TableS2.tsv</v>
      </c>
      <c r="N212" s="1" t="s">
        <v>787</v>
      </c>
      <c r="P212" s="1" t="s">
        <v>41</v>
      </c>
      <c r="V212" s="1" t="s">
        <v>42</v>
      </c>
      <c r="Y212" s="1" t="s">
        <v>680</v>
      </c>
      <c r="Z212" s="1" t="s">
        <v>680</v>
      </c>
      <c r="AF212" s="1" t="s">
        <v>78</v>
      </c>
      <c r="AG212" s="1" t="s">
        <v>112</v>
      </c>
      <c r="AL212" s="1" t="s">
        <v>63</v>
      </c>
      <c r="AM212" s="1" t="s">
        <v>84</v>
      </c>
    </row>
    <row r="213">
      <c r="A213" s="1" t="s">
        <v>788</v>
      </c>
      <c r="D213" s="1" t="s">
        <v>75</v>
      </c>
      <c r="E213" t="str">
        <f t="shared" si="39"/>
        <v>2</v>
      </c>
      <c r="F213" t="str">
        <f t="shared" si="40"/>
        <v>Turner_etal_2016</v>
      </c>
      <c r="G213" t="str">
        <f t="shared" si="41"/>
        <v>Turner</v>
      </c>
      <c r="H213" t="str">
        <f t="shared" si="42"/>
        <v>etal</v>
      </c>
      <c r="I213" t="str">
        <f t="shared" si="43"/>
        <v>2016</v>
      </c>
      <c r="J213" t="str">
        <f t="shared" si="38"/>
        <v>10.1159%2F000446762</v>
      </c>
      <c r="K213" t="str">
        <f t="shared" si="45"/>
        <v>Turner_etal_2016_Table1</v>
      </c>
      <c r="L213" t="str">
        <f t="shared" si="44"/>
        <v>10.1159%2F000446762_Table1</v>
      </c>
      <c r="M213" t="str">
        <f t="array" ref="M213">IFERROR(INDEX(FileList!$A$1:$A$100,MATCH(TRUE(),EXACT(L213,_xlfn.TEXTBEFORE(FileList!$A$1:$A$100,".tsv")),0)),"notfound")</f>
        <v>notfound</v>
      </c>
      <c r="N213" s="1" t="s">
        <v>789</v>
      </c>
      <c r="AI213" s="1" t="s">
        <v>790</v>
      </c>
      <c r="AJ213" s="1" t="s">
        <v>140</v>
      </c>
      <c r="AL213" s="1" t="s">
        <v>63</v>
      </c>
      <c r="AM213" s="1" t="s">
        <v>127</v>
      </c>
    </row>
    <row r="214">
      <c r="A214" s="1" t="s">
        <v>791</v>
      </c>
      <c r="C214" t="s">
        <v>792</v>
      </c>
      <c r="D214" s="1" t="s">
        <v>793</v>
      </c>
      <c r="E214" t="str">
        <f t="shared" si="39"/>
        <v>.</v>
      </c>
      <c r="F214" t="str">
        <f t="shared" si="40"/>
        <v>Weaver__2001</v>
      </c>
      <c r="G214" t="str">
        <f t="shared" si="41"/>
        <v>Weaver</v>
      </c>
      <c r="H214" t="str">
        <f t="shared" si="42"/>
      </c>
      <c r="I214" t="str">
        <f t="shared" si="43"/>
        <v>2001</v>
      </c>
      <c r="J214" t="str">
        <f t="shared" si="38"/>
        <v>UMI%3A3017523</v>
      </c>
      <c r="K214" t="str">
        <f t="shared" si="45"/>
        <v>Weaver__2001_NotesforTableA-15</v>
      </c>
      <c r="L214" t="str">
        <f t="shared" si="44"/>
        <v>UMI%3A3017523_NotesforTableA-15</v>
      </c>
      <c r="M214" t="str">
        <f t="array" ref="M214">IFERROR(INDEX(FileList!$A$1:$A$100,MATCH(TRUE(),EXACT(L214,_xlfn.TEXTBEFORE(FileList!$A$1:$A$100,".tsv")),0)),"notfound")</f>
        <v>notfound</v>
      </c>
      <c r="N214" s="1" t="s">
        <v>793</v>
      </c>
    </row>
    <row r="215">
      <c r="A215" s="1" t="s">
        <v>791</v>
      </c>
      <c r="C215" t="s">
        <v>792</v>
      </c>
      <c r="D215" s="1" t="s">
        <v>794</v>
      </c>
      <c r="E215" t="str">
        <f t="shared" si="39"/>
        <v>.</v>
      </c>
      <c r="F215" t="str">
        <f t="shared" si="40"/>
        <v>Weaver__2001</v>
      </c>
      <c r="G215" t="str">
        <f t="shared" si="41"/>
        <v>Weaver</v>
      </c>
      <c r="H215" t="str">
        <f t="shared" si="42"/>
      </c>
      <c r="I215" t="str">
        <f t="shared" si="43"/>
        <v>2001</v>
      </c>
      <c r="J215" t="str">
        <f t="shared" si="38"/>
        <v>UMI%3A3017523</v>
      </c>
      <c r="K215" t="str">
        <f t="shared" si="45"/>
        <v>Weaver__2001_TableA-15</v>
      </c>
      <c r="L215" t="str">
        <f t="shared" si="44"/>
        <v>UMI%3A3017523_TableA-15</v>
      </c>
      <c r="M215" t="str">
        <f t="array" ref="M215">IFERROR(INDEX(FileList!$A$1:$A$100,MATCH(TRUE(),EXACT(L215,_xlfn.TEXTBEFORE(FileList!$A$1:$A$100,".tsv")),0)),"notfound")</f>
        <v>notfound</v>
      </c>
      <c r="N215" s="1" t="s">
        <v>795</v>
      </c>
    </row>
    <row r="216">
      <c r="A216" s="1" t="s">
        <v>796</v>
      </c>
      <c r="D216" s="1" t="s">
        <v>797</v>
      </c>
      <c r="E216" t="str">
        <f t="shared" si="39"/>
        <v>1</v>
      </c>
      <c r="F216" t="str">
        <f t="shared" si="40"/>
        <v>Wilman_etal_2014</v>
      </c>
      <c r="G216" t="str">
        <f t="shared" si="41"/>
        <v>Wilman</v>
      </c>
      <c r="H216" t="str">
        <f t="shared" si="42"/>
        <v>etal</v>
      </c>
      <c r="I216" t="str">
        <f t="shared" si="43"/>
        <v>2014</v>
      </c>
      <c r="J216" t="str">
        <f t="shared" si="38"/>
        <v>10.1890%2F13-1917.1</v>
      </c>
      <c r="K216" t="str">
        <f t="shared" si="45"/>
        <v>Wilman_etal_2014_MamFuncDat.txt</v>
      </c>
      <c r="L216" t="str">
        <f t="shared" si="44"/>
        <v>10.1890%2F13-1917.1_MamFuncDat.txt</v>
      </c>
      <c r="M216" t="str">
        <f t="array" ref="M216">IFERROR(INDEX(FileList!$A$1:$A$100,MATCH(TRUE(),EXACT(L216,_xlfn.TEXTBEFORE(FileList!$A$1:$A$100,".tsv")),0)),"notfound")</f>
        <v>notfound</v>
      </c>
      <c r="AI216" s="1" t="s">
        <v>798</v>
      </c>
      <c r="AJ216" s="1" t="s">
        <v>140</v>
      </c>
      <c r="AL216" s="1" t="s">
        <v>141</v>
      </c>
      <c r="AM216" s="1" t="s">
        <v>799</v>
      </c>
    </row>
    <row r="217">
      <c r="A217" s="1" t="s">
        <v>800</v>
      </c>
      <c r="D217" s="1" t="s">
        <v>801</v>
      </c>
      <c r="E217" t="str">
        <f t="shared" si="39"/>
        <v>7</v>
      </c>
      <c r="F217" t="str">
        <f t="shared" si="40"/>
        <v>Wimberly_etal_2021</v>
      </c>
      <c r="G217" t="str">
        <f t="shared" si="41"/>
        <v>Wimberly</v>
      </c>
      <c r="H217" t="str">
        <f t="shared" si="42"/>
        <v>etal</v>
      </c>
      <c r="I217" t="str">
        <f t="shared" si="43"/>
        <v>2021</v>
      </c>
      <c r="J217" t="str">
        <f t="shared" si="38"/>
        <v>10.1098%2Frspb.2021.0937</v>
      </c>
      <c r="K217" t="str">
        <f t="shared" si="45"/>
        <v>Wimberly_etal_2021_mammalgait.txt</v>
      </c>
      <c r="L217" t="str">
        <f t="shared" si="44"/>
        <v>10.1098%2Frspb.2021.0937_mammalgait.txt</v>
      </c>
      <c r="M217" t="str">
        <f t="array" ref="M217">IFERROR(INDEX(FileList!$A$1:$A$100,MATCH(TRUE(),EXACT(L217,_xlfn.TEXTBEFORE(FileList!$A$1:$A$100,".tsv")),0)),"notfound")</f>
        <v>notfound</v>
      </c>
      <c r="P217" s="1" t="s">
        <v>335</v>
      </c>
      <c r="AJ217" s="1" t="s">
        <v>43</v>
      </c>
      <c r="AL217" s="1" t="s">
        <v>43</v>
      </c>
      <c r="AM217" s="1" t="s">
        <v>43</v>
      </c>
    </row>
    <row r="218">
      <c r="A218" s="1" t="s">
        <v>802</v>
      </c>
      <c r="D218" s="1" t="s">
        <v>803</v>
      </c>
      <c r="E218" t="str">
        <f t="shared" si="39"/>
        <v>5</v>
      </c>
      <c r="F218" t="str">
        <f t="shared" si="40"/>
        <v>Winkler_Bryant_2021</v>
      </c>
      <c r="G218" t="str">
        <f t="shared" si="41"/>
        <v>Winkler</v>
      </c>
      <c r="H218" t="str">
        <f t="shared" si="42"/>
        <v>Bryant</v>
      </c>
      <c r="I218" t="str">
        <f t="shared" si="43"/>
        <v>2021</v>
      </c>
      <c r="J218" t="str">
        <f t="shared" si="38"/>
        <v>10.1080%2F09524622.2021.1905065</v>
      </c>
      <c r="K218" t="str">
        <f t="shared" si="45"/>
        <v>Winkler_Bryant_2021_Figure1</v>
      </c>
      <c r="L218" t="str">
        <f t="shared" si="44"/>
        <v>10.1080%2F09524622.2021.1905065_Figure1</v>
      </c>
      <c r="M218" t="str">
        <f t="array" ref="M218">IFERROR(INDEX(FileList!$A$1:$A$100,MATCH(TRUE(),EXACT(L218,_xlfn.TEXTBEFORE(FileList!$A$1:$A$100,".tsv")),0)),"notfound")</f>
        <v>notfound</v>
      </c>
      <c r="P218" s="1" t="s">
        <v>335</v>
      </c>
      <c r="Q218" s="1" t="s">
        <v>202</v>
      </c>
      <c r="T218" s="1" t="str">
        <f>IF(S218="N", R218, "write file name")</f>
        <v>write file name</v>
      </c>
      <c r="U218" s="1" t="s">
        <v>55</v>
      </c>
      <c r="V218" s="1" t="s">
        <v>804</v>
      </c>
      <c r="AH218" s="1" t="s">
        <v>138</v>
      </c>
      <c r="AI218" s="1" t="s">
        <v>805</v>
      </c>
      <c r="AJ218" s="1" t="s">
        <v>140</v>
      </c>
      <c r="AL218" s="1" t="s">
        <v>141</v>
      </c>
      <c r="AM218" s="1" t="s">
        <v>806</v>
      </c>
    </row>
    <row r="219">
      <c r="A219" s="1" t="s">
        <v>807</v>
      </c>
      <c r="D219" s="1" t="s">
        <v>75</v>
      </c>
      <c r="E219" t="str">
        <f t="shared" si="39"/>
        <v>0</v>
      </c>
      <c r="F219" t="str">
        <f t="shared" si="40"/>
        <v>Young_etal_2013</v>
      </c>
      <c r="G219" t="str">
        <f t="shared" si="41"/>
        <v>Young</v>
      </c>
      <c r="H219" t="str">
        <f t="shared" si="42"/>
        <v>etal</v>
      </c>
      <c r="I219" t="str">
        <f t="shared" si="43"/>
        <v>2013</v>
      </c>
      <c r="J219" t="str">
        <f t="shared" si="38"/>
        <v>10.3389%2Ffncir.2013.00030</v>
      </c>
      <c r="K219" t="str">
        <f t="shared" si="45"/>
        <v>Young_etal_2013_Table1</v>
      </c>
      <c r="L219" t="str">
        <f t="shared" si="44"/>
        <v>10.3389%2Ffncir.2013.00030_Table1</v>
      </c>
      <c r="M219" t="str">
        <f t="array" ref="M219">IFERROR(INDEX(FileList!$A$1:$A$100,MATCH(TRUE(),EXACT(L219,_xlfn.TEXTBEFORE(FileList!$A$1:$A$100,".tsv")),0)),"notfound")</f>
        <v>notfound</v>
      </c>
      <c r="P219" s="1" t="s">
        <v>632</v>
      </c>
      <c r="Q219" s="1" t="s">
        <v>202</v>
      </c>
      <c r="T219" s="1" t="str">
        <f>IF(S219="N", R219, "write file name")</f>
        <v>write file name</v>
      </c>
      <c r="U219" s="1" t="s">
        <v>55</v>
      </c>
      <c r="V219" s="1" t="s">
        <v>42</v>
      </c>
      <c r="AH219" s="1" t="s">
        <v>177</v>
      </c>
      <c r="AI219" s="1" t="s">
        <v>808</v>
      </c>
      <c r="AJ219" s="1" t="s">
        <v>118</v>
      </c>
      <c r="AK219" s="1" t="s">
        <v>63</v>
      </c>
      <c r="AL219" s="1" t="s">
        <v>63</v>
      </c>
      <c r="AM219" s="1" t="s">
        <v>809</v>
      </c>
    </row>
    <row r="220">
      <c r="A220" s="1" t="s">
        <v>810</v>
      </c>
      <c r="D220" s="1" t="s">
        <v>75</v>
      </c>
      <c r="E220" t="str">
        <f t="shared" si="39"/>
        <v>0</v>
      </c>
      <c r="F220" t="str">
        <f t="shared" si="40"/>
        <v>Young_etal_2013</v>
      </c>
      <c r="G220" t="str">
        <f t="shared" si="41"/>
        <v>Young</v>
      </c>
      <c r="H220" t="str">
        <f t="shared" si="42"/>
        <v>etal</v>
      </c>
      <c r="I220" t="str">
        <f t="shared" si="43"/>
        <v>2013</v>
      </c>
      <c r="J220" t="str">
        <f t="shared" si="38"/>
        <v>10.1073%2Fpnas.1318894110</v>
      </c>
      <c r="K220" t="str">
        <f t="shared" si="45"/>
        <v>Young_etal_2013_Table1</v>
      </c>
      <c r="L220" t="str">
        <f t="shared" si="44"/>
        <v>10.1073%2Fpnas.1318894110_Table1</v>
      </c>
      <c r="M220" t="str">
        <f t="array" ref="M220">IFERROR(INDEX(FileList!$A$1:$A$100,MATCH(TRUE(),EXACT(L220,_xlfn.TEXTBEFORE(FileList!$A$1:$A$100,".tsv")),0)),"notfound")</f>
        <v>notfound</v>
      </c>
      <c r="N220" s="1" t="s">
        <v>811</v>
      </c>
      <c r="V220" s="1" t="s">
        <v>42</v>
      </c>
      <c r="Y220" s="1" t="s">
        <v>223</v>
      </c>
      <c r="AG220" s="1" t="s">
        <v>59</v>
      </c>
      <c r="AI220" s="1" t="s">
        <v>812</v>
      </c>
      <c r="AJ220" s="1" t="s">
        <v>813</v>
      </c>
      <c r="AK220" s="1" t="s">
        <v>63</v>
      </c>
      <c r="AL220" s="1" t="s">
        <v>63</v>
      </c>
      <c r="AM220" s="1" t="s">
        <v>814</v>
      </c>
    </row>
    <row r="221">
      <c r="A221" s="1" t="s">
        <v>815</v>
      </c>
      <c r="C221" s="1" t="s">
        <v>816</v>
      </c>
      <c r="D221" s="1" t="s">
        <v>817</v>
      </c>
      <c r="E221" t="str">
        <f t="shared" si="39"/>
        <v>s</v>
      </c>
      <c r="F221" t="str">
        <f t="shared" si="40"/>
        <v>Zilles_Rehkämper_1988</v>
      </c>
      <c r="G221" t="str">
        <f t="shared" si="41"/>
        <v>Zilles</v>
      </c>
      <c r="H221" t="str">
        <f t="shared" si="42"/>
        <v>Rehkämper</v>
      </c>
      <c r="I221" t="str">
        <f t="shared" si="43"/>
        <v>1988</v>
      </c>
      <c r="J221" t="str">
        <f t="shared" si="38"/>
        <v>ISBN%3A9780195043716</v>
      </c>
      <c r="K221" t="str">
        <f t="shared" si="45"/>
        <v>Zilles_Rehkämper_1988_Table12-2</v>
      </c>
      <c r="L221" t="str">
        <f t="shared" si="44"/>
        <v>ISBN%3A9780195043716_Table12-2</v>
      </c>
      <c r="M221" t="str">
        <f t="array" ref="M221">IFERROR(INDEX(FileList!$A$1:$A$100,MATCH(TRUE(),EXACT(L221,_xlfn.TEXTBEFORE(FileList!$A$1:$A$100,".tsv")),0)),"notfound")</f>
        <v>notfound</v>
      </c>
      <c r="N221" s="1" t="s">
        <v>818</v>
      </c>
      <c r="Y221" s="1" t="s">
        <v>99</v>
      </c>
      <c r="Z221" s="1" t="s">
        <v>233</v>
      </c>
      <c r="AF221" s="1" t="s">
        <v>78</v>
      </c>
      <c r="AG221" s="1" t="s">
        <v>112</v>
      </c>
      <c r="AI221" s="1" t="s">
        <v>819</v>
      </c>
      <c r="AJ221" s="1" t="s">
        <v>820</v>
      </c>
      <c r="AL221" s="1" t="s">
        <v>63</v>
      </c>
      <c r="AM221" s="1" t="s">
        <v>84</v>
      </c>
    </row>
    <row r="222">
      <c r="A222" s="1" t="s">
        <v>821</v>
      </c>
      <c r="D222" s="1" t="s">
        <v>822</v>
      </c>
      <c r="E222" t="str">
        <f t="shared" si="39"/>
        <v>6</v>
      </c>
      <c r="F222" t="str">
        <f t="shared" si="40"/>
        <v>Zilles_etal_2013</v>
      </c>
      <c r="G222" t="str">
        <f t="shared" si="41"/>
        <v>Zilles</v>
      </c>
      <c r="H222" t="str">
        <f t="shared" si="42"/>
        <v>etal</v>
      </c>
      <c r="I222" t="str">
        <f t="shared" si="43"/>
        <v>2013</v>
      </c>
      <c r="J222" t="str">
        <f t="shared" si="38"/>
        <v>10.1016%2Fj.tins.2013.01.006</v>
      </c>
      <c r="K222" t="str">
        <f t="shared" si="45"/>
        <v>Zilles_etal_2013_Table1</v>
      </c>
      <c r="L222" t="str">
        <f t="shared" si="44"/>
        <v>10.1016%2Fj.tins.2013.01.006_Table1</v>
      </c>
      <c r="M222" t="str">
        <f t="array" ref="M222">IFERROR(INDEX(FileList!$A$1:$A$100,MATCH(TRUE(),EXACT(L222,_xlfn.TEXTBEFORE(FileList!$A$1:$A$100,".tsv")),0)),"notfound")</f>
        <v>notfound</v>
      </c>
      <c r="N222" s="1" t="s">
        <v>823</v>
      </c>
      <c r="V222" s="1" t="s">
        <v>42</v>
      </c>
      <c r="Y222" s="1" t="s">
        <v>77</v>
      </c>
      <c r="AG222" s="1" t="s">
        <v>43</v>
      </c>
      <c r="AI222" s="1" t="s">
        <v>824</v>
      </c>
      <c r="AJ222" s="1" t="s">
        <v>825</v>
      </c>
      <c r="AK222" s="1" t="s">
        <v>63</v>
      </c>
      <c r="AL222" s="1" t="s">
        <v>141</v>
      </c>
      <c r="AM222" s="1" t="s">
        <v>826</v>
      </c>
    </row>
  </sheetData>
  <hyperlinks>
    <hyperlink ref="X33" r:id="rId1h"/>
    <hyperlink ref="X34" r:id="rId2h" display="https://elifesciences.org/download/aHR0cHM6Ly9jZG4uZWxpZmVzY2llbmNlcy5vcmcvYXJ0aWNsZXMvNzc4NzUvZWxpZmUtNzc4NzUtdjEucGRmP2Nhbm9uaWNhbFVyaT1odHRwczovL2VsaWZlc2NpZW5jZXMub3JnL2FydGljbGVzLzc3ODc1/elife-77875-v1.pdf?_hash=NStjcL9fTlmy3AQDwSiM0YgMVB3UYjO8nDg0UbwN5gM%3D"/>
    <hyperlink ref="X37" r:id="rId3h"/>
    <hyperlink ref="X49" r:id="rId4h"/>
    <hyperlink ref="X53" r:id="rId5h"/>
    <hyperlink ref="X61" r:id="rId6h"/>
    <hyperlink ref="X62" r:id="rId7h"/>
    <hyperlink ref="X64" r:id="rId8h"/>
    <hyperlink ref="X65" r:id="rId9h"/>
    <hyperlink ref="X66" r:id="rId10h"/>
    <hyperlink ref="X67" r:id="rId11h"/>
    <hyperlink ref="X68" r:id="rId12h"/>
    <hyperlink ref="X69" r:id="rId13h"/>
    <hyperlink ref="X72" r:id="rId14h"/>
    <hyperlink ref="X94" r:id="rId15h"/>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968</v>
      </c>
    </row>
    <row r="2">
      <c r="A2" t="s">
        <v>969</v>
      </c>
    </row>
    <row r="3">
      <c r="A3" t="s">
        <v>970</v>
      </c>
    </row>
    <row r="4">
      <c r="A4" t="s">
        <v>971</v>
      </c>
    </row>
    <row r="5">
      <c r="A5" t="s">
        <v>972</v>
      </c>
    </row>
    <row r="6">
      <c r="A6" t="s">
        <v>973</v>
      </c>
    </row>
    <row r="7">
      <c r="A7" t="s">
        <v>974</v>
      </c>
    </row>
    <row r="8">
      <c r="A8" t="s">
        <v>975</v>
      </c>
    </row>
    <row r="9">
      <c r="A9" t="s">
        <v>976</v>
      </c>
    </row>
    <row r="10">
      <c r="A10" t="s">
        <v>977</v>
      </c>
    </row>
    <row r="11">
      <c r="A11" t="s">
        <v>978</v>
      </c>
    </row>
    <row r="12">
      <c r="A12" t="s">
        <v>979</v>
      </c>
    </row>
    <row r="13">
      <c r="A13" t="s">
        <v>980</v>
      </c>
    </row>
    <row r="14">
      <c r="A14" t="s">
        <v>981</v>
      </c>
    </row>
    <row r="15">
      <c r="A15" t="s">
        <v>982</v>
      </c>
    </row>
    <row r="16">
      <c r="A16" t="s">
        <v>983</v>
      </c>
    </row>
    <row r="17">
      <c r="A17" t="s">
        <v>984</v>
      </c>
    </row>
    <row r="18">
      <c r="A18" t="s">
        <v>985</v>
      </c>
    </row>
    <row r="19">
      <c r="A19" t="s">
        <v>986</v>
      </c>
    </row>
    <row r="20">
      <c r="A20" t="s">
        <v>987</v>
      </c>
    </row>
    <row r="21">
      <c r="A21" t="s">
        <v>988</v>
      </c>
    </row>
    <row r="22">
      <c r="A22" t="s">
        <v>989</v>
      </c>
    </row>
    <row r="23">
      <c r="A23" t="s">
        <v>990</v>
      </c>
    </row>
    <row r="24">
      <c r="A24" t="s">
        <v>991</v>
      </c>
    </row>
    <row r="25">
      <c r="A25" t="s">
        <v>992</v>
      </c>
    </row>
    <row r="26">
      <c r="A26" t="s">
        <v>993</v>
      </c>
    </row>
    <row r="27">
      <c r="A27" t="s">
        <v>994</v>
      </c>
    </row>
    <row r="28">
      <c r="A28" t="s">
        <v>995</v>
      </c>
    </row>
    <row r="29">
      <c r="A29" t="s">
        <v>996</v>
      </c>
    </row>
    <row r="30">
      <c r="A30" t="s">
        <v>997</v>
      </c>
    </row>
    <row r="31">
      <c r="A31" t="s">
        <v>998</v>
      </c>
    </row>
    <row r="32">
      <c r="A32" t="s">
        <v>999</v>
      </c>
    </row>
    <row r="33">
      <c r="A33" t="s">
        <v>1000</v>
      </c>
    </row>
    <row r="34">
      <c r="A34" t="s">
        <v>1001</v>
      </c>
    </row>
    <row r="35">
      <c r="A35" t="s">
        <v>1002</v>
      </c>
    </row>
    <row r="36">
      <c r="A36" t="s">
        <v>1003</v>
      </c>
    </row>
    <row r="37">
      <c r="A37" t="s">
        <v>1004</v>
      </c>
    </row>
    <row r="38">
      <c r="A38" t="s">
        <v>1005</v>
      </c>
    </row>
    <row r="39">
      <c r="A39" t="s">
        <v>1006</v>
      </c>
    </row>
    <row r="40">
      <c r="A40" t="s">
        <v>1007</v>
      </c>
    </row>
    <row r="41">
      <c r="A41" t="s">
        <v>1008</v>
      </c>
    </row>
    <row r="42">
      <c r="A42" t="s">
        <v>1009</v>
      </c>
    </row>
    <row r="43">
      <c r="A43" t="s">
        <v>1010</v>
      </c>
    </row>
    <row r="44">
      <c r="A44" t="s">
        <v>1011</v>
      </c>
    </row>
    <row r="45">
      <c r="A45" t="s">
        <v>1012</v>
      </c>
    </row>
    <row r="46">
      <c r="A46" t="s">
        <v>1013</v>
      </c>
    </row>
    <row r="47">
      <c r="A47" t="s">
        <v>1014</v>
      </c>
    </row>
    <row r="48">
      <c r="A48" t="s">
        <v>1015</v>
      </c>
    </row>
    <row r="49">
      <c r="A49" t="s">
        <v>1016</v>
      </c>
    </row>
    <row r="50">
      <c r="A50" t="s">
        <v>1017</v>
      </c>
    </row>
    <row r="51">
      <c r="A51" t="s">
        <v>1018</v>
      </c>
    </row>
    <row r="52">
      <c r="A52" t="s">
        <v>1019</v>
      </c>
    </row>
    <row r="53">
      <c r="A53" t="s">
        <v>1020</v>
      </c>
    </row>
    <row r="54">
      <c r="A54" t="s">
        <v>1021</v>
      </c>
    </row>
    <row r="55">
      <c r="A55" t="s">
        <v>1022</v>
      </c>
    </row>
    <row r="56">
      <c r="A56" t="s">
        <v>1023</v>
      </c>
    </row>
    <row r="57">
      <c r="A57" t="s">
        <v>1024</v>
      </c>
    </row>
    <row r="58">
      <c r="A58" t="s">
        <v>1025</v>
      </c>
    </row>
    <row r="59">
      <c r="A59" t="s">
        <v>1026</v>
      </c>
    </row>
    <row r="60">
      <c r="A60" t="s">
        <v>1027</v>
      </c>
    </row>
    <row r="61">
      <c r="A61" t="s">
        <v>1028</v>
      </c>
    </row>
    <row r="62">
      <c r="A62" t="s">
        <v>1029</v>
      </c>
    </row>
    <row r="63">
      <c r="A63" t="s">
        <v>1030</v>
      </c>
    </row>
    <row r="64">
      <c r="A64" t="s">
        <v>1031</v>
      </c>
    </row>
    <row r="65">
      <c r="A65" t="s">
        <v>1032</v>
      </c>
    </row>
    <row r="66">
      <c r="A66" t="s">
        <v>1033</v>
      </c>
    </row>
    <row r="67">
      <c r="A67" t="s">
        <v>1034</v>
      </c>
    </row>
    <row r="68">
      <c r="A68" t="s">
        <v>1035</v>
      </c>
    </row>
    <row r="69">
      <c r="A69" t="s">
        <v>1036</v>
      </c>
    </row>
    <row r="70">
      <c r="A70" t="s">
        <v>1037</v>
      </c>
    </row>
    <row r="71">
      <c r="A71" t="s">
        <v>1038</v>
      </c>
    </row>
    <row r="72">
      <c r="A72" t="s">
        <v>1039</v>
      </c>
    </row>
    <row r="73">
      <c r="A73" t="s">
        <v>1040</v>
      </c>
    </row>
    <row r="74">
      <c r="A74" t="s">
        <v>1041</v>
      </c>
    </row>
    <row r="75">
      <c r="A75" t="s">
        <v>1042</v>
      </c>
    </row>
    <row r="76">
      <c r="A76" t="s">
        <v>1043</v>
      </c>
    </row>
    <row r="77">
      <c r="A77" t="s">
        <v>1044</v>
      </c>
    </row>
    <row r="78">
      <c r="A78" t="s">
        <v>1045</v>
      </c>
    </row>
    <row r="79">
      <c r="A79" t="s">
        <v>1046</v>
      </c>
    </row>
    <row r="80">
      <c r="A80" t="s">
        <v>1047</v>
      </c>
    </row>
    <row r="81">
      <c r="A81" t="s">
        <v>1048</v>
      </c>
    </row>
    <row r="82">
      <c r="A82" t="s">
        <v>1049</v>
      </c>
    </row>
    <row r="83">
      <c r="A83" t="s">
        <v>1050</v>
      </c>
    </row>
    <row r="84">
      <c r="A84" t="s">
        <v>1051</v>
      </c>
    </row>
    <row r="85">
      <c r="A85" t="s">
        <v>1052</v>
      </c>
    </row>
    <row r="86">
      <c r="A86" t="s">
        <v>1053</v>
      </c>
    </row>
    <row r="87">
      <c r="A87" t="s">
        <v>1054</v>
      </c>
    </row>
    <row r="88">
      <c r="A88" t="s">
        <v>1055</v>
      </c>
    </row>
    <row r="89">
      <c r="A89" t="s">
        <v>1056</v>
      </c>
    </row>
    <row r="90">
      <c r="A90" t="s">
        <v>1057</v>
      </c>
    </row>
    <row r="91">
      <c r="A91" t="s">
        <v>1058</v>
      </c>
    </row>
    <row r="92">
      <c r="A92" t="s">
        <v>1059</v>
      </c>
    </row>
    <row r="93">
      <c r="A93" t="s">
        <v>1060</v>
      </c>
    </row>
    <row r="94">
      <c r="A94" t="s">
        <v>1061</v>
      </c>
    </row>
    <row r="95">
      <c r="A95" t="s">
        <v>1062</v>
      </c>
    </row>
    <row r="96">
      <c r="A96" t="s">
        <v>1063</v>
      </c>
    </row>
    <row r="97">
      <c r="A97" t="s">
        <v>1064</v>
      </c>
    </row>
    <row r="98">
      <c r="A98" t="s">
        <v>1065</v>
      </c>
    </row>
    <row r="99">
      <c r="A99" t="s">
        <v>1066</v>
      </c>
    </row>
    <row r="100">
      <c r="A100" t="s">
        <v>1067</v>
      </c>
    </row>
    <row r="101">
      <c r="A101" t="s">
        <v>1068</v>
      </c>
    </row>
    <row r="102">
      <c r="A102" t="s">
        <v>1069</v>
      </c>
    </row>
    <row r="103">
      <c r="A103" t="s">
        <v>1070</v>
      </c>
    </row>
    <row r="104">
      <c r="A104" t="s">
        <v>1071</v>
      </c>
    </row>
    <row r="105">
      <c r="A105" t="s">
        <v>1072</v>
      </c>
    </row>
    <row r="106">
      <c r="A106" t="s">
        <v>1073</v>
      </c>
    </row>
    <row r="107">
      <c r="A107" t="s">
        <v>1074</v>
      </c>
    </row>
    <row r="108">
      <c r="A108" t="s">
        <v>1075</v>
      </c>
    </row>
    <row r="109">
      <c r="A109" t="s">
        <v>1076</v>
      </c>
    </row>
    <row r="110">
      <c r="A110" t="s">
        <v>1077</v>
      </c>
    </row>
    <row r="111">
      <c r="A111" t="s">
        <v>1078</v>
      </c>
    </row>
    <row r="112">
      <c r="A112" t="s">
        <v>1079</v>
      </c>
    </row>
    <row r="113">
      <c r="A113" t="s">
        <v>1080</v>
      </c>
    </row>
    <row r="114">
      <c r="A114" t="s">
        <v>1081</v>
      </c>
    </row>
    <row r="115">
      <c r="A115" t="s">
        <v>1082</v>
      </c>
    </row>
    <row r="116">
      <c r="A116" t="s">
        <v>1083</v>
      </c>
    </row>
    <row r="117">
      <c r="A117" t="s">
        <v>1084</v>
      </c>
    </row>
    <row r="118">
      <c r="A118" t="s">
        <v>1085</v>
      </c>
    </row>
    <row r="119">
      <c r="A119" t="s">
        <v>1086</v>
      </c>
    </row>
    <row r="120">
      <c r="A120" t="s">
        <v>1087</v>
      </c>
    </row>
    <row r="121">
      <c r="A121" t="s">
        <v>1088</v>
      </c>
    </row>
    <row r="122">
      <c r="A122" t="s">
        <v>1089</v>
      </c>
    </row>
    <row r="123">
      <c r="A123" t="s">
        <v>1090</v>
      </c>
    </row>
    <row r="124">
      <c r="A124" t="s">
        <v>1091</v>
      </c>
    </row>
    <row r="125">
      <c r="A125" t="s">
        <v>1092</v>
      </c>
    </row>
    <row r="126">
      <c r="A126" t="s">
        <v>1093</v>
      </c>
    </row>
    <row r="127">
      <c r="A127" t="s">
        <v>1094</v>
      </c>
    </row>
    <row r="128">
      <c r="A128" t="s">
        <v>1095</v>
      </c>
    </row>
    <row r="129">
      <c r="A129" t="s">
        <v>1096</v>
      </c>
    </row>
    <row r="130">
      <c r="A130" t="s">
        <v>1097</v>
      </c>
    </row>
    <row r="131">
      <c r="A131" t="s">
        <v>1098</v>
      </c>
    </row>
    <row r="132">
      <c r="A132" t="s">
        <v>1099</v>
      </c>
    </row>
    <row r="133">
      <c r="A133" t="s">
        <v>1100</v>
      </c>
    </row>
    <row r="134">
      <c r="A134" t="s">
        <v>1101</v>
      </c>
    </row>
    <row r="135">
      <c r="A135" t="s">
        <v>1102</v>
      </c>
    </row>
    <row r="136">
      <c r="A136" t="s">
        <v>1103</v>
      </c>
    </row>
    <row r="137">
      <c r="A137" t="s">
        <v>1104</v>
      </c>
    </row>
    <row r="138">
      <c r="A138" t="s">
        <v>1105</v>
      </c>
    </row>
    <row r="139">
      <c r="A139" t="s">
        <v>1106</v>
      </c>
    </row>
    <row r="140">
      <c r="A140" t="s">
        <v>1107</v>
      </c>
    </row>
    <row r="141">
      <c r="A141" t="s">
        <v>1108</v>
      </c>
    </row>
    <row r="142">
      <c r="A142" t="s">
        <v>1109</v>
      </c>
    </row>
    <row r="143">
      <c r="A143" t="s">
        <v>1110</v>
      </c>
    </row>
    <row r="144">
      <c r="A144" t="s">
        <v>1111</v>
      </c>
    </row>
    <row r="145">
      <c r="A145" t="s">
        <v>1112</v>
      </c>
    </row>
    <row r="146">
      <c r="A146" t="s">
        <v>1113</v>
      </c>
    </row>
    <row r="147">
      <c r="A147" t="s">
        <v>1114</v>
      </c>
    </row>
    <row r="148">
      <c r="A148" t="s">
        <v>1115</v>
      </c>
    </row>
    <row r="149">
      <c r="A149" t="s">
        <v>1116</v>
      </c>
    </row>
    <row r="150">
      <c r="A150" t="s">
        <v>1117</v>
      </c>
    </row>
    <row r="151">
      <c r="A151" t="s">
        <v>1118</v>
      </c>
    </row>
    <row r="152">
      <c r="A152" t="s">
        <v>1119</v>
      </c>
    </row>
    <row r="153">
      <c r="A153" t="s">
        <v>1120</v>
      </c>
    </row>
    <row r="154">
      <c r="A154" t="s">
        <v>1121</v>
      </c>
    </row>
    <row r="155">
      <c r="A155" t="s">
        <v>1122</v>
      </c>
    </row>
    <row r="156">
      <c r="A156" t="s">
        <v>1123</v>
      </c>
    </row>
    <row r="157">
      <c r="A157" t="s">
        <v>1124</v>
      </c>
    </row>
    <row r="158">
      <c r="A158" t="s">
        <v>1125</v>
      </c>
    </row>
    <row r="159">
      <c r="A159" t="s">
        <v>1126</v>
      </c>
    </row>
    <row r="160">
      <c r="A160" t="s">
        <v>1127</v>
      </c>
    </row>
    <row r="161">
      <c r="A161" t="s">
        <v>1128</v>
      </c>
    </row>
    <row r="162">
      <c r="A162" t="s">
        <v>1129</v>
      </c>
    </row>
    <row r="163">
      <c r="A163" t="s">
        <v>1130</v>
      </c>
    </row>
    <row r="164">
      <c r="A164" t="s">
        <v>1131</v>
      </c>
    </row>
    <row r="165">
      <c r="A165" t="s">
        <v>1132</v>
      </c>
    </row>
    <row r="166">
      <c r="A166" t="s">
        <v>1133</v>
      </c>
    </row>
    <row r="167">
      <c r="A167" t="s">
        <v>1134</v>
      </c>
    </row>
    <row r="168">
      <c r="A168" t="s">
        <v>1135</v>
      </c>
    </row>
    <row r="169">
      <c r="A169" t="s">
        <v>1136</v>
      </c>
    </row>
    <row r="170">
      <c r="A170" t="s">
        <v>1137</v>
      </c>
    </row>
    <row r="171">
      <c r="A171" t="s">
        <v>1138</v>
      </c>
    </row>
    <row r="172">
      <c r="A172" t="s">
        <v>1139</v>
      </c>
    </row>
    <row r="173">
      <c r="A173" t="s">
        <v>1140</v>
      </c>
    </row>
    <row r="174">
      <c r="A174" t="s">
        <v>1141</v>
      </c>
    </row>
    <row r="175">
      <c r="A175" t="s">
        <v>1142</v>
      </c>
    </row>
    <row r="176">
      <c r="A176" t="s">
        <v>1143</v>
      </c>
    </row>
    <row r="177">
      <c r="A177" t="s">
        <v>1144</v>
      </c>
    </row>
    <row r="178">
      <c r="A178" t="s">
        <v>1145</v>
      </c>
    </row>
    <row r="179">
      <c r="A179" t="s">
        <v>1146</v>
      </c>
    </row>
    <row r="180">
      <c r="A180" t="s">
        <v>1147</v>
      </c>
    </row>
    <row r="181">
      <c r="A181" t="s">
        <v>1148</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1B61308F-8AEA-41ED-A82F-70F5B86592E1}"/>
</file>

<file path=customXml/itemProps2.xml><?xml version="1.0" encoding="utf-8"?>
<ds:datastoreItem xmlns:ds="http://schemas.openxmlformats.org/officeDocument/2006/customXml" ds:itemID="{FAA9B0A6-9F46-4AAE-A128-96A6DFE6DE7D}"/>
</file>

<file path=customXml/itemProps3.xml><?xml version="1.0" encoding="utf-8"?>
<ds:datastoreItem xmlns:ds="http://schemas.openxmlformats.org/officeDocument/2006/customXml" ds:itemID="{B85CB8EB-42F6-4649-ACA5-AD33E9F771D2}"/>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de Sousa</dc:creator>
  <dc:description/>
  <cp:lastModifiedBy>Alexandra de Sousa</cp:lastModifiedBy>
  <cp:revision>0</cp:revision>
  <dcterms:created xsi:type="dcterms:W3CDTF">2023-10-04T18:06:19Z</dcterms:created>
  <dcterms:modified xsi:type="dcterms:W3CDTF">2026-07-18T19:23:56Z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