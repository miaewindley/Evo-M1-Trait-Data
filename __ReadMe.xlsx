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defaultThemeVersion="166925"/>
  <bookViews>
    <workbookView xWindow="34560" yWindow="-580" windowWidth="51200" windowHeight="19960" firstSheet="0" activeTab="0"/>
  </bookViews>
  <sheets>
    <sheet name="Sheet1" sheetId="1" state="visible" r:id="rId1"/>
    <sheet name="FileList" sheetId="2" state="visible" r:id="rId2"/>
  </sheets>
  <calcPr calcId="191029"/>
</workbook>
</file>

<file path=xl/sharedStrings.xml><?xml version="1.0" encoding="utf-8"?>
<sst xmlns="http://schemas.openxmlformats.org/spreadsheetml/2006/main" count="969" uniqueCount="969">
  <si>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</si>
  <si>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</si>
  <si>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</si>
  <si>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</si>
  <si>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</si>
  <si>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</si>
  <si>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</si>
  <si>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</si>
  <si>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</si>
  <si>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</si>
  <si>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</si>
  <si>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</si>
  <si>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</si>
  <si>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</si>
  <si>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</si>
  <si>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</si>
  <si>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</si>
  <si>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</si>
  <si>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</si>
  <si>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</si>
  <si>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</si>
  <si>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</si>
  <si>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</si>
  <si>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</si>
  <si>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</si>
  <si>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</si>
  <si>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</si>
  <si>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</si>
  <si>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</si>
  <si>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</si>
  <si>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</si>
  <si>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</si>
  <si>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</si>
  <si>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</si>
  <si>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</si>
  <si>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</si>
  <si>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</si>
  <si>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</si>
  <si>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</si>
  <si>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</si>
  <si>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</si>
  <si>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</si>
  <si>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</si>
  <si>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</si>
  <si>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</si>
  <si>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</si>
  <si>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</si>
  <si>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</si>
  <si>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</si>
  <si>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</si>
  <si>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</si>
  <si>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</si>
  <si>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</si>
  <si>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</si>
  <si>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</si>
  <si>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</si>
  <si>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</si>
  <si>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</si>
  <si>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</si>
  <si>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</si>
  <si>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</si>
  <si>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</si>
  <si>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</si>
  <si>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</si>
  <si>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volumes</t>
  </si>
  <si>
    <t>cell number</t>
  </si>
  <si>
    <t>cell density</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</si>
  <si>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</si>
  <si>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</si>
  <si>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Zilles</t>
  </si>
  <si>
    <t>histological sections</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</si>
  <si>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</si>
  <si>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</si>
  <si>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</si>
  <si>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</si>
  <si>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</si>
  <si>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</si>
  <si>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</si>
  <si>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</si>
  <si>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</si>
  <si>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</si>
  <si>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</si>
  <si>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</si>
  <si>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</si>
  <si>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</si>
  <si>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</si>
  <si>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</si>
  <si>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</si>
  <si>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</si>
  <si>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</si>
  <si>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</si>
  <si>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</si>
  <si>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</si>
  <si>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</si>
  <si>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</si>
  <si>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</si>
  <si>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</si>
  <si>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</si>
  <si>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</si>
  <si>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</si>
  <si>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</si>
  <si>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</si>
  <si>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</si>
  <si>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</si>
  <si>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</si>
  <si>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</si>
  <si>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</si>
  <si>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</si>
  <si>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</si>
  <si>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</si>
  <si>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</si>
  <si>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</si>
  <si>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</si>
  <si>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</si>
  <si>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</si>
  <si>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</si>
  <si>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</si>
  <si>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</si>
  <si>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</si>
  <si>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</si>
  <si>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</si>
  <si>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</si>
  <si>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</si>
  <si>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</si>
  <si>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</si>
  <si>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</si>
  <si>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</si>
  <si>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</si>
  <si>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</si>
  <si>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</si>
  <si>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</si>
  <si>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</si>
  <si>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</si>
  <si>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</si>
  <si>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</si>
  <si>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</si>
  <si>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</si>
  <si>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</si>
  <si>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</si>
  <si>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</si>
  <si>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</si>
  <si>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</si>
  <si>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</si>
  <si>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</si>
  <si>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</si>
  <si>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Allman</t>
  </si>
  <si>
    <t>AFIP</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</si>
  <si>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</si>
  <si>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</si>
  <si>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</si>
  <si>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</si>
  <si>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</si>
  <si>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</si>
  <si>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</si>
  <si>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</si>
  <si>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</si>
  <si>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</si>
  <si>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</si>
  <si>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</si>
  <si>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</si>
  <si>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</si>
  <si>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</si>
  <si>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</si>
  <si>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</si>
  <si>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</si>
  <si>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</si>
  <si>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</si>
  <si>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</si>
  <si>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</si>
  <si>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</si>
  <si>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</si>
  <si>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</si>
  <si>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</si>
  <si>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</si>
  <si>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</si>
  <si>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</si>
  <si>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</si>
  <si>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</si>
  <si>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</si>
  <si>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</si>
  <si>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</si>
  <si>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</si>
  <si>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</si>
  <si>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</si>
  <si>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</si>
  <si>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</si>
  <si>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</si>
  <si>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</si>
  <si>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</si>
  <si>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</si>
  <si>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</si>
  <si>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</si>
  <si>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</si>
  <si>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</si>
  <si>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</si>
  <si>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</si>
  <si>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</si>
  <si>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</si>
  <si>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</si>
  <si>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</si>
  <si>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</si>
  <si>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</si>
  <si>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</si>
  <si>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</si>
  <si>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</si>
  <si>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</si>
  <si>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</si>
  <si>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</si>
  <si>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</si>
  <si>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</si>
  <si>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</si>
  <si>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</si>
  <si>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</si>
  <si>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</si>
  <si>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</si>
  <si>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</si>
  <si>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</si>
  <si>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</si>
  <si>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</si>
  <si>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</si>
  <si>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</si>
  <si>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</si>
  <si>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</si>
  <si>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</si>
  <si>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</si>
  <si>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</si>
  <si>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</si>
  <si>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</si>
  <si>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</si>
  <si>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</si>
  <si>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</si>
  <si>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</si>
  <si>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</si>
  <si>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</si>
  <si>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</si>
  <si>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mostly Stephan and other Ddorf studies</t>
  </si>
  <si>
    <t>Brain Regions Volumes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</si>
  <si>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</si>
  <si>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</si>
  <si>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</si>
  <si>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</si>
  <si>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</si>
  <si>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</si>
  <si>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</si>
  <si>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</si>
  <si>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</si>
  <si>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</si>
  <si>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</si>
  <si>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</si>
  <si>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</si>
  <si>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</si>
  <si>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</si>
  <si>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</si>
  <si>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</si>
  <si>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</si>
  <si>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</si>
  <si>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</si>
  <si>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</si>
  <si>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</si>
  <si>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</si>
  <si>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</si>
  <si>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</si>
  <si>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</si>
  <si>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</si>
  <si>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</si>
  <si>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</si>
  <si>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</si>
  <si>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</si>
  <si>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</si>
  <si>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</si>
  <si>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</si>
  <si>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</si>
  <si>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</si>
  <si>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</si>
  <si>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</si>
  <si>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</si>
  <si>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</si>
  <si>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</si>
  <si>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</si>
  <si>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</si>
  <si>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</si>
  <si>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</si>
  <si>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</si>
  <si>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</si>
  <si>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</si>
  <si>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</si>
  <si>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</si>
  <si>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</si>
  <si>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</si>
  <si>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</si>
  <si>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</si>
  <si>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</si>
  <si>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</si>
  <si>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</si>
  <si>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</si>
  <si>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</si>
  <si>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</si>
  <si>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</si>
  <si>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</si>
  <si>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</si>
  <si>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</si>
  <si>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</si>
  <si>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</si>
  <si>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</si>
  <si>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</si>
  <si>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</si>
  <si>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</si>
  <si>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</si>
  <si>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</si>
  <si>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</si>
  <si>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</si>
  <si>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</si>
  <si>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</si>
  <si>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</si>
  <si>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</si>
  <si>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</si>
  <si>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</si>
  <si>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</si>
  <si>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</si>
  <si>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</si>
  <si>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</si>
  <si>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</si>
  <si>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</si>
  <si>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</si>
  <si>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</si>
  <si>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</si>
  <si>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</si>
  <si>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</si>
  <si>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</si>
  <si>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</si>
  <si>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</si>
  <si>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</si>
  <si>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</si>
  <si>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</si>
  <si>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</si>
  <si>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</si>
  <si>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</si>
  <si>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</si>
  <si>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</si>
  <si>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</si>
  <si>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</si>
  <si>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</si>
  <si>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</si>
  <si>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</si>
  <si>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</si>
  <si>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</si>
  <si>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</si>
  <si>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</si>
  <si>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</si>
  <si>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</si>
  <si>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</si>
  <si>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</si>
  <si>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</si>
  <si>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</si>
  <si>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</si>
  <si>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</si>
  <si>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</si>
  <si>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</si>
  <si>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</si>
  <si>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</si>
  <si>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</si>
  <si>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</si>
  <si>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</si>
  <si>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</si>
  <si>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</si>
  <si>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</si>
  <si>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</si>
  <si>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</si>
  <si>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</si>
  <si>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</si>
  <si>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</si>
  <si>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</si>
  <si>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</si>
  <si>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</si>
  <si>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</si>
  <si>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</si>
  <si>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</si>
  <si>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</si>
  <si>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</si>
  <si>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</si>
  <si>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</si>
  <si>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</si>
  <si>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</si>
  <si>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</si>
  <si>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</si>
  <si>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</si>
  <si>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</si>
  <si>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</si>
  <si>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</si>
  <si>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</si>
  <si>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</si>
  <si>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</si>
  <si>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</si>
  <si>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</si>
  <si>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</si>
  <si>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</si>
  <si>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</si>
  <si>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</si>
  <si>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</si>
  <si>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</si>
  <si>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</si>
  <si>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</si>
  <si>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</si>
  <si>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</si>
  <si>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</si>
  <si>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</si>
  <si>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</si>
  <si>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</si>
  <si>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</si>
  <si>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</si>
  <si>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</si>
  <si>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</si>
  <si>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</si>
  <si>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</si>
  <si>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</si>
  <si>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</si>
  <si>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</si>
  <si>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</si>
  <si>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</si>
  <si>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</si>
  <si>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</si>
  <si>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</si>
  <si>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</si>
  <si>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</si>
  <si>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</si>
  <si>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</si>
  <si>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</si>
  <si>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</si>
  <si>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</si>
  <si>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</si>
  <si>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</si>
  <si>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</si>
  <si>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</si>
  <si>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</si>
  <si>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</si>
  <si>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</si>
  <si>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</si>
  <si>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</si>
  <si>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</si>
  <si>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Doctoral dissertation (not in PubMed; no DOI). Use ProQuest Dissertations &amp; Theses number (or WashU OpenScholarship URI) as the identifier - add the actual number.</t>
  </si>
  <si>
    <t>brain/body scaling</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</si>
  <si>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</si>
  <si>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</si>
  <si>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</si>
  <si>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</si>
  <si>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</si>
  <si>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</si>
  <si>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</si>
  <si>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</si>
  <si>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</si>
  <si>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</si>
  <si>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</si>
  <si>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</si>
  <si>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</si>
  <si>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</si>
  <si>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</si>
  <si>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</si>
  <si>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</si>
  <si>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</si>
  <si>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</si>
  <si>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</si>
  <si>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</si>
  <si>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</si>
  <si>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</si>
  <si>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</si>
  <si>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</si>
  <si>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</si>
  <si>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</si>
  <si>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</si>
  <si>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</si>
  <si>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</si>
  <si>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</si>
  <si>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</si>
  <si>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</si>
  <si>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</si>
  <si>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</si>
  <si>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</si>
  <si>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</si>
  <si>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</si>
  <si>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</si>
  <si>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</si>
  <si>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</si>
  <si>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</si>
  <si>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behavioural (cognition / vocalization)</t>
  </si>
  <si>
    <t>data/species_predictors.xlsx</t>
  </si>
  <si>
    <t>need to record steps</t>
  </si>
  <si>
    <t>https://github.com/ManyPrimates/mp1_short_term_memory/raw/master/data/species_predictors.xlsx</t>
  </si>
  <si>
    <t>various secondary and primary data, e.g., ecology</t>
  </si>
  <si>
    <t>number of vocalizations</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</si>
  <si>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</si>
  <si>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</si>
  <si>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</si>
  <si>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</si>
  <si>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</si>
  <si>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</si>
  <si>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</si>
  <si>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</si>
  <si>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</si>
  <si>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</si>
  <si>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</si>
  <si>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</si>
  <si>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</si>
  <si>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</si>
  <si>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</si>
  <si>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</si>
  <si>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</si>
  <si>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</si>
  <si>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</si>
  <si>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</si>
  <si>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</si>
  <si>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Schniter, E., &amp; Penaherrera-Aguirre, M. (2026). Evolution of primate vocal repertoires: vocal systems as embodied capital for mediating within-group conflict. Primates. https://doi.org/10.1007/s10329-026-01271-2</t>
  </si>
  <si>
    <t>data</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</si>
  <si>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</si>
  <si>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</si>
  <si>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</si>
  <si>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</si>
  <si>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</si>
  <si>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</si>
  <si>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</si>
  <si>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</si>
  <si>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</si>
  <si>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</si>
  <si>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</si>
  <si>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</si>
  <si>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</si>
  <si>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</si>
  <si>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</si>
  <si>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</si>
  <si>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</si>
  <si>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</si>
  <si>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</si>
  <si>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</si>
  <si>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</si>
  <si>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</si>
  <si>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</si>
  <si>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</si>
  <si>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</si>
  <si>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</si>
  <si>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</si>
  <si>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</si>
  <si>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</si>
  <si>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</si>
  <si>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</si>
  <si>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</si>
  <si>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</si>
  <si>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</si>
  <si>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</si>
  <si>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</si>
  <si>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</si>
  <si>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</si>
  <si>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</si>
  <si>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</si>
  <si>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</si>
  <si>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</si>
  <si>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</si>
  <si>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</si>
  <si>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</si>
  <si>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</si>
  <si>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</si>
  <si>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</si>
  <si>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</si>
  <si>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</si>
  <si>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</si>
  <si>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</si>
  <si>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</si>
  <si>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</si>
  <si>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</si>
  <si>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</si>
  <si>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</si>
  <si>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</si>
  <si>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</si>
  <si>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</si>
  <si>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</si>
  <si>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</si>
  <si>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</si>
  <si>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</si>
  <si>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</si>
  <si>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</si>
  <si>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</si>
  <si>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</si>
  <si>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</si>
  <si>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</si>
  <si>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amygdaloid component volumes</t>
  </si>
  <si>
    <t>Stephan, H., Frahm, H., &amp; Baron, G. (1981). New and revised data on volumes of brain structures in insectivores and primates. Folia Primatol (Basel), 35(1), 1-29. https://doi.org/10.1159/000155963</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</si>
  <si>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</si>
  <si>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</si>
  <si>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</si>
  <si>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</si>
  <si>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</si>
  <si>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</si>
  <si>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</si>
  <si>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</si>
  <si>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</si>
  <si>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</si>
  <si>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</si>
  <si>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</si>
  <si>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</si>
  <si>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</si>
  <si>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</si>
  <si>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</si>
  <si>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</si>
  <si>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</si>
  <si>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</si>
  <si>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</si>
  <si>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</si>
  <si>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</si>
  <si>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</si>
  <si>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</si>
  <si>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</si>
  <si>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</si>
  <si>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</si>
  <si>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</si>
  <si>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</si>
  <si>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</si>
  <si>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</si>
  <si>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</si>
  <si>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</si>
  <si>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</si>
  <si>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</si>
  <si>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</si>
  <si>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</si>
  <si>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</si>
  <si>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</si>
  <si>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ISBN:0390672505</t>
  </si>
  <si>
    <t>Insectivora, Scandentia</t>
  </si>
  <si>
    <t>Caves, E. M., Brandley, N. C., &amp; Johnsen, S. (2018). Visual Acuity and the Evolution of Signals. Trends Ecol Evol, 33(5), 358-372. https://doi.org/10.1016/j.tree.2018.03.001</t>
  </si>
  <si>
    <t>Rilling, J. K., &amp; Insel, T. R. (1999). The primate neocortex in comparative perspective using magnetic resonance imaging. J Hum Evol, 37(2), 191-223. https://doi.org/10.1006/jhev.1999.0313</t>
  </si>
  <si>
    <t>Table 1 Data on 11 species of anthropoid primates</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</si>
  <si>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</si>
  <si>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</si>
  <si>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</si>
  <si>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</si>
  <si>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</si>
  <si>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 xml:space="preserve"> </t>
  </si>
  <si>
    <t>Table I. Data on body weights (g). brain weights (mg). and volumes or total brain and fundamental brain parts (mm3) in insectivores</t>
  </si>
  <si>
    <t>Table II. Data on body weights (g), brain weights (mg), and volumes of total brain and fundamental brain parts (mm1) in prosimians; for comments on structures see table I</t>
  </si>
  <si>
    <t>Table II</t>
  </si>
  <si>
    <t>Table III</t>
  </si>
  <si>
    <t>Table IV</t>
  </si>
  <si>
    <t>Table V</t>
  </si>
  <si>
    <t>Table VI</t>
  </si>
  <si>
    <t>Table III. Data on body weights (g). brain weights (mg), and volumes or total brain and fundamental brain pans (mm&gt;) in simians; for comments on structures see table I</t>
  </si>
  <si>
    <t>Table V. Volumes of the telencephalon and of its components (mm3) in prosimians; for comments on structures see table IV</t>
  </si>
  <si>
    <t>Table IV: Volumes of the telencephalon and of its components (mm3) in insectivores</t>
  </si>
  <si>
    <t>Tables 1-6 combined</t>
  </si>
  <si>
    <t>Note about item</t>
  </si>
  <si>
    <t>Tables I-VI combined. The file name should be changed!</t>
  </si>
  <si>
    <t>Table VI. Volumes of the telencephalon and of its components (mm3) in simians: for comments on structures see table IV</t>
  </si>
  <si>
    <t>TablesI-VI</t>
  </si>
  <si>
    <t>TABLE 2. Stereological sampling of brains</t>
  </si>
  <si>
    <t>Fig4A_allsubjects_volumes</t>
  </si>
  <si>
    <t>Fig5A_adultsonly_volumes</t>
  </si>
  <si>
    <t>Fig 4 A</t>
  </si>
  <si>
    <t>Fig 5 A</t>
  </si>
  <si>
    <t>Ashwell</t>
  </si>
  <si>
    <t>Barks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</si>
  <si>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</si>
  <si>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</si>
  <si>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</si>
  <si>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</si>
  <si>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</si>
  <si>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</si>
  <si>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Semendeferi, K., &amp; Damasio, H. (2000). The brain and its main anatomical subdivisions in living hominoids using magnetic resonance imaging. J Hum Evol, 38(2), 317-332. https://doi.org/10.1006/jhev.1999.0381</t>
  </si>
  <si>
    <t>Balzeau, A., Holloway, R. L., &amp; Grimaud-Herve, D. (2012). Variations and asymmetries in regional brain surface in the genus Homo. J Hum Evol, 62(6), 696-706. https://doi.org/10.1016/j.jhevol.2012.03.007</t>
  </si>
  <si>
    <t>Table 3 Size-corrected dimensions for the surface of the frontal, parieto-temporal and occipital lobes in the different analysed samples.</t>
  </si>
  <si>
    <t>Table 5 Percentage contribution of frontal, parieto-temporal and occipital lobes to the hemispheres.</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</si>
  <si>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</si>
  <si>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Figure 3. Comparisons of the relative volumes of the parcellated brain regions among NT, EH and MH.</t>
  </si>
  <si>
    <t>Table A-15: Data for Raw and Derived Variables</t>
  </si>
  <si>
    <t>Notes for Table A-15</t>
  </si>
  <si>
    <t>Table A-15</t>
  </si>
  <si>
    <t>Weaver, A. G. H. (2001). The cerebellum and cognitive evolution in Pliocene and Pleistocene hominids (Publication No. 3017523) [Doctoral dissertation, The University of New Mexico]. ProQuest Dissertations &amp; Theses Global.</t>
  </si>
  <si>
    <t>UMI:3017523</t>
  </si>
  <si>
    <t>Figure 3 legend</t>
  </si>
  <si>
    <t>data that are written in the legend</t>
  </si>
  <si>
    <t>data that are extracted from bar plots</t>
  </si>
  <si>
    <t xml:space="preserve">Extended Data Figure 4  Comparisons of the relative volumes of the parcellated brain regions among NT, EH and MH, assuming that the variation within NT and EH was equivalent to that of MH. </t>
  </si>
  <si>
    <t>Extended Data Figure 4</t>
  </si>
  <si>
    <t>figure legend</t>
  </si>
  <si>
    <t>figure</t>
  </si>
  <si>
    <t xml:space="preserve">Extended Data Table 1 Correspondence between the AAL atlas and the parcellated brain regions </t>
  </si>
  <si>
    <t>Extended Data Table 1</t>
  </si>
  <si>
    <t xml:space="preserve">Extended Data Table 3 Statistical test results of differences in the relative volumes of the parcellated brain regions among NT, EH and MH. </t>
  </si>
  <si>
    <t>Extended Data Table 3</t>
  </si>
  <si>
    <t>Main text</t>
  </si>
  <si>
    <t>FossilSpecimensText</t>
  </si>
  <si>
    <t>Fossil Specimens description in Main text</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</si>
  <si>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</si>
  <si>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</si>
  <si>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</si>
  <si>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</si>
  <si>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</si>
  <si>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</si>
  <si>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</si>
  <si>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</si>
  <si>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</si>
  <si>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</si>
  <si>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</si>
  <si>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</si>
  <si>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</si>
  <si>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</si>
  <si>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</si>
  <si>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</si>
  <si>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</si>
  <si>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</si>
  <si>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</si>
  <si>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</si>
  <si>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10.1007%2Fs004220000205_Figure3.tsv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</si>
  <si>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</si>
  <si>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</si>
  <si>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</si>
  <si>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</si>
  <si>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</si>
  <si>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</si>
  <si>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</si>
  <si>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</si>
  <si>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</si>
  <si>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</si>
  <si>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</si>
  <si>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</si>
  <si>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</si>
  <si>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</si>
  <si>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</si>
  <si>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10.1016%2Fj.zool.2020.125753_SupplementaryTable.tsv</t>
  </si>
  <si>
    <t>10.1016%2Fs0047-2484(03)00028-9_Table1.tsv</t>
  </si>
  <si>
    <t>10.1016%2Fs0047-2484(03)00028-9_Table2.tsv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</si>
  <si>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</si>
  <si>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</si>
  <si>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</si>
  <si>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</si>
  <si>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</si>
  <si>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</si>
  <si>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10.1038%2Fs41598-018-24331-0_ExtendedDataFigure4.tsv</t>
  </si>
  <si>
    <t>10.1038%2Fs41598-018-24331-0_ExtendedDataTable1.tsv</t>
  </si>
  <si>
    <t>10.1038%2Fs41598-018-24331-0_ExtendedDataTable3.tsv</t>
  </si>
  <si>
    <t>10.1038%2Fs41598-018-24331-0_Figure3.tsv</t>
  </si>
  <si>
    <t>10.1038%2Fs41598-018-24331-0_Figure3legend.tsv</t>
  </si>
  <si>
    <t>10.1038%2Fs41598-018-24331-0_FossilSpecimensText.tsv</t>
  </si>
  <si>
    <t>10.1038%2Fs41598-018-26062-8_Table1.tsv</t>
  </si>
  <si>
    <t>10.1038%2Fs41598-018-26062-8_TableS1.tsv</t>
  </si>
  <si>
    <t>10.1038%2Fs41598-018-26062-8_TableS5.tsv</t>
  </si>
  <si>
    <t>10.1073%2Fpnas.0305760101_Table2.tsv</t>
  </si>
  <si>
    <t>10.1073%2Fpnas.0905777106_TableS1.tsv</t>
  </si>
  <si>
    <t>10.1073%2Fpnas.1716956116_SupplementaryTableS1.tsv</t>
  </si>
  <si>
    <t>10.1093%2Fcercor%2Fbhy315_Table4.tsv</t>
  </si>
  <si>
    <t>10.1093%2Fjmammal%2Fgyz043_SupplementaryDataSD1.tsv</t>
  </si>
  <si>
    <t>10.1093%2Foso%2F9780198568742.003.0006_Table6.1.tsv</t>
  </si>
  <si>
    <t>10.1093%2Fscan%2Fnsv128_TableS1.tsv</t>
  </si>
  <si>
    <t>10.1093%2Fscan%2Fnsv128_TableS2.tsv</t>
  </si>
  <si>
    <t>10.1098%2Frspb.2015.1853_Table1.tsv</t>
  </si>
  <si>
    <t>10.1098%2Frspb.2015.1853_Table2.tsv</t>
  </si>
  <si>
    <t>10.1126%2Fscience.aaa9101_TableS1.tsv</t>
  </si>
  <si>
    <t>10.1159%2F000006575_Table1.tsv</t>
  </si>
  <si>
    <t>10.1159%2F000068880_Table1.tsv</t>
  </si>
  <si>
    <t>10.1159%2F000124401_TableI.tsv</t>
  </si>
  <si>
    <t>10.1159%2F000155963_Table1.tsv</t>
  </si>
  <si>
    <t>10.1159%2F000155963_TablesI-VI.tsv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</si>
  <si>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</si>
  <si>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</si>
  <si>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</si>
  <si>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</si>
  <si>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</si>
  <si>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</si>
  <si>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</si>
  <si>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</si>
  <si>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</si>
  <si>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</si>
  <si>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</si>
  <si>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</si>
  <si>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</si>
  <si>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</si>
  <si>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</si>
  <si>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</si>
  <si>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</si>
  <si>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</si>
  <si>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</si>
  <si>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</si>
  <si>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</si>
  <si>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</si>
  <si>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10.3389%2Ffnhum.2014.00277_Table1.tsv</t>
  </si>
  <si>
    <t>10.3389%2Ffnins.2021.632853_TABLE1.tsv</t>
  </si>
  <si>
    <t>10.6084%2Fm9.figshare.c.3899422.v1_Dataset1.tsv</t>
  </si>
  <si>
    <t>10.7554%2FeLife.77875_Supplementaryfile3.tsv</t>
  </si>
  <si>
    <t>10.7554%2FeLife.77875_Table1.tsv</t>
  </si>
  <si>
    <t>ISBN%3A0390672505_Tables1-6.tsv</t>
  </si>
  <si>
    <t>ISBN%3A0845140000_TABLE1.tsv</t>
  </si>
  <si>
    <t>ISBN%3A9780195043716_Table12-2.tsv</t>
  </si>
  <si>
    <t>NQ%3A61662_APPENDIXI.tsv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</si>
  <si>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</si>
  <si>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</si>
  <si>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</si>
  <si>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</si>
  <si>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</si>
  <si>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</si>
  <si>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</si>
  <si>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</si>
  <si>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</si>
  <si>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</si>
  <si>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</si>
  <si>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</si>
  <si>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</si>
  <si>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</si>
  <si>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</si>
  <si>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</si>
  <si>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Figure 3A</t>
  </si>
  <si>
    <t>Figure 3B</t>
  </si>
  <si>
    <t>Table VII</t>
  </si>
  <si>
    <t>Table VIII</t>
  </si>
  <si>
    <t>Table IX</t>
  </si>
  <si>
    <t>Table X</t>
  </si>
  <si>
    <t>Stephan, H., Frahm, H., &amp; Baron, G. (1981). New and revised data on volumes of brain structures in insectivores and primates. Folia Primatol (Basel), 35(1), 1-29. https://doi.org/10.1159/000155964</t>
  </si>
  <si>
    <t>Stephan, H., Frahm, H., &amp; Baron, G. (1981). New and revised data on volumes of brain structures in insectivores and primates. Folia Primatol (Basel), 35(1), 1-29. https://doi.org/10.1159/000155965</t>
  </si>
  <si>
    <t>Stephan, H., Frahm, H., &amp; Baron, G. (1981). New and revised data on volumes of brain structures in insectivores and primates. Folia Primatol (Basel), 35(1), 1-29. https://doi.org/10.1159/000155966</t>
  </si>
  <si>
    <t>Table XI</t>
  </si>
  <si>
    <t>Table XII</t>
  </si>
  <si>
    <t>Table XIII</t>
  </si>
  <si>
    <t>Table XIV</t>
  </si>
  <si>
    <t>Table XV</t>
  </si>
  <si>
    <t>Table XVI</t>
  </si>
  <si>
    <t>Table XVI. Volumes of various periventricular structures (mm3) in simians</t>
  </si>
  <si>
    <t>Table XV. Volumes of various periventricular structures (mm3) in prosimians</t>
  </si>
  <si>
    <t>Table XIV. Volumes of various periventricular structures (mm 3) in insectivores</t>
  </si>
  <si>
    <t>Table XIII. Volumes of vestibular complex and its various components (mm3) in primates</t>
  </si>
  <si>
    <t>Table XII. Volumes of vestibular complex and its various components (mm3) in insectivores</t>
  </si>
  <si>
    <t>Table XI. Volumes of paleocortex, of amygdala and its various components (mm3) in primates: for comments on structures see table X</t>
  </si>
  <si>
    <t>Table X. Volume of paleocortex, of amygdala and ils various components (mm3) in insectivores</t>
  </si>
  <si>
    <t>Table IX. Volumes of visual cortex (area striata) and lateral geniculate body (mm3) in primates</t>
  </si>
  <si>
    <t>Table VIII. Volumes of components of the diencephalon (mm3) in primates</t>
  </si>
  <si>
    <t>Table VIl. Volumes of components of the diencephalon (mm3) in insectivores</t>
  </si>
  <si>
    <t>Table 1. Volumes and indices of the amygdala (AMY) and amygdaloid components (LAM, MAM, MCB, NTO) in Macroscelidea, Insectivora and Scandentia</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</si>
  <si>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</si>
  <si>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</si>
  <si>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</si>
  <si>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</si>
  <si>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</si>
  <si>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</si>
  <si>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</si>
  <si>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</si>
  <si>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</si>
  <si>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</si>
  <si>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</si>
  <si>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</si>
  <si>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</si>
  <si>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</si>
  <si>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</si>
  <si>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</si>
  <si>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</si>
  <si>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</si>
  <si>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</si>
  <si>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10.1006%2Fjhev.1999.0313_Table1.tsv</t>
  </si>
  <si>
    <t xml:space="preserve">10.1007%2Fs004220000205_Figure3.tsv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</si>
  <si>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</si>
  <si>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</si>
  <si>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</si>
  <si>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</si>
  <si>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</si>
  <si>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</si>
  <si>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</si>
  <si>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</si>
  <si>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</si>
  <si>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</si>
  <si>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</si>
  <si>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</si>
  <si>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</si>
  <si>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</si>
  <si>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</si>
  <si>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</si>
  <si>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</si>
  <si>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</si>
  <si>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</si>
  <si>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</si>
  <si>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</si>
  <si>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</si>
  <si>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</si>
  <si>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</si>
  <si>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</si>
  <si>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</si>
  <si>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</si>
  <si>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</si>
  <si>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</si>
  <si>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</si>
  <si>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</si>
  <si>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</si>
  <si>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</si>
  <si>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</si>
  <si>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10.1073%2Fpnas.0305760101_Table2.tsv</t>
  </si>
  <si>
    <t xml:space="preserve">10.1073%2Fpnas.0905777106_TableS1.tsv</t>
  </si>
  <si>
    <t xml:space="preserve">10.1073%2Fpnas.1716956116_SupplementaryTableS1.tsv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</si>
  <si>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</si>
  <si>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</si>
  <si>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</si>
  <si>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</si>
  <si>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</si>
  <si>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10.1098%2Frspb.2015.1853_Table1.tsv</t>
  </si>
  <si>
    <t xml:space="preserve">10.1098%2Frspb.2015.1853_Table2.tsv</t>
  </si>
  <si>
    <t xml:space="preserve">10.1126%2Fscience.aaa9101_TableS1.tsv</t>
  </si>
  <si>
    <t xml:space="preserve">10.1159%2F000006575_Table1.tsv</t>
  </si>
  <si>
    <t xml:space="preserve">10.1159%2F000068880_Table1.tsv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</si>
  <si>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</si>
  <si>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</si>
  <si>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</si>
  <si>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</si>
  <si>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</si>
  <si>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</si>
  <si>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</si>
  <si>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</si>
  <si>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</si>
  <si>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</si>
  <si>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</si>
  <si>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</si>
  <si>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</si>
  <si>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</si>
  <si>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</si>
  <si>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</si>
  <si>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</si>
  <si>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</si>
  <si>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</si>
  <si>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</si>
  <si>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</si>
  <si>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</si>
  <si>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</si>
  <si>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</si>
  <si>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</si>
  <si>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</si>
  <si>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</si>
  <si>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</si>
  <si>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</si>
  <si>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10.1159%2F000452856_TableS1.tsv</t>
  </si>
  <si>
    <t xml:space="preserve">10.1371%2Fjournal.pbio.1002000_TableS1.tsv</t>
  </si>
  <si>
    <t xml:space="preserve">10.1371%2Fjournal.pbio.1002000_TableS8.tsv</t>
  </si>
  <si>
    <t xml:space="preserve">10.1523%2FJNEUROSCI.2339-19.2020_Table1.tsv</t>
  </si>
  <si>
    <t xml:space="preserve">10.1523%2FJNEUROSCI.2339-19.2020_unpublished.tsv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</si>
  <si>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</si>
  <si>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</si>
  <si>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</si>
  <si>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</si>
  <si>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</si>
  <si>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</si>
  <si>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</si>
  <si>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</si>
  <si>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10.7554%2FeLife.77875_Supplementaryfile3.tsv</t>
  </si>
  <si>
    <t xml:space="preserve">10.7554%2FeLife.77875_Table1.tsv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</si>
  <si>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</si>
  <si>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</si>
  <si>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</si>
  <si>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</si>
  <si>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</si>
  <si>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</si>
  <si>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ISBN%3A0845140000_TABLE1.tsv</t>
  </si>
  <si>
    <t xml:space="preserve">ISBN%3A9780195043716_Table12-2.tsv</t>
  </si>
  <si>
    <t xml:space="preserve">NQ%3A61662_APPENDIXI.tsv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</si>
  <si>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</si>
  <si>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</si>
  <si>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</si>
  <si>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</si>
  <si>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</si>
  <si>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</si>
  <si>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</si>
  <si>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</si>
  <si>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</si>
  <si>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</si>
  <si>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</si>
  <si>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</si>
  <si>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</si>
  <si>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</si>
  <si>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</si>
  <si>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</si>
  <si>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10.1159%2F000155963_TablesI-VI.tsv</t>
  </si>
  <si>
    <t xml:space="preserve">ISBN%3A0390672505_Tables1-6.tsv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</si>
</sst>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5">
    <font>
      <sz val="12"/>
      <color theme="1"/>
      <name val="Calibri"/>
      <family val="2"/>
      <scheme val="minor"/>
    </font>
    <font>
      <sz val="12"/>
      <color theme="1"/>
      <name val="Calibri"/>
      <b/>
    </font>
    <font>
      <sz val="12"/>
      <color rgb="FF3F3F76"/>
      <name val="Calibri"/>
    </font>
    <font>
      <sz val="12"/>
      <color rgb="FF3F3F76"/>
      <name val="Calibri"/>
      <b/>
    </font>
    <font>
      <sz val="12"/>
      <color theme="1"/>
      <name val="Calibri"/>
    </font>
  </fonts>
  <fills count="3">
    <fill>
      <patternFill patternType="none"/>
    </fill>
    <fill>
      <patternFill patternType="gray125"/>
    </fill>
    <fill>
      <patternFill patternType="solid">
        <fgColor rgb="FFFFCC99"/>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
      <right style="thin">
        <color rgb="FF7F7F7F"/>
      </right>
    </border>
  </borders>
  <cellStyleXfs count="1">
    <xf numFmtId="0" fontId="0" fillId="0" borderId="0"/>
  </cellStyleXfs>
  <cellXfs count="8">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2" borderId="1" xfId="0" applyFont="1" applyFill="1" applyBorder="1"/>
    <xf numFmtId="0" fontId="4" fillId="0" borderId="1" xfId="0" applyFont="1" applyBorder="1"/>
    <xf numFmtId="0" fontId="4"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cdn.elifesciences.org/articles/77875/elife-77875-supp3-v1.xlsx" TargetMode="External"/><Relationship Id="rId2h"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3h" Type="http://schemas.openxmlformats.org/officeDocument/2006/relationships/hyperlink" Target="https://static-content.springer.com/esm/art%3A10.1038%2Fs41467-020-14356-3/MediaObjects/41467_2020_14356_MOESM6_ESM.xlsx" TargetMode="External"/><Relationship Id="rId4h" Type="http://schemas.openxmlformats.org/officeDocument/2006/relationships/hyperlink" Target="https://ndownloader.figstatic.com/files/7428211" TargetMode="External"/><Relationship Id="rId5h" Type="http://schemas.openxmlformats.org/officeDocument/2006/relationships/hyperlink" Target="https://www.researchgate.net/publication/299027052_Developmental_constraints_on_or_developmental_structure_in_brain_evolution" TargetMode="External"/><Relationship Id="rId6h" Type="http://schemas.openxmlformats.org/officeDocument/2006/relationships/hyperlink" Target="https://www.pnas.org/doi/suppl/10.1073/pnas.0905777106/suppl_file/0905777106si.pdf" TargetMode="External"/><Relationship Id="rId7h" Type="http://schemas.openxmlformats.org/officeDocument/2006/relationships/hyperlink" Target="https://www.pnas.org/doi/suppl/10.1073/pnas.0905777106/suppl_file/0905777106si.pdf" TargetMode="External"/><Relationship Id="rId8h" Type="http://schemas.openxmlformats.org/officeDocument/2006/relationships/hyperlink" Target="https://karger.com/bbe/article-pdf/86/3-4/145/2264694/000437413.pdf" TargetMode="External"/><Relationship Id="rId9h" Type="http://schemas.openxmlformats.org/officeDocument/2006/relationships/hyperlink" Target="https://karger.com/bbe/article-pdf/86/3-4/145/2264694/000437413.pdf" TargetMode="External"/><Relationship Id="rId10h" Type="http://schemas.openxmlformats.org/officeDocument/2006/relationships/hyperlink" Target="https://karger.com/bbe/article-pdf/86/3-4/145/2264694/000437413.pdf" TargetMode="External"/><Relationship Id="rId11h" Type="http://schemas.openxmlformats.org/officeDocument/2006/relationships/hyperlink" Target="https://karger.com/bbe/article-pdf/86/3-4/145/2264694/000437413.pdf" TargetMode="External"/><Relationship Id="rId12h" Type="http://schemas.openxmlformats.org/officeDocument/2006/relationships/hyperlink" Target="https://karger.com/bbe/article-pdf/86/3-4/145/2264694/000437413.pdf" TargetMode="External"/><Relationship Id="rId13h" Type="http://schemas.openxmlformats.org/officeDocument/2006/relationships/hyperlink" Target="https://karger.com/bbe/article-pdf/86/3-4/145/2264694/000437413.pdf" TargetMode="External"/><Relationship Id="rId14h" Type="http://schemas.openxmlformats.org/officeDocument/2006/relationships/hyperlink" Target="https://karger.com/bbe/article-pdf/86/3-4/145/2264694/000437413.pdf" TargetMode="External"/><Relationship Id="rId15h" Type="http://schemas.openxmlformats.org/officeDocument/2006/relationships/hyperlink" Target="https://doi.org/10.3389/fnana.2017.00118" TargetMode="External"/><Relationship Id="rId16h" Type="http://schemas.openxmlformats.org/officeDocument/2006/relationships/hyperlink" Target="https://static-content.springer.com/esm/art%3A10.1038%2Fs41598-018-26062-8/MediaObjects/41598_2018_26062_MOESM1_ESM.docx" TargetMode="External"/><Relationship Id="rId17h" Type="http://schemas.openxmlformats.org/officeDocument/2006/relationships/hyperlink" Target="https://static-content.springer.com/esm/art%3A10.1038%2Fs41598-018-26062-8/MediaObjects/41598_2018_26062_MOESM1_ESM.docx" TargetMode="External"/><Relationship Id="rId18h" Type="http://schemas.openxmlformats.org/officeDocument/2006/relationships/hyperlink" Target="https://github.com/ManyPrimates/mp1_short_term_memory/raw/master/data/species_predictors.xlsx" TargetMode="External"/><Relationship Id="rId19h" Type="http://schemas.openxmlformats.org/officeDocument/2006/relationships/hyperlink" Target="https://figshare.com/ndownloader/files/9479092"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111" zoomScaleNormal="111" workbookViewId="0">
      <pane xSplit="2" ySplit="1" topLeftCell="C142" activePane="bottomRight" state="frozen"/>
      <selection pane="topRight" activeCell="B1" sqref="B1"/>
      <selection pane="bottomLeft" activeCell="A2" sqref="A2"/>
      <selection pane="bottomRight" activeCell="D149" sqref="D149"/>
    </sheetView>
  </sheetViews>
  <sheetFormatPr defaultRowHeight="15.0" baseColWidth="10"/>
  <cols>
    <col min="1" max="1" width="67.1640625" hidden="0" customWidth="1"/>
    <col min="2" max="2" width="1.6640625" hidden="0" customWidth="1"/>
    <col min="3" max="3" width="42.6640625" hidden="0" customWidth="1"/>
    <col min="4" max="4" width="7.1640625" hidden="0" customWidth="1"/>
    <col min="5" max="5" width="1.5" hidden="0" customWidth="1"/>
    <col min="6" max="6" width="26" hidden="0" customWidth="1"/>
    <col min="7" max="7" width="10.33203125" hidden="0" customWidth="1"/>
    <col min="8" max="8" width="10.33203125" hidden="0" customWidth="1"/>
    <col min="9" max="9" width="6.1640625" hidden="0" customWidth="1"/>
    <col min="10" max="10" width="37.1640625" hidden="0" customWidth="1"/>
    <col min="11" max="11" width="46.1640625" hidden="0" customWidth="1"/>
    <col min="12" max="12" width="41.33203125" hidden="0" customWidth="1"/>
    <col min="13" max="13" width="48"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7" max="27" width="10.66406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s>
  <sheetData>
    <row r="1" ht="16" customHeight="1">
      <c r="A1" s="5" t="s">
        <v>0</v>
      </c>
      <c r="B1" s="5" t="s">
        <v>1</v>
      </c>
      <c r="C1" s="5" t="s">
        <v>2</v>
      </c>
      <c r="D1" s="5" t="s">
        <v>3</v>
      </c>
      <c r="E1" s="1" t="s">
        <v>4</v>
      </c>
      <c r="F1" s="1" t="s">
        <v>5</v>
      </c>
      <c r="G1" s="1" t="s">
        <v>6</v>
      </c>
      <c r="H1" s="1" t="s">
        <v>7</v>
      </c>
      <c r="I1" s="1" t="s">
        <v>8</v>
      </c>
      <c r="J1" s="1" t="s">
        <v>9</v>
      </c>
      <c r="K1" s="1" t="s">
        <v>10</v>
      </c>
      <c r="L1" s="1" t="s">
        <v>11</v>
      </c>
      <c r="M1" s="1" t="s">
        <v>12</v>
      </c>
      <c r="N1" s="5" t="s">
        <v>13</v>
      </c>
      <c r="O1" s="5" t="s">
        <v>645</v>
      </c>
      <c r="P1" s="5" t="s">
        <v>14</v>
      </c>
      <c r="Q1" s="5" t="s">
        <v>15</v>
      </c>
      <c r="R1" s="5" t="s">
        <v>16</v>
      </c>
      <c r="S1" s="5" t="s">
        <v>17</v>
      </c>
      <c r="T1" s="5" t="s">
        <v>18</v>
      </c>
      <c r="U1" s="5" t="s">
        <v>19</v>
      </c>
      <c r="V1" s="5" t="s">
        <v>20</v>
      </c>
      <c r="W1" s="5" t="s">
        <v>21</v>
      </c>
      <c r="X1" s="5" t="s">
        <v>22</v>
      </c>
      <c r="Y1" s="5" t="s">
        <v>23</v>
      </c>
      <c r="Z1" s="5" t="s">
        <v>24</v>
      </c>
      <c r="AA1" s="5" t="s">
        <v>25</v>
      </c>
      <c r="AB1" s="5" t="s">
        <v>26</v>
      </c>
      <c r="AC1" s="5" t="s">
        <v>27</v>
      </c>
      <c r="AD1" s="5" t="s">
        <v>28</v>
      </c>
      <c r="AE1" s="5" t="s">
        <v>29</v>
      </c>
      <c r="AF1" s="5" t="s">
        <v>30</v>
      </c>
      <c r="AG1" s="5" t="s">
        <v>31</v>
      </c>
      <c r="AH1" s="5" t="s">
        <v>32</v>
      </c>
      <c r="AI1" s="5" t="s">
        <v>33</v>
      </c>
      <c r="AJ1" s="5" t="s">
        <v>34</v>
      </c>
      <c r="AK1" s="5" t="s">
        <v>35</v>
      </c>
      <c r="AL1" s="5" t="s">
        <v>36</v>
      </c>
      <c r="AM1" s="5" t="s">
        <v>37</v>
      </c>
    </row>
    <row r="2" ht="16" customHeight="1">
      <c r="A2" s="2" t="s">
        <v>38</v>
      </c>
      <c r="D2" s="2" t="s">
        <v>39</v>
      </c>
      <c r="E2" t="str">
        <f>RIGHT(A2,1)</f>
        <v>5</v>
      </c>
      <c r="F2" t="str">
        <f>G2 &amp; IF(H2&lt;&gt;"", "_" &amp; H2, "_") &amp; IF(I2&lt;&gt;"", "_" &amp; I2, "_") &amp; IF(B2&lt;&gt;"", "_" &amp; B2, "")</f>
        <v>Andelin_etal_2019</v>
      </c>
      <c r="G2" t="str">
        <f>SUBSTITUTE(SUBSTITUTE(_xlfn.TEXTBEFORE(A2,","), "-", ""), " ", "")</f>
        <v>Andelin</v>
      </c>
      <c r="H2"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t="str">
        <f>_xlfn.TEXTBEFORE(_xlfn.TEXTAFTER(A2, "("), ")")</f>
        <v>2019</v>
      </c>
      <c r="J2" t="str">
        <f>_xlfn.LET(
_xlpm.doi,IF(C2&lt;&gt;"",C2,_xlfn.TEXTAFTER(A2,"https://doi.org/")),
SUBSTITUTE(
SUBSTITUTE(
SUBSTITUTE(
SUBSTITUTE(
_xlpm.doi,
"/","%2F"),
":","%3A"),
"&lt;","%3C"),
"&gt;","%3E")
)</f>
        <v>10.1093%2Fcercor%2Fbhy315</v>
      </c>
      <c r="K2" t="str">
        <f>TRIM(_xlfn.TEXTJOIN("_",FALSE,F2,(SUBSTITUTE(SUBSTITUTE(D2," ",""), "_", ""))))</f>
        <v>Andelin_etal_2019_Table4</v>
      </c>
      <c r="L2" t="str">
        <f>J2 &amp; "_" &amp; SUBSTITUTE(SUBSTITUTE(SUBSTITUTE(D2,CHAR(160),"")," ",""),"_","")</f>
        <v>10.1093%2Fcercor%2Fbhy315_Table4</v>
      </c>
      <c r="M2" t="str">
        <f t="array" ref="M2">IFERROR(INDEX(FileList!$A$1:$A$100,MATCH(TRUE,EXACT(L2,_xlfn.TEXTBEFORE(FileList!$A$1:$A$100,".tsv")),0)),"notfound")</f>
        <v>10.1093%2Fcercor%2Fbhy315_Table4.tsv</v>
      </c>
      <c r="P2" s="2" t="s">
        <v>48</v>
      </c>
      <c r="V2" s="2" t="s">
        <v>40</v>
      </c>
      <c r="AJ2" s="2" t="s">
        <v>41</v>
      </c>
      <c r="AL2" s="2" t="s">
        <v>41</v>
      </c>
      <c r="AM2" s="2" t="s">
        <v>41</v>
      </c>
    </row>
    <row r="3" ht="16" customHeight="1">
      <c r="A3" s="2" t="s">
        <v>42</v>
      </c>
      <c r="D3" s="2" t="s">
        <v>43</v>
      </c>
      <c r="E3" t="str">
        <f>RIGHT(A3,1)</f>
        <v>3</v>
      </c>
      <c r="F3" t="str">
        <f>G3 &amp; IF(H3&lt;&gt;"", "_" &amp; H3, "_") &amp; IF(I3&lt;&gt;"", "_" &amp; I3, "_") &amp; IF(B3&lt;&gt;"", "_" &amp; B3, "")</f>
        <v>Ashwell__2020</v>
      </c>
      <c r="G3" t="str">
        <f>SUBSTITUTE(SUBSTITUTE(_xlfn.TEXTBEFORE(A3,","), "-", ""), " ", "")</f>
        <v>Ashwell</v>
      </c>
      <c r="H3" t="str">
        <f>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c>
      <c r="I3" t="str">
        <f>_xlfn.TEXTBEFORE(_xlfn.TEXTAFTER(A3, "("), ")")</f>
        <v>2020</v>
      </c>
      <c r="J3" t="str">
        <f>_xlfn.LET(
_xlpm.doi,IF(C3&lt;&gt;"",C3,_xlfn.TEXTAFTER(A3,"https://doi.org/")),
SUBSTITUTE(
SUBSTITUTE(
SUBSTITUTE(
SUBSTITUTE(
_xlpm.doi,
"/","%2F"),
":","%3A"),
"&lt;","%3C"),
"&gt;","%3E")
)</f>
        <v>10.1016%2Fj.zool.2020.125753</v>
      </c>
      <c r="K3" t="str">
        <f>TRIM(_xlfn.TEXTJOIN("_",FALSE,F3,(SUBSTITUTE(SUBSTITUTE(D3," ",""), "_", ""))))</f>
        <v>Ashwell__2020_SupplementaryTable</v>
      </c>
      <c r="L3" t="str">
        <f>J3 &amp; "_" &amp; SUBSTITUTE(SUBSTITUTE(SUBSTITUTE(D3,CHAR(160),"")," ",""),"_","")</f>
        <v>10.1016%2Fj.zool.2020.125753_SupplementaryTable</v>
      </c>
      <c r="M3" t="str">
        <f t="array" ref="M3">IFERROR(INDEX(FileList!$A$1:$A$100,MATCH(TRUE,EXACT(L3,_xlfn.TEXTBEFORE(FileList!$A$1:$A$100,".tsv")),0)),"notfound")</f>
        <v>10.1016%2Fj.zool.2020.125753_SupplementaryTable.tsv</v>
      </c>
      <c r="N3" s="2" t="s">
        <v>44</v>
      </c>
      <c r="P3" t="s">
        <v>48</v>
      </c>
      <c r="Y3" s="2" t="s">
        <v>654</v>
      </c>
    </row>
    <row r="4" ht="16" customHeight="1">
      <c r="A4" s="2" t="s">
        <v>45</v>
      </c>
      <c r="D4" s="2" t="s">
        <v>46</v>
      </c>
      <c r="E4" t="str">
        <f>RIGHT(A4,1)</f>
        <v>9</v>
      </c>
      <c r="F4" t="str">
        <f>G4 &amp; IF(H4&lt;&gt;"", "_" &amp; H4, "_") &amp; IF(I4&lt;&gt;"", "_" &amp; I4, "_") &amp; IF(B4&lt;&gt;"", "_" &amp; B4, "")</f>
        <v>AvelinodeSouza_etal_2025</v>
      </c>
      <c r="G4" t="str">
        <f>SUBSTITUTE(SUBSTITUTE(_xlfn.TEXTBEFORE(A4,","), "-", ""), " ", "")</f>
        <v>AvelinodeSouza</v>
      </c>
      <c r="H4" t="str">
        <f>_xlfn.LET(
_xlpm.authors,_xlfn.TEXTBEFORE(A4," ("&amp;I4&amp;")"),
_xlpm.hasAmp,ISNUMBER(SEARCH("&amp;",_xlpm.authors)),
_xlpm.commasBeforeAmp,IF(_xlpm.hasAmp,LEN(_xlfn.TEXTBEFORE(_xlpm.authors,"&amp;"))-LEN(SUBSTITUTE(_xlfn.TEXTBEFORE(_xlpm.authors,"&amp;"),",","")),0),
IF(NOT(_xlpm.hasAmp),"",IF(_xlpm.commasBeforeAmp&gt;2,"etal",TRIM(_xlfn.TEXTBEFORE(_xlfn.TEXTAFTER(_xlpm.authors,"&amp; "),","))))
)</f>
        <v>etal</v>
      </c>
      <c r="I4" t="str">
        <f>_xlfn.TEXTBEFORE(_xlfn.TEXTAFTER(A4, "("), ")")</f>
        <v>2025</v>
      </c>
      <c r="J4" t="str">
        <f>_xlfn.LET(
_xlpm.doi,IF(C4&lt;&gt;"",C4,_xlfn.TEXTAFTER(A4,"https://doi.org/")),
SUBSTITUTE(
SUBSTITUTE(
SUBSTITUTE(
SUBSTITUTE(
_xlpm.doi,
"/","%2F"),
":","%3A"),
"&lt;","%3C"),
"&gt;","%3E")
)</f>
        <v>10.1002%2Fcne.70089</v>
      </c>
      <c r="K4" t="str">
        <f>TRIM(_xlfn.TEXTJOIN("_",FALSE,F4,(SUBSTITUTE(SUBSTITUTE(D4," ",""), "_", ""))))</f>
        <v>AvelinodeSouza_etal_2025_TABLE1</v>
      </c>
      <c r="L4" t="str">
        <f>J4 &amp; "_" &amp; SUBSTITUTE(SUBSTITUTE(SUBSTITUTE(D4,CHAR(160),"")," ",""),"_","")</f>
        <v>10.1002%2Fcne.70089_TABLE1</v>
      </c>
      <c r="M4" t="str">
        <f t="array" ref="M4">IFERROR(INDEX(FileList!$A$1:$A$100,MATCH(TRUE,EXACT(L4,_xlfn.TEXTBEFORE(FileList!$A$1:$A$100,".tsv")),0)),"notfound")</f>
        <v>10.1002%2Fcne.70089_TABLE1.tsv</v>
      </c>
      <c r="N4" s="2" t="s">
        <v>47</v>
      </c>
      <c r="P4" s="2" t="s">
        <v>48</v>
      </c>
      <c r="Q4" s="2" t="s">
        <v>49</v>
      </c>
      <c r="R4" s="2" t="s">
        <v>50</v>
      </c>
      <c r="S4" s="2" t="s">
        <v>51</v>
      </c>
      <c r="T4" s="2" t="s">
        <v>52</v>
      </c>
      <c r="U4" s="2" t="s">
        <v>53</v>
      </c>
      <c r="V4" s="2" t="s">
        <v>40</v>
      </c>
      <c r="W4" s="2" t="s">
        <v>54</v>
      </c>
      <c r="X4" s="2" t="s">
        <v>55</v>
      </c>
      <c r="Y4" s="2" t="s">
        <v>56</v>
      </c>
      <c r="AG4" s="2" t="s">
        <v>57</v>
      </c>
      <c r="AH4" s="2" t="s">
        <v>58</v>
      </c>
      <c r="AI4" s="2" t="s">
        <v>59</v>
      </c>
      <c r="AJ4" s="2" t="s">
        <v>60</v>
      </c>
      <c r="AK4" s="2" t="s">
        <v>61</v>
      </c>
      <c r="AL4" s="2" t="s">
        <v>61</v>
      </c>
      <c r="AM4" s="2" t="s">
        <v>62</v>
      </c>
    </row>
    <row r="5" ht="16" customHeight="1">
      <c r="A5" s="2" t="s">
        <v>663</v>
      </c>
      <c r="D5" s="2" t="s">
        <v>101</v>
      </c>
      <c r="E5" t="str">
        <f>RIGHT(A5,1)</f>
        <v>7</v>
      </c>
      <c r="F5" t="str">
        <f>G5 &amp; IF(H5&lt;&gt;"", "_" &amp; H5, "_") &amp; IF(I5&lt;&gt;"", "_" &amp; I5, "_") &amp; IF(B5&lt;&gt;"", "_" &amp; B5, "")</f>
        <v>Balzeau_etal_2012</v>
      </c>
      <c r="G5" t="str">
        <f>SUBSTITUTE(SUBSTITUTE(_xlfn.TEXTBEFORE(A5,","), "-", ""), " ", "")</f>
        <v>Balzeau</v>
      </c>
      <c r="H5" t="str">
        <f>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t="str">
        <f>_xlfn.TEXTBEFORE(_xlfn.TEXTAFTER(A5, "("), ")")</f>
        <v>2012</v>
      </c>
      <c r="J5" t="str">
        <f>_xlfn.LET(
_xlpm.doi,IF(C5&lt;&gt;"",C5,_xlfn.TEXTAFTER(A5,"https://doi.org/")),
SUBSTITUTE(
SUBSTITUTE(
SUBSTITUTE(
SUBSTITUTE(
_xlpm.doi,
"/","%2F"),
":","%3A"),
"&lt;","%3C"),
"&gt;","%3E")
)</f>
        <v>10.1016%2Fj.jhevol.2012.03.007</v>
      </c>
      <c r="K5" t="str">
        <f>TRIM(_xlfn.TEXTJOIN("_",FALSE,F5,(SUBSTITUTE(SUBSTITUTE(D5," ",""), "_", ""))))</f>
        <v>Balzeau_etal_2012_Table3</v>
      </c>
      <c r="L5" t="str">
        <f>J5 &amp; "_" &amp; SUBSTITUTE(SUBSTITUTE(SUBSTITUTE(D5,CHAR(160),"")," ",""),"_","")</f>
        <v>10.1016%2Fj.jhevol.2012.03.007_Table3</v>
      </c>
      <c r="M5" t="str">
        <f t="array" ref="M5">IFERROR(INDEX(FileList!$A$1:$A$100,MATCH(TRUE,EXACT(L5,_xlfn.TEXTBEFORE(FileList!$A$1:$A$100,".tsv")),0)),"notfound")</f>
        <v>10.1016%2Fj.jhevol.2012.03.007_Table3.tsv</v>
      </c>
      <c r="N5" s="3" t="s">
        <v>664</v>
      </c>
      <c r="P5" s="3"/>
      <c r="Q5" s="3"/>
      <c r="R5" s="3"/>
      <c r="S5" s="3"/>
      <c r="T5" s="3"/>
      <c r="U5" s="3"/>
      <c r="V5" s="3"/>
      <c r="W5" s="3"/>
      <c r="X5" s="3"/>
      <c r="Y5" s="3"/>
      <c r="AG5" s="2"/>
      <c r="AH5" s="3"/>
      <c r="AI5" s="3"/>
      <c r="AJ5" s="2"/>
      <c r="AK5" s="3"/>
      <c r="AL5" s="2"/>
      <c r="AM5" s="2"/>
    </row>
    <row r="6" ht="16" customHeight="1">
      <c r="A6" s="2" t="s">
        <v>663</v>
      </c>
      <c r="D6" s="2" t="s">
        <v>371</v>
      </c>
      <c r="E6" t="str">
        <f>RIGHT(A6,1)</f>
        <v>7</v>
      </c>
      <c r="F6" t="str">
        <f>G6 &amp; IF(H6&lt;&gt;"", "_" &amp; H6, "_") &amp; IF(I6&lt;&gt;"", "_" &amp; I6, "_") &amp; IF(B6&lt;&gt;"", "_" &amp; B6, "")</f>
        <v>Balzeau_etal_2012</v>
      </c>
      <c r="G6" t="str">
        <f>SUBSTITUTE(SUBSTITUTE(_xlfn.TEXTBEFORE(A6,","), "-", ""), " ", "")</f>
        <v>Balzeau</v>
      </c>
      <c r="H6" t="str">
        <f>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t="str">
        <f>_xlfn.TEXTBEFORE(_xlfn.TEXTAFTER(A6, "("), ")")</f>
        <v>2012</v>
      </c>
      <c r="J6" t="str">
        <f>_xlfn.LET(
_xlpm.doi,IF(C6&lt;&gt;"",C6,_xlfn.TEXTAFTER(A6,"https://doi.org/")),
SUBSTITUTE(
SUBSTITUTE(
SUBSTITUTE(
SUBSTITUTE(
_xlpm.doi,
"/","%2F"),
":","%3A"),
"&lt;","%3C"),
"&gt;","%3E")
)</f>
        <v>10.1016%2Fj.jhevol.2012.03.007</v>
      </c>
      <c r="K6" t="str">
        <f>TRIM(_xlfn.TEXTJOIN("_",FALSE,F6,(SUBSTITUTE(SUBSTITUTE(D6," ",""), "_", ""))))</f>
        <v>Balzeau_etal_2012_Table5</v>
      </c>
      <c r="L6" t="str">
        <f>J6 &amp; "_" &amp; SUBSTITUTE(SUBSTITUTE(SUBSTITUTE(D6,CHAR(160),"")," ",""),"_","")</f>
        <v>10.1016%2Fj.jhevol.2012.03.007_Table5</v>
      </c>
      <c r="M6" t="str">
        <f t="array" ref="M6">IFERROR(INDEX(FileList!$A$1:$A$100,MATCH(TRUE,EXACT(L6,_xlfn.TEXTBEFORE(FileList!$A$1:$A$100,".tsv")),0)),"notfound")</f>
        <v>10.1016%2Fj.jhevol.2012.03.007_Table5.tsv</v>
      </c>
      <c r="N6" s="3" t="s">
        <v>665</v>
      </c>
      <c r="P6" s="3"/>
      <c r="Q6" s="3"/>
      <c r="R6" s="3"/>
      <c r="S6" s="3"/>
      <c r="T6" s="3"/>
      <c r="U6" s="3"/>
      <c r="V6" s="3"/>
      <c r="W6" s="3"/>
      <c r="X6" s="3"/>
      <c r="Y6" s="3"/>
      <c r="AG6" s="2"/>
      <c r="AH6" s="3"/>
      <c r="AI6" s="3"/>
      <c r="AJ6" s="2"/>
      <c r="AK6" s="3"/>
      <c r="AL6" s="2"/>
      <c r="AM6" s="2"/>
    </row>
    <row r="7" ht="16" customHeight="1">
      <c r="A7" s="2" t="s">
        <v>63</v>
      </c>
      <c r="D7" s="2" t="s">
        <v>66</v>
      </c>
      <c r="E7" t="str">
        <f>RIGHT(A7,1)</f>
        <v>1</v>
      </c>
      <c r="F7" t="str">
        <f>G7 &amp; IF(H7&lt;&gt;"", "_" &amp; H7, "_") &amp; IF(I7&lt;&gt;"", "_" &amp; I7, "_") &amp; IF(B7&lt;&gt;"", "_" &amp; B7, "")</f>
        <v>BarbeitoAndres_etal_2019</v>
      </c>
      <c r="G7" t="str">
        <f>SUBSTITUTE(SUBSTITUTE(_xlfn.TEXTBEFORE(A7,","), "-", ""), " ", "")</f>
        <v>BarbeitoAndres</v>
      </c>
      <c r="H7" t="str">
        <f>_xlfn.LET(
_xlpm.authors,_xlfn.TEXTBEFORE(A7," ("&amp;I7&amp;")"),
_xlpm.hasAmp,ISNUMBER(SEARCH("&amp;",_xlpm.authors)),
_xlpm.commasBeforeAmp,IF(_xlpm.hasAmp,LEN(_xlfn.TEXTBEFORE(_xlpm.authors,"&amp;"))-LEN(SUBSTITUTE(_xlfn.TEXTBEFORE(_xlpm.authors,"&amp;"),",","")),0),
IF(NOT(_xlpm.hasAmp),"",IF(_xlpm.commasBeforeAmp&gt;2,"etal",TRIM(_xlfn.TEXTBEFORE(_xlfn.TEXTAFTER(_xlpm.authors,"&amp; "),","))))
)</f>
        <v>etal</v>
      </c>
      <c r="I7" t="str">
        <f>_xlfn.TEXTBEFORE(_xlfn.TEXTAFTER(A7, "("), ")")</f>
        <v>2019</v>
      </c>
      <c r="J7" t="str">
        <f>_xlfn.LET(
_xlpm.doi,IF(C7&lt;&gt;"",C7,_xlfn.TEXTAFTER(A7,"https://doi.org/")),
SUBSTITUTE(
SUBSTITUTE(
SUBSTITUTE(
SUBSTITUTE(
_xlpm.doi,
"/","%2F"),
":","%3A"),
"&lt;","%3C"),
"&gt;","%3E")
)</f>
        <v>10.1242%2Fjeb.204651</v>
      </c>
      <c r="K7" t="str">
        <f>TRIM(_xlfn.TEXTJOIN("_",FALSE,F7,(SUBSTITUTE(SUBSTITUTE(D7," ",""), "_", ""))))</f>
        <v>BarbeitoAndres_etal_2019_celldensity</v>
      </c>
      <c r="L7" t="str">
        <f>J7 &amp; "_" &amp; SUBSTITUTE(SUBSTITUTE(SUBSTITUTE(D7,CHAR(160),"")," ",""),"_","")</f>
        <v>10.1242%2Fjeb.204651_celldensity</v>
      </c>
      <c r="M7" t="str">
        <f t="array" ref="M7">IFERROR(INDEX(FileList!$A$1:$A$100,MATCH(TRUE,EXACT(L7,_xlfn.TEXTBEFORE(FileList!$A$1:$A$100,".tsv")),0)),"notfound")</f>
        <v>notfound</v>
      </c>
      <c r="AG7" s="2" t="s">
        <v>57</v>
      </c>
      <c r="AJ7" s="2" t="s">
        <v>41</v>
      </c>
      <c r="AL7" s="2" t="s">
        <v>41</v>
      </c>
      <c r="AM7" s="2" t="s">
        <v>41</v>
      </c>
    </row>
    <row r="8" ht="16" customHeight="1">
      <c r="A8" s="2" t="s">
        <v>63</v>
      </c>
      <c r="D8" s="2" t="s">
        <v>65</v>
      </c>
      <c r="E8" t="str">
        <f>RIGHT(A8,1)</f>
        <v>1</v>
      </c>
      <c r="F8" t="str">
        <f>G8 &amp; IF(H8&lt;&gt;"", "_" &amp; H8, "_") &amp; IF(I8&lt;&gt;"", "_" &amp; I8, "_") &amp; IF(B8&lt;&gt;"", "_" &amp; B8, "")</f>
        <v>BarbeitoAndres_etal_2019</v>
      </c>
      <c r="G8" t="str">
        <f>SUBSTITUTE(SUBSTITUTE(_xlfn.TEXTBEFORE(A8,","), "-", ""), " ", "")</f>
        <v>BarbeitoAndres</v>
      </c>
      <c r="H8" t="str">
        <f>_xlfn.LET(
_xlpm.authors,_xlfn.TEXTBEFORE(A8," ("&amp;I8&amp;")"),
_xlpm.hasAmp,ISNUMBER(SEARCH("&amp;",_xlpm.authors)),
_xlpm.commasBeforeAmp,IF(_xlpm.hasAmp,LEN(_xlfn.TEXTBEFORE(_xlpm.authors,"&amp;"))-LEN(SUBSTITUTE(_xlfn.TEXTBEFORE(_xlpm.authors,"&amp;"),",","")),0),
IF(NOT(_xlpm.hasAmp),"",IF(_xlpm.commasBeforeAmp&gt;2,"etal",TRIM(_xlfn.TEXTBEFORE(_xlfn.TEXTAFTER(_xlpm.authors,"&amp; "),","))))
)</f>
        <v>etal</v>
      </c>
      <c r="I8" t="str">
        <f>_xlfn.TEXTBEFORE(_xlfn.TEXTAFTER(A8, "("), ")")</f>
        <v>2019</v>
      </c>
      <c r="J8" t="str">
        <f>_xlfn.LET(
_xlpm.doi,IF(C8&lt;&gt;"",C8,_xlfn.TEXTAFTER(A8,"https://doi.org/")),
SUBSTITUTE(
SUBSTITUTE(
SUBSTITUTE(
SUBSTITUTE(
_xlpm.doi,
"/","%2F"),
":","%3A"),
"&lt;","%3C"),
"&gt;","%3E")
)</f>
        <v>10.1242%2Fjeb.204651</v>
      </c>
      <c r="K8" t="str">
        <f>TRIM(_xlfn.TEXTJOIN("_",FALSE,F8,(SUBSTITUTE(SUBSTITUTE(D8," ",""), "_", ""))))</f>
        <v>BarbeitoAndres_etal_2019_cellnumber</v>
      </c>
      <c r="L8" t="str">
        <f>J8 &amp; "_" &amp; SUBSTITUTE(SUBSTITUTE(SUBSTITUTE(D8,CHAR(160),"")," ",""),"_","")</f>
        <v>10.1242%2Fjeb.204651_cellnumber</v>
      </c>
      <c r="M8" t="str">
        <f t="array" ref="M8">IFERROR(INDEX(FileList!$A$1:$A$100,MATCH(TRUE,EXACT(L8,_xlfn.TEXTBEFORE(FileList!$A$1:$A$100,".tsv")),0)),"notfound")</f>
        <v>notfound</v>
      </c>
      <c r="AG8" s="2" t="s">
        <v>57</v>
      </c>
      <c r="AJ8" s="2" t="s">
        <v>41</v>
      </c>
      <c r="AL8" s="2" t="s">
        <v>41</v>
      </c>
      <c r="AM8" s="2" t="s">
        <v>41</v>
      </c>
    </row>
    <row r="9" ht="16" customHeight="1">
      <c r="A9" s="2" t="s">
        <v>63</v>
      </c>
      <c r="D9" s="2" t="s">
        <v>64</v>
      </c>
      <c r="E9" t="str">
        <f>RIGHT(A9,1)</f>
        <v>1</v>
      </c>
      <c r="F9" t="str">
        <f>G9 &amp; IF(H9&lt;&gt;"", "_" &amp; H9, "_") &amp; IF(I9&lt;&gt;"", "_" &amp; I9, "_") &amp; IF(B9&lt;&gt;"", "_" &amp; B9, "")</f>
        <v>BarbeitoAndres_etal_2019</v>
      </c>
      <c r="G9" t="str">
        <f>SUBSTITUTE(SUBSTITUTE(_xlfn.TEXTBEFORE(A9,","), "-", ""), " ", "")</f>
        <v>BarbeitoAndres</v>
      </c>
      <c r="H9" t="str">
        <f>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t="str">
        <f>_xlfn.TEXTBEFORE(_xlfn.TEXTAFTER(A9, "("), ")")</f>
        <v>2019</v>
      </c>
      <c r="J9" t="str">
        <f>_xlfn.LET(
_xlpm.doi,IF(C9&lt;&gt;"",C9,_xlfn.TEXTAFTER(A9,"https://doi.org/")),
SUBSTITUTE(
SUBSTITUTE(
SUBSTITUTE(
SUBSTITUTE(
_xlpm.doi,
"/","%2F"),
":","%3A"),
"&lt;","%3C"),
"&gt;","%3E")
)</f>
        <v>10.1242%2Fjeb.204651</v>
      </c>
      <c r="K9" t="str">
        <f>TRIM(_xlfn.TEXTJOIN("_",FALSE,F9,(SUBSTITUTE(SUBSTITUTE(D9," ",""), "_", ""))))</f>
        <v>BarbeitoAndres_etal_2019_volumes</v>
      </c>
      <c r="L9" t="str">
        <f>J9 &amp; "_" &amp; SUBSTITUTE(SUBSTITUTE(SUBSTITUTE(D9,CHAR(160),"")," ",""),"_","")</f>
        <v>10.1242%2Fjeb.204651_volumes</v>
      </c>
      <c r="M9" t="str">
        <f t="array" ref="M9">IFERROR(INDEX(FileList!$A$1:$A$100,MATCH(TRUE,EXACT(L9,_xlfn.TEXTBEFORE(FileList!$A$1:$A$100,".tsv")),0)),"notfound")</f>
        <v>notfound</v>
      </c>
      <c r="AG9" s="2" t="s">
        <v>57</v>
      </c>
      <c r="AJ9" s="2" t="s">
        <v>41</v>
      </c>
      <c r="AL9" s="2" t="s">
        <v>41</v>
      </c>
      <c r="AM9" s="2" t="s">
        <v>41</v>
      </c>
    </row>
    <row r="10" ht="16" customHeight="1">
      <c r="A10" s="2" t="s">
        <v>631</v>
      </c>
      <c r="D10" s="2" t="s">
        <v>78</v>
      </c>
      <c r="E10" t="str">
        <f>RIGHT(A10,1)</f>
        <v>7</v>
      </c>
      <c r="F10" t="str">
        <f>G10 &amp; IF(H10&lt;&gt;"", "_" &amp; H10, "_") &amp; IF(I10&lt;&gt;"", "_" &amp; I10, "_") &amp; IF(B10&lt;&gt;"", "_" &amp; B10, "")</f>
        <v>Barger_etal_2014</v>
      </c>
      <c r="G10" t="str">
        <f>SUBSTITUTE(SUBSTITUTE(_xlfn.TEXTBEFORE(A10,","), "-", ""), " ", "")</f>
        <v>Barger</v>
      </c>
      <c r="H10" t="str">
        <f>_xlfn.LET(
_xlpm.authors,_xlfn.TEXTBEFORE(A10," ("&amp;I10&amp;")"),
_xlpm.hasAmp,ISNUMBER(SEARCH("&amp;",_xlpm.authors)),
_xlpm.commasBeforeAmp,IF(_xlpm.hasAmp,LEN(_xlfn.TEXTBEFORE(_xlpm.authors,"&amp;"))-LEN(SUBSTITUTE(_xlfn.TEXTBEFORE(_xlpm.authors,"&amp;"),",","")),0),
IF(NOT(_xlpm.hasAmp),"",IF(_xlpm.commasBeforeAmp&gt;2,"etal",TRIM(_xlfn.TEXTBEFORE(_xlfn.TEXTAFTER(_xlpm.authors,"&amp; "),","))))
)</f>
        <v>etal</v>
      </c>
      <c r="I10" t="str">
        <f>_xlfn.TEXTBEFORE(_xlfn.TEXTAFTER(A10, "("), ")")</f>
        <v>2014</v>
      </c>
      <c r="J10" t="str">
        <f>_xlfn.LET(
_xlpm.doi,IF(C10&lt;&gt;"",C10,_xlfn.TEXTAFTER(A10,"https://doi.org/")),
SUBSTITUTE(
SUBSTITUTE(
SUBSTITUTE(
SUBSTITUTE(
_xlpm.doi,
"/","%2F"),
":","%3A"),
"&lt;","%3C"),
"&gt;","%3E")
)</f>
        <v>10.3389%2Ffnhum.2014.00277</v>
      </c>
      <c r="K10" t="str">
        <f>TRIM(_xlfn.TEXTJOIN("_",FALSE,F10,(SUBSTITUTE(SUBSTITUTE(D10," ",""), "_", ""))))</f>
        <v>Barger_etal_2014_Table1</v>
      </c>
      <c r="L10" t="str">
        <f>J10 &amp; "_" &amp; SUBSTITUTE(SUBSTITUTE(SUBSTITUTE(D10,CHAR(160),"")," ",""),"_","")</f>
        <v>10.3389%2Ffnhum.2014.00277_Table1</v>
      </c>
      <c r="M10" t="str">
        <f t="array" ref="M10">IFERROR(INDEX(FileList!$A$1:$A$100,MATCH(TRUE,EXACT(L10,_xlfn.TEXTBEFORE(FileList!$A$1:$A$100,".tsv")),0)),"notfound")</f>
        <v>10.3389%2Ffnhum.2014.00277_Table1.tsv</v>
      </c>
      <c r="N10" s="2" t="s">
        <v>632</v>
      </c>
      <c r="P10" s="2"/>
      <c r="Z10" s="2" t="s">
        <v>69</v>
      </c>
      <c r="AF10" s="2" t="s">
        <v>70</v>
      </c>
      <c r="AG10" s="2" t="s">
        <v>69</v>
      </c>
      <c r="AI10" s="2"/>
      <c r="AJ10" s="2"/>
      <c r="AL10" s="2"/>
      <c r="AM10" s="2"/>
    </row>
    <row r="11" ht="16" customHeight="1">
      <c r="A11" s="2" t="s">
        <v>67</v>
      </c>
      <c r="D11" s="2" t="s">
        <v>46</v>
      </c>
      <c r="E11" t="str">
        <f>RIGHT(A11,1)</f>
        <v>4</v>
      </c>
      <c r="F11" t="str">
        <f>G11 &amp; IF(H11&lt;&gt;"", "_" &amp; H11, "_") &amp; IF(I11&lt;&gt;"", "_" &amp; I11, "_") &amp; IF(B11&lt;&gt;"", "_" &amp; B11, "")</f>
        <v>Barger_etal_2007</v>
      </c>
      <c r="G11" t="str">
        <f>SUBSTITUTE(SUBSTITUTE(_xlfn.TEXTBEFORE(A11,","), "-", ""), " ", "")</f>
        <v>Barger</v>
      </c>
      <c r="H11" t="str">
        <f>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t="str">
        <f>_xlfn.TEXTBEFORE(_xlfn.TEXTAFTER(A11, "("), ")")</f>
        <v>2007</v>
      </c>
      <c r="J11" t="str">
        <f>_xlfn.LET(
_xlpm.doi,IF(C11&lt;&gt;"",C11,_xlfn.TEXTAFTER(A11,"https://doi.org/")),
SUBSTITUTE(
SUBSTITUTE(
SUBSTITUTE(
SUBSTITUTE(
_xlpm.doi,
"/","%2F"),
":","%3A"),
"&lt;","%3C"),
"&gt;","%3E")
)</f>
        <v>10.1002%2Fajpa.20684</v>
      </c>
      <c r="K11" t="str">
        <f>TRIM(_xlfn.TEXTJOIN("_",FALSE,F11,(SUBSTITUTE(SUBSTITUTE(D11," ",""), "_", ""))))</f>
        <v>Barger_etal_2007_TABLE1</v>
      </c>
      <c r="L11" t="str">
        <f>J11 &amp; "_" &amp; SUBSTITUTE(SUBSTITUTE(SUBSTITUTE(D11,CHAR(160),"")," ",""),"_","")</f>
        <v>10.1002%2Fajpa.20684_TABLE1</v>
      </c>
      <c r="M11" t="str">
        <f t="array" ref="M11">IFERROR(INDEX(FileList!$A$1:$A$100,MATCH(TRUE,EXACT(L11,_xlfn.TEXTBEFORE(FileList!$A$1:$A$100,".tsv")),0)),"notfound")</f>
        <v>10.1002%2Fajpa.20684_TABLE1.tsv</v>
      </c>
      <c r="N11" s="2" t="s">
        <v>68</v>
      </c>
      <c r="P11" s="2" t="s">
        <v>48</v>
      </c>
      <c r="Z11" s="2" t="s">
        <v>69</v>
      </c>
      <c r="AF11" s="2" t="s">
        <v>633</v>
      </c>
      <c r="AG11" s="2" t="s">
        <v>69</v>
      </c>
      <c r="AI11" s="3" t="s">
        <v>71</v>
      </c>
      <c r="AJ11" s="3" t="s">
        <v>72</v>
      </c>
      <c r="AL11" s="3" t="s">
        <v>61</v>
      </c>
      <c r="AM11" s="3" t="s">
        <v>73</v>
      </c>
    </row>
    <row r="12" ht="16" customHeight="1">
      <c r="A12" s="2" t="s">
        <v>74</v>
      </c>
      <c r="D12" s="2" t="s">
        <v>652</v>
      </c>
      <c r="E12" t="str">
        <f>RIGHT(A12,1)</f>
        <v>6</v>
      </c>
      <c r="F12" t="str">
        <f>G12 &amp; IF(H12&lt;&gt;"", "_" &amp; H12, "_") &amp; IF(I12&lt;&gt;"", "_" &amp; I12, "_") &amp; IF(B12&lt;&gt;"", "_" &amp; B12, "")</f>
        <v>Barks_etal_2014</v>
      </c>
      <c r="G12" t="str">
        <f>SUBSTITUTE(SUBSTITUTE(_xlfn.TEXTBEFORE(A12,","), "-", ""), " ", "")</f>
        <v>Barks</v>
      </c>
      <c r="H12" t="str">
        <f>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t="str">
        <f>_xlfn.TEXTBEFORE(_xlfn.TEXTAFTER(A12, "("), ")")</f>
        <v>2014</v>
      </c>
      <c r="J12" t="str">
        <f>_xlfn.LET(
_xlpm.doi,IF(C12&lt;&gt;"",C12,_xlfn.TEXTAFTER(A12,"https://doi.org/")),
SUBSTITUTE(
SUBSTITUTE(
SUBSTITUTE(
SUBSTITUTE(
_xlpm.doi,
"/","%2F"),
":","%3A"),
"&lt;","%3C"),
"&gt;","%3E")
)</f>
        <v>10.1002%2Fajpa.22646</v>
      </c>
      <c r="K12" t="str">
        <f>TRIM(_xlfn.TEXTJOIN("_",FALSE,F12,(SUBSTITUTE(SUBSTITUTE(D12," ",""), "_", ""))))</f>
        <v>Barks_etal_2014_Fig4A</v>
      </c>
      <c r="L12" t="str">
        <f>J12 &amp; "_" &amp; SUBSTITUTE(SUBSTITUTE(SUBSTITUTE(D12,CHAR(160),"")," ",""),"_","")</f>
        <v>10.1002%2Fajpa.22646_Fig4A</v>
      </c>
      <c r="M12" t="str">
        <f t="array" ref="M12">IFERROR(INDEX(FileList!$A$1:$A$100,MATCH(TRUE,EXACT(L12,_xlfn.TEXTBEFORE(FileList!$A$1:$A$100,".tsv")),0)),"notfound")</f>
        <v>10.1002%2Fajpa.22646_Fig4A.tsv</v>
      </c>
      <c r="N12" s="2"/>
      <c r="O12" t="s">
        <v>650</v>
      </c>
      <c r="P12" s="2" t="s">
        <v>48</v>
      </c>
      <c r="Y12" s="2" t="s">
        <v>655</v>
      </c>
    </row>
    <row r="13" ht="16" customHeight="1">
      <c r="A13" s="2" t="s">
        <v>74</v>
      </c>
      <c r="D13" s="2" t="s">
        <v>653</v>
      </c>
      <c r="E13" t="str">
        <f>RIGHT(A13,1)</f>
        <v>6</v>
      </c>
      <c r="F13" t="str">
        <f>G13 &amp; IF(H13&lt;&gt;"", "_" &amp; H13, "_") &amp; IF(I13&lt;&gt;"", "_" &amp; I13, "_") &amp; IF(B13&lt;&gt;"", "_" &amp; B13, "")</f>
        <v>Barks_etal_2014</v>
      </c>
      <c r="G13" t="str">
        <f>SUBSTITUTE(SUBSTITUTE(_xlfn.TEXTBEFORE(A13,","), "-", ""), " ", "")</f>
        <v>Barks</v>
      </c>
      <c r="H13" t="str">
        <f>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t="str">
        <f>_xlfn.TEXTBEFORE(_xlfn.TEXTAFTER(A13, "("), ")")</f>
        <v>2014</v>
      </c>
      <c r="J13" t="str">
        <f>_xlfn.LET(
_xlpm.doi,IF(C13&lt;&gt;"",C13,_xlfn.TEXTAFTER(A13,"https://doi.org/")),
SUBSTITUTE(
SUBSTITUTE(
SUBSTITUTE(
SUBSTITUTE(
_xlpm.doi,
"/","%2F"),
":","%3A"),
"&lt;","%3C"),
"&gt;","%3E")
)</f>
        <v>10.1002%2Fajpa.22646</v>
      </c>
      <c r="K13" t="str">
        <f>TRIM(_xlfn.TEXTJOIN("_",FALSE,F13,(SUBSTITUTE(SUBSTITUTE(D13," ",""), "_", ""))))</f>
        <v>Barks_etal_2014_Fig5A</v>
      </c>
      <c r="L13" t="str">
        <f>J13 &amp; "_" &amp; SUBSTITUTE(SUBSTITUTE(SUBSTITUTE(D13,CHAR(160),"")," ",""),"_","")</f>
        <v>10.1002%2Fajpa.22646_Fig5A</v>
      </c>
      <c r="M13" t="str">
        <f t="array" ref="M13">IFERROR(INDEX(FileList!$A$1:$A$100,MATCH(TRUE,EXACT(L13,_xlfn.TEXTBEFORE(FileList!$A$1:$A$100,".tsv")),0)),"notfound")</f>
        <v>10.1002%2Fajpa.22646_Fig5A.tsv</v>
      </c>
      <c r="N13" s="2"/>
      <c r="O13" t="s">
        <v>651</v>
      </c>
      <c r="P13" s="2" t="s">
        <v>48</v>
      </c>
    </row>
    <row r="14" ht="16" customHeight="1">
      <c r="A14" s="2" t="s">
        <v>74</v>
      </c>
      <c r="D14" s="2" t="s">
        <v>46</v>
      </c>
      <c r="E14" t="str">
        <f>RIGHT(A14,1)</f>
        <v>6</v>
      </c>
      <c r="F14" t="str">
        <f>G14 &amp; IF(H14&lt;&gt;"", "_" &amp; H14, "_") &amp; IF(I14&lt;&gt;"", "_" &amp; I14, "_") &amp; IF(B14&lt;&gt;"", "_" &amp; B14, "")</f>
        <v>Barks_etal_2014</v>
      </c>
      <c r="G14" t="str">
        <f>SUBSTITUTE(SUBSTITUTE(_xlfn.TEXTBEFORE(A14,","), "-", ""), " ", "")</f>
        <v>Barks</v>
      </c>
      <c r="H14" t="str">
        <f>_xlfn.LET(
_xlpm.authors,_xlfn.TEXTBEFORE(A14," ("&amp;I14&amp;")"),
_xlpm.hasAmp,ISNUMBER(SEARCH("&amp;",_xlpm.authors)),
_xlpm.commasBeforeAmp,IF(_xlpm.hasAmp,LEN(_xlfn.TEXTBEFORE(_xlpm.authors,"&amp;"))-LEN(SUBSTITUTE(_xlfn.TEXTBEFORE(_xlpm.authors,"&amp;"),",","")),0),
IF(NOT(_xlpm.hasAmp),"",IF(_xlpm.commasBeforeAmp&gt;2,"etal",TRIM(_xlfn.TEXTBEFORE(_xlfn.TEXTAFTER(_xlpm.authors,"&amp; "),","))))
)</f>
        <v>etal</v>
      </c>
      <c r="I14" t="str">
        <f>_xlfn.TEXTBEFORE(_xlfn.TEXTAFTER(A14, "("), ")")</f>
        <v>2014</v>
      </c>
      <c r="J14" t="str">
        <f>_xlfn.LET(
_xlpm.doi,IF(C14&lt;&gt;"",C14,_xlfn.TEXTAFTER(A14,"https://doi.org/")),
SUBSTITUTE(
SUBSTITUTE(
SUBSTITUTE(
SUBSTITUTE(
_xlpm.doi,
"/","%2F"),
":","%3A"),
"&lt;","%3C"),
"&gt;","%3E")
)</f>
        <v>10.1002%2Fajpa.22646</v>
      </c>
      <c r="K14" t="str">
        <f>TRIM(_xlfn.TEXTJOIN("_",FALSE,F14,(SUBSTITUTE(SUBSTITUTE(D14," ",""), "_", ""))))</f>
        <v>Barks_etal_2014_TABLE1</v>
      </c>
      <c r="L14" t="str">
        <f>J14 &amp; "_" &amp; SUBSTITUTE(SUBSTITUTE(SUBSTITUTE(D14,CHAR(160),"")," ",""),"_","")</f>
        <v>10.1002%2Fajpa.22646_TABLE1</v>
      </c>
      <c r="M14" t="str">
        <f t="array" ref="M14">IFERROR(INDEX(FileList!$A$1:$A$100,MATCH(TRUE,EXACT(L14,_xlfn.TEXTBEFORE(FileList!$A$1:$A$100,".tsv")),0)),"notfound")</f>
        <v>10.1002%2Fajpa.22646_TABLE1.tsv</v>
      </c>
      <c r="N14" s="2" t="s">
        <v>75</v>
      </c>
      <c r="P14" s="2" t="s">
        <v>48</v>
      </c>
      <c r="Y14" s="2" t="s">
        <v>655</v>
      </c>
    </row>
    <row r="15" ht="16" customHeight="1">
      <c r="A15" s="2" t="s">
        <v>74</v>
      </c>
      <c r="D15" s="2" t="s">
        <v>281</v>
      </c>
      <c r="E15" t="str">
        <f>RIGHT(A15,1)</f>
        <v>6</v>
      </c>
      <c r="F15" t="str">
        <f>G15 &amp; IF(H15&lt;&gt;"", "_" &amp; H15, "_") &amp; IF(I15&lt;&gt;"", "_" &amp; I15, "_") &amp; IF(B15&lt;&gt;"", "_" &amp; B15, "")</f>
        <v>Barks_etal_2014</v>
      </c>
      <c r="G15" t="str">
        <f>SUBSTITUTE(SUBSTITUTE(_xlfn.TEXTBEFORE(A15,","), "-", ""), " ", "")</f>
        <v>Barks</v>
      </c>
      <c r="H15" t="str">
        <f>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t="str">
        <f>_xlfn.TEXTBEFORE(_xlfn.TEXTAFTER(A15, "("), ")")</f>
        <v>2014</v>
      </c>
      <c r="J15" t="str">
        <f>_xlfn.LET(
_xlpm.doi,IF(C15&lt;&gt;"",C15,_xlfn.TEXTAFTER(A15,"https://doi.org/")),
SUBSTITUTE(
SUBSTITUTE(
SUBSTITUTE(
SUBSTITUTE(
_xlpm.doi,
"/","%2F"),
":","%3A"),
"&lt;","%3C"),
"&gt;","%3E")
)</f>
        <v>10.1002%2Fajpa.22646</v>
      </c>
      <c r="K15" t="str">
        <f>TRIM(_xlfn.TEXTJOIN("_",FALSE,F15,(SUBSTITUTE(SUBSTITUTE(D15," ",""), "_", ""))))</f>
        <v>Barks_etal_2014_TABLE2</v>
      </c>
      <c r="L15" t="str">
        <f>J15 &amp; "_" &amp; SUBSTITUTE(SUBSTITUTE(SUBSTITUTE(D15,CHAR(160),"")," ",""),"_","")</f>
        <v>10.1002%2Fajpa.22646_TABLE2</v>
      </c>
      <c r="M15" t="str">
        <f t="array" ref="M15">IFERROR(INDEX(FileList!$A$1:$A$100,MATCH(TRUE,EXACT(L15,_xlfn.TEXTBEFORE(FileList!$A$1:$A$100,".tsv")),0)),"notfound")</f>
        <v>10.1002%2Fajpa.22646_TABLE2.tsv</v>
      </c>
      <c r="N15" s="2" t="s">
        <v>649</v>
      </c>
      <c r="P15" s="2" t="s">
        <v>48</v>
      </c>
    </row>
    <row r="16" ht="16" customHeight="1">
      <c r="A16" s="2" t="s">
        <v>74</v>
      </c>
      <c r="D16" s="2" t="s">
        <v>656</v>
      </c>
      <c r="E16" t="str">
        <f>RIGHT(A16,1)</f>
        <v>6</v>
      </c>
      <c r="F16" t="str">
        <f>G16 &amp; IF(H16&lt;&gt;"", "_" &amp; H16, "_") &amp; IF(I16&lt;&gt;"", "_" &amp; I16, "_") &amp; IF(B16&lt;&gt;"", "_" &amp; B16, "")</f>
        <v>Barks_etal_2014</v>
      </c>
      <c r="G16" t="str">
        <f>SUBSTITUTE(SUBSTITUTE(_xlfn.TEXTBEFORE(A16,","), "-", ""), " ", "")</f>
        <v>Barks</v>
      </c>
      <c r="H16" t="str">
        <f>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t="str">
        <f>_xlfn.TEXTBEFORE(_xlfn.TEXTAFTER(A16, "("), ")")</f>
        <v>2014</v>
      </c>
      <c r="J16" t="str">
        <f>_xlfn.LET(
_xlpm.doi,IF(C16&lt;&gt;"",C16,_xlfn.TEXTAFTER(A16,"https://doi.org/")),
SUBSTITUTE(
SUBSTITUTE(
SUBSTITUTE(
SUBSTITUTE(
_xlpm.doi,
"/","%2F"),
":","%3A"),
"&lt;","%3C"),
"&gt;","%3E")
)</f>
        <v>10.1002%2Fajpa.22646</v>
      </c>
      <c r="K16" t="str">
        <f>TRIM(_xlfn.TEXTJOIN("_",FALSE,F16,(SUBSTITUTE(SUBSTITUTE(D16," ",""), "_", ""))))</f>
        <v>Barks_etal_2014_unpublishedviaDeCasien</v>
      </c>
      <c r="L16" t="str">
        <f>J16 &amp; "_" &amp; SUBSTITUTE(SUBSTITUTE(SUBSTITUTE(D16,CHAR(160),"")," ",""),"_","")</f>
        <v>10.1002%2Fajpa.22646_unpublishedviaDeCasien</v>
      </c>
      <c r="M16" t="str">
        <f t="array" ref="M16">IFERROR(INDEX(FileList!$A$1:$A$100,MATCH(TRUE,EXACT(L16,_xlfn.TEXTBEFORE(FileList!$A$1:$A$100,".tsv")),0)),"notfound")</f>
        <v>10.1002%2Fajpa.22646_unpublishedviaDeCasien.tsv</v>
      </c>
      <c r="N16" s="2"/>
      <c r="O16" t="s">
        <v>657</v>
      </c>
      <c r="P16" s="2"/>
    </row>
    <row r="17" ht="16" customHeight="1">
      <c r="A17" s="2" t="s">
        <v>76</v>
      </c>
      <c r="C17" s="2" t="s">
        <v>77</v>
      </c>
      <c r="D17" s="2" t="s">
        <v>78</v>
      </c>
      <c r="E17" t="str">
        <f>RIGHT(A17,1)</f>
        <v>9</v>
      </c>
      <c r="F17" t="str">
        <f>G17 &amp; IF(H17&lt;&gt;"", "_" &amp; H17, "_") &amp; IF(I17&lt;&gt;"", "_" &amp; I17, "_") &amp; IF(B17&lt;&gt;"", "_" &amp; B17, "")</f>
        <v>Baron_etal_1988</v>
      </c>
      <c r="G17" t="str">
        <f>SUBSTITUTE(SUBSTITUTE(_xlfn.TEXTBEFORE(A17,","), "-", ""), " ", "")</f>
        <v>Baron</v>
      </c>
      <c r="H17" t="str">
        <f>_xlfn.LET(
_xlpm.authors,_xlfn.TEXTBEFORE(A17," ("&amp;I17&amp;")"),
_xlpm.hasAmp,ISNUMBER(SEARCH("&amp;",_xlpm.authors)),
_xlpm.commasBeforeAmp,IF(_xlpm.hasAmp,LEN(_xlfn.TEXTBEFORE(_xlpm.authors,"&amp;"))-LEN(SUBSTITUTE(_xlfn.TEXTBEFORE(_xlpm.authors,"&amp;"),",","")),0),
IF(NOT(_xlpm.hasAmp),"",IF(_xlpm.commasBeforeAmp&gt;2,"etal",TRIM(_xlfn.TEXTBEFORE(_xlfn.TEXTAFTER(_xlpm.authors,"&amp; "),","))))
)</f>
        <v>etal</v>
      </c>
      <c r="I17" t="str">
        <f>_xlfn.TEXTBEFORE(_xlfn.TEXTAFTER(A17, "("), ")")</f>
        <v>1988</v>
      </c>
      <c r="J17" t="str">
        <f>_xlfn.LET(
_xlpm.doi,IF(C17&lt;&gt;"",C17,_xlfn.TEXTAFTER(A17,"https://doi.org/")),
SUBSTITUTE(
SUBSTITUTE(
SUBSTITUTE(
SUBSTITUTE(
_xlpm.doi,
"/","%2F"),
":","%3A"),
"&lt;","%3C"),
"&gt;","%3E")
)</f>
        <v>PMID%3A3216099</v>
      </c>
      <c r="K17" t="str">
        <f>TRIM(_xlfn.TEXTJOIN("_",FALSE,F17,(SUBSTITUTE(SUBSTITUTE(D17," ",""), "_", ""))))</f>
        <v>Baron_etal_1988_Table1</v>
      </c>
      <c r="L17" t="str">
        <f>J17 &amp; "_" &amp; SUBSTITUTE(SUBSTITUTE(SUBSTITUTE(D17,CHAR(160),"")," ",""),"_","")</f>
        <v>PMID%3A3216099_Table1</v>
      </c>
      <c r="M17" t="str">
        <f t="array" ref="M17">IFERROR(INDEX(FileList!$A$1:$A$100,MATCH(TRUE,EXACT(L17,_xlfn.TEXTBEFORE(FileList!$A$1:$A$100,".tsv")),0)),"notfound")</f>
        <v>notfound</v>
      </c>
      <c r="N17" s="2" t="s">
        <v>79</v>
      </c>
      <c r="P17" s="2" t="s">
        <v>48</v>
      </c>
      <c r="Y17" s="2" t="s">
        <v>80</v>
      </c>
      <c r="Z17" s="2" t="s">
        <v>80</v>
      </c>
      <c r="AF17" s="2" t="s">
        <v>70</v>
      </c>
      <c r="AG17" s="2" t="s">
        <v>80</v>
      </c>
      <c r="AI17" s="2" t="s">
        <v>81</v>
      </c>
      <c r="AJ17" s="2" t="s">
        <v>82</v>
      </c>
      <c r="AL17" s="2" t="s">
        <v>61</v>
      </c>
      <c r="AM17" s="2" t="s">
        <v>73</v>
      </c>
    </row>
    <row r="18" ht="17" customHeight="1">
      <c r="A18" s="2" t="s">
        <v>83</v>
      </c>
      <c r="C18" s="2" t="s">
        <v>84</v>
      </c>
      <c r="D18" s="2" t="s">
        <v>78</v>
      </c>
      <c r="E18" t="str">
        <f>RIGHT(A18,1)</f>
        <v>5</v>
      </c>
      <c r="F18" t="str">
        <f>G18 &amp; IF(H18&lt;&gt;"", "_" &amp; H18, "_") &amp; IF(I18&lt;&gt;"", "_" &amp; I18, "_") &amp; IF(B18&lt;&gt;"", "_" &amp; B18, "")</f>
        <v>Baron_etal_1983</v>
      </c>
      <c r="G18" t="str">
        <f>SUBSTITUTE(SUBSTITUTE(_xlfn.TEXTBEFORE(A18,","), "-", ""), " ", "")</f>
        <v>Baron</v>
      </c>
      <c r="H18" t="str">
        <f>_xlfn.LET(
_xlpm.authors,_xlfn.TEXTBEFORE(A18," ("&amp;I18&amp;")"),
_xlpm.hasAmp,ISNUMBER(SEARCH("&amp;",_xlpm.authors)),
_xlpm.commasBeforeAmp,IF(_xlpm.hasAmp,LEN(_xlfn.TEXTBEFORE(_xlpm.authors,"&amp;"))-LEN(SUBSTITUTE(_xlfn.TEXTBEFORE(_xlpm.authors,"&amp;"),",","")),0),
IF(NOT(_xlpm.hasAmp),"",IF(_xlpm.commasBeforeAmp&gt;2,"etal",TRIM(_xlfn.TEXTBEFORE(_xlfn.TEXTAFTER(_xlpm.authors,"&amp; "),","))))
)</f>
        <v>etal</v>
      </c>
      <c r="I18" t="str">
        <f>_xlfn.TEXTBEFORE(_xlfn.TEXTAFTER(A18, "("), ")")</f>
        <v>1983</v>
      </c>
      <c r="J18" t="str">
        <f>_xlfn.LET(
_xlpm.doi,IF(C18&lt;&gt;"",C18,_xlfn.TEXTAFTER(A18,"https://doi.org/")),
SUBSTITUTE(
SUBSTITUTE(
SUBSTITUTE(
SUBSTITUTE(
_xlpm.doi,
"/","%2F"),
":","%3A"),
"&lt;","%3C"),
"&gt;","%3E")
)</f>
        <v>PMID%3A6663055</v>
      </c>
      <c r="K18" t="str">
        <f>TRIM(_xlfn.TEXTJOIN("_",FALSE,F18,(SUBSTITUTE(SUBSTITUTE(D18," ",""), "_", ""))))</f>
        <v>Baron_etal_1983_Table1</v>
      </c>
      <c r="L18" t="str">
        <f>J18 &amp; "_" &amp; SUBSTITUTE(SUBSTITUTE(SUBSTITUTE(D18,CHAR(160),"")," ",""),"_","")</f>
        <v>PMID%3A6663055_Table1</v>
      </c>
      <c r="M18" t="str">
        <f t="array" ref="M18">IFERROR(INDEX(FileList!$A$1:$A$100,MATCH(TRUE,EXACT(L18,_xlfn.TEXTBEFORE(FileList!$A$1:$A$100,".tsv")),0)),"notfound")</f>
        <v>notfound</v>
      </c>
      <c r="P18" s="2" t="s">
        <v>48</v>
      </c>
      <c r="V18" s="2" t="s">
        <v>40</v>
      </c>
      <c r="W18" s="2" t="s">
        <v>85</v>
      </c>
      <c r="Y18" s="2" t="s">
        <v>80</v>
      </c>
      <c r="Z18" s="2" t="s">
        <v>80</v>
      </c>
      <c r="AF18" s="2" t="s">
        <v>70</v>
      </c>
      <c r="AG18" s="2" t="s">
        <v>80</v>
      </c>
      <c r="AI18" s="2" t="s">
        <v>86</v>
      </c>
      <c r="AJ18" s="2" t="s">
        <v>82</v>
      </c>
      <c r="AK18" s="2" t="s">
        <v>61</v>
      </c>
      <c r="AL18" s="2" t="s">
        <v>61</v>
      </c>
      <c r="AM18" s="2" t="s">
        <v>73</v>
      </c>
    </row>
    <row r="19" ht="17" customHeight="1">
      <c r="A19" s="2" t="s">
        <v>87</v>
      </c>
      <c r="C19" s="2" t="s">
        <v>88</v>
      </c>
      <c r="D19" s="2" t="s">
        <v>78</v>
      </c>
      <c r="E19" t="str">
        <f>RIGHT(A19,1)</f>
        <v>6</v>
      </c>
      <c r="F19" t="str">
        <f>G19 &amp; IF(H19&lt;&gt;"", "_" &amp; H19, "_") &amp; IF(I19&lt;&gt;"", "_" &amp; I19, "_") &amp; IF(B19&lt;&gt;"", "_" &amp; B19, "")</f>
        <v>Baron_etal_1987</v>
      </c>
      <c r="G19" t="str">
        <f>SUBSTITUTE(SUBSTITUTE(_xlfn.TEXTBEFORE(A19,","), "-", ""), " ", "")</f>
        <v>Baron</v>
      </c>
      <c r="H19" t="str">
        <f>_xlfn.LET(
_xlpm.authors,_xlfn.TEXTBEFORE(A19," ("&amp;I19&amp;")"),
_xlpm.hasAmp,ISNUMBER(SEARCH("&amp;",_xlpm.authors)),
_xlpm.commasBeforeAmp,IF(_xlpm.hasAmp,LEN(_xlfn.TEXTBEFORE(_xlpm.authors,"&amp;"))-LEN(SUBSTITUTE(_xlfn.TEXTBEFORE(_xlpm.authors,"&amp;"),",","")),0),
IF(NOT(_xlpm.hasAmp),"",IF(_xlpm.commasBeforeAmp&gt;2,"etal",TRIM(_xlfn.TEXTBEFORE(_xlfn.TEXTAFTER(_xlpm.authors,"&amp; "),","))))
)</f>
        <v>etal</v>
      </c>
      <c r="I19" t="str">
        <f>_xlfn.TEXTBEFORE(_xlfn.TEXTAFTER(A19, "("), ")")</f>
        <v>1987</v>
      </c>
      <c r="J19" t="str">
        <f>_xlfn.LET(
_xlpm.doi,IF(C19&lt;&gt;"",C19,_xlfn.TEXTAFTER(A19,"https://doi.org/")),
SUBSTITUTE(
SUBSTITUTE(
SUBSTITUTE(
SUBSTITUTE(
_xlpm.doi,
"/","%2F"),
":","%3A"),
"&lt;","%3C"),
"&gt;","%3E")
)</f>
        <v>PMID%3A3116076</v>
      </c>
      <c r="K19" t="str">
        <f>TRIM(_xlfn.TEXTJOIN("_",FALSE,F19,(SUBSTITUTE(SUBSTITUTE(D19," ",""), "_", ""))))</f>
        <v>Baron_etal_1987_Table1</v>
      </c>
      <c r="L19" t="str">
        <f>J19 &amp; "_" &amp; SUBSTITUTE(SUBSTITUTE(SUBSTITUTE(D19,CHAR(160),"")," ",""),"_","")</f>
        <v>PMID%3A3116076_Table1</v>
      </c>
      <c r="M19" t="str">
        <f t="array" ref="M19">IFERROR(INDEX(FileList!$A$1:$A$100,MATCH(TRUE,EXACT(L19,_xlfn.TEXTBEFORE(FileList!$A$1:$A$100,".tsv")),0)),"notfound")</f>
        <v>notfound</v>
      </c>
      <c r="P19" s="2" t="s">
        <v>48</v>
      </c>
      <c r="V19" s="2" t="s">
        <v>40</v>
      </c>
      <c r="W19" s="2" t="s">
        <v>85</v>
      </c>
      <c r="Y19" s="2" t="s">
        <v>80</v>
      </c>
      <c r="Z19" s="2" t="s">
        <v>80</v>
      </c>
      <c r="AF19" s="2" t="s">
        <v>70</v>
      </c>
      <c r="AG19" s="2" t="s">
        <v>80</v>
      </c>
      <c r="AI19" s="2" t="s">
        <v>89</v>
      </c>
      <c r="AJ19" s="2" t="s">
        <v>82</v>
      </c>
      <c r="AK19" s="2" t="s">
        <v>61</v>
      </c>
      <c r="AL19" s="2" t="s">
        <v>61</v>
      </c>
      <c r="AM19" s="2" t="s">
        <v>73</v>
      </c>
    </row>
    <row r="20" ht="16" customHeight="1">
      <c r="A20" s="2" t="s">
        <v>90</v>
      </c>
      <c r="C20" s="2" t="s">
        <v>91</v>
      </c>
      <c r="D20" s="2" t="s">
        <v>78</v>
      </c>
      <c r="E20" t="str">
        <f>RIGHT(A20,1)</f>
        <v>3</v>
      </c>
      <c r="F20" t="str">
        <f>G20 &amp; IF(H20&lt;&gt;"", "_" &amp; H20, "_") &amp; IF(I20&lt;&gt;"", "_" &amp; I20, "_") &amp; IF(B20&lt;&gt;"", "_" &amp; B20, "")</f>
        <v>Baron_etal_1990</v>
      </c>
      <c r="G20" t="str">
        <f>SUBSTITUTE(SUBSTITUTE(_xlfn.TEXTBEFORE(A20,","), "-", ""), " ", "")</f>
        <v>Baron</v>
      </c>
      <c r="H20" t="str">
        <f>_xlfn.LET(
_xlpm.authors,_xlfn.TEXTBEFORE(A20," ("&amp;I20&amp;")"),
_xlpm.hasAmp,ISNUMBER(SEARCH("&amp;",_xlpm.authors)),
_xlpm.commasBeforeAmp,IF(_xlpm.hasAmp,LEN(_xlfn.TEXTBEFORE(_xlpm.authors,"&amp;"))-LEN(SUBSTITUTE(_xlfn.TEXTBEFORE(_xlpm.authors,"&amp;"),",","")),0),
IF(NOT(_xlpm.hasAmp),"",IF(_xlpm.commasBeforeAmp&gt;2,"etal",TRIM(_xlfn.TEXTBEFORE(_xlfn.TEXTAFTER(_xlpm.authors,"&amp; "),","))))
)</f>
        <v>etal</v>
      </c>
      <c r="I20" t="str">
        <f>_xlfn.TEXTBEFORE(_xlfn.TEXTAFTER(A20, "("), ")")</f>
        <v>1990</v>
      </c>
      <c r="J20" t="str">
        <f>_xlfn.LET(
_xlpm.doi,IF(C20&lt;&gt;"",C20,_xlfn.TEXTAFTER(A20,"https://doi.org/")),
SUBSTITUTE(
SUBSTITUTE(
SUBSTITUTE(
SUBSTITUTE(
_xlpm.doi,
"/","%2F"),
":","%3A"),
"&lt;","%3C"),
"&gt;","%3E")
)</f>
        <v>PMID%3A2358663</v>
      </c>
      <c r="K20" t="str">
        <f>TRIM(_xlfn.TEXTJOIN("_",FALSE,F20,(SUBSTITUTE(SUBSTITUTE(D20," ",""), "_", ""))))</f>
        <v>Baron_etal_1990_Table1</v>
      </c>
      <c r="L20" t="str">
        <f>J20 &amp; "_" &amp; SUBSTITUTE(SUBSTITUTE(SUBSTITUTE(D20,CHAR(160),"")," ",""),"_","")</f>
        <v>PMID%3A2358663_Table1</v>
      </c>
      <c r="M20" t="str">
        <f t="array" ref="M20">IFERROR(INDEX(FileList!$A$1:$A$100,MATCH(TRUE,EXACT(L20,_xlfn.TEXTBEFORE(FileList!$A$1:$A$100,".tsv")),0)),"notfound")</f>
        <v>notfound</v>
      </c>
      <c r="N20" s="2" t="s">
        <v>92</v>
      </c>
      <c r="P20" s="2" t="s">
        <v>48</v>
      </c>
      <c r="V20" s="2" t="s">
        <v>40</v>
      </c>
      <c r="W20" s="2" t="s">
        <v>85</v>
      </c>
      <c r="Y20" s="2" t="s">
        <v>80</v>
      </c>
      <c r="Z20" s="2" t="s">
        <v>80</v>
      </c>
      <c r="AF20" s="2" t="s">
        <v>70</v>
      </c>
      <c r="AG20" s="2" t="s">
        <v>93</v>
      </c>
      <c r="AI20" s="2" t="s">
        <v>94</v>
      </c>
      <c r="AJ20" s="2" t="s">
        <v>82</v>
      </c>
      <c r="AK20" s="2" t="s">
        <v>61</v>
      </c>
      <c r="AL20" s="2" t="s">
        <v>61</v>
      </c>
      <c r="AM20" s="2" t="s">
        <v>73</v>
      </c>
    </row>
    <row r="21" ht="16" customHeight="1">
      <c r="A21" s="2" t="s">
        <v>95</v>
      </c>
      <c r="D21" s="2" t="s">
        <v>78</v>
      </c>
      <c r="E21" t="str">
        <f>RIGHT(A21,1)</f>
        <v>3</v>
      </c>
      <c r="F21" t="str">
        <f>G21 &amp; IF(H21&lt;&gt;"", "_" &amp; H21, "_") &amp; IF(I21&lt;&gt;"", "_" &amp; I21, "_") &amp; IF(B21&lt;&gt;"", "_" &amp; B21, "")</f>
        <v>Bauernfeind_etal_2013</v>
      </c>
      <c r="G21" t="str">
        <f>SUBSTITUTE(SUBSTITUTE(_xlfn.TEXTBEFORE(A21,","), "-", ""), " ", "")</f>
        <v>Bauernfeind</v>
      </c>
      <c r="H21" t="str">
        <f>_xlfn.LET(
_xlpm.authors,_xlfn.TEXTBEFORE(A21," ("&amp;I21&amp;")"),
_xlpm.hasAmp,ISNUMBER(SEARCH("&amp;",_xlpm.authors)),
_xlpm.commasBeforeAmp,IF(_xlpm.hasAmp,LEN(_xlfn.TEXTBEFORE(_xlpm.authors,"&amp;"))-LEN(SUBSTITUTE(_xlfn.TEXTBEFORE(_xlpm.authors,"&amp;"),",","")),0),
IF(NOT(_xlpm.hasAmp),"",IF(_xlpm.commasBeforeAmp&gt;2,"etal",TRIM(_xlfn.TEXTBEFORE(_xlfn.TEXTAFTER(_xlpm.authors,"&amp; "),","))))
)</f>
        <v>etal</v>
      </c>
      <c r="I21" t="str">
        <f>_xlfn.TEXTBEFORE(_xlfn.TEXTAFTER(A21, "("), ")")</f>
        <v>2013</v>
      </c>
      <c r="J21" t="str">
        <f>_xlfn.LET(
_xlpm.doi,IF(C21&lt;&gt;"",C21,_xlfn.TEXTAFTER(A21,"https://doi.org/")),
SUBSTITUTE(
SUBSTITUTE(
SUBSTITUTE(
SUBSTITUTE(
_xlpm.doi,
"/","%2F"),
":","%3A"),
"&lt;","%3C"),
"&gt;","%3E")
)</f>
        <v>10.1016%2Fj.jhevol.2012.12.003</v>
      </c>
      <c r="K21" t="str">
        <f>TRIM(_xlfn.TEXTJOIN("_",FALSE,F21,(SUBSTITUTE(SUBSTITUTE(D21," ",""), "_", ""))))</f>
        <v>Bauernfeind_etal_2013_Table1</v>
      </c>
      <c r="L21" t="str">
        <f>J21 &amp; "_" &amp; SUBSTITUTE(SUBSTITUTE(SUBSTITUTE(D21,CHAR(160),"")," ",""),"_","")</f>
        <v>10.1016%2Fj.jhevol.2012.12.003_Table1</v>
      </c>
      <c r="M21" t="str">
        <f t="array" ref="M21">IFERROR(INDEX(FileList!$A$1:$A$100,MATCH(TRUE,EXACT(L21,_xlfn.TEXTBEFORE(FileList!$A$1:$A$100,".tsv")),0)),"notfound")</f>
        <v>10.1016%2Fj.jhevol.2012.12.003_Table1.tsv</v>
      </c>
      <c r="N21" s="2" t="s">
        <v>96</v>
      </c>
      <c r="P21" s="2" t="s">
        <v>48</v>
      </c>
      <c r="V21" s="2" t="s">
        <v>40</v>
      </c>
      <c r="Y21" s="2" t="s">
        <v>97</v>
      </c>
      <c r="AF21" s="2" t="s">
        <v>70</v>
      </c>
      <c r="AG21" s="2" t="s">
        <v>93</v>
      </c>
      <c r="AI21" s="2" t="s">
        <v>98</v>
      </c>
      <c r="AJ21" s="2" t="s">
        <v>99</v>
      </c>
      <c r="AK21" s="2" t="s">
        <v>61</v>
      </c>
      <c r="AL21" s="2" t="s">
        <v>61</v>
      </c>
      <c r="AM21" s="2" t="s">
        <v>73</v>
      </c>
    </row>
    <row r="22" ht="16" customHeight="1">
      <c r="A22" s="2" t="s">
        <v>95</v>
      </c>
      <c r="D22" s="2" t="s">
        <v>100</v>
      </c>
      <c r="E22" t="str">
        <f>RIGHT(A22,1)</f>
        <v>3</v>
      </c>
      <c r="F22" t="str">
        <f>G22 &amp; IF(H22&lt;&gt;"", "_" &amp; H22, "_") &amp; IF(I22&lt;&gt;"", "_" &amp; I22, "_") &amp; IF(B22&lt;&gt;"", "_" &amp; B22, "")</f>
        <v>Bauernfeind_etal_2013</v>
      </c>
      <c r="G22" t="str">
        <f>SUBSTITUTE(SUBSTITUTE(_xlfn.TEXTBEFORE(A22,","), "-", ""), " ", "")</f>
        <v>Bauernfeind</v>
      </c>
      <c r="H22" t="str">
        <f>_xlfn.LET(
_xlpm.authors,_xlfn.TEXTBEFORE(A22," ("&amp;I22&amp;")"),
_xlpm.hasAmp,ISNUMBER(SEARCH("&amp;",_xlpm.authors)),
_xlpm.commasBeforeAmp,IF(_xlpm.hasAmp,LEN(_xlfn.TEXTBEFORE(_xlpm.authors,"&amp;"))-LEN(SUBSTITUTE(_xlfn.TEXTBEFORE(_xlpm.authors,"&amp;"),",","")),0),
IF(NOT(_xlpm.hasAmp),"",IF(_xlpm.commasBeforeAmp&gt;2,"etal",TRIM(_xlfn.TEXTBEFORE(_xlfn.TEXTAFTER(_xlpm.authors,"&amp; "),","))))
)</f>
        <v>etal</v>
      </c>
      <c r="I22" t="str">
        <f>_xlfn.TEXTBEFORE(_xlfn.TEXTAFTER(A22, "("), ")")</f>
        <v>2013</v>
      </c>
      <c r="J22" t="str">
        <f>_xlfn.LET(
_xlpm.doi,IF(C22&lt;&gt;"",C22,_xlfn.TEXTAFTER(A22,"https://doi.org/")),
SUBSTITUTE(
SUBSTITUTE(
SUBSTITUTE(
SUBSTITUTE(
_xlpm.doi,
"/","%2F"),
":","%3A"),
"&lt;","%3C"),
"&gt;","%3E")
)</f>
        <v>10.1016%2Fj.jhevol.2012.12.003</v>
      </c>
      <c r="K22" t="str">
        <f>TRIM(_xlfn.TEXTJOIN("_",FALSE,F22,(SUBSTITUTE(SUBSTITUTE(D22," ",""), "_", ""))))</f>
        <v>Bauernfeind_etal_2013_Table2</v>
      </c>
      <c r="L22" t="str">
        <f>J22 &amp; "_" &amp; SUBSTITUTE(SUBSTITUTE(SUBSTITUTE(D22,CHAR(160),"")," ",""),"_","")</f>
        <v>10.1016%2Fj.jhevol.2012.12.003_Table2</v>
      </c>
      <c r="M22" t="str">
        <f t="array" ref="M22">IFERROR(INDEX(FileList!$A$1:$A$100,MATCH(TRUE,EXACT(L22,_xlfn.TEXTBEFORE(FileList!$A$1:$A$100,".tsv")),0)),"notfound")</f>
        <v>10.1016%2Fj.jhevol.2012.12.003_Table2.tsv</v>
      </c>
      <c r="P22" s="2" t="s">
        <v>48</v>
      </c>
      <c r="V22" s="2" t="s">
        <v>40</v>
      </c>
      <c r="Y22" s="2" t="s">
        <v>97</v>
      </c>
      <c r="AF22" s="2" t="s">
        <v>70</v>
      </c>
      <c r="AG22" s="2" t="s">
        <v>93</v>
      </c>
      <c r="AI22" s="2" t="s">
        <v>98</v>
      </c>
      <c r="AJ22" s="2" t="s">
        <v>99</v>
      </c>
      <c r="AK22" s="2" t="s">
        <v>61</v>
      </c>
      <c r="AL22" s="2" t="s">
        <v>61</v>
      </c>
      <c r="AM22" s="2" t="s">
        <v>73</v>
      </c>
    </row>
    <row r="23" ht="16" customHeight="1">
      <c r="A23" s="2" t="s">
        <v>95</v>
      </c>
      <c r="D23" s="2" t="s">
        <v>101</v>
      </c>
      <c r="E23" t="str">
        <f>RIGHT(A23,1)</f>
        <v>3</v>
      </c>
      <c r="F23" t="str">
        <f>G23 &amp; IF(H23&lt;&gt;"", "_" &amp; H23, "_") &amp; IF(I23&lt;&gt;"", "_" &amp; I23, "_") &amp; IF(B23&lt;&gt;"", "_" &amp; B23, "")</f>
        <v>Bauernfeind_etal_2013</v>
      </c>
      <c r="G23" t="str">
        <f>SUBSTITUTE(SUBSTITUTE(_xlfn.TEXTBEFORE(A23,","), "-", ""), " ", "")</f>
        <v>Bauernfeind</v>
      </c>
      <c r="H23" t="str">
        <f>_xlfn.LET(
_xlpm.authors,_xlfn.TEXTBEFORE(A23," ("&amp;I23&amp;")"),
_xlpm.hasAmp,ISNUMBER(SEARCH("&amp;",_xlpm.authors)),
_xlpm.commasBeforeAmp,IF(_xlpm.hasAmp,LEN(_xlfn.TEXTBEFORE(_xlpm.authors,"&amp;"))-LEN(SUBSTITUTE(_xlfn.TEXTBEFORE(_xlpm.authors,"&amp;"),",","")),0),
IF(NOT(_xlpm.hasAmp),"",IF(_xlpm.commasBeforeAmp&gt;2,"etal",TRIM(_xlfn.TEXTBEFORE(_xlfn.TEXTAFTER(_xlpm.authors,"&amp; "),","))))
)</f>
        <v>etal</v>
      </c>
      <c r="I23" t="str">
        <f>_xlfn.TEXTBEFORE(_xlfn.TEXTAFTER(A23, "("), ")")</f>
        <v>2013</v>
      </c>
      <c r="J23" t="str">
        <f>_xlfn.LET(
_xlpm.doi,IF(C23&lt;&gt;"",C23,_xlfn.TEXTAFTER(A23,"https://doi.org/")),
SUBSTITUTE(
SUBSTITUTE(
SUBSTITUTE(
SUBSTITUTE(
_xlpm.doi,
"/","%2F"),
":","%3A"),
"&lt;","%3C"),
"&gt;","%3E")
)</f>
        <v>10.1016%2Fj.jhevol.2012.12.003</v>
      </c>
      <c r="K23" t="str">
        <f>TRIM(_xlfn.TEXTJOIN("_",FALSE,F23,(SUBSTITUTE(SUBSTITUTE(D23," ",""), "_", ""))))</f>
        <v>Bauernfeind_etal_2013_Table3</v>
      </c>
      <c r="L23" t="str">
        <f>J23 &amp; "_" &amp; SUBSTITUTE(SUBSTITUTE(SUBSTITUTE(D23,CHAR(160),"")," ",""),"_","")</f>
        <v>10.1016%2Fj.jhevol.2012.12.003_Table3</v>
      </c>
      <c r="M23" t="str">
        <f t="array" ref="M23">IFERROR(INDEX(FileList!$A$1:$A$100,MATCH(TRUE,EXACT(L23,_xlfn.TEXTBEFORE(FileList!$A$1:$A$100,".tsv")),0)),"notfound")</f>
        <v>notfound</v>
      </c>
      <c r="V23" s="2" t="s">
        <v>40</v>
      </c>
      <c r="Y23" s="2" t="s">
        <v>97</v>
      </c>
      <c r="AF23" s="2" t="s">
        <v>70</v>
      </c>
      <c r="AG23" s="2" t="s">
        <v>93</v>
      </c>
      <c r="AI23" s="2" t="s">
        <v>98</v>
      </c>
      <c r="AJ23" s="2" t="s">
        <v>99</v>
      </c>
      <c r="AK23" s="2" t="s">
        <v>61</v>
      </c>
      <c r="AL23" s="2" t="s">
        <v>61</v>
      </c>
      <c r="AM23" s="2" t="s">
        <v>73</v>
      </c>
    </row>
    <row r="24" ht="16" customHeight="1">
      <c r="A24" s="2" t="s">
        <v>102</v>
      </c>
      <c r="C24" s="2" t="s">
        <v>103</v>
      </c>
      <c r="D24" s="2" t="s">
        <v>104</v>
      </c>
      <c r="E24" t="str">
        <f>RIGHT(A24,1)</f>
        <v>0</v>
      </c>
      <c r="F24" t="str">
        <f>G24 &amp; IF(H24&lt;&gt;"", "_" &amp; H24, "_") &amp; IF(I24&lt;&gt;"", "_" &amp; I24, "_") &amp; IF(B24&lt;&gt;"", "_" &amp; B24, "")</f>
        <v>Brodmann__1913</v>
      </c>
      <c r="G24" t="str">
        <f>SUBSTITUTE(SUBSTITUTE(_xlfn.TEXTBEFORE(A24,","), "-", ""), " ", "")</f>
        <v>Brodmann</v>
      </c>
      <c r="H24" t="str">
        <f>_xlfn.LET(
_xlpm.authors,_xlfn.TEXTBEFORE(A24," ("&amp;I24&amp;")"),
_xlpm.hasAmp,ISNUMBER(SEARCH("&amp;",_xlpm.authors)),
_xlpm.commasBeforeAmp,IF(_xlpm.hasAmp,LEN(_xlfn.TEXTBEFORE(_xlpm.authors,"&amp;"))-LEN(SUBSTITUTE(_xlfn.TEXTBEFORE(_xlpm.authors,"&amp;"),",","")),0),
IF(NOT(_xlpm.hasAmp),"",IF(_xlpm.commasBeforeAmp&gt;2,"etal",TRIM(_xlfn.TEXTBEFORE(_xlfn.TEXTAFTER(_xlpm.authors,"&amp; "),","))))
)</f>
      </c>
      <c r="I24" t="str">
        <f>_xlfn.TEXTBEFORE(_xlfn.TEXTAFTER(A24, "("), ")")</f>
        <v>1913</v>
      </c>
      <c r="J24" t="str">
        <f>_xlfn.LET(
_xlpm.doi,IF(C24&lt;&gt;"",C24,_xlfn.TEXTAFTER(A24,"https://doi.org/")),
SUBSTITUTE(
SUBSTITUTE(
SUBSTITUTE(
SUBSTITUTE(
_xlpm.doi,
"/","%2F"),
":","%3A"),
"&lt;","%3C"),
"&gt;","%3E")
)</f>
        <v>10.0000%2Fplaceholder</v>
      </c>
      <c r="K24" t="str">
        <f>TRIM(_xlfn.TEXTJOIN("_",FALSE,F24,(SUBSTITUTE(SUBSTITUTE(D24," ",""), "_", ""))))</f>
        <v>Brodmann__1913_Tabelle1</v>
      </c>
      <c r="L24" t="str">
        <f>J24 &amp; "_" &amp; SUBSTITUTE(SUBSTITUTE(SUBSTITUTE(D24,CHAR(160),"")," ",""),"_","")</f>
        <v>10.0000%2Fplaceholder_Tabelle1</v>
      </c>
      <c r="M24" t="str">
        <f t="array" ref="M24">IFERROR(INDEX(FileList!$A$1:$A$100,MATCH(TRUE,EXACT(L24,_xlfn.TEXTBEFORE(FileList!$A$1:$A$100,".tsv")),0)),"notfound")</f>
        <v>notfound</v>
      </c>
      <c r="AI24" s="2" t="s">
        <v>105</v>
      </c>
      <c r="AJ24" s="2" t="s">
        <v>106</v>
      </c>
      <c r="AL24" s="2" t="s">
        <v>61</v>
      </c>
      <c r="AM24" s="2" t="s">
        <v>105</v>
      </c>
    </row>
    <row r="25" ht="16" customHeight="1">
      <c r="A25" s="2" t="s">
        <v>107</v>
      </c>
      <c r="D25" s="2" t="s">
        <v>108</v>
      </c>
      <c r="E25" t="str">
        <f>RIGHT(A25,1)</f>
        <v>3</v>
      </c>
      <c r="F25" t="str">
        <f>G25 &amp; IF(H25&lt;&gt;"", "_" &amp; H25, "_") &amp; IF(I25&lt;&gt;"", "_" &amp; I25, "_") &amp; IF(B25&lt;&gt;"", "_" &amp; B25, "")</f>
        <v>Burger_etal_2019</v>
      </c>
      <c r="G25" t="str">
        <f>SUBSTITUTE(SUBSTITUTE(_xlfn.TEXTBEFORE(A25,","), "-", ""), " ", "")</f>
        <v>Burger</v>
      </c>
      <c r="H25" t="str">
        <f>_xlfn.LET(
_xlpm.authors,_xlfn.TEXTBEFORE(A25," ("&amp;I25&amp;")"),
_xlpm.hasAmp,ISNUMBER(SEARCH("&amp;",_xlpm.authors)),
_xlpm.commasBeforeAmp,IF(_xlpm.hasAmp,LEN(_xlfn.TEXTBEFORE(_xlpm.authors,"&amp;"))-LEN(SUBSTITUTE(_xlfn.TEXTBEFORE(_xlpm.authors,"&amp;"),",","")),0),
IF(NOT(_xlpm.hasAmp),"",IF(_xlpm.commasBeforeAmp&gt;2,"etal",TRIM(_xlfn.TEXTBEFORE(_xlfn.TEXTAFTER(_xlpm.authors,"&amp; "),","))))
)</f>
        <v>etal</v>
      </c>
      <c r="I25" t="str">
        <f>_xlfn.TEXTBEFORE(_xlfn.TEXTAFTER(A25, "("), ")")</f>
        <v>2019</v>
      </c>
      <c r="J25" t="str">
        <f>_xlfn.LET(
_xlpm.doi,IF(C25&lt;&gt;"",C25,_xlfn.TEXTAFTER(A25,"https://doi.org/")),
SUBSTITUTE(
SUBSTITUTE(
SUBSTITUTE(
SUBSTITUTE(
_xlpm.doi,
"/","%2F"),
":","%3A"),
"&lt;","%3C"),
"&gt;","%3E")
)</f>
        <v>10.1093%2Fjmammal%2Fgyz043</v>
      </c>
      <c r="K25" t="str">
        <f>TRIM(_xlfn.TEXTJOIN("_",FALSE,F25,(SUBSTITUTE(SUBSTITUTE(D25," ",""), "_", ""))))</f>
        <v>Burger_etal_2019_SupplementaryDataSD1</v>
      </c>
      <c r="L25" t="str">
        <f>J25 &amp; "_" &amp; SUBSTITUTE(SUBSTITUTE(SUBSTITUTE(D25,CHAR(160),"")," ",""),"_","")</f>
        <v>10.1093%2Fjmammal%2Fgyz043_SupplementaryDataSD1</v>
      </c>
      <c r="M25" t="str">
        <f t="array" ref="M25">IFERROR(INDEX(FileList!$A$1:$A$100,MATCH(TRUE,EXACT(L25,_xlfn.TEXTBEFORE(FileList!$A$1:$A$100,".tsv")),0)),"notfound")</f>
        <v>10.1093%2Fjmammal%2Fgyz043_SupplementaryDataSD1.tsv</v>
      </c>
      <c r="O25" s="2" t="s">
        <v>109</v>
      </c>
      <c r="P25" s="2" t="s">
        <v>48</v>
      </c>
      <c r="Q25" s="2" t="s">
        <v>110</v>
      </c>
      <c r="R25" s="2" t="s">
        <v>111</v>
      </c>
      <c r="S25" s="2" t="s">
        <v>112</v>
      </c>
      <c r="T25" s="2" t="str">
        <f>IF(S25="N", R25, "write file name")</f>
        <v>gyz043_suppl_Supplement_Data.csv</v>
      </c>
      <c r="U25" s="2" t="s">
        <v>113</v>
      </c>
      <c r="V25" s="2" t="s">
        <v>40</v>
      </c>
      <c r="W25" s="2" t="s">
        <v>114</v>
      </c>
      <c r="AB25" s="2" t="s">
        <v>115</v>
      </c>
      <c r="AH25" s="2" t="s">
        <v>116</v>
      </c>
      <c r="AI25" s="2" t="s">
        <v>117</v>
      </c>
      <c r="AJ25" s="2" t="s">
        <v>118</v>
      </c>
      <c r="AK25" s="2" t="s">
        <v>119</v>
      </c>
      <c r="AL25" s="2" t="s">
        <v>119</v>
      </c>
      <c r="AM25" s="2" t="s">
        <v>120</v>
      </c>
    </row>
    <row r="26" ht="16" customHeight="1">
      <c r="A26" s="2" t="s">
        <v>121</v>
      </c>
      <c r="D26" s="2" t="s">
        <v>122</v>
      </c>
      <c r="E26" t="str">
        <f>RIGHT(A26,1)</f>
        <v>9</v>
      </c>
      <c r="F26" t="str">
        <f>G26 &amp; IF(H26&lt;&gt;"", "_" &amp; H26, "_") &amp; IF(I26&lt;&gt;"", "_" &amp; I26, "_") &amp; IF(B26&lt;&gt;"", "_" &amp; B26, "")</f>
        <v>Burish_etal_2010</v>
      </c>
      <c r="G26" t="str">
        <f>SUBSTITUTE(SUBSTITUTE(_xlfn.TEXTBEFORE(A26,","), "-", ""), " ", "")</f>
        <v>Burish</v>
      </c>
      <c r="H26" t="str">
        <f>_xlfn.LET(
_xlpm.authors,_xlfn.TEXTBEFORE(A26," ("&amp;I26&amp;")"),
_xlpm.hasAmp,ISNUMBER(SEARCH("&amp;",_xlpm.authors)),
_xlpm.commasBeforeAmp,IF(_xlpm.hasAmp,LEN(_xlfn.TEXTBEFORE(_xlpm.authors,"&amp;"))-LEN(SUBSTITUTE(_xlfn.TEXTBEFORE(_xlpm.authors,"&amp;"),",","")),0),
IF(NOT(_xlpm.hasAmp),"",IF(_xlpm.commasBeforeAmp&gt;2,"etal",TRIM(_xlfn.TEXTBEFORE(_xlfn.TEXTAFTER(_xlpm.authors,"&amp; "),","))))
)</f>
        <v>etal</v>
      </c>
      <c r="I26" t="str">
        <f>_xlfn.TEXTBEFORE(_xlfn.TEXTAFTER(A26, "("), ")")</f>
        <v>2010</v>
      </c>
      <c r="J26" t="str">
        <f>_xlfn.LET(
_xlpm.doi,IF(C26&lt;&gt;"",C26,_xlfn.TEXTAFTER(A26,"https://doi.org/")),
SUBSTITUTE(
SUBSTITUTE(
SUBSTITUTE(
SUBSTITUTE(
_xlpm.doi,
"/","%2F"),
":","%3A"),
"&lt;","%3C"),
"&gt;","%3E")
)</f>
        <v>10.1159%2F000319019</v>
      </c>
      <c r="K26" t="str">
        <f>TRIM(_xlfn.TEXTJOIN("_",FALSE,F26,(SUBSTITUTE(SUBSTITUTE(D26," ",""), "_", ""))))</f>
        <v>Burish_etal_2010_SupplementaryTable1</v>
      </c>
      <c r="L26" t="str">
        <f>J26 &amp; "_" &amp; SUBSTITUTE(SUBSTITUTE(SUBSTITUTE(D26,CHAR(160),"")," ",""),"_","")</f>
        <v>10.1159%2F000319019_SupplementaryTable1</v>
      </c>
      <c r="M26" t="str">
        <f t="array" ref="M26">IFERROR(INDEX(FileList!$A$1:$A$100,MATCH(TRUE,EXACT(L26,_xlfn.TEXTBEFORE(FileList!$A$1:$A$100,".tsv")),0)),"notfound")</f>
        <v>10.1159%2F000319019_SupplementaryTable1.tsv</v>
      </c>
      <c r="N26" s="2" t="s">
        <v>123</v>
      </c>
      <c r="P26" s="2" t="s">
        <v>124</v>
      </c>
      <c r="R26" s="2" t="s">
        <v>125</v>
      </c>
      <c r="Y26" s="2" t="s">
        <v>56</v>
      </c>
      <c r="Z26" s="2" t="s">
        <v>56</v>
      </c>
      <c r="AA26" s="2" t="s">
        <v>126</v>
      </c>
      <c r="AG26" s="2" t="s">
        <v>57</v>
      </c>
      <c r="AH26" s="2" t="s">
        <v>127</v>
      </c>
      <c r="AJ26" s="2" t="s">
        <v>128</v>
      </c>
      <c r="AK26" s="2" t="s">
        <v>129</v>
      </c>
      <c r="AL26" s="2" t="s">
        <v>41</v>
      </c>
      <c r="AM26" s="2" t="s">
        <v>41</v>
      </c>
    </row>
    <row r="27" ht="16" customHeight="1">
      <c r="A27" s="2" t="s">
        <v>121</v>
      </c>
      <c r="D27" s="2" t="s">
        <v>78</v>
      </c>
      <c r="E27" t="str">
        <f>RIGHT(A27,1)</f>
        <v>9</v>
      </c>
      <c r="F27" t="str">
        <f>G27 &amp; IF(H27&lt;&gt;"", "_" &amp; H27, "_") &amp; IF(I27&lt;&gt;"", "_" &amp; I27, "_") &amp; IF(B27&lt;&gt;"", "_" &amp; B27, "")</f>
        <v>Burish_etal_2010</v>
      </c>
      <c r="G27" t="str">
        <f>SUBSTITUTE(SUBSTITUTE(_xlfn.TEXTBEFORE(A27,","), "-", ""), " ", "")</f>
        <v>Burish</v>
      </c>
      <c r="H27" t="str">
        <f>_xlfn.LET(
_xlpm.authors,_xlfn.TEXTBEFORE(A27," ("&amp;I27&amp;")"),
_xlpm.hasAmp,ISNUMBER(SEARCH("&amp;",_xlpm.authors)),
_xlpm.commasBeforeAmp,IF(_xlpm.hasAmp,LEN(_xlfn.TEXTBEFORE(_xlpm.authors,"&amp;"))-LEN(SUBSTITUTE(_xlfn.TEXTBEFORE(_xlpm.authors,"&amp;"),",","")),0),
IF(NOT(_xlpm.hasAmp),"",IF(_xlpm.commasBeforeAmp&gt;2,"etal",TRIM(_xlfn.TEXTBEFORE(_xlfn.TEXTAFTER(_xlpm.authors,"&amp; "),","))))
)</f>
        <v>etal</v>
      </c>
      <c r="I27" t="str">
        <f>_xlfn.TEXTBEFORE(_xlfn.TEXTAFTER(A27, "("), ")")</f>
        <v>2010</v>
      </c>
      <c r="J27" t="str">
        <f>_xlfn.LET(
_xlpm.doi,IF(C27&lt;&gt;"",C27,_xlfn.TEXTAFTER(A27,"https://doi.org/")),
SUBSTITUTE(
SUBSTITUTE(
SUBSTITUTE(
SUBSTITUTE(
_xlpm.doi,
"/","%2F"),
":","%3A"),
"&lt;","%3C"),
"&gt;","%3E")
)</f>
        <v>10.1159%2F000319019</v>
      </c>
      <c r="K27" t="str">
        <f>TRIM(_xlfn.TEXTJOIN("_",FALSE,F27,(SUBSTITUTE(SUBSTITUTE(D27," ",""), "_", ""))))</f>
        <v>Burish_etal_2010_Table1</v>
      </c>
      <c r="L27" t="str">
        <f>J27 &amp; "_" &amp; SUBSTITUTE(SUBSTITUTE(SUBSTITUTE(D27,CHAR(160),"")," ",""),"_","")</f>
        <v>10.1159%2F000319019_Table1</v>
      </c>
      <c r="M27" t="str">
        <f t="array" ref="M27">IFERROR(INDEX(FileList!$A$1:$A$100,MATCH(TRUE,EXACT(L27,_xlfn.TEXTBEFORE(FileList!$A$1:$A$100,".tsv")),0)),"notfound")</f>
        <v>10.1159%2F000319019_Table1.tsv</v>
      </c>
      <c r="N27" s="2" t="s">
        <v>130</v>
      </c>
      <c r="P27" s="2" t="s">
        <v>48</v>
      </c>
      <c r="Q27" s="2" t="s">
        <v>49</v>
      </c>
      <c r="R27" s="2" t="s">
        <v>131</v>
      </c>
      <c r="T27" s="2" t="s">
        <v>132</v>
      </c>
      <c r="U27" s="2" t="s">
        <v>53</v>
      </c>
      <c r="V27" s="2" t="s">
        <v>40</v>
      </c>
      <c r="X27" s="2" t="s">
        <v>133</v>
      </c>
      <c r="Y27" s="2" t="s">
        <v>56</v>
      </c>
      <c r="Z27" s="2" t="s">
        <v>56</v>
      </c>
      <c r="AA27" s="2" t="s">
        <v>126</v>
      </c>
      <c r="AC27" s="2" t="s">
        <v>134</v>
      </c>
      <c r="AG27" s="2" t="s">
        <v>57</v>
      </c>
      <c r="AH27" s="2" t="s">
        <v>127</v>
      </c>
      <c r="AJ27" s="2" t="s">
        <v>128</v>
      </c>
      <c r="AK27" s="2" t="s">
        <v>135</v>
      </c>
      <c r="AL27" s="2" t="s">
        <v>41</v>
      </c>
      <c r="AM27" s="2" t="s">
        <v>41</v>
      </c>
    </row>
    <row r="28" ht="16" customHeight="1">
      <c r="A28" s="2" t="s">
        <v>136</v>
      </c>
      <c r="D28" s="2" t="s">
        <v>78</v>
      </c>
      <c r="E28" t="str">
        <f>RIGHT(A28,1)</f>
        <v>0</v>
      </c>
      <c r="F28" t="str">
        <f>G28 &amp; IF(H28&lt;&gt;"", "_" &amp; H28, "_") &amp; IF(I28&lt;&gt;"", "_" &amp; I28, "_") &amp; IF(B28&lt;&gt;"", "_" &amp; B28, "")</f>
        <v>Bush_Allman_2003</v>
      </c>
      <c r="G28" t="str">
        <f>SUBSTITUTE(SUBSTITUTE(_xlfn.TEXTBEFORE(A28,","), "-", ""), " ", "")</f>
        <v>Bush</v>
      </c>
      <c r="H28" t="str">
        <f>_xlfn.LET(
_xlpm.authors,_xlfn.TEXTBEFORE(A28," ("&amp;I28&amp;")"),
_xlpm.hasAmp,ISNUMBER(SEARCH("&amp;",_xlpm.authors)),
_xlpm.commasBeforeAmp,IF(_xlpm.hasAmp,LEN(_xlfn.TEXTBEFORE(_xlpm.authors,"&amp;"))-LEN(SUBSTITUTE(_xlfn.TEXTBEFORE(_xlpm.authors,"&amp;"),",","")),0),
IF(NOT(_xlpm.hasAmp),"",IF(_xlpm.commasBeforeAmp&gt;2,"etal",TRIM(_xlfn.TEXTBEFORE(_xlfn.TEXTAFTER(_xlpm.authors,"&amp; "),","))))
)</f>
        <v>Allman</v>
      </c>
      <c r="I28" t="str">
        <f>_xlfn.TEXTBEFORE(_xlfn.TEXTAFTER(A28, "("), ")")</f>
        <v>2003</v>
      </c>
      <c r="J28" t="str">
        <f>_xlfn.LET(
_xlpm.doi,IF(C28&lt;&gt;"",C28,_xlfn.TEXTAFTER(A28,"https://doi.org/")),
SUBSTITUTE(
SUBSTITUTE(
SUBSTITUTE(
SUBSTITUTE(
_xlpm.doi,
"/","%2F"),
":","%3A"),
"&lt;","%3C"),
"&gt;","%3E")
)</f>
        <v>10.1159%2F000068880</v>
      </c>
      <c r="K28" t="str">
        <f>TRIM(_xlfn.TEXTJOIN("_",FALSE,F28,(SUBSTITUTE(SUBSTITUTE(D28," ",""), "_", ""))))</f>
        <v>Bush_Allman_2003_Table1</v>
      </c>
      <c r="L28" t="str">
        <f>J28 &amp; "_" &amp; SUBSTITUTE(SUBSTITUTE(SUBSTITUTE(D28,CHAR(160),"")," ",""),"_","")</f>
        <v>10.1159%2F000068880_Table1</v>
      </c>
      <c r="M28" t="str">
        <f t="array" ref="M28">IFERROR(INDEX(FileList!$A$1:$A$100,MATCH(TRUE,EXACT(L28,_xlfn.TEXTBEFORE(FileList!$A$1:$A$100,".tsv")),0)),"notfound")</f>
        <v>10.1159%2F000068880_Table1.tsv</v>
      </c>
      <c r="N28" s="2" t="s">
        <v>137</v>
      </c>
      <c r="P28" s="2" t="s">
        <v>138</v>
      </c>
      <c r="Y28" s="2" t="s">
        <v>145</v>
      </c>
      <c r="Z28" s="2" t="s">
        <v>146</v>
      </c>
    </row>
    <row r="29" ht="16" customHeight="1">
      <c r="A29" s="2" t="s">
        <v>139</v>
      </c>
      <c r="B29" s="2" t="s">
        <v>140</v>
      </c>
      <c r="D29" s="2" t="s">
        <v>100</v>
      </c>
      <c r="E29" t="str">
        <f>RIGHT(A29,1)</f>
        <v>1</v>
      </c>
      <c r="F29" t="str">
        <f>G29 &amp; IF(H29&lt;&gt;"", "_" &amp; H29, "_") &amp; IF(I29&lt;&gt;"", "_" &amp; I29, "_") &amp; IF(B29&lt;&gt;"", "_" &amp; B29, "")</f>
        <v>Bush_Allman_2004_a</v>
      </c>
      <c r="G29" t="str">
        <f>SUBSTITUTE(SUBSTITUTE(_xlfn.TEXTBEFORE(A29,","), "-", ""), " ", "")</f>
        <v>Bush</v>
      </c>
      <c r="H29" t="str">
        <f>_xlfn.LET(
_xlpm.authors,_xlfn.TEXTBEFORE(A29," ("&amp;I29&amp;")"),
_xlpm.hasAmp,ISNUMBER(SEARCH("&amp;",_xlpm.authors)),
_xlpm.commasBeforeAmp,IF(_xlpm.hasAmp,LEN(_xlfn.TEXTBEFORE(_xlpm.authors,"&amp;"))-LEN(SUBSTITUTE(_xlfn.TEXTBEFORE(_xlpm.authors,"&amp;"),",","")),0),
IF(NOT(_xlpm.hasAmp),"",IF(_xlpm.commasBeforeAmp&gt;2,"etal",TRIM(_xlfn.TEXTBEFORE(_xlfn.TEXTAFTER(_xlpm.authors,"&amp; "),","))))
)</f>
        <v>Allman</v>
      </c>
      <c r="I29" t="str">
        <f>_xlfn.TEXTBEFORE(_xlfn.TEXTAFTER(A29, "("), ")")</f>
        <v>2004</v>
      </c>
      <c r="J29" t="str">
        <f>_xlfn.LET(
_xlpm.doi,IF(C29&lt;&gt;"",C29,_xlfn.TEXTAFTER(A29,"https://doi.org/")),
SUBSTITUTE(
SUBSTITUTE(
SUBSTITUTE(
SUBSTITUTE(
_xlpm.doi,
"/","%2F"),
":","%3A"),
"&lt;","%3C"),
"&gt;","%3E")
)</f>
        <v>10.1073%2Fpnas.0305760101</v>
      </c>
      <c r="K29" t="str">
        <f>TRIM(_xlfn.TEXTJOIN("_",FALSE,F29,(SUBSTITUTE(SUBSTITUTE(D29," ",""), "_", ""))))</f>
        <v>Bush_Allman_2004_a_Table2</v>
      </c>
      <c r="L29" t="str">
        <f>J29 &amp; "_" &amp; SUBSTITUTE(SUBSTITUTE(SUBSTITUTE(D29,CHAR(160),"")," ",""),"_","")</f>
        <v>10.1073%2Fpnas.0305760101_Table2</v>
      </c>
      <c r="M29" t="str">
        <f t="array" ref="M29">IFERROR(INDEX(FileList!$A$1:$A$100,MATCH(TRUE,EXACT(L29,_xlfn.TEXTBEFORE(FileList!$A$1:$A$100,".tsv")),0)),"notfound")</f>
        <v>10.1073%2Fpnas.0305760101_Table2.tsv</v>
      </c>
      <c r="N29" s="2" t="s">
        <v>141</v>
      </c>
      <c r="P29" s="2" t="s">
        <v>142</v>
      </c>
      <c r="R29" s="2" t="s">
        <v>143</v>
      </c>
      <c r="S29" s="2" t="s">
        <v>51</v>
      </c>
      <c r="T29" s="2" t="s">
        <v>144</v>
      </c>
      <c r="U29" s="2" t="s">
        <v>53</v>
      </c>
      <c r="V29" s="2" t="s">
        <v>40</v>
      </c>
      <c r="Y29" s="2" t="s">
        <v>145</v>
      </c>
      <c r="Z29" s="2" t="s">
        <v>146</v>
      </c>
      <c r="AF29" s="2" t="s">
        <v>70</v>
      </c>
      <c r="AG29" s="2" t="s">
        <v>93</v>
      </c>
      <c r="AH29" s="2" t="s">
        <v>147</v>
      </c>
      <c r="AI29" s="2" t="s">
        <v>148</v>
      </c>
      <c r="AK29" s="2" t="s">
        <v>61</v>
      </c>
    </row>
    <row r="30" ht="16" customHeight="1">
      <c r="A30" s="2" t="s">
        <v>149</v>
      </c>
      <c r="B30" s="2" t="s">
        <v>150</v>
      </c>
      <c r="D30" s="2" t="s">
        <v>46</v>
      </c>
      <c r="E30" t="str">
        <f>RIGHT(A30,1)</f>
        <v>4</v>
      </c>
      <c r="F30" t="str">
        <f>G30 &amp; IF(H30&lt;&gt;"", "_" &amp; H30, "_") &amp; IF(I30&lt;&gt;"", "_" &amp; I30, "_") &amp; IF(B30&lt;&gt;"", "_" &amp; B30, "")</f>
        <v>Bush_Allman_2004_b</v>
      </c>
      <c r="G30" t="str">
        <f>SUBSTITUTE(SUBSTITUTE(_xlfn.TEXTBEFORE(A30,","), "-", ""), " ", "")</f>
        <v>Bush</v>
      </c>
      <c r="H30" t="str">
        <f>_xlfn.LET(
_xlpm.authors,_xlfn.TEXTBEFORE(A30," ("&amp;I30&amp;")"),
_xlpm.hasAmp,ISNUMBER(SEARCH("&amp;",_xlpm.authors)),
_xlpm.commasBeforeAmp,IF(_xlpm.hasAmp,LEN(_xlfn.TEXTBEFORE(_xlpm.authors,"&amp;"))-LEN(SUBSTITUTE(_xlfn.TEXTBEFORE(_xlpm.authors,"&amp;"),",","")),0),
IF(NOT(_xlpm.hasAmp),"",IF(_xlpm.commasBeforeAmp&gt;2,"etal",TRIM(_xlfn.TEXTBEFORE(_xlfn.TEXTAFTER(_xlpm.authors,"&amp; "),","))))
)</f>
        <v>Allman</v>
      </c>
      <c r="I30" t="str">
        <f>_xlfn.TEXTBEFORE(_xlfn.TEXTAFTER(A30, "("), ")")</f>
        <v>2004</v>
      </c>
      <c r="J30" t="str">
        <f>_xlfn.LET(
_xlpm.doi,IF(C30&lt;&gt;"",C30,_xlfn.TEXTAFTER(A30,"https://doi.org/")),
SUBSTITUTE(
SUBSTITUTE(
SUBSTITUTE(
SUBSTITUTE(
_xlpm.doi,
"/","%2F"),
":","%3A"),
"&lt;","%3C"),
"&gt;","%3E")
)</f>
        <v>10.1002%2Far.a.20114</v>
      </c>
      <c r="K30" t="str">
        <f>TRIM(_xlfn.TEXTJOIN("_",FALSE,F30,(SUBSTITUTE(SUBSTITUTE(D30," ",""), "_", ""))))</f>
        <v>Bush_Allman_2004_b_TABLE1</v>
      </c>
      <c r="L30" t="str">
        <f>J30 &amp; "_" &amp; SUBSTITUTE(SUBSTITUTE(SUBSTITUTE(D30,CHAR(160),"")," ",""),"_","")</f>
        <v>10.1002%2Far.a.20114_TABLE1</v>
      </c>
      <c r="M30" t="str">
        <f t="array" ref="M30">IFERROR(INDEX(FileList!$A$1:$A$100,MATCH(TRUE,EXACT(L30,_xlfn.TEXTBEFORE(FileList!$A$1:$A$100,".tsv")),0)),"notfound")</f>
        <v>10.1002%2Far.a.20114_TABLE1.tsv</v>
      </c>
      <c r="N30" s="2" t="s">
        <v>151</v>
      </c>
      <c r="P30" s="2" t="s">
        <v>142</v>
      </c>
      <c r="R30" s="2" t="s">
        <v>152</v>
      </c>
      <c r="S30" s="2" t="s">
        <v>51</v>
      </c>
      <c r="T30" s="2" t="s">
        <v>153</v>
      </c>
      <c r="U30" s="2" t="s">
        <v>53</v>
      </c>
      <c r="V30" s="2" t="s">
        <v>40</v>
      </c>
      <c r="Y30" s="2" t="s">
        <v>145</v>
      </c>
      <c r="Z30" s="2" t="s">
        <v>146</v>
      </c>
      <c r="AF30" s="2" t="s">
        <v>70</v>
      </c>
      <c r="AG30" s="2" t="s">
        <v>154</v>
      </c>
      <c r="AH30" s="2" t="s">
        <v>155</v>
      </c>
      <c r="AI30" s="2" t="s">
        <v>156</v>
      </c>
      <c r="AK30" s="2" t="s">
        <v>61</v>
      </c>
    </row>
    <row r="31" ht="16" customHeight="1">
      <c r="A31" s="2" t="s">
        <v>157</v>
      </c>
      <c r="D31" s="2" t="s">
        <v>158</v>
      </c>
      <c r="E31" t="str">
        <f>RIGHT(A31,1)</f>
        <v>5</v>
      </c>
      <c r="F31" t="str">
        <f>G31 &amp; IF(H31&lt;&gt;"", "_" &amp; H31, "_") &amp; IF(I31&lt;&gt;"", "_" &amp; I31, "_") &amp; IF(B31&lt;&gt;"", "_" &amp; B31, "")</f>
        <v>Caspar_etal_2022</v>
      </c>
      <c r="G31" t="str">
        <f>SUBSTITUTE(SUBSTITUTE(_xlfn.TEXTBEFORE(A31,","), "-", ""), " ", "")</f>
        <v>Caspar</v>
      </c>
      <c r="H31" t="str">
        <f>_xlfn.LET(
_xlpm.authors,_xlfn.TEXTBEFORE(A31," ("&amp;I31&amp;")"),
_xlpm.hasAmp,ISNUMBER(SEARCH("&amp;",_xlpm.authors)),
_xlpm.commasBeforeAmp,IF(_xlpm.hasAmp,LEN(_xlfn.TEXTBEFORE(_xlpm.authors,"&amp;"))-LEN(SUBSTITUTE(_xlfn.TEXTBEFORE(_xlpm.authors,"&amp;"),",","")),0),
IF(NOT(_xlpm.hasAmp),"",IF(_xlpm.commasBeforeAmp&gt;2,"etal",TRIM(_xlfn.TEXTBEFORE(_xlfn.TEXTAFTER(_xlpm.authors,"&amp; "),","))))
)</f>
        <v>etal</v>
      </c>
      <c r="I31" t="str">
        <f>_xlfn.TEXTBEFORE(_xlfn.TEXTAFTER(A31, "("), ")")</f>
        <v>2022</v>
      </c>
      <c r="J31" t="str">
        <f>_xlfn.LET(
_xlpm.doi,IF(C31&lt;&gt;"",C31,_xlfn.TEXTAFTER(A31,"https://doi.org/")),
SUBSTITUTE(
SUBSTITUTE(
SUBSTITUTE(
SUBSTITUTE(
_xlpm.doi,
"/","%2F"),
":","%3A"),
"&lt;","%3C"),
"&gt;","%3E")
)</f>
        <v>10.7554%2FeLife.77875</v>
      </c>
      <c r="K31" t="str">
        <f>TRIM(_xlfn.TEXTJOIN("_",FALSE,F31,(SUBSTITUTE(SUBSTITUTE(D31," ",""), "_", ""))))</f>
        <v>Caspar_etal_2022_Supplementaryfile3</v>
      </c>
      <c r="L31" t="str">
        <f>J31 &amp; "_" &amp; SUBSTITUTE(SUBSTITUTE(SUBSTITUTE(D31,CHAR(160),"")," ",""),"_","")</f>
        <v>10.7554%2FeLife.77875_Supplementaryfile3</v>
      </c>
      <c r="M31" t="str">
        <f t="array" ref="M31">IFERROR(INDEX(FileList!$A$1:$A$100,MATCH(TRUE,EXACT(L31,_xlfn.TEXTBEFORE(FileList!$A$1:$A$100,".tsv")),0)),"notfound")</f>
        <v>10.7554%2FeLife.77875_Supplementaryfile3.tsv</v>
      </c>
      <c r="N31" s="2" t="s">
        <v>159</v>
      </c>
      <c r="P31" s="2" t="s">
        <v>48</v>
      </c>
      <c r="Q31" s="2" t="s">
        <v>49</v>
      </c>
      <c r="R31" s="2" t="s">
        <v>160</v>
      </c>
      <c r="S31" s="2" t="s">
        <v>112</v>
      </c>
      <c r="T31" s="2" t="str">
        <f>IF(S31="N", R31, "write file name")</f>
        <v>elife-77875-supp3-v1.xlsx</v>
      </c>
      <c r="U31" s="2" t="s">
        <v>161</v>
      </c>
      <c r="V31" s="2" t="s">
        <v>40</v>
      </c>
      <c r="W31" s="2" t="s">
        <v>162</v>
      </c>
      <c r="X31" s="2" t="s">
        <v>163</v>
      </c>
      <c r="AH31" s="2" t="s">
        <v>155</v>
      </c>
      <c r="AI31" s="2" t="s">
        <v>164</v>
      </c>
      <c r="AJ31" s="2" t="s">
        <v>99</v>
      </c>
      <c r="AK31" s="2" t="s">
        <v>119</v>
      </c>
      <c r="AL31" s="2" t="s">
        <v>119</v>
      </c>
      <c r="AM31" s="2" t="s">
        <v>165</v>
      </c>
    </row>
    <row r="32" ht="16" customHeight="1">
      <c r="A32" s="2" t="s">
        <v>157</v>
      </c>
      <c r="D32" s="2" t="s">
        <v>78</v>
      </c>
      <c r="E32" t="str">
        <f>RIGHT(A32,1)</f>
        <v>5</v>
      </c>
      <c r="F32" t="str">
        <f>G32 &amp; IF(H32&lt;&gt;"", "_" &amp; H32, "_") &amp; IF(I32&lt;&gt;"", "_" &amp; I32, "_") &amp; IF(B32&lt;&gt;"", "_" &amp; B32, "")</f>
        <v>Caspar_etal_2022</v>
      </c>
      <c r="G32" t="str">
        <f>SUBSTITUTE(SUBSTITUTE(_xlfn.TEXTBEFORE(A32,","), "-", ""), " ", "")</f>
        <v>Caspar</v>
      </c>
      <c r="H32" t="str">
        <f>_xlfn.LET(
_xlpm.authors,_xlfn.TEXTBEFORE(A32," ("&amp;I32&amp;")"),
_xlpm.hasAmp,ISNUMBER(SEARCH("&amp;",_xlpm.authors)),
_xlpm.commasBeforeAmp,IF(_xlpm.hasAmp,LEN(_xlfn.TEXTBEFORE(_xlpm.authors,"&amp;"))-LEN(SUBSTITUTE(_xlfn.TEXTBEFORE(_xlpm.authors,"&amp;"),",","")),0),
IF(NOT(_xlpm.hasAmp),"",IF(_xlpm.commasBeforeAmp&gt;2,"etal",TRIM(_xlfn.TEXTBEFORE(_xlfn.TEXTAFTER(_xlpm.authors,"&amp; "),","))))
)</f>
        <v>etal</v>
      </c>
      <c r="I32" t="str">
        <f>_xlfn.TEXTBEFORE(_xlfn.TEXTAFTER(A32, "("), ")")</f>
        <v>2022</v>
      </c>
      <c r="J32" t="str">
        <f>_xlfn.LET(
_xlpm.doi,IF(C32&lt;&gt;"",C32,_xlfn.TEXTAFTER(A32,"https://doi.org/")),
SUBSTITUTE(
SUBSTITUTE(
SUBSTITUTE(
SUBSTITUTE(
_xlpm.doi,
"/","%2F"),
":","%3A"),
"&lt;","%3C"),
"&gt;","%3E")
)</f>
        <v>10.7554%2FeLife.77875</v>
      </c>
      <c r="K32" t="str">
        <f>TRIM(_xlfn.TEXTJOIN("_",FALSE,F32,(SUBSTITUTE(SUBSTITUTE(D32," ",""), "_", ""))))</f>
        <v>Caspar_etal_2022_Table1</v>
      </c>
      <c r="L32" t="str">
        <f>J32 &amp; "_" &amp; SUBSTITUTE(SUBSTITUTE(SUBSTITUTE(D32,CHAR(160),"")," ",""),"_","")</f>
        <v>10.7554%2FeLife.77875_Table1</v>
      </c>
      <c r="M32" t="str">
        <f t="array" ref="M32">IFERROR(INDEX(FileList!$A$1:$A$100,MATCH(TRUE,EXACT(L32,_xlfn.TEXTBEFORE(FileList!$A$1:$A$100,".tsv")),0)),"notfound")</f>
        <v>10.7554%2FeLife.77875_Table1.tsv</v>
      </c>
      <c r="N32" s="2" t="s">
        <v>166</v>
      </c>
      <c r="P32" s="2" t="s">
        <v>48</v>
      </c>
      <c r="Q32" s="2" t="s">
        <v>49</v>
      </c>
      <c r="R32" s="2" t="s">
        <v>167</v>
      </c>
      <c r="S32" s="2" t="s">
        <v>51</v>
      </c>
      <c r="T32" s="2" t="s">
        <v>168</v>
      </c>
      <c r="U32" s="2" t="s">
        <v>53</v>
      </c>
      <c r="V32" s="2" t="s">
        <v>40</v>
      </c>
      <c r="W32" s="2" t="s">
        <v>169</v>
      </c>
      <c r="X32" s="2" t="s">
        <v>170</v>
      </c>
      <c r="AB32" s="2" t="s">
        <v>171</v>
      </c>
      <c r="AH32" s="2" t="s">
        <v>155</v>
      </c>
      <c r="AI32" s="2" t="s">
        <v>172</v>
      </c>
      <c r="AJ32" s="2" t="s">
        <v>99</v>
      </c>
      <c r="AK32" s="2" t="s">
        <v>173</v>
      </c>
      <c r="AL32" s="2" t="s">
        <v>119</v>
      </c>
      <c r="AM32" s="2" t="s">
        <v>174</v>
      </c>
    </row>
    <row r="33" ht="16" customHeight="1">
      <c r="A33" s="2" t="s">
        <v>625</v>
      </c>
      <c r="D33" s="2" t="s">
        <v>262</v>
      </c>
      <c r="E33" t="str">
        <f>RIGHT(A33,1)</f>
        <v>1</v>
      </c>
      <c r="F33" t="str">
        <f>G33 &amp; IF(H33&lt;&gt;"", "_" &amp; H33, "_") &amp; IF(I33&lt;&gt;"", "_" &amp; I33, "_") &amp; IF(B33&lt;&gt;"", "_" &amp; B33, "")</f>
        <v>Caves_etal_2018</v>
      </c>
      <c r="G33" t="str">
        <f>SUBSTITUTE(SUBSTITUTE(_xlfn.TEXTBEFORE(A33,","), "-", ""), " ", "")</f>
        <v>Caves</v>
      </c>
      <c r="H33" t="str">
        <f>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etal</v>
      </c>
      <c r="I33" t="str">
        <f>_xlfn.TEXTBEFORE(_xlfn.TEXTAFTER(A33, "("), ")")</f>
        <v>2018</v>
      </c>
      <c r="J33" t="str">
        <f>_xlfn.LET(
_xlpm.doi,IF(C33&lt;&gt;"",C33,_xlfn.TEXTAFTER(A33,"https://doi.org/")),
SUBSTITUTE(
SUBSTITUTE(
SUBSTITUTE(
SUBSTITUTE(
_xlpm.doi,
"/","%2F"),
":","%3A"),
"&lt;","%3C"),
"&gt;","%3E")
)</f>
        <v>10.1016%2Fj.tree.2018.03.001</v>
      </c>
      <c r="K33" t="str">
        <f>TRIM(_xlfn.TEXTJOIN("_",FALSE,F33,(SUBSTITUTE(SUBSTITUTE(D33," ",""), "_", ""))))</f>
        <v>Caves_etal_2018_TableS1</v>
      </c>
      <c r="L33" t="str">
        <f>J33 &amp; "_" &amp; SUBSTITUTE(SUBSTITUTE(SUBSTITUTE(D33,CHAR(160),"")," ",""),"_","")</f>
        <v>10.1016%2Fj.tree.2018.03.001_TableS1</v>
      </c>
      <c r="M33" t="str">
        <f t="array" ref="M33">IFERROR(INDEX(FileList!$A$1:$A$100,MATCH(TRUE,EXACT(L33,_xlfn.TEXTBEFORE(FileList!$A$1:$A$100,".tsv")),0)),"notfound")</f>
        <v>notfound</v>
      </c>
      <c r="N33" s="3"/>
      <c r="P33" s="2"/>
      <c r="Q33" s="2"/>
      <c r="R33" s="2"/>
      <c r="S33" s="2"/>
      <c r="T33" s="2"/>
      <c r="U33" s="2"/>
      <c r="V33" s="2"/>
      <c r="W33" s="2"/>
      <c r="X33" s="3"/>
      <c r="AB33" s="2"/>
      <c r="AH33" s="3"/>
      <c r="AI33" s="2"/>
      <c r="AJ33" s="2"/>
      <c r="AK33" s="2"/>
      <c r="AL33" s="2"/>
      <c r="AM33" s="2"/>
    </row>
    <row r="34" ht="16" customHeight="1">
      <c r="A34" s="2" t="s">
        <v>175</v>
      </c>
      <c r="D34" s="2" t="s">
        <v>176</v>
      </c>
      <c r="E34" t="str">
        <f>RIGHT(A34,1)</f>
        <v>5</v>
      </c>
      <c r="F34" t="str">
        <f>G34 &amp; IF(H34&lt;&gt;"", "_" &amp; H34, "_") &amp; IF(I34&lt;&gt;"", "_" &amp; I34, "_") &amp; IF(B34&lt;&gt;"", "_" &amp; B34, "")</f>
        <v>Changizi__2001</v>
      </c>
      <c r="G34" t="str">
        <f>SUBSTITUTE(SUBSTITUTE(_xlfn.TEXTBEFORE(A34,","), "-", ""), " ", "")</f>
        <v>Changizi</v>
      </c>
      <c r="H34" t="str">
        <f>_xlfn.LET(
_xlpm.authors,_xlfn.TEXTBEFORE(A34," ("&amp;I34&amp;")"),
_xlpm.hasAmp,ISNUMBER(SEARCH("&amp;",_xlpm.authors)),
_xlpm.commasBeforeAmp,IF(_xlpm.hasAmp,LEN(_xlfn.TEXTBEFORE(_xlpm.authors,"&amp;"))-LEN(SUBSTITUTE(_xlfn.TEXTBEFORE(_xlpm.authors,"&amp;"),",","")),0),
IF(NOT(_xlpm.hasAmp),"",IF(_xlpm.commasBeforeAmp&gt;2,"etal",TRIM(_xlfn.TEXTBEFORE(_xlfn.TEXTAFTER(_xlpm.authors,"&amp; "),","))))
)</f>
      </c>
      <c r="I34" t="str">
        <f>_xlfn.TEXTBEFORE(_xlfn.TEXTAFTER(A34, "("), ")")</f>
        <v>2001</v>
      </c>
      <c r="J34" t="str">
        <f>_xlfn.LET(
_xlpm.doi,IF(C34&lt;&gt;"",C34,_xlfn.TEXTAFTER(A34,"https://doi.org/")),
SUBSTITUTE(
SUBSTITUTE(
SUBSTITUTE(
SUBSTITUTE(
_xlpm.doi,
"/","%2F"),
":","%3A"),
"&lt;","%3C"),
"&gt;","%3E")
)</f>
        <v>10.1007%2Fs004220000205</v>
      </c>
      <c r="K34" t="str">
        <f>TRIM(_xlfn.TEXTJOIN("_",FALSE,F34,(SUBSTITUTE(SUBSTITUTE(D34," ",""), "_", ""))))</f>
        <v>Changizi__2001_Figure3</v>
      </c>
      <c r="L34" t="str">
        <f>J34 &amp; "_" &amp; SUBSTITUTE(SUBSTITUTE(SUBSTITUTE(D34,CHAR(160),"")," ",""),"_","")</f>
        <v>10.1007%2Fs004220000205_Figure3</v>
      </c>
      <c r="M34" t="str">
        <f t="array" ref="M34">IFERROR(INDEX(FileList!$A$1:$A$100,MATCH(TRUE,EXACT(L34,_xlfn.TEXTBEFORE(FileList!$A$1:$A$100,".tsv")),0)),"notfound")</f>
        <v>10.1007%2Fs004220000205_Figure3.tsv</v>
      </c>
      <c r="P34" s="2" t="s">
        <v>177</v>
      </c>
      <c r="Q34" s="2" t="s">
        <v>178</v>
      </c>
      <c r="R34" s="2" t="s">
        <v>179</v>
      </c>
      <c r="S34" s="2" t="s">
        <v>51</v>
      </c>
      <c r="T34" s="2" t="s">
        <v>180</v>
      </c>
      <c r="U34" s="2" t="s">
        <v>53</v>
      </c>
      <c r="V34" s="2" t="s">
        <v>181</v>
      </c>
      <c r="W34" s="2" t="s">
        <v>182</v>
      </c>
      <c r="AB34" s="2" t="s">
        <v>183</v>
      </c>
      <c r="AI34" s="2" t="s">
        <v>184</v>
      </c>
      <c r="AJ34" s="2" t="s">
        <v>118</v>
      </c>
      <c r="AK34" s="2" t="s">
        <v>185</v>
      </c>
      <c r="AL34" s="2" t="s">
        <v>119</v>
      </c>
      <c r="AM34" s="2" t="s">
        <v>186</v>
      </c>
    </row>
    <row r="35" ht="16" customHeight="1">
      <c r="A35" s="2" t="s">
        <v>187</v>
      </c>
      <c r="D35" s="2" t="s">
        <v>188</v>
      </c>
      <c r="E35" t="str">
        <f>RIGHT(A35,1)</f>
        <v>3</v>
      </c>
      <c r="F35" t="str">
        <f>G35 &amp; IF(H35&lt;&gt;"", "_" &amp; H35, "_") &amp; IF(I35&lt;&gt;"", "_" &amp; I35, "_") &amp; IF(B35&lt;&gt;"", "_" &amp; B35, "")</f>
        <v>Chen_Wiens_2020</v>
      </c>
      <c r="G35" t="str">
        <f>SUBSTITUTE(SUBSTITUTE(_xlfn.TEXTBEFORE(A35,","), "-", ""), " ", "")</f>
        <v>Chen</v>
      </c>
      <c r="H35" t="str">
        <f>_xlfn.LET(
_xlpm.authors,_xlfn.TEXTBEFORE(A35," ("&amp;I35&amp;")"),
_xlpm.hasAmp,ISNUMBER(SEARCH("&amp;",_xlpm.authors)),
_xlpm.commasBeforeAmp,IF(_xlpm.hasAmp,LEN(_xlfn.TEXTBEFORE(_xlpm.authors,"&amp;"))-LEN(SUBSTITUTE(_xlfn.TEXTBEFORE(_xlpm.authors,"&amp;"),",","")),0),
IF(NOT(_xlpm.hasAmp),"",IF(_xlpm.commasBeforeAmp&gt;2,"etal",TRIM(_xlfn.TEXTBEFORE(_xlfn.TEXTAFTER(_xlpm.authors,"&amp; "),","))))
)</f>
        <v>Wiens</v>
      </c>
      <c r="I35" t="str">
        <f>_xlfn.TEXTBEFORE(_xlfn.TEXTAFTER(A35, "("), ")")</f>
        <v>2020</v>
      </c>
      <c r="J35" t="str">
        <f>_xlfn.LET(
_xlpm.doi,IF(C35&lt;&gt;"",C35,_xlfn.TEXTAFTER(A35,"https://doi.org/")),
SUBSTITUTE(
SUBSTITUTE(
SUBSTITUTE(
SUBSTITUTE(
_xlpm.doi,
"/","%2F"),
":","%3A"),
"&lt;","%3C"),
"&gt;","%3E")
)</f>
        <v>10.1038%2Fs41467-020-14356-3</v>
      </c>
      <c r="K35" t="str">
        <f>TRIM(_xlfn.TEXTJOIN("_",FALSE,F35,(SUBSTITUTE(SUBSTITUTE(D35," ",""), "_", ""))))</f>
        <v>Chen_Wiens_2020_SupplementaryData3</v>
      </c>
      <c r="L35" t="str">
        <f>J35 &amp; "_" &amp; SUBSTITUTE(SUBSTITUTE(SUBSTITUTE(D35,CHAR(160),"")," ",""),"_","")</f>
        <v>10.1038%2Fs41467-020-14356-3_SupplementaryData3</v>
      </c>
      <c r="M35" t="str">
        <f t="array" ref="M35">IFERROR(INDEX(FileList!$A$1:$A$100,MATCH(TRUE,EXACT(L35,_xlfn.TEXTBEFORE(FileList!$A$1:$A$100,".tsv")),0)),"notfound")</f>
        <v>10.1038%2Fs41467-020-14356-3_SupplementaryData3.tsv</v>
      </c>
      <c r="P35" s="2" t="s">
        <v>48</v>
      </c>
      <c r="Q35" s="2" t="s">
        <v>49</v>
      </c>
      <c r="R35" s="2" t="s">
        <v>189</v>
      </c>
      <c r="S35" s="2" t="s">
        <v>112</v>
      </c>
      <c r="T35" s="2" t="str">
        <f>IF(S35="N", R35, "write file name")</f>
        <v>41467_2020_14356_MOESM6_ESM.xlsx</v>
      </c>
      <c r="U35" s="2" t="s">
        <v>161</v>
      </c>
      <c r="V35" s="2" t="s">
        <v>40</v>
      </c>
      <c r="W35" s="2" t="s">
        <v>162</v>
      </c>
      <c r="X35" s="2" t="s">
        <v>190</v>
      </c>
      <c r="AA35" s="2" t="s">
        <v>191</v>
      </c>
      <c r="AB35" s="2" t="s">
        <v>192</v>
      </c>
      <c r="AH35" s="2" t="s">
        <v>193</v>
      </c>
      <c r="AI35" s="2" t="s">
        <v>194</v>
      </c>
      <c r="AJ35" s="2" t="s">
        <v>195</v>
      </c>
      <c r="AK35" s="2" t="s">
        <v>119</v>
      </c>
      <c r="AL35" s="2" t="s">
        <v>119</v>
      </c>
      <c r="AM35" s="2" t="s">
        <v>196</v>
      </c>
    </row>
    <row r="36" ht="16" customHeight="1">
      <c r="A36" s="2" t="s">
        <v>197</v>
      </c>
      <c r="D36" s="2" t="s">
        <v>198</v>
      </c>
      <c r="E36" t="str">
        <f>RIGHT(A36,1)</f>
        <v>7</v>
      </c>
      <c r="F36" t="str">
        <f>G36 &amp; IF(H36&lt;&gt;"", "_" &amp; H36, "_") &amp; IF(I36&lt;&gt;"", "_" &amp; I36, "_") &amp; IF(B36&lt;&gt;"", "_" &amp; B36, "")</f>
        <v>Collins_etal_2010</v>
      </c>
      <c r="G36" t="str">
        <f>SUBSTITUTE(SUBSTITUTE(_xlfn.TEXTBEFORE(A36,","), "-", ""), " ", "")</f>
        <v>Collins</v>
      </c>
      <c r="H36" t="str">
        <f>_xlfn.LET(
_xlpm.authors,_xlfn.TEXTBEFORE(A36," ("&amp;I36&amp;")"),
_xlpm.hasAmp,ISNUMBER(SEARCH("&amp;",_xlpm.authors)),
_xlpm.commasBeforeAmp,IF(_xlpm.hasAmp,LEN(_xlfn.TEXTBEFORE(_xlpm.authors,"&amp;"))-LEN(SUBSTITUTE(_xlfn.TEXTBEFORE(_xlpm.authors,"&amp;"),",","")),0),
IF(NOT(_xlpm.hasAmp),"",IF(_xlpm.commasBeforeAmp&gt;2,"etal",TRIM(_xlfn.TEXTBEFORE(_xlfn.TEXTAFTER(_xlpm.authors,"&amp; "),","))))
)</f>
        <v>etal</v>
      </c>
      <c r="I36" t="str">
        <f>_xlfn.TEXTBEFORE(_xlfn.TEXTAFTER(A36, "("), ")")</f>
        <v>2010</v>
      </c>
      <c r="J36" t="str">
        <f>_xlfn.LET(
_xlpm.doi,IF(C36&lt;&gt;"",C36,_xlfn.TEXTAFTER(A36,"https://doi.org/")),
SUBSTITUTE(
SUBSTITUTE(
SUBSTITUTE(
SUBSTITUTE(
_xlpm.doi,
"/","%2F"),
":","%3A"),
"&lt;","%3C"),
"&gt;","%3E")
)</f>
        <v>10.1073%2Fpnas.1010356107</v>
      </c>
      <c r="K36" t="str">
        <f>TRIM(_xlfn.TEXTJOIN("_",FALSE,F36,(SUBSTITUTE(SUBSTITUTE(D36," ",""), "_", ""))))</f>
        <v>Collins_etal_2010_DatasetS1</v>
      </c>
      <c r="L36" t="str">
        <f>J36 &amp; "_" &amp; SUBSTITUTE(SUBSTITUTE(SUBSTITUTE(D36,CHAR(160),"")," ",""),"_","")</f>
        <v>10.1073%2Fpnas.1010356107_DatasetS1</v>
      </c>
      <c r="M36" t="str">
        <f t="array" ref="M36">IFERROR(INDEX(FileList!$A$1:$A$100,MATCH(TRUE,EXACT(L36,_xlfn.TEXTBEFORE(FileList!$A$1:$A$100,".tsv")),0)),"notfound")</f>
        <v>notfound</v>
      </c>
      <c r="Y36" s="2" t="s">
        <v>199</v>
      </c>
      <c r="AI36" s="2" t="s">
        <v>200</v>
      </c>
      <c r="AJ36" s="2" t="s">
        <v>99</v>
      </c>
      <c r="AK36" s="2" t="s">
        <v>61</v>
      </c>
      <c r="AL36" s="2" t="s">
        <v>61</v>
      </c>
      <c r="AM36" s="2" t="s">
        <v>105</v>
      </c>
    </row>
    <row r="37" ht="16" customHeight="1">
      <c r="A37" s="2" t="s">
        <v>201</v>
      </c>
      <c r="D37" s="2" t="s">
        <v>78</v>
      </c>
      <c r="E37" t="str">
        <f>RIGHT(A37,1)</f>
        <v>3</v>
      </c>
      <c r="F37" t="str">
        <f>G37 &amp; IF(H37&lt;&gt;"", "_" &amp; H37, "_") &amp; IF(I37&lt;&gt;"", "_" &amp; I37, "_") &amp; IF(B37&lt;&gt;"", "_" &amp; B37, "")</f>
        <v>Collins_etal_2016</v>
      </c>
      <c r="G37" t="str">
        <f>SUBSTITUTE(SUBSTITUTE(_xlfn.TEXTBEFORE(A37,","), "-", ""), " ", "")</f>
        <v>Collins</v>
      </c>
      <c r="H37" t="str">
        <f>_xlfn.LET(
_xlpm.authors,_xlfn.TEXTBEFORE(A37," ("&amp;I37&amp;")"),
_xlpm.hasAmp,ISNUMBER(SEARCH("&amp;",_xlpm.authors)),
_xlpm.commasBeforeAmp,IF(_xlpm.hasAmp,LEN(_xlfn.TEXTBEFORE(_xlpm.authors,"&amp;"))-LEN(SUBSTITUTE(_xlfn.TEXTBEFORE(_xlpm.authors,"&amp;"),",","")),0),
IF(NOT(_xlpm.hasAmp),"",IF(_xlpm.commasBeforeAmp&gt;2,"etal",TRIM(_xlfn.TEXTBEFORE(_xlfn.TEXTAFTER(_xlpm.authors,"&amp; "),","))))
)</f>
        <v>etal</v>
      </c>
      <c r="I37" t="str">
        <f>_xlfn.TEXTBEFORE(_xlfn.TEXTAFTER(A37, "("), ")")</f>
        <v>2016</v>
      </c>
      <c r="J37" t="str">
        <f>_xlfn.LET(
_xlpm.doi,IF(C37&lt;&gt;"",C37,_xlfn.TEXTAFTER(A37,"https://doi.org/")),
SUBSTITUTE(
SUBSTITUTE(
SUBSTITUTE(
SUBSTITUTE(
_xlpm.doi,
"/","%2F"),
":","%3A"),
"&lt;","%3C"),
"&gt;","%3E")
)</f>
        <v>10.1073%2Fpnas.1524208113</v>
      </c>
      <c r="K37" t="str">
        <f>TRIM(_xlfn.TEXTJOIN("_",FALSE,F37,(SUBSTITUTE(SUBSTITUTE(D37," ",""), "_", ""))))</f>
        <v>Collins_etal_2016_Table1</v>
      </c>
      <c r="L37" t="str">
        <f>J37 &amp; "_" &amp; SUBSTITUTE(SUBSTITUTE(SUBSTITUTE(D37,CHAR(160),"")," ",""),"_","")</f>
        <v>10.1073%2Fpnas.1524208113_Table1</v>
      </c>
      <c r="M37" t="str">
        <f t="array" ref="M37">IFERROR(INDEX(FileList!$A$1:$A$100,MATCH(TRUE,EXACT(L37,_xlfn.TEXTBEFORE(FileList!$A$1:$A$100,".tsv")),0)),"notfound")</f>
        <v>notfound</v>
      </c>
      <c r="N37" s="2" t="s">
        <v>202</v>
      </c>
      <c r="V37" s="2" t="s">
        <v>40</v>
      </c>
      <c r="Y37" s="2" t="s">
        <v>199</v>
      </c>
      <c r="Z37" s="2" t="s">
        <v>56</v>
      </c>
      <c r="AG37" s="2" t="s">
        <v>57</v>
      </c>
      <c r="AI37" s="2" t="s">
        <v>203</v>
      </c>
      <c r="AJ37" s="2" t="s">
        <v>99</v>
      </c>
      <c r="AK37" s="2" t="s">
        <v>61</v>
      </c>
      <c r="AL37" s="2" t="s">
        <v>61</v>
      </c>
      <c r="AM37" s="2" t="s">
        <v>204</v>
      </c>
    </row>
    <row r="38" ht="16" customHeight="1">
      <c r="A38" s="2" t="s">
        <v>205</v>
      </c>
      <c r="D38" s="2" t="s">
        <v>78</v>
      </c>
      <c r="E38" t="str">
        <f>RIGHT(A38,1)</f>
        <v>5</v>
      </c>
      <c r="F38" t="str">
        <f>G38 &amp; IF(H38&lt;&gt;"", "_" &amp; H38, "_") &amp; IF(I38&lt;&gt;"", "_" &amp; I38, "_") &amp; IF(B38&lt;&gt;"", "_" &amp; B38, "")</f>
        <v>deSousa_etal_2013</v>
      </c>
      <c r="G38" t="str">
        <f>SUBSTITUTE(SUBSTITUTE(_xlfn.TEXTBEFORE(A38,","), "-", ""), " ", "")</f>
        <v>deSousa</v>
      </c>
      <c r="H38" t="str">
        <f>_xlfn.LET(
_xlpm.authors,_xlfn.TEXTBEFORE(A38," ("&amp;I38&amp;")"),
_xlpm.hasAmp,ISNUMBER(SEARCH("&amp;",_xlpm.authors)),
_xlpm.commasBeforeAmp,IF(_xlpm.hasAmp,LEN(_xlfn.TEXTBEFORE(_xlpm.authors,"&amp;"))-LEN(SUBSTITUTE(_xlfn.TEXTBEFORE(_xlpm.authors,"&amp;"),",","")),0),
IF(NOT(_xlpm.hasAmp),"",IF(_xlpm.commasBeforeAmp&gt;2,"etal",TRIM(_xlfn.TEXTBEFORE(_xlfn.TEXTAFTER(_xlpm.authors,"&amp; "),","))))
)</f>
        <v>etal</v>
      </c>
      <c r="I38" t="str">
        <f>_xlfn.TEXTBEFORE(_xlfn.TEXTAFTER(A38, "("), ")")</f>
        <v>2013</v>
      </c>
      <c r="J38" t="str">
        <f>_xlfn.LET(
_xlpm.doi,IF(C38&lt;&gt;"",C38,_xlfn.TEXTAFTER(A38,"https://doi.org/")),
SUBSTITUTE(
SUBSTITUTE(
SUBSTITUTE(
SUBSTITUTE(
_xlpm.doi,
"/","%2F"),
":","%3A"),
"&lt;","%3C"),
"&gt;","%3E")
)</f>
        <v>10.1159%2F000346495</v>
      </c>
      <c r="K38" t="str">
        <f>TRIM(_xlfn.TEXTJOIN("_",FALSE,F38,(SUBSTITUTE(SUBSTITUTE(D38," ",""), "_", ""))))</f>
        <v>deSousa_etal_2013_Table1</v>
      </c>
      <c r="L38" t="str">
        <f>J38 &amp; "_" &amp; SUBSTITUTE(SUBSTITUTE(SUBSTITUTE(D38,CHAR(160),"")," ",""),"_","")</f>
        <v>10.1159%2F000346495_Table1</v>
      </c>
      <c r="M38" t="str">
        <f t="array" ref="M38">IFERROR(INDEX(FileList!$A$1:$A$100,MATCH(TRUE,EXACT(L38,_xlfn.TEXTBEFORE(FileList!$A$1:$A$100,".tsv")),0)),"notfound")</f>
        <v>10.1159%2F000346495_Table1.tsv</v>
      </c>
      <c r="N38" s="2" t="s">
        <v>206</v>
      </c>
      <c r="P38" s="2" t="s">
        <v>142</v>
      </c>
      <c r="R38" s="2" t="s">
        <v>207</v>
      </c>
      <c r="S38" s="2" t="s">
        <v>51</v>
      </c>
      <c r="T38" s="2" t="s">
        <v>208</v>
      </c>
      <c r="U38" s="2" t="s">
        <v>53</v>
      </c>
      <c r="V38" s="2" t="s">
        <v>40</v>
      </c>
      <c r="Y38" s="2" t="s">
        <v>481</v>
      </c>
      <c r="Z38" s="2" t="s">
        <v>210</v>
      </c>
      <c r="AF38" s="2" t="s">
        <v>70</v>
      </c>
      <c r="AG38" s="2" t="s">
        <v>93</v>
      </c>
      <c r="AH38" s="2" t="s">
        <v>211</v>
      </c>
      <c r="AI38" s="2" t="s">
        <v>212</v>
      </c>
      <c r="AJ38" s="2" t="s">
        <v>213</v>
      </c>
      <c r="AK38" s="2" t="s">
        <v>61</v>
      </c>
      <c r="AL38" s="2" t="s">
        <v>61</v>
      </c>
      <c r="AM38" s="2" t="s">
        <v>73</v>
      </c>
    </row>
    <row r="39" ht="16" customHeight="1">
      <c r="A39" s="2" t="s">
        <v>214</v>
      </c>
      <c r="D39" s="2" t="s">
        <v>215</v>
      </c>
      <c r="E39" t="str">
        <f>RIGHT(A39,1)</f>
        <v>1</v>
      </c>
      <c r="F39" t="str">
        <f>G39 &amp; IF(H39&lt;&gt;"", "_" &amp; H39, "_") &amp; IF(I39&lt;&gt;"", "_" &amp; I39, "_") &amp; IF(B39&lt;&gt;"", "_" &amp; B39, "")</f>
        <v>deSousa_etal_2010</v>
      </c>
      <c r="G39" t="str">
        <f>SUBSTITUTE(SUBSTITUTE(_xlfn.TEXTBEFORE(A39,","), "-", ""), " ", "")</f>
        <v>deSousa</v>
      </c>
      <c r="H39" t="str">
        <f>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etal</v>
      </c>
      <c r="I39" t="str">
        <f>_xlfn.TEXTBEFORE(_xlfn.TEXTAFTER(A39, "("), ")")</f>
        <v>2010</v>
      </c>
      <c r="J39" t="str">
        <f>_xlfn.LET(
_xlpm.doi,IF(C39&lt;&gt;"",C39,_xlfn.TEXTAFTER(A39,"https://doi.org/")),
SUBSTITUTE(
SUBSTITUTE(
SUBSTITUTE(
SUBSTITUTE(
_xlpm.doi,
"/","%2F"),
":","%3A"),
"&lt;","%3C"),
"&gt;","%3E")
)</f>
        <v>10.1016%2Fj.jhevol.2009.11.011</v>
      </c>
      <c r="K39" t="str">
        <f>TRIM(_xlfn.TEXTJOIN("_",FALSE,F39,(SUBSTITUTE(SUBSTITUTE(D39," ",""), "_", ""))))</f>
        <v>deSousa_etal_2010_SupTable2</v>
      </c>
      <c r="L39" t="str">
        <f>J39 &amp; "_" &amp; SUBSTITUTE(SUBSTITUTE(SUBSTITUTE(D39,CHAR(160),"")," ",""),"_","")</f>
        <v>10.1016%2Fj.jhevol.2009.11.011_SupTable2</v>
      </c>
      <c r="M39" t="str">
        <f t="array" ref="M39">IFERROR(INDEX(FileList!$A$1:$A$100,MATCH(TRUE,EXACT(L39,_xlfn.TEXTBEFORE(FileList!$A$1:$A$100,".tsv")),0)),"notfound")</f>
        <v>10.1016%2Fj.jhevol.2009.11.011_SupTable2.tsv</v>
      </c>
      <c r="N39" s="2" t="s">
        <v>216</v>
      </c>
      <c r="O39" s="2" t="s">
        <v>217</v>
      </c>
      <c r="P39" s="2" t="s">
        <v>48</v>
      </c>
      <c r="R39" s="2" t="s">
        <v>218</v>
      </c>
      <c r="S39" s="2" t="s">
        <v>51</v>
      </c>
      <c r="T39" s="2" t="s">
        <v>219</v>
      </c>
      <c r="V39" s="2" t="s">
        <v>220</v>
      </c>
      <c r="X39" s="2" t="s">
        <v>221</v>
      </c>
      <c r="Y39" s="2" t="s">
        <v>209</v>
      </c>
      <c r="Z39" s="2" t="s">
        <v>210</v>
      </c>
      <c r="AB39" s="2" t="s">
        <v>222</v>
      </c>
      <c r="AC39" s="2" t="s">
        <v>223</v>
      </c>
      <c r="AD39" s="2" t="s">
        <v>224</v>
      </c>
      <c r="AF39" s="2" t="s">
        <v>70</v>
      </c>
      <c r="AG39" s="2" t="s">
        <v>93</v>
      </c>
      <c r="AH39" s="2" t="s">
        <v>225</v>
      </c>
      <c r="AI39" s="2" t="s">
        <v>226</v>
      </c>
      <c r="AJ39" s="2" t="s">
        <v>213</v>
      </c>
      <c r="AK39" s="2" t="s">
        <v>61</v>
      </c>
      <c r="AL39" s="2" t="s">
        <v>61</v>
      </c>
      <c r="AM39" s="2" t="s">
        <v>73</v>
      </c>
    </row>
    <row r="40" ht="16" customHeight="1">
      <c r="A40" s="2" t="s">
        <v>214</v>
      </c>
      <c r="D40" s="2" t="s">
        <v>78</v>
      </c>
      <c r="E40" t="str">
        <f>RIGHT(A40,1)</f>
        <v>1</v>
      </c>
      <c r="F40" t="str">
        <f>G40 &amp; IF(H40&lt;&gt;"", "_" &amp; H40, "_") &amp; IF(I40&lt;&gt;"", "_" &amp; I40, "_") &amp; IF(B40&lt;&gt;"", "_" &amp; B40, "")</f>
        <v>deSousa_etal_2010</v>
      </c>
      <c r="G40" t="str">
        <f>SUBSTITUTE(SUBSTITUTE(_xlfn.TEXTBEFORE(A40,","), "-", ""), " ", "")</f>
        <v>deSousa</v>
      </c>
      <c r="H40" t="str">
        <f>_xlfn.LET(
_xlpm.authors,_xlfn.TEXTBEFORE(A40," ("&amp;I40&amp;")"),
_xlpm.hasAmp,ISNUMBER(SEARCH("&amp;",_xlpm.authors)),
_xlpm.commasBeforeAmp,IF(_xlpm.hasAmp,LEN(_xlfn.TEXTBEFORE(_xlpm.authors,"&amp;"))-LEN(SUBSTITUTE(_xlfn.TEXTBEFORE(_xlpm.authors,"&amp;"),",","")),0),
IF(NOT(_xlpm.hasAmp),"",IF(_xlpm.commasBeforeAmp&gt;2,"etal",TRIM(_xlfn.TEXTBEFORE(_xlfn.TEXTAFTER(_xlpm.authors,"&amp; "),","))))
)</f>
        <v>etal</v>
      </c>
      <c r="I40" t="str">
        <f>_xlfn.TEXTBEFORE(_xlfn.TEXTAFTER(A40, "("), ")")</f>
        <v>2010</v>
      </c>
      <c r="J40" t="str">
        <f>_xlfn.LET(
_xlpm.doi,IF(C40&lt;&gt;"",C40,_xlfn.TEXTAFTER(A40,"https://doi.org/")),
SUBSTITUTE(
SUBSTITUTE(
SUBSTITUTE(
SUBSTITUTE(
_xlpm.doi,
"/","%2F"),
":","%3A"),
"&lt;","%3C"),
"&gt;","%3E")
)</f>
        <v>10.1016%2Fj.jhevol.2009.11.011</v>
      </c>
      <c r="K40" t="str">
        <f>TRIM(_xlfn.TEXTJOIN("_",FALSE,F40,(SUBSTITUTE(SUBSTITUTE(D40," ",""), "_", ""))))</f>
        <v>deSousa_etal_2010_Table1</v>
      </c>
      <c r="L40" t="str">
        <f>J40 &amp; "_" &amp; SUBSTITUTE(SUBSTITUTE(SUBSTITUTE(D40,CHAR(160),"")," ",""),"_","")</f>
        <v>10.1016%2Fj.jhevol.2009.11.011_Table1</v>
      </c>
      <c r="M40" t="str">
        <f t="array" ref="M40">IFERROR(INDEX(FileList!$A$1:$A$100,MATCH(TRUE,EXACT(L40,_xlfn.TEXTBEFORE(FileList!$A$1:$A$100,".tsv")),0)),"notfound")</f>
        <v>10.1016%2Fj.jhevol.2009.11.011_Table1.tsv</v>
      </c>
      <c r="N40" s="2" t="s">
        <v>227</v>
      </c>
      <c r="V40" s="2" t="s">
        <v>40</v>
      </c>
      <c r="Y40" s="2" t="s">
        <v>481</v>
      </c>
      <c r="Z40" s="2" t="s">
        <v>210</v>
      </c>
      <c r="AF40" s="2" t="s">
        <v>228</v>
      </c>
      <c r="AG40" s="2" t="s">
        <v>93</v>
      </c>
      <c r="AI40" s="2" t="s">
        <v>229</v>
      </c>
      <c r="AJ40" s="2" t="s">
        <v>213</v>
      </c>
      <c r="AK40" s="2" t="s">
        <v>61</v>
      </c>
      <c r="AL40" s="2" t="s">
        <v>61</v>
      </c>
      <c r="AM40" s="2" t="s">
        <v>73</v>
      </c>
    </row>
    <row r="41" ht="16" customHeight="1">
      <c r="A41" s="2" t="s">
        <v>230</v>
      </c>
      <c r="D41" s="2" t="s">
        <v>237</v>
      </c>
      <c r="E41" t="str">
        <f>RIGHT(A41,1)</f>
        <v>0</v>
      </c>
      <c r="F41" t="str">
        <f>G41 &amp; IF(H41&lt;&gt;"", "_" &amp; H41, "_") &amp; IF(I41&lt;&gt;"", "_" &amp; I41, "_") &amp; IF(B41&lt;&gt;"", "_" &amp; B41, "")</f>
        <v>DeCasien_Higham_2019</v>
      </c>
      <c r="G41" t="str">
        <f>SUBSTITUTE(SUBSTITUTE(_xlfn.TEXTBEFORE(A41,","), "-", ""), " ", "")</f>
        <v>DeCasien</v>
      </c>
      <c r="H41" t="str">
        <f>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Higham</v>
      </c>
      <c r="I41" t="str">
        <f>_xlfn.TEXTBEFORE(_xlfn.TEXTAFTER(A41, "("), ")")</f>
        <v>2019</v>
      </c>
      <c r="J41" t="str">
        <f>_xlfn.LET(
_xlpm.doi,IF(C41&lt;&gt;"",C41,_xlfn.TEXTAFTER(A41,"https://doi.org/")),
SUBSTITUTE(
SUBSTITUTE(
SUBSTITUTE(
SUBSTITUTE(
_xlpm.doi,
"/","%2F"),
":","%3A"),
"&lt;","%3C"),
"&gt;","%3E")
)</f>
        <v>10.1038%2Fs41559-019-0969-0</v>
      </c>
      <c r="K41" t="str">
        <f>TRIM(_xlfn.TEXTJOIN("_",FALSE,F41,(SUBSTITUTE(SUBSTITUTE(D42," ",""), "_", ""))))</f>
        <v>DeCasien_Higham_2019_SupplementaryData1-BrainRegion</v>
      </c>
      <c r="L41" t="str">
        <f>J41 &amp; "_" &amp; SUBSTITUTE(SUBSTITUTE(SUBSTITUTE(D41,CHAR(160),"")," ",""),"_","")</f>
        <v>10.1038%2Fs41559-019-0969-0_SupplementaryData1-ActivityPeriod</v>
      </c>
      <c r="M41" t="str">
        <f t="array" ref="M41">IFERROR(INDEX(FileList!$A$1:$A$100,MATCH(TRUE,EXACT(L41,_xlfn.TEXTBEFORE(FileList!$A$1:$A$100,".tsv")),0)),"notfound")</f>
        <v>notfound</v>
      </c>
      <c r="N41" s="2" t="s">
        <v>232</v>
      </c>
      <c r="U41" s="2" t="s">
        <v>161</v>
      </c>
      <c r="V41" s="2" t="s">
        <v>233</v>
      </c>
      <c r="W41" s="2" t="s">
        <v>162</v>
      </c>
      <c r="X41" s="2" t="s">
        <v>234</v>
      </c>
      <c r="AB41" s="6"/>
      <c r="AF41" s="2" t="s">
        <v>70</v>
      </c>
      <c r="AH41" s="2" t="s">
        <v>155</v>
      </c>
      <c r="AI41" s="2" t="s">
        <v>238</v>
      </c>
      <c r="AJ41" s="2" t="s">
        <v>99</v>
      </c>
      <c r="AK41" s="2" t="s">
        <v>119</v>
      </c>
      <c r="AL41" s="2" t="s">
        <v>119</v>
      </c>
      <c r="AM41" s="2" t="s">
        <v>239</v>
      </c>
    </row>
    <row r="42" ht="16" customHeight="1">
      <c r="A42" s="2" t="s">
        <v>230</v>
      </c>
      <c r="D42" s="2" t="s">
        <v>231</v>
      </c>
      <c r="E42" t="str">
        <f>RIGHT(A42,1)</f>
        <v>0</v>
      </c>
      <c r="F42" t="str">
        <f>G42 &amp; IF(H42&lt;&gt;"", "_" &amp; H42, "_") &amp; IF(I42&lt;&gt;"", "_" &amp; I42, "_") &amp; IF(B42&lt;&gt;"", "_" &amp; B42, "")</f>
        <v>DeCasien_Higham_2019</v>
      </c>
      <c r="G42" t="str">
        <f>SUBSTITUTE(SUBSTITUTE(_xlfn.TEXTBEFORE(A42,","), "-", ""), " ", "")</f>
        <v>DeCasien</v>
      </c>
      <c r="H42" t="str">
        <f>_xlfn.LET(
_xlpm.authors,_xlfn.TEXTBEFORE(A42," ("&amp;I42&amp;")"),
_xlpm.hasAmp,ISNUMBER(SEARCH("&amp;",_xlpm.authors)),
_xlpm.commasBeforeAmp,IF(_xlpm.hasAmp,LEN(_xlfn.TEXTBEFORE(_xlpm.authors,"&amp;"))-LEN(SUBSTITUTE(_xlfn.TEXTBEFORE(_xlpm.authors,"&amp;"),",","")),0),
IF(NOT(_xlpm.hasAmp),"",IF(_xlpm.commasBeforeAmp&gt;2,"etal",TRIM(_xlfn.TEXTBEFORE(_xlfn.TEXTAFTER(_xlpm.authors,"&amp; "),","))))
)</f>
        <v>Higham</v>
      </c>
      <c r="I42" t="str">
        <f>_xlfn.TEXTBEFORE(_xlfn.TEXTAFTER(A42, "("), ")")</f>
        <v>2019</v>
      </c>
      <c r="J42" t="str">
        <f>_xlfn.LET(
_xlpm.doi,IF(C42&lt;&gt;"",C42,_xlfn.TEXTAFTER(A42,"https://doi.org/")),
SUBSTITUTE(
SUBSTITUTE(
SUBSTITUTE(
SUBSTITUTE(
_xlpm.doi,
"/","%2F"),
":","%3A"),
"&lt;","%3C"),
"&gt;","%3E")
)</f>
        <v>10.1038%2Fs41559-019-0969-0</v>
      </c>
      <c r="K42" t="str">
        <f>TRIM(_xlfn.TEXTJOIN("_",FALSE,F42,(SUBSTITUTE(SUBSTITUTE(D42," ",""), "_", ""))))</f>
        <v>DeCasien_Higham_2019_SupplementaryData1-BrainRegion</v>
      </c>
      <c r="L42" t="str">
        <f>J42 &amp; "_" &amp; SUBSTITUTE(SUBSTITUTE(SUBSTITUTE(D42,CHAR(160),"")," ",""),"_","")</f>
        <v>10.1038%2Fs41559-019-0969-0_SupplementaryData1-BrainRegion</v>
      </c>
      <c r="M42" t="str">
        <f t="array" ref="M42">IFERROR(INDEX(FileList!$A$1:$A$100,MATCH(TRUE,EXACT(L42,_xlfn.TEXTBEFORE(FileList!$A$1:$A$100,".tsv")),0)),"notfound")</f>
        <v>notfound</v>
      </c>
      <c r="N42" s="2" t="s">
        <v>232</v>
      </c>
      <c r="U42" s="2" t="s">
        <v>161</v>
      </c>
      <c r="V42" s="2" t="s">
        <v>233</v>
      </c>
      <c r="W42" s="2" t="s">
        <v>162</v>
      </c>
      <c r="X42" s="2" t="s">
        <v>234</v>
      </c>
      <c r="AB42" s="3" t="s">
        <v>235</v>
      </c>
      <c r="AF42" s="2" t="s">
        <v>70</v>
      </c>
      <c r="AH42" s="2" t="s">
        <v>155</v>
      </c>
      <c r="AI42" s="2" t="s">
        <v>236</v>
      </c>
      <c r="AJ42" s="2" t="s">
        <v>99</v>
      </c>
      <c r="AK42" s="2" t="s">
        <v>119</v>
      </c>
      <c r="AL42" s="2" t="s">
        <v>119</v>
      </c>
      <c r="AM42" s="2" t="s">
        <v>73</v>
      </c>
    </row>
    <row r="43" ht="15" customHeight="1">
      <c r="A43" s="2" t="s">
        <v>230</v>
      </c>
      <c r="D43" s="2" t="s">
        <v>240</v>
      </c>
      <c r="E43" t="str">
        <f>RIGHT(A43,1)</f>
        <v>0</v>
      </c>
      <c r="F43" t="str">
        <f>G43 &amp; IF(H43&lt;&gt;"", "_" &amp; H43, "_") &amp; IF(I43&lt;&gt;"", "_" &amp; I43, "_") &amp; IF(B43&lt;&gt;"", "_" &amp; B43, "")</f>
        <v>DeCasien_Higham_2019</v>
      </c>
      <c r="G43" t="str">
        <f>SUBSTITUTE(SUBSTITUTE(_xlfn.TEXTBEFORE(A43,","), "-", ""), " ", "")</f>
        <v>DeCasien</v>
      </c>
      <c r="H43" t="str">
        <f>_xlfn.LET(
_xlpm.authors,_xlfn.TEXTBEFORE(A43," ("&amp;I43&amp;")"),
_xlpm.hasAmp,ISNUMBER(SEARCH("&amp;",_xlpm.authors)),
_xlpm.commasBeforeAmp,IF(_xlpm.hasAmp,LEN(_xlfn.TEXTBEFORE(_xlpm.authors,"&amp;"))-LEN(SUBSTITUTE(_xlfn.TEXTBEFORE(_xlpm.authors,"&amp;"),",","")),0),
IF(NOT(_xlpm.hasAmp),"",IF(_xlpm.commasBeforeAmp&gt;2,"etal",TRIM(_xlfn.TEXTBEFORE(_xlfn.TEXTAFTER(_xlpm.authors,"&amp; "),","))))
)</f>
        <v>Higham</v>
      </c>
      <c r="I43" t="str">
        <f>_xlfn.TEXTBEFORE(_xlfn.TEXTAFTER(A43, "("), ")")</f>
        <v>2019</v>
      </c>
      <c r="J43" t="str">
        <f>_xlfn.LET(
_xlpm.doi,IF(C43&lt;&gt;"",C43,_xlfn.TEXTAFTER(A43,"https://doi.org/")),
SUBSTITUTE(
SUBSTITUTE(
SUBSTITUTE(
SUBSTITUTE(
_xlpm.doi,
"/","%2F"),
":","%3A"),
"&lt;","%3C"),
"&gt;","%3E")
)</f>
        <v>10.1038%2Fs41559-019-0969-0</v>
      </c>
      <c r="K43" t="str">
        <f>TRIM(_xlfn.TEXTJOIN("_",FALSE,F43,(SUBSTITUTE(SUBSTITUTE(D44," ",""), "_", ""))))</f>
        <v>DeCasien_Higham_2019_SupplementaryData1-SocialSystem</v>
      </c>
      <c r="L43" t="str">
        <f>J43 &amp; "_" &amp; SUBSTITUTE(SUBSTITUTE(SUBSTITUTE(D43,CHAR(160),"")," ",""),"_","")</f>
        <v>10.1038%2Fs41559-019-0969-0_SupplementaryData1-Diet</v>
      </c>
      <c r="M43" t="str">
        <f t="array" ref="M43">IFERROR(INDEX(FileList!$A$1:$A$100,MATCH(TRUE,EXACT(L43,_xlfn.TEXTBEFORE(FileList!$A$1:$A$100,".tsv")),0)),"notfound")</f>
        <v>notfound</v>
      </c>
      <c r="N43" s="2" t="s">
        <v>232</v>
      </c>
      <c r="U43" s="2" t="s">
        <v>161</v>
      </c>
      <c r="V43" s="2" t="s">
        <v>233</v>
      </c>
      <c r="W43" s="2" t="s">
        <v>162</v>
      </c>
      <c r="X43" s="2" t="s">
        <v>234</v>
      </c>
      <c r="AF43" s="2" t="s">
        <v>70</v>
      </c>
      <c r="AH43" s="2" t="s">
        <v>155</v>
      </c>
      <c r="AI43" s="2" t="s">
        <v>241</v>
      </c>
      <c r="AJ43" s="2" t="s">
        <v>99</v>
      </c>
      <c r="AK43" s="2" t="s">
        <v>119</v>
      </c>
      <c r="AL43" s="2" t="s">
        <v>119</v>
      </c>
      <c r="AM43" s="2" t="s">
        <v>242</v>
      </c>
    </row>
    <row r="44" ht="16" customHeight="1">
      <c r="A44" s="2" t="s">
        <v>230</v>
      </c>
      <c r="D44" s="2" t="s">
        <v>243</v>
      </c>
      <c r="E44" t="str">
        <f>RIGHT(A44,1)</f>
        <v>0</v>
      </c>
      <c r="F44" t="str">
        <f>G44 &amp; IF(H44&lt;&gt;"", "_" &amp; H44, "_") &amp; IF(I44&lt;&gt;"", "_" &amp; I44, "_") &amp; IF(B44&lt;&gt;"", "_" &amp; B44, "")</f>
        <v>DeCasien_Higham_2019</v>
      </c>
      <c r="G44" t="str">
        <f>SUBSTITUTE(SUBSTITUTE(_xlfn.TEXTBEFORE(A44,","), "-", ""), " ", "")</f>
        <v>DeCasien</v>
      </c>
      <c r="H44" t="str">
        <f>_xlfn.LET(
_xlpm.authors,_xlfn.TEXTBEFORE(A44," ("&amp;I44&amp;")"),
_xlpm.hasAmp,ISNUMBER(SEARCH("&amp;",_xlpm.authors)),
_xlpm.commasBeforeAmp,IF(_xlpm.hasAmp,LEN(_xlfn.TEXTBEFORE(_xlpm.authors,"&amp;"))-LEN(SUBSTITUTE(_xlfn.TEXTBEFORE(_xlpm.authors,"&amp;"),",","")),0),
IF(NOT(_xlpm.hasAmp),"",IF(_xlpm.commasBeforeAmp&gt;2,"etal",TRIM(_xlfn.TEXTBEFORE(_xlfn.TEXTAFTER(_xlpm.authors,"&amp; "),","))))
)</f>
        <v>Higham</v>
      </c>
      <c r="I44" t="str">
        <f>_xlfn.TEXTBEFORE(_xlfn.TEXTAFTER(A44, "("), ")")</f>
        <v>2019</v>
      </c>
      <c r="J44" t="str">
        <f>_xlfn.LET(
_xlpm.doi,IF(C44&lt;&gt;"",C44,_xlfn.TEXTAFTER(A44,"https://doi.org/")),
SUBSTITUTE(
SUBSTITUTE(
SUBSTITUTE(
SUBSTITUTE(
_xlpm.doi,
"/","%2F"),
":","%3A"),
"&lt;","%3C"),
"&gt;","%3E")
)</f>
        <v>10.1038%2Fs41559-019-0969-0</v>
      </c>
      <c r="K44" t="str">
        <f>TRIM(_xlfn.TEXTJOIN("_",FALSE,F44,(SUBSTITUTE(SUBSTITUTE(D44," ",""), "_", ""))))</f>
        <v>DeCasien_Higham_2019_SupplementaryData1-SocialSystem</v>
      </c>
      <c r="L44" t="str">
        <f>J44 &amp; "_" &amp; SUBSTITUTE(SUBSTITUTE(SUBSTITUTE(D44,CHAR(160),"")," ",""),"_","")</f>
        <v>10.1038%2Fs41559-019-0969-0_SupplementaryData1-SocialSystem</v>
      </c>
      <c r="M44" t="str">
        <f t="array" ref="M44">IFERROR(INDEX(FileList!$A$1:$A$100,MATCH(TRUE,EXACT(L44,_xlfn.TEXTBEFORE(FileList!$A$1:$A$100,".tsv")),0)),"notfound")</f>
        <v>notfound</v>
      </c>
      <c r="N44" s="2" t="s">
        <v>232</v>
      </c>
      <c r="U44" s="2" t="s">
        <v>161</v>
      </c>
      <c r="V44" s="2" t="s">
        <v>233</v>
      </c>
      <c r="W44" s="2" t="s">
        <v>162</v>
      </c>
      <c r="X44" s="2" t="s">
        <v>234</v>
      </c>
      <c r="AF44" s="2" t="s">
        <v>70</v>
      </c>
      <c r="AH44" s="2" t="s">
        <v>155</v>
      </c>
      <c r="AI44" s="2" t="s">
        <v>244</v>
      </c>
      <c r="AJ44" s="2" t="s">
        <v>99</v>
      </c>
      <c r="AK44" s="2" t="s">
        <v>119</v>
      </c>
      <c r="AL44" s="2" t="s">
        <v>119</v>
      </c>
      <c r="AM44" s="2" t="s">
        <v>245</v>
      </c>
    </row>
    <row r="45" ht="16" customHeight="1">
      <c r="A45" s="2" t="s">
        <v>246</v>
      </c>
      <c r="D45" s="2" t="s">
        <v>78</v>
      </c>
      <c r="E45" t="str">
        <f>RIGHT(A45,1)</f>
        <v>0</v>
      </c>
      <c r="F45" t="str">
        <f>G45 &amp; IF(H45&lt;&gt;"", "_" &amp; H45, "_") &amp; IF(I45&lt;&gt;"", "_" &amp; I45, "_") &amp; IF(B45&lt;&gt;"", "_" &amp; B45, "")</f>
        <v>DosSantos_etal_2020</v>
      </c>
      <c r="G45" t="str">
        <f>SUBSTITUTE(SUBSTITUTE(_xlfn.TEXTBEFORE(A45,","), "-", ""), " ", "")</f>
        <v>DosSantos</v>
      </c>
      <c r="H45" t="str">
        <f>_xlfn.LET(
_xlpm.authors,_xlfn.TEXTBEFORE(A45," ("&amp;I45&amp;")"),
_xlpm.hasAmp,ISNUMBER(SEARCH("&amp;",_xlpm.authors)),
_xlpm.commasBeforeAmp,IF(_xlpm.hasAmp,LEN(_xlfn.TEXTBEFORE(_xlpm.authors,"&amp;"))-LEN(SUBSTITUTE(_xlfn.TEXTBEFORE(_xlpm.authors,"&amp;"),",","")),0),
IF(NOT(_xlpm.hasAmp),"",IF(_xlpm.commasBeforeAmp&gt;2,"etal",TRIM(_xlfn.TEXTBEFORE(_xlfn.TEXTAFTER(_xlpm.authors,"&amp; "),","))))
)</f>
        <v>etal</v>
      </c>
      <c r="I45" t="str">
        <f>_xlfn.TEXTBEFORE(_xlfn.TEXTAFTER(A45, "("), ")")</f>
        <v>2020</v>
      </c>
      <c r="J45" t="str">
        <f>_xlfn.LET(
_xlpm.doi,IF(C45&lt;&gt;"",C45,_xlfn.TEXTAFTER(A45,"https://doi.org/")),
SUBSTITUTE(
SUBSTITUTE(
SUBSTITUTE(
SUBSTITUTE(
_xlpm.doi,
"/","%2F"),
":","%3A"),
"&lt;","%3C"),
"&gt;","%3E")
)</f>
        <v>10.1523%2FJNEUROSCI.2339-19.2020</v>
      </c>
      <c r="K45" t="str">
        <f>TRIM(_xlfn.TEXTJOIN("_",FALSE,F45,(SUBSTITUTE(SUBSTITUTE(D45," ",""), "_", ""))))</f>
        <v>DosSantos_etal_2020_Table1</v>
      </c>
      <c r="L45" t="str">
        <f>J45 &amp; "_" &amp; SUBSTITUTE(SUBSTITUTE(SUBSTITUTE(D45,CHAR(160),"")," ",""),"_","")</f>
        <v>10.1523%2FJNEUROSCI.2339-19.2020_Table1</v>
      </c>
      <c r="M45" t="str">
        <f t="array" ref="M45">IFERROR(INDEX(FileList!$A$1:$A$100,MATCH(TRUE,EXACT(L45,_xlfn.TEXTBEFORE(FileList!$A$1:$A$100,".tsv")),0)),"notfound")</f>
        <v>10.1523%2FJNEUROSCI.2339-19.2020_Table1.tsv</v>
      </c>
      <c r="O45" s="2" t="s">
        <v>247</v>
      </c>
      <c r="P45" s="2" t="s">
        <v>48</v>
      </c>
      <c r="Q45" s="2" t="s">
        <v>49</v>
      </c>
      <c r="R45" s="2" t="s">
        <v>248</v>
      </c>
      <c r="S45" s="2" t="s">
        <v>51</v>
      </c>
      <c r="T45" s="2" t="s">
        <v>249</v>
      </c>
      <c r="U45" s="2" t="s">
        <v>250</v>
      </c>
      <c r="V45" s="2" t="s">
        <v>40</v>
      </c>
      <c r="Y45" s="2" t="s">
        <v>56</v>
      </c>
      <c r="Z45" s="2" t="s">
        <v>56</v>
      </c>
      <c r="AC45" s="2" t="s">
        <v>251</v>
      </c>
      <c r="AE45" s="2" t="s">
        <v>252</v>
      </c>
      <c r="AG45" s="2" t="s">
        <v>57</v>
      </c>
      <c r="AH45" s="2" t="s">
        <v>253</v>
      </c>
      <c r="AI45" s="2" t="s">
        <v>254</v>
      </c>
      <c r="AJ45" s="2" t="s">
        <v>118</v>
      </c>
      <c r="AK45" s="2" t="s">
        <v>255</v>
      </c>
      <c r="AL45" s="2" t="s">
        <v>61</v>
      </c>
      <c r="AM45" s="2" t="s">
        <v>256</v>
      </c>
    </row>
    <row r="46" ht="16" customHeight="1">
      <c r="A46" s="2" t="s">
        <v>246</v>
      </c>
      <c r="D46" s="2" t="s">
        <v>257</v>
      </c>
      <c r="E46" t="str">
        <f>RIGHT(A46,1)</f>
        <v>0</v>
      </c>
      <c r="F46" t="str">
        <f>G46 &amp; IF(H46&lt;&gt;"", "_" &amp; H46, "_") &amp; IF(I46&lt;&gt;"", "_" &amp; I46, "_") &amp; IF(B46&lt;&gt;"", "_" &amp; B46, "")</f>
        <v>DosSantos_etal_2020</v>
      </c>
      <c r="G46" t="str">
        <f>SUBSTITUTE(SUBSTITUTE(_xlfn.TEXTBEFORE(A46,","), "-", ""), " ", "")</f>
        <v>DosSantos</v>
      </c>
      <c r="H46" t="str">
        <f>_xlfn.LET(
_xlpm.authors,_xlfn.TEXTBEFORE(A46," ("&amp;I46&amp;")"),
_xlpm.hasAmp,ISNUMBER(SEARCH("&amp;",_xlpm.authors)),
_xlpm.commasBeforeAmp,IF(_xlpm.hasAmp,LEN(_xlfn.TEXTBEFORE(_xlpm.authors,"&amp;"))-LEN(SUBSTITUTE(_xlfn.TEXTBEFORE(_xlpm.authors,"&amp;"),",","")),0),
IF(NOT(_xlpm.hasAmp),"",IF(_xlpm.commasBeforeAmp&gt;2,"etal",TRIM(_xlfn.TEXTBEFORE(_xlfn.TEXTAFTER(_xlpm.authors,"&amp; "),","))))
)</f>
        <v>etal</v>
      </c>
      <c r="I46" t="str">
        <f>_xlfn.TEXTBEFORE(_xlfn.TEXTAFTER(A46, "("), ")")</f>
        <v>2020</v>
      </c>
      <c r="J46" t="str">
        <f>_xlfn.LET(
_xlpm.doi,IF(C46&lt;&gt;"",C46,_xlfn.TEXTAFTER(A46,"https://doi.org/")),
SUBSTITUTE(
SUBSTITUTE(
SUBSTITUTE(
SUBSTITUTE(
_xlpm.doi,
"/","%2F"),
":","%3A"),
"&lt;","%3C"),
"&gt;","%3E")
)</f>
        <v>10.1523%2FJNEUROSCI.2339-19.2020</v>
      </c>
      <c r="K46" t="str">
        <f>TRIM(_xlfn.TEXTJOIN("_",FALSE,F46,(SUBSTITUTE(SUBSTITUTE(D46," ",""), "_", ""))))</f>
        <v>DosSantos_etal_2020_unpublished</v>
      </c>
      <c r="L46" t="str">
        <f>J46 &amp; "_" &amp; SUBSTITUTE(SUBSTITUTE(SUBSTITUTE(D46,CHAR(160),"")," ",""),"_","")</f>
        <v>10.1523%2FJNEUROSCI.2339-19.2020_unpublished</v>
      </c>
      <c r="M46" t="str">
        <f t="array" ref="M46">IFERROR(INDEX(FileList!$A$1:$A$100,MATCH(TRUE,EXACT(L46,_xlfn.TEXTBEFORE(FileList!$A$1:$A$100,".tsv")),0)),"notfound")</f>
        <v>10.1523%2FJNEUROSCI.2339-19.2020_unpublished.tsv</v>
      </c>
      <c r="O46" s="2" t="s">
        <v>258</v>
      </c>
      <c r="P46" s="2" t="s">
        <v>48</v>
      </c>
      <c r="Q46" s="2" t="s">
        <v>49</v>
      </c>
      <c r="R46" s="2" t="s">
        <v>248</v>
      </c>
      <c r="S46" s="2" t="s">
        <v>51</v>
      </c>
      <c r="T46" s="2" t="s">
        <v>249</v>
      </c>
      <c r="U46" s="2" t="s">
        <v>250</v>
      </c>
      <c r="V46" s="2" t="s">
        <v>40</v>
      </c>
      <c r="X46" s="2" t="s">
        <v>259</v>
      </c>
      <c r="Y46" s="2" t="s">
        <v>56</v>
      </c>
      <c r="Z46" s="2" t="s">
        <v>56</v>
      </c>
      <c r="AC46" s="2" t="s">
        <v>260</v>
      </c>
      <c r="AG46" s="2" t="s">
        <v>57</v>
      </c>
      <c r="AH46" s="2" t="s">
        <v>253</v>
      </c>
      <c r="AI46" s="2" t="s">
        <v>254</v>
      </c>
      <c r="AJ46" s="2" t="s">
        <v>118</v>
      </c>
      <c r="AK46" s="2" t="s">
        <v>255</v>
      </c>
      <c r="AL46" s="2" t="s">
        <v>61</v>
      </c>
      <c r="AM46" s="2" t="s">
        <v>256</v>
      </c>
    </row>
    <row r="47" ht="16" customHeight="1">
      <c r="A47" s="2" t="s">
        <v>261</v>
      </c>
      <c r="D47" s="2" t="s">
        <v>262</v>
      </c>
      <c r="E47" t="str">
        <f>RIGHT(A47,1)</f>
        <v>6</v>
      </c>
      <c r="F47" t="str">
        <f>G47 &amp; IF(H47&lt;&gt;"", "_" &amp; H47, "_") &amp; IF(I47&lt;&gt;"", "_" &amp; I47, "_") &amp; IF(B47&lt;&gt;"", "_" &amp; B47, "")</f>
        <v>DosSantos_etal_2017</v>
      </c>
      <c r="G47" t="str">
        <f>SUBSTITUTE(SUBSTITUTE(_xlfn.TEXTBEFORE(A47,","), "-", ""), " ", "")</f>
        <v>DosSantos</v>
      </c>
      <c r="H47" t="str">
        <f>_xlfn.LET(
_xlpm.authors,_xlfn.TEXTBEFORE(A47," ("&amp;I47&amp;")"),
_xlpm.hasAmp,ISNUMBER(SEARCH("&amp;",_xlpm.authors)),
_xlpm.commasBeforeAmp,IF(_xlpm.hasAmp,LEN(_xlfn.TEXTBEFORE(_xlpm.authors,"&amp;"))-LEN(SUBSTITUTE(_xlfn.TEXTBEFORE(_xlpm.authors,"&amp;"),",","")),0),
IF(NOT(_xlpm.hasAmp),"",IF(_xlpm.commasBeforeAmp&gt;2,"etal",TRIM(_xlfn.TEXTBEFORE(_xlfn.TEXTAFTER(_xlpm.authors,"&amp; "),","))))
)</f>
        <v>etal</v>
      </c>
      <c r="I47" t="str">
        <f>_xlfn.TEXTBEFORE(_xlfn.TEXTAFTER(A47, "("), ")")</f>
        <v>2017</v>
      </c>
      <c r="J47" t="str">
        <f>_xlfn.LET(
_xlpm.doi,IF(C47&lt;&gt;"",C47,_xlfn.TEXTAFTER(A47,"https://doi.org/")),
SUBSTITUTE(
SUBSTITUTE(
SUBSTITUTE(
SUBSTITUTE(
_xlpm.doi,
"/","%2F"),
":","%3A"),
"&lt;","%3C"),
"&gt;","%3E")
)</f>
        <v>10.1159%2F000452856</v>
      </c>
      <c r="K47" t="str">
        <f>TRIM(_xlfn.TEXTJOIN("_",FALSE,F47,(SUBSTITUTE(SUBSTITUTE(D47," ",""), "_", ""))))</f>
        <v>DosSantos_etal_2017_TableS1</v>
      </c>
      <c r="L47" t="str">
        <f>J47 &amp; "_" &amp; SUBSTITUTE(SUBSTITUTE(SUBSTITUTE(D47,CHAR(160),"")," ",""),"_","")</f>
        <v>10.1159%2F000452856_TableS1</v>
      </c>
      <c r="M47" t="str">
        <f t="array" ref="M47">IFERROR(INDEX(FileList!$A$1:$A$100,MATCH(TRUE,EXACT(L47,_xlfn.TEXTBEFORE(FileList!$A$1:$A$100,".tsv")),0)),"notfound")</f>
        <v>10.1159%2F000452856_TableS1.tsv</v>
      </c>
      <c r="O47" s="2" t="s">
        <v>263</v>
      </c>
      <c r="P47" s="2" t="s">
        <v>48</v>
      </c>
      <c r="Q47" s="2" t="s">
        <v>49</v>
      </c>
      <c r="R47" s="2" t="s">
        <v>264</v>
      </c>
      <c r="S47" s="2" t="s">
        <v>51</v>
      </c>
      <c r="T47" s="2" t="s">
        <v>265</v>
      </c>
      <c r="U47" s="2" t="s">
        <v>266</v>
      </c>
      <c r="V47" s="2" t="s">
        <v>267</v>
      </c>
      <c r="W47" s="2" t="s">
        <v>162</v>
      </c>
      <c r="X47" s="2" t="s">
        <v>268</v>
      </c>
      <c r="Y47" s="2" t="s">
        <v>56</v>
      </c>
      <c r="Z47" s="2" t="s">
        <v>56</v>
      </c>
      <c r="AC47" s="2" t="s">
        <v>269</v>
      </c>
      <c r="AG47" s="2" t="s">
        <v>57</v>
      </c>
      <c r="AH47" s="2" t="s">
        <v>270</v>
      </c>
      <c r="AI47" s="2" t="s">
        <v>254</v>
      </c>
      <c r="AJ47" s="2" t="s">
        <v>271</v>
      </c>
      <c r="AK47" s="2" t="s">
        <v>61</v>
      </c>
      <c r="AL47" s="2" t="s">
        <v>61</v>
      </c>
      <c r="AM47" s="2" t="s">
        <v>62</v>
      </c>
    </row>
    <row r="48" ht="16" customHeight="1">
      <c r="A48" s="2" t="s">
        <v>272</v>
      </c>
      <c r="D48" s="2" t="s">
        <v>46</v>
      </c>
      <c r="E48" t="str">
        <f>RIGHT(A48,1)</f>
        <v>3</v>
      </c>
      <c r="F48" t="str">
        <f>G48 &amp; IF(H48&lt;&gt;"", "_" &amp; H48, "_") &amp; IF(I48&lt;&gt;"", "_" &amp; I48, "_") &amp; IF(B48&lt;&gt;"", "_" &amp; B48, "")</f>
        <v>Eagleman_Vaughn_2021</v>
      </c>
      <c r="G48" t="str">
        <f>SUBSTITUTE(SUBSTITUTE(_xlfn.TEXTBEFORE(A48,","), "-", ""), " ", "")</f>
        <v>Eagleman</v>
      </c>
      <c r="H48" t="str">
        <f>_xlfn.LET(
_xlpm.authors,_xlfn.TEXTBEFORE(A48," ("&amp;I48&amp;")"),
_xlpm.hasAmp,ISNUMBER(SEARCH("&amp;",_xlpm.authors)),
_xlpm.commasBeforeAmp,IF(_xlpm.hasAmp,LEN(_xlfn.TEXTBEFORE(_xlpm.authors,"&amp;"))-LEN(SUBSTITUTE(_xlfn.TEXTBEFORE(_xlpm.authors,"&amp;"),",","")),0),
IF(NOT(_xlpm.hasAmp),"",IF(_xlpm.commasBeforeAmp&gt;2,"etal",TRIM(_xlfn.TEXTBEFORE(_xlfn.TEXTAFTER(_xlpm.authors,"&amp; "),","))))
)</f>
        <v>Vaughn</v>
      </c>
      <c r="I48" t="str">
        <f>_xlfn.TEXTBEFORE(_xlfn.TEXTAFTER(A48, "("), ")")</f>
        <v>2021</v>
      </c>
      <c r="J48" t="str">
        <f>_xlfn.LET(
_xlpm.doi,IF(C48&lt;&gt;"",C48,_xlfn.TEXTAFTER(A48,"https://doi.org/")),
SUBSTITUTE(
SUBSTITUTE(
SUBSTITUTE(
SUBSTITUTE(
_xlpm.doi,
"/","%2F"),
":","%3A"),
"&lt;","%3C"),
"&gt;","%3E")
)</f>
        <v>10.3389%2Ffnins.2021.632853</v>
      </c>
      <c r="K48" t="str">
        <f>TRIM(_xlfn.TEXTJOIN("_",FALSE,F48,(SUBSTITUTE(SUBSTITUTE(D48," ",""), "_", ""))))</f>
        <v>Eagleman_Vaughn_2021_TABLE1</v>
      </c>
      <c r="L48" t="str">
        <f>J48 &amp; "_" &amp; SUBSTITUTE(SUBSTITUTE(SUBSTITUTE(D48,CHAR(160),"")," ",""),"_","")</f>
        <v>10.3389%2Ffnins.2021.632853_TABLE1</v>
      </c>
      <c r="M48" t="str">
        <f t="array" ref="M48">IFERROR(INDEX(FileList!$A$1:$A$100,MATCH(TRUE,EXACT(L48,_xlfn.TEXTBEFORE(FileList!$A$1:$A$100,".tsv")),0)),"notfound")</f>
        <v>10.3389%2Ffnins.2021.632853_TABLE1.tsv</v>
      </c>
      <c r="N48" s="2" t="s">
        <v>273</v>
      </c>
      <c r="U48" s="2" t="s">
        <v>53</v>
      </c>
      <c r="AI48" s="2" t="s">
        <v>274</v>
      </c>
      <c r="AJ48" s="2" t="s">
        <v>118</v>
      </c>
      <c r="AK48" s="2" t="s">
        <v>119</v>
      </c>
      <c r="AL48" s="2" t="s">
        <v>119</v>
      </c>
      <c r="AM48" s="2" t="s">
        <v>275</v>
      </c>
    </row>
    <row r="49" ht="16" customHeight="1">
      <c r="A49" s="2" t="s">
        <v>276</v>
      </c>
      <c r="D49" s="2" t="s">
        <v>46</v>
      </c>
      <c r="E49" t="str">
        <f>RIGHT(A49,1)</f>
        <v>5</v>
      </c>
      <c r="F49" t="str">
        <f>G49 &amp; IF(H49&lt;&gt;"", "_" &amp; H49, "_") &amp; IF(I49&lt;&gt;"", "_" &amp; I49, "_") &amp; IF(B49&lt;&gt;"", "_" &amp; B49, "")</f>
        <v>Falcone_etal_2019</v>
      </c>
      <c r="G49" t="str">
        <f>SUBSTITUTE(SUBSTITUTE(_xlfn.TEXTBEFORE(A49,","), "-", ""), " ", "")</f>
        <v>Falcone</v>
      </c>
      <c r="H49" t="str">
        <f>_xlfn.LET(
_xlpm.authors,_xlfn.TEXTBEFORE(A49," ("&amp;I49&amp;")"),
_xlpm.hasAmp,ISNUMBER(SEARCH("&amp;",_xlpm.authors)),
_xlpm.commasBeforeAmp,IF(_xlpm.hasAmp,LEN(_xlfn.TEXTBEFORE(_xlpm.authors,"&amp;"))-LEN(SUBSTITUTE(_xlfn.TEXTBEFORE(_xlpm.authors,"&amp;"),",","")),0),
IF(NOT(_xlpm.hasAmp),"",IF(_xlpm.commasBeforeAmp&gt;2,"etal",TRIM(_xlfn.TEXTBEFORE(_xlfn.TEXTAFTER(_xlpm.authors,"&amp; "),","))))
)</f>
        <v>etal</v>
      </c>
      <c r="I49" t="str">
        <f>_xlfn.TEXTBEFORE(_xlfn.TEXTAFTER(A49, "("), ")")</f>
        <v>2019</v>
      </c>
      <c r="J49" t="str">
        <f>_xlfn.LET(
_xlpm.doi,IF(C49&lt;&gt;"",C49,_xlfn.TEXTAFTER(A49,"https://doi.org/")),
SUBSTITUTE(
SUBSTITUTE(
SUBSTITUTE(
SUBSTITUTE(
_xlpm.doi,
"/","%2F"),
":","%3A"),
"&lt;","%3C"),
"&gt;","%3E")
)</f>
        <v>10.1002%2Fcne.24605</v>
      </c>
      <c r="K49" t="str">
        <f>TRIM(_xlfn.TEXTJOIN("_",FALSE,F49,(SUBSTITUTE(SUBSTITUTE(D49," ",""), "_", ""))))</f>
        <v>Falcone_etal_2019_TABLE1</v>
      </c>
      <c r="L49" t="str">
        <f>J49 &amp; "_" &amp; SUBSTITUTE(SUBSTITUTE(SUBSTITUTE(D49,CHAR(160),"")," ",""),"_","")</f>
        <v>10.1002%2Fcne.24605_TABLE1</v>
      </c>
      <c r="M49" t="str">
        <f t="array" ref="M49">IFERROR(INDEX(FileList!$A$1:$A$100,MATCH(TRUE,EXACT(L49,_xlfn.TEXTBEFORE(FileList!$A$1:$A$100,".tsv")),0)),"notfound")</f>
        <v>10.1002%2Fcne.24605_TABLE1.tsv</v>
      </c>
      <c r="N49" s="2" t="s">
        <v>277</v>
      </c>
      <c r="U49" s="2" t="s">
        <v>53</v>
      </c>
      <c r="AI49" s="2" t="s">
        <v>278</v>
      </c>
      <c r="AJ49" s="2" t="s">
        <v>279</v>
      </c>
      <c r="AK49" s="2" t="s">
        <v>61</v>
      </c>
      <c r="AL49" s="2" t="s">
        <v>61</v>
      </c>
      <c r="AM49" s="2" t="s">
        <v>280</v>
      </c>
    </row>
    <row r="50" ht="16" customHeight="1">
      <c r="A50" s="2" t="s">
        <v>276</v>
      </c>
      <c r="D50" s="2" t="s">
        <v>281</v>
      </c>
      <c r="E50" t="str">
        <f>RIGHT(A50,1)</f>
        <v>5</v>
      </c>
      <c r="F50" t="str">
        <f>G50 &amp; IF(H50&lt;&gt;"", "_" &amp; H50, "_") &amp; IF(I50&lt;&gt;"", "_" &amp; I50, "_") &amp; IF(B50&lt;&gt;"", "_" &amp; B50, "")</f>
        <v>Falcone_etal_2019</v>
      </c>
      <c r="G50" t="str">
        <f>SUBSTITUTE(SUBSTITUTE(_xlfn.TEXTBEFORE(A50,","), "-", ""), " ", "")</f>
        <v>Falcone</v>
      </c>
      <c r="H50" t="str">
        <f>_xlfn.LET(
_xlpm.authors,_xlfn.TEXTBEFORE(A50," ("&amp;I50&amp;")"),
_xlpm.hasAmp,ISNUMBER(SEARCH("&amp;",_xlpm.authors)),
_xlpm.commasBeforeAmp,IF(_xlpm.hasAmp,LEN(_xlfn.TEXTBEFORE(_xlpm.authors,"&amp;"))-LEN(SUBSTITUTE(_xlfn.TEXTBEFORE(_xlpm.authors,"&amp;"),",","")),0),
IF(NOT(_xlpm.hasAmp),"",IF(_xlpm.commasBeforeAmp&gt;2,"etal",TRIM(_xlfn.TEXTBEFORE(_xlfn.TEXTAFTER(_xlpm.authors,"&amp; "),","))))
)</f>
        <v>etal</v>
      </c>
      <c r="I50" t="str">
        <f>_xlfn.TEXTBEFORE(_xlfn.TEXTAFTER(A50, "("), ")")</f>
        <v>2019</v>
      </c>
      <c r="J50" t="str">
        <f>_xlfn.LET(
_xlpm.doi,IF(C50&lt;&gt;"",C50,_xlfn.TEXTAFTER(A50,"https://doi.org/")),
SUBSTITUTE(
SUBSTITUTE(
SUBSTITUTE(
SUBSTITUTE(
_xlpm.doi,
"/","%2F"),
":","%3A"),
"&lt;","%3C"),
"&gt;","%3E")
)</f>
        <v>10.1002%2Fcne.24605</v>
      </c>
      <c r="K50" t="str">
        <f>TRIM(_xlfn.TEXTJOIN("_",FALSE,F50,(SUBSTITUTE(SUBSTITUTE(D50," ",""), "_", ""))))</f>
        <v>Falcone_etal_2019_TABLE2</v>
      </c>
      <c r="L50" t="str">
        <f>J50 &amp; "_" &amp; SUBSTITUTE(SUBSTITUTE(SUBSTITUTE(D50,CHAR(160),"")," ",""),"_","")</f>
        <v>10.1002%2Fcne.24605_TABLE2</v>
      </c>
      <c r="M50" t="str">
        <f t="array" ref="M50">IFERROR(INDEX(FileList!$A$1:$A$100,MATCH(TRUE,EXACT(L50,_xlfn.TEXTBEFORE(FileList!$A$1:$A$100,".tsv")),0)),"notfound")</f>
        <v>10.1002%2Fcne.24605_TABLE2.tsv</v>
      </c>
      <c r="N50" s="2" t="s">
        <v>282</v>
      </c>
      <c r="U50" s="2" t="s">
        <v>53</v>
      </c>
      <c r="AI50" s="2" t="s">
        <v>278</v>
      </c>
      <c r="AJ50" s="2" t="s">
        <v>279</v>
      </c>
      <c r="AK50" s="2" t="s">
        <v>61</v>
      </c>
      <c r="AL50" s="2" t="s">
        <v>61</v>
      </c>
      <c r="AM50" s="2" t="s">
        <v>280</v>
      </c>
    </row>
    <row r="51" ht="16" customHeight="1">
      <c r="A51" s="2" t="s">
        <v>283</v>
      </c>
      <c r="D51" s="2" t="s">
        <v>284</v>
      </c>
      <c r="E51" t="str">
        <f>RIGHT(A51,1)</f>
        <v>6</v>
      </c>
      <c r="F51" t="str">
        <f>G51 &amp; IF(H51&lt;&gt;"", "_" &amp; H51, "_") &amp; IF(I51&lt;&gt;"", "_" &amp; I51, "_") &amp; IF(B51&lt;&gt;"", "_" &amp; B51, "")</f>
        <v>Finlay_etal_2006</v>
      </c>
      <c r="G51" t="str">
        <f>SUBSTITUTE(SUBSTITUTE(_xlfn.TEXTBEFORE(A51,","), "-", ""), " ", "")</f>
        <v>Finlay</v>
      </c>
      <c r="H51" t="str">
        <f>_xlfn.LET(
_xlpm.authors,_xlfn.TEXTBEFORE(A51," ("&amp;I51&amp;")"),
_xlpm.hasAmp,ISNUMBER(SEARCH("&amp;",_xlpm.authors)),
_xlpm.commasBeforeAmp,IF(_xlpm.hasAmp,LEN(_xlfn.TEXTBEFORE(_xlpm.authors,"&amp;"))-LEN(SUBSTITUTE(_xlfn.TEXTBEFORE(_xlpm.authors,"&amp;"),",","")),0),
IF(NOT(_xlpm.hasAmp),"",IF(_xlpm.commasBeforeAmp&gt;2,"etal",TRIM(_xlfn.TEXTBEFORE(_xlfn.TEXTAFTER(_xlpm.authors,"&amp; "),","))))
)</f>
        <v>etal</v>
      </c>
      <c r="I51" t="str">
        <f>_xlfn.TEXTBEFORE(_xlfn.TEXTAFTER(A51, "("), ")")</f>
        <v>2006</v>
      </c>
      <c r="J51" t="str">
        <f>_xlfn.LET(
_xlpm.doi,IF(C51&lt;&gt;"",C51,_xlfn.TEXTAFTER(A51,"https://doi.org/")),
SUBSTITUTE(
SUBSTITUTE(
SUBSTITUTE(
SUBSTITUTE(
_xlpm.doi,
"/","%2F"),
":","%3A"),
"&lt;","%3C"),
"&gt;","%3E")
)</f>
        <v>10.1093%2Foso%2F9780198568742.003.0006</v>
      </c>
      <c r="K51" t="str">
        <f>TRIM(_xlfn.TEXTJOIN("_",FALSE,F51,(SUBSTITUTE(SUBSTITUTE(D51," ",""), "_", ""))))</f>
        <v>Finlay_etal_2006_Table6.1</v>
      </c>
      <c r="L51" t="str">
        <f>J51 &amp; "_" &amp; SUBSTITUTE(SUBSTITUTE(SUBSTITUTE(D51,CHAR(160),"")," ",""),"_","")</f>
        <v>10.1093%2Foso%2F9780198568742.003.0006_Table6.1</v>
      </c>
      <c r="M51" t="str">
        <f t="array" ref="M51">IFERROR(INDEX(FileList!$A$1:$A$100,MATCH(TRUE,EXACT(L51,_xlfn.TEXTBEFORE(FileList!$A$1:$A$100,".tsv")),0)),"notfound")</f>
        <v>10.1093%2Foso%2F9780198568742.003.0006_Table6.1.tsv</v>
      </c>
      <c r="P51" s="2" t="s">
        <v>177</v>
      </c>
      <c r="Q51" s="2" t="s">
        <v>178</v>
      </c>
      <c r="R51" s="2" t="s">
        <v>285</v>
      </c>
      <c r="S51" s="2" t="s">
        <v>51</v>
      </c>
      <c r="T51" s="2" t="s">
        <v>286</v>
      </c>
      <c r="U51" s="2" t="s">
        <v>53</v>
      </c>
      <c r="V51" s="2" t="s">
        <v>40</v>
      </c>
      <c r="W51" s="2" t="s">
        <v>169</v>
      </c>
      <c r="X51" s="2" t="s">
        <v>287</v>
      </c>
      <c r="AB51" s="2" t="s">
        <v>183</v>
      </c>
      <c r="AH51" s="2" t="s">
        <v>116</v>
      </c>
      <c r="AI51" s="2" t="s">
        <v>288</v>
      </c>
      <c r="AJ51" s="2" t="s">
        <v>118</v>
      </c>
      <c r="AK51" s="2" t="s">
        <v>185</v>
      </c>
      <c r="AL51" s="2" t="s">
        <v>119</v>
      </c>
      <c r="AM51" s="2" t="s">
        <v>289</v>
      </c>
    </row>
    <row r="52" ht="16" customHeight="1">
      <c r="A52" s="2" t="s">
        <v>290</v>
      </c>
      <c r="C52" s="2" t="s">
        <v>291</v>
      </c>
      <c r="D52" s="2" t="s">
        <v>78</v>
      </c>
      <c r="E52" t="str">
        <f>RIGHT(A52,1)</f>
        <v>8</v>
      </c>
      <c r="F52" t="str">
        <f>G52 &amp; IF(H52&lt;&gt;"", "_" &amp; H52, "_") &amp; IF(I52&lt;&gt;"", "_" &amp; I52, "_") &amp; IF(B52&lt;&gt;"", "_" &amp; B52, "")</f>
        <v>Frahm_Zilles_1994</v>
      </c>
      <c r="G52" t="str">
        <f>SUBSTITUTE(SUBSTITUTE(_xlfn.TEXTBEFORE(A52,","), "-", ""), " ", "")</f>
        <v>Frahm</v>
      </c>
      <c r="H52" t="str">
        <f>_xlfn.LET(
_xlpm.authors,_xlfn.TEXTBEFORE(A52," ("&amp;I52&amp;")"),
_xlpm.hasAmp,ISNUMBER(SEARCH("&amp;",_xlpm.authors)),
_xlpm.commasBeforeAmp,IF(_xlpm.hasAmp,LEN(_xlfn.TEXTBEFORE(_xlpm.authors,"&amp;"))-LEN(SUBSTITUTE(_xlfn.TEXTBEFORE(_xlpm.authors,"&amp;"),",","")),0),
IF(NOT(_xlpm.hasAmp),"",IF(_xlpm.commasBeforeAmp&gt;2,"etal",TRIM(_xlfn.TEXTBEFORE(_xlfn.TEXTAFTER(_xlpm.authors,"&amp; "),","))))
)</f>
        <v>Zilles</v>
      </c>
      <c r="I52" t="str">
        <f>_xlfn.TEXTBEFORE(_xlfn.TEXTAFTER(A52, "("), ")")</f>
        <v>1994</v>
      </c>
      <c r="J52" t="str">
        <f>_xlfn.LET(
_xlpm.doi,IF(C52&lt;&gt;"",C52,_xlfn.TEXTAFTER(A52,"https://doi.org/")),
SUBSTITUTE(
SUBSTITUTE(
SUBSTITUTE(
SUBSTITUTE(
_xlpm.doi,
"/","%2F"),
":","%3A"),
"&lt;","%3C"),
"&gt;","%3E")
)</f>
        <v>PMID%3A7983368</v>
      </c>
      <c r="K52" t="str">
        <f>TRIM(_xlfn.TEXTJOIN("_",FALSE,F52,(SUBSTITUTE(SUBSTITUTE(D52," ",""), "_", ""))))</f>
        <v>Frahm_Zilles_1994_Table1</v>
      </c>
      <c r="L52" t="str">
        <f>J52 &amp; "_" &amp; SUBSTITUTE(SUBSTITUTE(SUBSTITUTE(D52,CHAR(160),"")," ",""),"_","")</f>
        <v>PMID%3A7983368_Table1</v>
      </c>
      <c r="M52" t="str">
        <f t="array" ref="M52">IFERROR(INDEX(FileList!$A$1:$A$100,MATCH(TRUE,EXACT(L52,_xlfn.TEXTBEFORE(FileList!$A$1:$A$100,".tsv")),0)),"notfound")</f>
        <v>notfound</v>
      </c>
      <c r="N52" s="2" t="s">
        <v>292</v>
      </c>
      <c r="V52" s="2" t="s">
        <v>40</v>
      </c>
      <c r="W52" s="2" t="s">
        <v>85</v>
      </c>
      <c r="Y52" s="2" t="s">
        <v>80</v>
      </c>
      <c r="Z52" s="2" t="s">
        <v>80</v>
      </c>
      <c r="AF52" s="2" t="s">
        <v>70</v>
      </c>
      <c r="AG52" s="2" t="s">
        <v>93</v>
      </c>
      <c r="AI52" s="2" t="s">
        <v>293</v>
      </c>
      <c r="AJ52" s="2" t="s">
        <v>82</v>
      </c>
      <c r="AK52" s="2" t="s">
        <v>61</v>
      </c>
      <c r="AL52" s="2" t="s">
        <v>61</v>
      </c>
      <c r="AM52" s="2" t="s">
        <v>73</v>
      </c>
    </row>
    <row r="53" ht="16" customHeight="1">
      <c r="A53" s="2" t="s">
        <v>290</v>
      </c>
      <c r="C53" s="2" t="s">
        <v>291</v>
      </c>
      <c r="D53" s="2" t="s">
        <v>100</v>
      </c>
      <c r="E53" t="str">
        <f>RIGHT(A53,1)</f>
        <v>8</v>
      </c>
      <c r="F53" t="str">
        <f>G53 &amp; IF(H53&lt;&gt;"", "_" &amp; H53, "_") &amp; IF(I53&lt;&gt;"", "_" &amp; I53, "_") &amp; IF(B53&lt;&gt;"", "_" &amp; B53, "")</f>
        <v>Frahm_Zilles_1994</v>
      </c>
      <c r="G53" t="str">
        <f>SUBSTITUTE(SUBSTITUTE(_xlfn.TEXTBEFORE(A53,","), "-", ""), " ", "")</f>
        <v>Frahm</v>
      </c>
      <c r="H53" t="str">
        <f>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Zilles</v>
      </c>
      <c r="I53" t="str">
        <f>_xlfn.TEXTBEFORE(_xlfn.TEXTAFTER(A53, "("), ")")</f>
        <v>1994</v>
      </c>
      <c r="J53" t="str">
        <f>_xlfn.LET(
_xlpm.doi,IF(C53&lt;&gt;"",C53,_xlfn.TEXTAFTER(A53,"https://doi.org/")),
SUBSTITUTE(
SUBSTITUTE(
SUBSTITUTE(
SUBSTITUTE(
_xlpm.doi,
"/","%2F"),
":","%3A"),
"&lt;","%3C"),
"&gt;","%3E")
)</f>
        <v>PMID%3A7983368</v>
      </c>
      <c r="K53" t="str">
        <f>TRIM(_xlfn.TEXTJOIN("_",FALSE,F53,(SUBSTITUTE(SUBSTITUTE(D53," ",""), "_", ""))))</f>
        <v>Frahm_Zilles_1994_Table2</v>
      </c>
      <c r="L53" t="str">
        <f>J53 &amp; "_" &amp; SUBSTITUTE(SUBSTITUTE(SUBSTITUTE(D53,CHAR(160),"")," ",""),"_","")</f>
        <v>PMID%3A7983368_Table2</v>
      </c>
      <c r="M53" t="str">
        <f t="array" ref="M53">IFERROR(INDEX(FileList!$A$1:$A$100,MATCH(TRUE,EXACT(L53,_xlfn.TEXTBEFORE(FileList!$A$1:$A$100,".tsv")),0)),"notfound")</f>
        <v>notfound</v>
      </c>
    </row>
    <row r="54" ht="16" customHeight="1">
      <c r="A54" s="2" t="s">
        <v>294</v>
      </c>
      <c r="C54" s="2" t="s">
        <v>295</v>
      </c>
      <c r="D54" s="2" t="s">
        <v>78</v>
      </c>
      <c r="E54" t="str">
        <f>RIGHT(A54,1)</f>
        <v>3</v>
      </c>
      <c r="F54" t="str">
        <f>G54 &amp; IF(H54&lt;&gt;"", "_" &amp; H54, "_") &amp; IF(I54&lt;&gt;"", "_" &amp; I54, "_") &amp; IF(B54&lt;&gt;"", "_" &amp; B54, "")</f>
        <v>Frahm_etal_1997</v>
      </c>
      <c r="G54" t="str">
        <f>SUBSTITUTE(SUBSTITUTE(_xlfn.TEXTBEFORE(A54,","), "-", ""), " ", "")</f>
        <v>Frahm</v>
      </c>
      <c r="H54" t="str">
        <f>_xlfn.LET(
_xlpm.authors,_xlfn.TEXTBEFORE(A54," ("&amp;I54&amp;")"),
_xlpm.hasAmp,ISNUMBER(SEARCH("&amp;",_xlpm.authors)),
_xlpm.commasBeforeAmp,IF(_xlpm.hasAmp,LEN(_xlfn.TEXTBEFORE(_xlpm.authors,"&amp;"))-LEN(SUBSTITUTE(_xlfn.TEXTBEFORE(_xlpm.authors,"&amp;"),",","")),0),
IF(NOT(_xlpm.hasAmp),"",IF(_xlpm.commasBeforeAmp&gt;2,"etal",TRIM(_xlfn.TEXTBEFORE(_xlfn.TEXTAFTER(_xlpm.authors,"&amp; "),","))))
)</f>
        <v>etal</v>
      </c>
      <c r="I54" t="str">
        <f>_xlfn.TEXTBEFORE(_xlfn.TEXTAFTER(A54, "("), ")")</f>
        <v>1997</v>
      </c>
      <c r="J54" t="str">
        <f>_xlfn.LET(
_xlpm.doi,IF(C54&lt;&gt;"",C54,_xlfn.TEXTAFTER(A54,"https://doi.org/")),
SUBSTITUTE(
SUBSTITUTE(
SUBSTITUTE(
SUBSTITUTE(
_xlpm.doi,
"/","%2F"),
":","%3A"),
"&lt;","%3C"),
"&gt;","%3E")
)</f>
        <v>PMID%3A9176733</v>
      </c>
      <c r="K54" t="str">
        <f>TRIM(_xlfn.TEXTJOIN("_",FALSE,F54,(SUBSTITUTE(SUBSTITUTE(D54," ",""), "_", ""))))</f>
        <v>Frahm_etal_1997_Table1</v>
      </c>
      <c r="L54" t="str">
        <f>J54 &amp; "_" &amp; SUBSTITUTE(SUBSTITUTE(SUBSTITUTE(D54,CHAR(160),"")," ",""),"_","")</f>
        <v>PMID%3A9176733_Table1</v>
      </c>
      <c r="M54" t="str">
        <f t="array" ref="M54">IFERROR(INDEX(FileList!$A$1:$A$100,MATCH(TRUE,EXACT(L54,_xlfn.TEXTBEFORE(FileList!$A$1:$A$100,".tsv")),0)),"notfound")</f>
        <v>notfound</v>
      </c>
      <c r="N54" s="2" t="s">
        <v>296</v>
      </c>
      <c r="V54" s="2" t="s">
        <v>40</v>
      </c>
      <c r="W54" s="2" t="s">
        <v>85</v>
      </c>
      <c r="Y54" s="2" t="s">
        <v>80</v>
      </c>
      <c r="Z54" s="2" t="s">
        <v>80</v>
      </c>
      <c r="AF54" s="2" t="s">
        <v>70</v>
      </c>
      <c r="AG54" s="2" t="s">
        <v>93</v>
      </c>
      <c r="AI54" s="2" t="s">
        <v>297</v>
      </c>
      <c r="AJ54" s="2" t="s">
        <v>82</v>
      </c>
      <c r="AK54" s="2" t="s">
        <v>61</v>
      </c>
      <c r="AL54" s="2" t="s">
        <v>61</v>
      </c>
      <c r="AM54" s="2" t="s">
        <v>73</v>
      </c>
    </row>
    <row r="55" ht="19" customHeight="1">
      <c r="A55" s="2" t="s">
        <v>298</v>
      </c>
      <c r="C55" s="2" t="s">
        <v>299</v>
      </c>
      <c r="D55" s="2" t="s">
        <v>78</v>
      </c>
      <c r="E55" t="str">
        <f>RIGHT(A55,1)</f>
        <v>9</v>
      </c>
      <c r="F55" t="str">
        <f>G55 &amp; IF(H55&lt;&gt;"", "_" &amp; H55, "_") &amp; IF(I55&lt;&gt;"", "_" &amp; I55, "_") &amp; IF(B55&lt;&gt;"", "_" &amp; B55, "")</f>
        <v>Frahm_etal_1984</v>
      </c>
      <c r="G55" t="str">
        <f>SUBSTITUTE(SUBSTITUTE(_xlfn.TEXTBEFORE(A55,","), "-", ""), " ", "")</f>
        <v>Frahm</v>
      </c>
      <c r="H55" t="str">
        <f>_xlfn.LET(
_xlpm.authors,_xlfn.TEXTBEFORE(A55," ("&amp;I55&amp;")"),
_xlpm.hasAmp,ISNUMBER(SEARCH("&amp;",_xlpm.authors)),
_xlpm.commasBeforeAmp,IF(_xlpm.hasAmp,LEN(_xlfn.TEXTBEFORE(_xlpm.authors,"&amp;"))-LEN(SUBSTITUTE(_xlfn.TEXTBEFORE(_xlpm.authors,"&amp;"),",","")),0),
IF(NOT(_xlpm.hasAmp),"",IF(_xlpm.commasBeforeAmp&gt;2,"etal",TRIM(_xlfn.TEXTBEFORE(_xlfn.TEXTAFTER(_xlpm.authors,"&amp; "),","))))
)</f>
        <v>etal</v>
      </c>
      <c r="I55" t="str">
        <f>_xlfn.TEXTBEFORE(_xlfn.TEXTAFTER(A55, "("), ")")</f>
        <v>1984</v>
      </c>
      <c r="J55" t="str">
        <f>_xlfn.LET(
_xlpm.doi,IF(C55&lt;&gt;"",C55,_xlfn.TEXTAFTER(A55,"https://doi.org/")),
SUBSTITUTE(
SUBSTITUTE(
SUBSTITUTE(
SUBSTITUTE(
_xlpm.doi,
"/","%2F"),
":","%3A"),
"&lt;","%3C"),
"&gt;","%3E")
)</f>
        <v>PMID%3A6501869</v>
      </c>
      <c r="K55" t="str">
        <f>TRIM(_xlfn.TEXTJOIN("_",FALSE,F55,(SUBSTITUTE(SUBSTITUTE(D55," ",""), "_", ""))))</f>
        <v>Frahm_etal_1984_Table1</v>
      </c>
      <c r="L55" t="str">
        <f>J55 &amp; "_" &amp; SUBSTITUTE(SUBSTITUTE(SUBSTITUTE(D55,CHAR(160),"")," ",""),"_","")</f>
        <v>PMID%3A6501869_Table1</v>
      </c>
      <c r="M55" t="str">
        <f t="array" ref="M55">IFERROR(INDEX(FileList!$A$1:$A$100,MATCH(TRUE,EXACT(L55,_xlfn.TEXTBEFORE(FileList!$A$1:$A$100,".tsv")),0)),"notfound")</f>
        <v>notfound</v>
      </c>
      <c r="N55" s="2" t="s">
        <v>300</v>
      </c>
      <c r="V55" s="2" t="s">
        <v>40</v>
      </c>
      <c r="W55" s="2" t="s">
        <v>85</v>
      </c>
      <c r="Y55" s="2" t="s">
        <v>80</v>
      </c>
      <c r="Z55" s="2" t="s">
        <v>80</v>
      </c>
      <c r="AF55" s="2" t="s">
        <v>70</v>
      </c>
      <c r="AG55" s="2" t="s">
        <v>93</v>
      </c>
      <c r="AI55" s="2" t="s">
        <v>301</v>
      </c>
      <c r="AJ55" s="2" t="s">
        <v>82</v>
      </c>
      <c r="AK55" s="2" t="s">
        <v>61</v>
      </c>
      <c r="AL55" s="2" t="s">
        <v>61</v>
      </c>
      <c r="AM55" s="2" t="s">
        <v>73</v>
      </c>
    </row>
    <row r="56" ht="17" customHeight="1">
      <c r="A56" s="2" t="s">
        <v>302</v>
      </c>
      <c r="C56" s="2" t="s">
        <v>303</v>
      </c>
      <c r="D56" s="2" t="s">
        <v>100</v>
      </c>
      <c r="E56" t="str">
        <f>RIGHT(A56,1)</f>
        <v>7</v>
      </c>
      <c r="F56" t="str">
        <f>G56 &amp; IF(H56&lt;&gt;"", "_" &amp; H56, "_") &amp; IF(I56&lt;&gt;"", "_" &amp; I56, "_") &amp; IF(B56&lt;&gt;"", "_" &amp; B56, "")</f>
        <v>Frahm_etal_1982</v>
      </c>
      <c r="G56" t="str">
        <f>SUBSTITUTE(SUBSTITUTE(_xlfn.TEXTBEFORE(A56,","), "-", ""), " ", "")</f>
        <v>Frahm</v>
      </c>
      <c r="H56" t="str">
        <f>_xlfn.LET(
_xlpm.authors,_xlfn.TEXTBEFORE(A56," ("&amp;I56&amp;")"),
_xlpm.hasAmp,ISNUMBER(SEARCH("&amp;",_xlpm.authors)),
_xlpm.commasBeforeAmp,IF(_xlpm.hasAmp,LEN(_xlfn.TEXTBEFORE(_xlpm.authors,"&amp;"))-LEN(SUBSTITUTE(_xlfn.TEXTBEFORE(_xlpm.authors,"&amp;"),",","")),0),
IF(NOT(_xlpm.hasAmp),"",IF(_xlpm.commasBeforeAmp&gt;2,"etal",TRIM(_xlfn.TEXTBEFORE(_xlfn.TEXTAFTER(_xlpm.authors,"&amp; "),","))))
)</f>
        <v>etal</v>
      </c>
      <c r="I56" t="str">
        <f>_xlfn.TEXTBEFORE(_xlfn.TEXTAFTER(A56, "("), ")")</f>
        <v>1982</v>
      </c>
      <c r="J56" t="str">
        <f>_xlfn.LET(
_xlpm.doi,IF(C56&lt;&gt;"",C56,_xlfn.TEXTAFTER(A56,"https://doi.org/")),
SUBSTITUTE(
SUBSTITUTE(
SUBSTITUTE(
SUBSTITUTE(
_xlpm.doi,
"/","%2F"),
":","%3A"),
"&lt;","%3C"),
"&gt;","%3E")
)</f>
        <v>PMID%3A7161477</v>
      </c>
      <c r="K56" t="str">
        <f>TRIM(_xlfn.TEXTJOIN("_",FALSE,F56,(SUBSTITUTE(SUBSTITUTE(D56," ",""), "_", ""))))</f>
        <v>Frahm_etal_1982_Table2</v>
      </c>
      <c r="L56" t="str">
        <f>J56 &amp; "_" &amp; SUBSTITUTE(SUBSTITUTE(SUBSTITUTE(D56,CHAR(160),"")," ",""),"_","")</f>
        <v>PMID%3A7161477_Table2</v>
      </c>
      <c r="M56" t="str">
        <f t="array" ref="M56">IFERROR(INDEX(FileList!$A$1:$A$100,MATCH(TRUE,EXACT(L56,_xlfn.TEXTBEFORE(FileList!$A$1:$A$100,".tsv")),0)),"notfound")</f>
        <v>notfound</v>
      </c>
      <c r="N56" s="2" t="s">
        <v>304</v>
      </c>
      <c r="V56" s="2" t="s">
        <v>40</v>
      </c>
      <c r="W56" s="2" t="s">
        <v>85</v>
      </c>
      <c r="Y56" s="2" t="s">
        <v>80</v>
      </c>
      <c r="Z56" s="2" t="s">
        <v>80</v>
      </c>
      <c r="AF56" s="2" t="s">
        <v>70</v>
      </c>
      <c r="AG56" s="2" t="s">
        <v>93</v>
      </c>
      <c r="AI56" s="2" t="s">
        <v>305</v>
      </c>
      <c r="AJ56" s="2" t="s">
        <v>82</v>
      </c>
      <c r="AK56" s="2" t="s">
        <v>61</v>
      </c>
      <c r="AL56" s="2" t="s">
        <v>61</v>
      </c>
      <c r="AM56" s="2" t="s">
        <v>73</v>
      </c>
    </row>
    <row r="57" ht="17" customHeight="1">
      <c r="A57" s="2" t="s">
        <v>306</v>
      </c>
      <c r="C57" s="2" t="s">
        <v>307</v>
      </c>
      <c r="D57" s="2" t="s">
        <v>78</v>
      </c>
      <c r="E57" t="str">
        <f>RIGHT(A57,1)</f>
        <v>0</v>
      </c>
      <c r="F57" t="str">
        <f>G57 &amp; IF(H57&lt;&gt;"", "_" &amp; H57, "_") &amp; IF(I57&lt;&gt;"", "_" &amp; I57, "_") &amp; IF(B57&lt;&gt;"", "_" &amp; B57, "")</f>
        <v>Frahm_etal_1998</v>
      </c>
      <c r="G57" t="str">
        <f>SUBSTITUTE(SUBSTITUTE(_xlfn.TEXTBEFORE(A57,","), "-", ""), " ", "")</f>
        <v>Frahm</v>
      </c>
      <c r="H57" t="str">
        <f>_xlfn.LET(
_xlpm.authors,_xlfn.TEXTBEFORE(A57," ("&amp;I57&amp;")"),
_xlpm.hasAmp,ISNUMBER(SEARCH("&amp;",_xlpm.authors)),
_xlpm.commasBeforeAmp,IF(_xlpm.hasAmp,LEN(_xlfn.TEXTBEFORE(_xlpm.authors,"&amp;"))-LEN(SUBSTITUTE(_xlfn.TEXTBEFORE(_xlpm.authors,"&amp;"),",","")),0),
IF(NOT(_xlpm.hasAmp),"",IF(_xlpm.commasBeforeAmp&gt;2,"etal",TRIM(_xlfn.TEXTBEFORE(_xlfn.TEXTAFTER(_xlpm.authors,"&amp; "),","))))
)</f>
        <v>etal</v>
      </c>
      <c r="I57" t="str">
        <f>_xlfn.TEXTBEFORE(_xlfn.TEXTAFTER(A57, "("), ")")</f>
        <v>1998</v>
      </c>
      <c r="J57" t="str">
        <f>_xlfn.LET(
_xlpm.doi,IF(C57&lt;&gt;"",C57,_xlfn.TEXTAFTER(A57,"https://doi.org/")),
SUBSTITUTE(
SUBSTITUTE(
SUBSTITUTE(
SUBSTITUTE(
_xlpm.doi,
"/","%2F"),
":","%3A"),
"&lt;","%3C"),
"&gt;","%3E")
)</f>
        <v>PMID%3A9672110</v>
      </c>
      <c r="K57" t="str">
        <f>TRIM(_xlfn.TEXTJOIN("_",FALSE,F57,(SUBSTITUTE(SUBSTITUTE(D57," ",""), "_", ""))))</f>
        <v>Frahm_etal_1998_Table1</v>
      </c>
      <c r="L57" t="str">
        <f>J57 &amp; "_" &amp; SUBSTITUTE(SUBSTITUTE(SUBSTITUTE(D57,CHAR(160),"")," ",""),"_","")</f>
        <v>PMID%3A9672110_Table1</v>
      </c>
      <c r="M57" t="str">
        <f t="array" ref="M57">IFERROR(INDEX(FileList!$A$1:$A$100,MATCH(TRUE,EXACT(L57,_xlfn.TEXTBEFORE(FileList!$A$1:$A$100,".tsv")),0)),"notfound")</f>
        <v>notfound</v>
      </c>
      <c r="N57" s="2" t="s">
        <v>308</v>
      </c>
      <c r="V57" s="2" t="s">
        <v>40</v>
      </c>
      <c r="W57" s="2" t="s">
        <v>85</v>
      </c>
      <c r="Y57" s="2" t="s">
        <v>80</v>
      </c>
      <c r="Z57" s="2" t="s">
        <v>80</v>
      </c>
      <c r="AF57" s="2" t="s">
        <v>70</v>
      </c>
      <c r="AG57" s="2" t="s">
        <v>93</v>
      </c>
      <c r="AI57" s="2" t="s">
        <v>309</v>
      </c>
      <c r="AJ57" s="2" t="s">
        <v>82</v>
      </c>
      <c r="AK57" s="2" t="s">
        <v>61</v>
      </c>
      <c r="AL57" s="2" t="s">
        <v>61</v>
      </c>
      <c r="AM57" s="2" t="s">
        <v>73</v>
      </c>
    </row>
    <row r="58" ht="17" customHeight="1">
      <c r="A58" s="2" t="s">
        <v>310</v>
      </c>
      <c r="D58" s="2" t="s">
        <v>78</v>
      </c>
      <c r="E58" t="str">
        <f>RIGHT(A58,1)</f>
        <v>x</v>
      </c>
      <c r="F58" t="str">
        <f>G58 &amp; IF(H58&lt;&gt;"", "_" &amp; H58, "_") &amp; IF(I58&lt;&gt;"", "_" &amp; I58, "_") &amp; IF(B58&lt;&gt;"", "_" &amp; B58, "")</f>
        <v>Fu_etal_2013</v>
      </c>
      <c r="G58" t="str">
        <f>SUBSTITUTE(SUBSTITUTE(_xlfn.TEXTBEFORE(A58,","), "-", ""), " ", "")</f>
        <v>Fu</v>
      </c>
      <c r="H58" t="str">
        <f>_xlfn.LET(
_xlpm.authors,_xlfn.TEXTBEFORE(A58," ("&amp;I58&amp;")"),
_xlpm.hasAmp,ISNUMBER(SEARCH("&amp;",_xlpm.authors)),
_xlpm.commasBeforeAmp,IF(_xlpm.hasAmp,LEN(_xlfn.TEXTBEFORE(_xlpm.authors,"&amp;"))-LEN(SUBSTITUTE(_xlfn.TEXTBEFORE(_xlpm.authors,"&amp;"),",","")),0),
IF(NOT(_xlpm.hasAmp),"",IF(_xlpm.commasBeforeAmp&gt;2,"etal",TRIM(_xlfn.TEXTBEFORE(_xlfn.TEXTAFTER(_xlpm.authors,"&amp; "),","))))
)</f>
        <v>etal</v>
      </c>
      <c r="I58" t="str">
        <f>_xlfn.TEXTBEFORE(_xlfn.TEXTAFTER(A58, "("), ")")</f>
        <v>2013</v>
      </c>
      <c r="J58" t="str">
        <f>_xlfn.LET(
_xlpm.doi,IF(C58&lt;&gt;"",C58,_xlfn.TEXTAFTER(A58,"https://doi.org/")),
SUBSTITUTE(
SUBSTITUTE(
SUBSTITUTE(
SUBSTITUTE(
_xlpm.doi,
"/","%2F"),
":","%3A"),
"&lt;","%3C"),
"&gt;","%3E")
)</f>
        <v>10.1007%2Fs00429-012-0462-x</v>
      </c>
      <c r="K58" t="str">
        <f>TRIM(_xlfn.TEXTJOIN("_",FALSE,F58,(SUBSTITUTE(SUBSTITUTE(D58," ",""), "_", ""))))</f>
        <v>Fu_etal_2013_Table1</v>
      </c>
      <c r="L58" t="str">
        <f>J58 &amp; "_" &amp; SUBSTITUTE(SUBSTITUTE(SUBSTITUTE(D58,CHAR(160),"")," ",""),"_","")</f>
        <v>10.1007%2Fs00429-012-0462-x_Table1</v>
      </c>
      <c r="M58" t="str">
        <f t="array" ref="M58">IFERROR(INDEX(FileList!$A$1:$A$100,MATCH(TRUE,EXACT(L58,_xlfn.TEXTBEFORE(FileList!$A$1:$A$100,".tsv")),0)),"notfound")</f>
        <v>notfound</v>
      </c>
      <c r="N58" s="2" t="s">
        <v>311</v>
      </c>
      <c r="P58" s="2" t="s">
        <v>312</v>
      </c>
      <c r="AA58" s="2" t="s">
        <v>126</v>
      </c>
      <c r="AJ58" s="2" t="s">
        <v>41</v>
      </c>
      <c r="AK58" s="2" t="s">
        <v>313</v>
      </c>
      <c r="AL58" s="2" t="s">
        <v>41</v>
      </c>
      <c r="AM58" s="2" t="s">
        <v>41</v>
      </c>
    </row>
    <row r="59" ht="17" customHeight="1">
      <c r="A59" s="2" t="s">
        <v>314</v>
      </c>
      <c r="D59" s="2" t="s">
        <v>262</v>
      </c>
      <c r="E59" t="str">
        <f>RIGHT(A59,1)</f>
        <v>6</v>
      </c>
      <c r="F59" t="str">
        <f>G59 &amp; IF(H59&lt;&gt;"", "_" &amp; H59, "_") &amp; IF(I59&lt;&gt;"", "_" &amp; I59, "_") &amp; IF(B59&lt;&gt;"", "_" &amp; B59, "")</f>
        <v>Garwicz_etal_2009</v>
      </c>
      <c r="G59" t="str">
        <f>SUBSTITUTE(SUBSTITUTE(_xlfn.TEXTBEFORE(A59,","), "-", ""), " ", "")</f>
        <v>Garwicz</v>
      </c>
      <c r="H59" t="str">
        <f>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etal</v>
      </c>
      <c r="I59" t="str">
        <f>_xlfn.TEXTBEFORE(_xlfn.TEXTAFTER(A59, "("), ")")</f>
        <v>2009</v>
      </c>
      <c r="J59" t="str">
        <f>_xlfn.LET(
_xlpm.doi,IF(C59&lt;&gt;"",C59,_xlfn.TEXTAFTER(A59,"https://doi.org/")),
SUBSTITUTE(
SUBSTITUTE(
SUBSTITUTE(
SUBSTITUTE(
_xlpm.doi,
"/","%2F"),
":","%3A"),
"&lt;","%3C"),
"&gt;","%3E")
)</f>
        <v>10.1073%2Fpnas.0905777106</v>
      </c>
      <c r="K59" t="str">
        <f>TRIM(_xlfn.TEXTJOIN("_",FALSE,F59,(SUBSTITUTE(SUBSTITUTE(D59," ",""), "_", ""))))</f>
        <v>Garwicz_etal_2009_TableS1</v>
      </c>
      <c r="L59" t="str">
        <f>J59 &amp; "_" &amp; SUBSTITUTE(SUBSTITUTE(SUBSTITUTE(D59,CHAR(160),"")," ",""),"_","")</f>
        <v>10.1073%2Fpnas.0905777106_TableS1</v>
      </c>
      <c r="M59" t="str">
        <f t="array" ref="M59">IFERROR(INDEX(FileList!$A$1:$A$100,MATCH(TRUE,EXACT(L59,_xlfn.TEXTBEFORE(FileList!$A$1:$A$100,".tsv")),0)),"notfound")</f>
        <v>10.1073%2Fpnas.0905777106_TableS1.tsv</v>
      </c>
      <c r="N59" s="2" t="s">
        <v>315</v>
      </c>
      <c r="U59" s="2" t="s">
        <v>53</v>
      </c>
      <c r="W59" s="2" t="s">
        <v>162</v>
      </c>
      <c r="X59" s="2" t="s">
        <v>316</v>
      </c>
      <c r="AJ59" s="2" t="s">
        <v>118</v>
      </c>
      <c r="AL59" s="2" t="s">
        <v>119</v>
      </c>
      <c r="AM59" s="2" t="s">
        <v>317</v>
      </c>
    </row>
    <row r="60" ht="17" customHeight="1">
      <c r="A60" s="2" t="s">
        <v>314</v>
      </c>
      <c r="D60" s="2" t="s">
        <v>318</v>
      </c>
      <c r="E60" t="str">
        <f>RIGHT(A60,1)</f>
        <v>6</v>
      </c>
      <c r="F60" t="str">
        <f>G60 &amp; IF(H60&lt;&gt;"", "_" &amp; H60, "_") &amp; IF(I60&lt;&gt;"", "_" &amp; I60, "_") &amp; IF(B60&lt;&gt;"", "_" &amp; B60, "")</f>
        <v>Garwicz_etal_2009</v>
      </c>
      <c r="G60" t="str">
        <f>SUBSTITUTE(SUBSTITUTE(_xlfn.TEXTBEFORE(A60,","), "-", ""), " ", "")</f>
        <v>Garwicz</v>
      </c>
      <c r="H60" t="str">
        <f>_xlfn.LET(
_xlpm.authors,_xlfn.TEXTBEFORE(A60," ("&amp;I60&amp;")"),
_xlpm.hasAmp,ISNUMBER(SEARCH("&amp;",_xlpm.authors)),
_xlpm.commasBeforeAmp,IF(_xlpm.hasAmp,LEN(_xlfn.TEXTBEFORE(_xlpm.authors,"&amp;"))-LEN(SUBSTITUTE(_xlfn.TEXTBEFORE(_xlpm.authors,"&amp;"),",","")),0),
IF(NOT(_xlpm.hasAmp),"",IF(_xlpm.commasBeforeAmp&gt;2,"etal",TRIM(_xlfn.TEXTBEFORE(_xlfn.TEXTAFTER(_xlpm.authors,"&amp; "),","))))
)</f>
        <v>etal</v>
      </c>
      <c r="I60" t="str">
        <f>_xlfn.TEXTBEFORE(_xlfn.TEXTAFTER(A60, "("), ")")</f>
        <v>2009</v>
      </c>
      <c r="J60" t="str">
        <f>_xlfn.LET(
_xlpm.doi,IF(C60&lt;&gt;"",C60,_xlfn.TEXTAFTER(A60,"https://doi.org/")),
SUBSTITUTE(
SUBSTITUTE(
SUBSTITUTE(
SUBSTITUTE(
_xlpm.doi,
"/","%2F"),
":","%3A"),
"&lt;","%3C"),
"&gt;","%3E")
)</f>
        <v>10.1073%2Fpnas.0905777106</v>
      </c>
      <c r="K60" t="str">
        <f>TRIM(_xlfn.TEXTJOIN("_",FALSE,F60,(SUBSTITUTE(SUBSTITUTE(D60," ",""), "_", ""))))</f>
        <v>Garwicz_etal_2009_TableS2</v>
      </c>
      <c r="L60" t="str">
        <f>J60 &amp; "_" &amp; SUBSTITUTE(SUBSTITUTE(SUBSTITUTE(D60,CHAR(160),"")," ",""),"_","")</f>
        <v>10.1073%2Fpnas.0905777106_TableS2</v>
      </c>
      <c r="M60" t="str">
        <f t="array" ref="M60">IFERROR(INDEX(FileList!$A$1:$A$100,MATCH(TRUE,EXACT(L60,_xlfn.TEXTBEFORE(FileList!$A$1:$A$100,".tsv")),0)),"notfound")</f>
        <v>notfound</v>
      </c>
      <c r="N60" s="2" t="s">
        <v>319</v>
      </c>
      <c r="U60" s="2" t="s">
        <v>53</v>
      </c>
      <c r="W60" s="2" t="s">
        <v>162</v>
      </c>
      <c r="X60" s="2" t="s">
        <v>316</v>
      </c>
      <c r="AJ60" s="2" t="s">
        <v>118</v>
      </c>
      <c r="AL60" s="2" t="s">
        <v>119</v>
      </c>
      <c r="AM60" s="2" t="s">
        <v>317</v>
      </c>
    </row>
    <row r="61" ht="16" customHeight="1">
      <c r="A61" s="2" t="s">
        <v>320</v>
      </c>
      <c r="D61" s="2" t="s">
        <v>318</v>
      </c>
      <c r="E61" t="str">
        <f>RIGHT(A61,1)</f>
        <v>0</v>
      </c>
      <c r="F61" t="str">
        <f>G61 &amp; IF(H61&lt;&gt;"", "_" &amp; H61, "_") &amp; IF(I61&lt;&gt;"", "_" &amp; I61, "_") &amp; IF(B61&lt;&gt;"", "_" &amp; B61, "")</f>
        <v>Genoud_etal_2018</v>
      </c>
      <c r="G61" t="str">
        <f>SUBSTITUTE(SUBSTITUTE(_xlfn.TEXTBEFORE(A61,","), "-", ""), " ", "")</f>
        <v>Genoud</v>
      </c>
      <c r="H61" t="str">
        <f>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t="str">
        <f>_xlfn.TEXTBEFORE(_xlfn.TEXTAFTER(A61, "("), ")")</f>
        <v>2018</v>
      </c>
      <c r="J61" t="str">
        <f>_xlfn.LET(
_xlpm.doi,IF(C61&lt;&gt;"",C61,_xlfn.TEXTAFTER(A61,"https://doi.org/")),
SUBSTITUTE(
SUBSTITUTE(
SUBSTITUTE(
SUBSTITUTE(
_xlpm.doi,
"/","%2F"),
":","%3A"),
"&lt;","%3C"),
"&gt;","%3E")
)</f>
        <v>10.1111%2Fbrv.12350</v>
      </c>
      <c r="K61" t="str">
        <f>TRIM(_xlfn.TEXTJOIN("_",FALSE,F61,(SUBSTITUTE(SUBSTITUTE(D61," ",""), "_", ""))))</f>
        <v>Genoud_etal_2018_TableS2</v>
      </c>
      <c r="L61" t="str">
        <f>J61 &amp; "_" &amp; SUBSTITUTE(SUBSTITUTE(SUBSTITUTE(D61,CHAR(160),"")," ",""),"_","")</f>
        <v>10.1111%2Fbrv.12350_TableS2</v>
      </c>
      <c r="M61" t="str">
        <f t="array" ref="M61">IFERROR(INDEX(FileList!$A$1:$A$100,MATCH(TRUE,EXACT(L61,_xlfn.TEXTBEFORE(FileList!$A$1:$A$100,".tsv")),0)),"notfound")</f>
        <v>notfound</v>
      </c>
      <c r="N61" s="2" t="s">
        <v>321</v>
      </c>
      <c r="P61" s="2" t="s">
        <v>312</v>
      </c>
      <c r="AA61" s="2" t="s">
        <v>322</v>
      </c>
      <c r="AJ61" s="2" t="s">
        <v>41</v>
      </c>
      <c r="AL61" s="2" t="s">
        <v>41</v>
      </c>
      <c r="AM61" s="2" t="s">
        <v>41</v>
      </c>
    </row>
    <row r="62" ht="16" customHeight="1">
      <c r="A62" s="2" t="s">
        <v>323</v>
      </c>
      <c r="D62" s="2" t="s">
        <v>262</v>
      </c>
      <c r="E62" t="str">
        <f>RIGHT(A62,1)</f>
        <v>8</v>
      </c>
      <c r="F62" t="str">
        <f>G62 &amp; IF(H62&lt;&gt;"", "_" &amp; H62, "_") &amp; IF(I62&lt;&gt;"", "_" &amp; I62, "_") &amp; IF(B62&lt;&gt;"", "_" &amp; B62, "")</f>
        <v>Granatosky__2018</v>
      </c>
      <c r="G62" t="str">
        <f>SUBSTITUTE(SUBSTITUTE(_xlfn.TEXTBEFORE(A62,","), "-", ""), " ", "")</f>
        <v>Granatosky</v>
      </c>
      <c r="H62" t="str">
        <f>_xlfn.LET(
_xlpm.authors,_xlfn.TEXTBEFORE(A62," ("&amp;I62&amp;")"),
_xlpm.hasAmp,ISNUMBER(SEARCH("&amp;",_xlpm.authors)),
_xlpm.commasBeforeAmp,IF(_xlpm.hasAmp,LEN(_xlfn.TEXTBEFORE(_xlpm.authors,"&amp;"))-LEN(SUBSTITUTE(_xlfn.TEXTBEFORE(_xlpm.authors,"&amp;"),",","")),0),
IF(NOT(_xlpm.hasAmp),"",IF(_xlpm.commasBeforeAmp&gt;2,"etal",TRIM(_xlfn.TEXTBEFORE(_xlfn.TEXTAFTER(_xlpm.authors,"&amp; "),","))))
)</f>
      </c>
      <c r="I62" t="str">
        <f>_xlfn.TEXTBEFORE(_xlfn.TEXTAFTER(A62, "("), ")")</f>
        <v>2018</v>
      </c>
      <c r="J62" t="str">
        <f>_xlfn.LET(
_xlpm.doi,IF(C62&lt;&gt;"",C62,_xlfn.TEXTAFTER(A62,"https://doi.org/")),
SUBSTITUTE(
SUBSTITUTE(
SUBSTITUTE(
SUBSTITUTE(
_xlpm.doi,
"/","%2F"),
":","%3A"),
"&lt;","%3C"),
"&gt;","%3E")
)</f>
        <v>10.1111%2Fjzo.12608</v>
      </c>
      <c r="K62" t="str">
        <f>TRIM(_xlfn.TEXTJOIN("_",FALSE,F62,(SUBSTITUTE(SUBSTITUTE(D62," ",""), "_", ""))))</f>
        <v>Granatosky__2018_TableS1</v>
      </c>
      <c r="L62" t="str">
        <f>J62 &amp; "_" &amp; SUBSTITUTE(SUBSTITUTE(SUBSTITUTE(D62,CHAR(160),"")," ",""),"_","")</f>
        <v>10.1111%2Fjzo.12608_TableS1</v>
      </c>
      <c r="M62" t="str">
        <f t="array" ref="M62">IFERROR(INDEX(FileList!$A$1:$A$100,MATCH(TRUE,EXACT(L62,_xlfn.TEXTBEFORE(FileList!$A$1:$A$100,".tsv")),0)),"notfound")</f>
        <v>notfound</v>
      </c>
      <c r="N62" s="2" t="s">
        <v>324</v>
      </c>
      <c r="P62" s="2" t="s">
        <v>312</v>
      </c>
      <c r="X62" s="2" t="s">
        <v>325</v>
      </c>
      <c r="AJ62" s="2" t="s">
        <v>118</v>
      </c>
      <c r="AL62" s="2" t="s">
        <v>119</v>
      </c>
      <c r="AM62" s="2" t="s">
        <v>326</v>
      </c>
    </row>
    <row r="63" ht="16" customHeight="1">
      <c r="A63" s="2" t="s">
        <v>327</v>
      </c>
      <c r="D63" s="2" t="s">
        <v>328</v>
      </c>
      <c r="E63" t="str">
        <f>RIGHT(A63,1)</f>
        <v>7</v>
      </c>
      <c r="F63" t="str">
        <f>G63 &amp; IF(H63&lt;&gt;"", "_" &amp; H63, "_") &amp; IF(I63&lt;&gt;"", "_" &amp; I63, "_") &amp; IF(B63&lt;&gt;"", "_" &amp; B63, "")</f>
        <v>Haarlem_etal_2026</v>
      </c>
      <c r="G63" t="str">
        <f>SUBSTITUTE(SUBSTITUTE(_xlfn.TEXTBEFORE(A63,","), "-", ""), " ", "")</f>
        <v>Haarlem</v>
      </c>
      <c r="H63" t="str">
        <f>_xlfn.LET(
_xlpm.authors,_xlfn.TEXTBEFORE(A63," ("&amp;I63&amp;")"),
_xlpm.hasAmp,ISNUMBER(SEARCH("&amp;",_xlpm.authors)),
_xlpm.commasBeforeAmp,IF(_xlpm.hasAmp,LEN(_xlfn.TEXTBEFORE(_xlpm.authors,"&amp;"))-LEN(SUBSTITUTE(_xlfn.TEXTBEFORE(_xlpm.authors,"&amp;"),",","")),0),
IF(NOT(_xlpm.hasAmp),"",IF(_xlpm.commasBeforeAmp&gt;2,"etal",TRIM(_xlfn.TEXTBEFORE(_xlfn.TEXTAFTER(_xlpm.authors,"&amp; "),","))))
)</f>
        <v>etal</v>
      </c>
      <c r="I63" t="str">
        <f>_xlfn.TEXTBEFORE(_xlfn.TEXTAFTER(A63, "("), ")")</f>
        <v>2026</v>
      </c>
      <c r="J63" t="str">
        <f>_xlfn.LET(
_xlpm.doi,IF(C63&lt;&gt;"",C63,_xlfn.TEXTAFTER(A63,"https://doi.org/")),
SUBSTITUTE(
SUBSTITUTE(
SUBSTITUTE(
SUBSTITUTE(
_xlpm.doi,
"/","%2F"),
":","%3A"),
"&lt;","%3C"),
"&gt;","%3E")
)</f>
        <v>10.1038%2Fs41559-026-02994-7</v>
      </c>
      <c r="K63" t="str">
        <f>TRIM(_xlfn.TEXTJOIN("_",FALSE,F63,(SUBSTITUTE(SUBSTITUTE(D63," ",""), "_", ""))))</f>
        <v>Haarlem_etal_2026_CFFdataset</v>
      </c>
      <c r="L63" t="str">
        <f>J63 &amp; "_" &amp; SUBSTITUTE(SUBSTITUTE(SUBSTITUTE(D63,CHAR(160),"")," ",""),"_","")</f>
        <v>10.1038%2Fs41559-026-02994-7_CFFdataset</v>
      </c>
      <c r="M63" t="str">
        <f t="array" ref="M63">IFERROR(INDEX(FileList!$A$1:$A$100,MATCH(TRUE,EXACT(L63,_xlfn.TEXTBEFORE(FileList!$A$1:$A$100,".tsv")),0)),"notfound")</f>
        <v>notfound</v>
      </c>
      <c r="N63" s="4" t="s">
        <v>328</v>
      </c>
      <c r="X63" s="2" t="s">
        <v>325</v>
      </c>
      <c r="AJ63" s="2" t="s">
        <v>41</v>
      </c>
      <c r="AL63" s="2" t="s">
        <v>41</v>
      </c>
      <c r="AM63" s="2" t="s">
        <v>41</v>
      </c>
    </row>
    <row r="64" ht="16" customHeight="1">
      <c r="A64" s="2" t="s">
        <v>329</v>
      </c>
      <c r="D64" s="2" t="s">
        <v>330</v>
      </c>
      <c r="E64" t="str">
        <f>RIGHT(A64,1)</f>
        <v>4</v>
      </c>
      <c r="F64" t="str">
        <f>G64 &amp; IF(H64&lt;&gt;"", "_" &amp; H64, "_") &amp; IF(I64&lt;&gt;"", "_" &amp; I64, "_") &amp; IF(B64&lt;&gt;"", "_" &amp; B64, "")</f>
        <v>Heffner_Masterton_1983</v>
      </c>
      <c r="G64" t="str">
        <f>SUBSTITUTE(SUBSTITUTE(_xlfn.TEXTBEFORE(A64,","), "-", ""), " ", "")</f>
        <v>Heffner</v>
      </c>
      <c r="H64" t="str">
        <f>_xlfn.LET(
_xlpm.authors,_xlfn.TEXTBEFORE(A64," ("&amp;I64&amp;")"),
_xlpm.hasAmp,ISNUMBER(SEARCH("&amp;",_xlpm.authors)),
_xlpm.commasBeforeAmp,IF(_xlpm.hasAmp,LEN(_xlfn.TEXTBEFORE(_xlpm.authors,"&amp;"))-LEN(SUBSTITUTE(_xlfn.TEXTBEFORE(_xlpm.authors,"&amp;"),",","")),0),
IF(NOT(_xlpm.hasAmp),"",IF(_xlpm.commasBeforeAmp&gt;2,"etal",TRIM(_xlfn.TEXTBEFORE(_xlfn.TEXTAFTER(_xlpm.authors,"&amp; "),","))))
)</f>
        <v>Masterton</v>
      </c>
      <c r="I64" t="str">
        <f>_xlfn.TEXTBEFORE(_xlfn.TEXTAFTER(A64, "("), ")")</f>
        <v>1983</v>
      </c>
      <c r="J64" t="str">
        <f>_xlfn.LET(
_xlpm.doi,IF(C64&lt;&gt;"",C64,_xlfn.TEXTAFTER(A64,"https://doi.org/")),
SUBSTITUTE(
SUBSTITUTE(
SUBSTITUTE(
SUBSTITUTE(
_xlpm.doi,
"/","%2F"),
":","%3A"),
"&lt;","%3C"),
"&gt;","%3E")
)</f>
        <v>10.1159%2F000121494</v>
      </c>
      <c r="K64" t="str">
        <f>TRIM(_xlfn.TEXTJOIN("_",FALSE,F64,(SUBSTITUTE(SUBSTITUTE(D64," ",""), "_", ""))))</f>
        <v>Heffner_Masterton_1983_TableI</v>
      </c>
      <c r="L64" t="str">
        <f>J64 &amp; "_" &amp; SUBSTITUTE(SUBSTITUTE(SUBSTITUTE(D64,CHAR(160),"")," ",""),"_","")</f>
        <v>10.1159%2F000121494_TableI</v>
      </c>
      <c r="M64" t="str">
        <f t="array" ref="M64">IFERROR(INDEX(FileList!$A$1:$A$100,MATCH(TRUE,EXACT(L64,_xlfn.TEXTBEFORE(FileList!$A$1:$A$100,".tsv")),0)),"notfound")</f>
        <v>notfound</v>
      </c>
      <c r="P64" s="2" t="s">
        <v>312</v>
      </c>
      <c r="Q64" s="2" t="s">
        <v>178</v>
      </c>
      <c r="T64" s="2" t="str">
        <f>IF(S64="N", R64, "write file name")</f>
        <v>write file name</v>
      </c>
      <c r="U64" s="2" t="s">
        <v>53</v>
      </c>
      <c r="V64" s="2" t="s">
        <v>40</v>
      </c>
      <c r="W64" s="2" t="s">
        <v>182</v>
      </c>
      <c r="X64" s="2" t="s">
        <v>325</v>
      </c>
      <c r="AD64" s="2" t="s">
        <v>331</v>
      </c>
      <c r="AH64" s="2" t="s">
        <v>116</v>
      </c>
      <c r="AI64" s="2" t="s">
        <v>332</v>
      </c>
      <c r="AJ64" s="2" t="s">
        <v>118</v>
      </c>
      <c r="AL64" s="2" t="s">
        <v>119</v>
      </c>
      <c r="AM64" s="2" t="s">
        <v>333</v>
      </c>
    </row>
    <row r="65" ht="16" customHeight="1">
      <c r="A65" s="2" t="s">
        <v>334</v>
      </c>
      <c r="D65" s="2" t="s">
        <v>330</v>
      </c>
      <c r="E65" t="str">
        <f>RIGHT(A65,1)</f>
        <v>1</v>
      </c>
      <c r="F65" t="str">
        <f>G65 &amp; IF(H65&lt;&gt;"", "_" &amp; H65, "_") &amp; IF(I65&lt;&gt;"", "_" &amp; I65, "_") &amp; IF(B65&lt;&gt;"", "_" &amp; B65, "")</f>
        <v>Heffner_Masterton_1975</v>
      </c>
      <c r="G65" t="str">
        <f>SUBSTITUTE(SUBSTITUTE(_xlfn.TEXTBEFORE(A65,","), "-", ""), " ", "")</f>
        <v>Heffner</v>
      </c>
      <c r="H65" t="str">
        <f>_xlfn.LET(
_xlpm.authors,_xlfn.TEXTBEFORE(A65," ("&amp;I65&amp;")"),
_xlpm.hasAmp,ISNUMBER(SEARCH("&amp;",_xlpm.authors)),
_xlpm.commasBeforeAmp,IF(_xlpm.hasAmp,LEN(_xlfn.TEXTBEFORE(_xlpm.authors,"&amp;"))-LEN(SUBSTITUTE(_xlfn.TEXTBEFORE(_xlpm.authors,"&amp;"),",","")),0),
IF(NOT(_xlpm.hasAmp),"",IF(_xlpm.commasBeforeAmp&gt;2,"etal",TRIM(_xlfn.TEXTBEFORE(_xlfn.TEXTAFTER(_xlpm.authors,"&amp; "),","))))
)</f>
        <v>Masterton</v>
      </c>
      <c r="I65" t="str">
        <f>_xlfn.TEXTBEFORE(_xlfn.TEXTAFTER(A65, "("), ")")</f>
        <v>1975</v>
      </c>
      <c r="J65" t="str">
        <f>_xlfn.LET(
_xlpm.doi,IF(C65&lt;&gt;"",C65,_xlfn.TEXTAFTER(A65,"https://doi.org/")),
SUBSTITUTE(
SUBSTITUTE(
SUBSTITUTE(
SUBSTITUTE(
_xlpm.doi,
"/","%2F"),
":","%3A"),
"&lt;","%3C"),
"&gt;","%3E")
)</f>
        <v>10.1159%2F000124401</v>
      </c>
      <c r="K65" t="str">
        <f>TRIM(_xlfn.TEXTJOIN("_",FALSE,F65,(SUBSTITUTE(SUBSTITUTE(D65," ",""), "_", ""))))</f>
        <v>Heffner_Masterton_1975_TableI</v>
      </c>
      <c r="L65" t="str">
        <f>J65 &amp; "_" &amp; SUBSTITUTE(SUBSTITUTE(SUBSTITUTE(D65,CHAR(160),"")," ",""),"_","")</f>
        <v>10.1159%2F000124401_TableI</v>
      </c>
      <c r="M65" t="str">
        <f t="array" ref="M65">IFERROR(INDEX(FileList!$A$1:$A$100,MATCH(TRUE,EXACT(L65,_xlfn.TEXTBEFORE(FileList!$A$1:$A$100,".tsv")),0)),"notfound")</f>
        <v>10.1159%2F000124401_TableI.tsv</v>
      </c>
      <c r="P65" s="2" t="s">
        <v>48</v>
      </c>
      <c r="Q65" s="2" t="s">
        <v>49</v>
      </c>
      <c r="R65" s="2" t="s">
        <v>335</v>
      </c>
      <c r="S65" s="2" t="s">
        <v>51</v>
      </c>
      <c r="T65" s="2" t="s">
        <v>336</v>
      </c>
      <c r="U65" s="2" t="s">
        <v>53</v>
      </c>
      <c r="V65" s="2" t="s">
        <v>40</v>
      </c>
      <c r="W65" s="2" t="s">
        <v>182</v>
      </c>
      <c r="X65" s="2" t="s">
        <v>325</v>
      </c>
      <c r="AA65" s="2" t="s">
        <v>337</v>
      </c>
      <c r="AH65" s="2" t="s">
        <v>116</v>
      </c>
      <c r="AI65" s="2" t="s">
        <v>332</v>
      </c>
      <c r="AJ65" s="2" t="s">
        <v>118</v>
      </c>
      <c r="AK65" s="2" t="s">
        <v>338</v>
      </c>
      <c r="AL65" s="2" t="s">
        <v>339</v>
      </c>
      <c r="AM65" s="2" t="s">
        <v>340</v>
      </c>
    </row>
    <row r="66" ht="16" customHeight="1">
      <c r="A66" s="2" t="s">
        <v>341</v>
      </c>
      <c r="C66" s="2" t="s">
        <v>342</v>
      </c>
      <c r="D66" s="2" t="s">
        <v>46</v>
      </c>
      <c r="E66" t="str">
        <f>RIGHT(A66,1)</f>
        <v>8</v>
      </c>
      <c r="F66" t="str">
        <f>G66 &amp; IF(H66&lt;&gt;"", "_" &amp; H66, "_") &amp; IF(I66&lt;&gt;"", "_" &amp; I66, "_") &amp; IF(B66&lt;&gt;"", "_" &amp; B66, "")</f>
        <v>Heiss_etal_2004</v>
      </c>
      <c r="G66" t="str">
        <f>SUBSTITUTE(SUBSTITUTE(_xlfn.TEXTBEFORE(A66,","), "-", ""), " ", "")</f>
        <v>Heiss</v>
      </c>
      <c r="H66" t="str">
        <f>_xlfn.LET(
_xlpm.authors,_xlfn.TEXTBEFORE(A66," ("&amp;I66&amp;")"),
_xlpm.hasAmp,ISNUMBER(SEARCH("&amp;",_xlpm.authors)),
_xlpm.commasBeforeAmp,IF(_xlpm.hasAmp,LEN(_xlfn.TEXTBEFORE(_xlpm.authors,"&amp;"))-LEN(SUBSTITUTE(_xlfn.TEXTBEFORE(_xlpm.authors,"&amp;"),",","")),0),
IF(NOT(_xlpm.hasAmp),"",IF(_xlpm.commasBeforeAmp&gt;2,"etal",TRIM(_xlfn.TEXTBEFORE(_xlfn.TEXTAFTER(_xlpm.authors,"&amp; "),","))))
)</f>
        <v>etal</v>
      </c>
      <c r="I66" t="str">
        <f>_xlfn.TEXTBEFORE(_xlfn.TEXTAFTER(A66, "("), ")")</f>
        <v>2004</v>
      </c>
      <c r="J66" t="str">
        <f>_xlfn.LET(
_xlpm.doi,IF(C66&lt;&gt;"",C66,_xlfn.TEXTAFTER(A66,"https://doi.org/")),
SUBSTITUTE(
SUBSTITUTE(
SUBSTITUTE(
SUBSTITUTE(
_xlpm.doi,
"/","%2F"),
":","%3A"),
"&lt;","%3C"),
"&gt;","%3E")
)</f>
        <v>PMID%3A15534048</v>
      </c>
      <c r="K66" t="str">
        <f>TRIM(_xlfn.TEXTJOIN("_",FALSE,F66,(SUBSTITUTE(SUBSTITUTE(D66," ",""), "_", ""))))</f>
        <v>Heiss_etal_2004_TABLE1</v>
      </c>
      <c r="L66" t="str">
        <f>J66 &amp; "_" &amp; SUBSTITUTE(SUBSTITUTE(SUBSTITUTE(D66,CHAR(160),"")," ",""),"_","")</f>
        <v>PMID%3A15534048_TABLE1</v>
      </c>
      <c r="M66" t="str">
        <f t="array" ref="M66">IFERROR(INDEX(FileList!$A$1:$A$100,MATCH(TRUE,EXACT(L66,_xlfn.TEXTBEFORE(FileList!$A$1:$A$100,".tsv")),0)),"notfound")</f>
        <v>notfound</v>
      </c>
      <c r="N66" s="2" t="s">
        <v>343</v>
      </c>
      <c r="X66" s="2" t="s">
        <v>325</v>
      </c>
      <c r="AI66" s="2" t="s">
        <v>344</v>
      </c>
      <c r="AJ66" s="2" t="s">
        <v>345</v>
      </c>
      <c r="AL66" s="2" t="s">
        <v>61</v>
      </c>
      <c r="AM66" s="2" t="s">
        <v>346</v>
      </c>
    </row>
    <row r="67" ht="16" customHeight="1">
      <c r="A67" s="2" t="s">
        <v>347</v>
      </c>
      <c r="D67" s="2" t="s">
        <v>262</v>
      </c>
      <c r="E67" t="str">
        <f>RIGHT(A67,1)</f>
        <v>8</v>
      </c>
      <c r="F67" t="str">
        <f>G67 &amp; IF(H67&lt;&gt;"", "_" &amp; H67, "_") &amp; IF(I67&lt;&gt;"", "_" &amp; I67, "_") &amp; IF(B67&lt;&gt;"", "_" &amp; B67, "")</f>
        <v>Heldstab_etal_2016</v>
      </c>
      <c r="G67" t="str">
        <f>SUBSTITUTE(SUBSTITUTE(_xlfn.TEXTBEFORE(A67,","), "-", ""), " ", "")</f>
        <v>Heldstab</v>
      </c>
      <c r="H67" t="str">
        <f>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etal</v>
      </c>
      <c r="I67" t="str">
        <f>_xlfn.TEXTBEFORE(_xlfn.TEXTAFTER(A67, "("), ")")</f>
        <v>2016</v>
      </c>
      <c r="J67" t="str">
        <f>_xlfn.LET(
_xlpm.doi,IF(C67&lt;&gt;"",C67,_xlfn.TEXTAFTER(A67,"https://doi.org/")),
SUBSTITUTE(
SUBSTITUTE(
SUBSTITUTE(
SUBSTITUTE(
_xlpm.doi,
"/","%2F"),
":","%3A"),
"&lt;","%3C"),
"&gt;","%3E")
)</f>
        <v>10.1038%2Fsrep24528</v>
      </c>
      <c r="K67" t="str">
        <f>TRIM(_xlfn.TEXTJOIN("_",FALSE,F67,(SUBSTITUTE(SUBSTITUTE(D67," ",""), "_", ""))))</f>
        <v>Heldstab_etal_2016_TableS1</v>
      </c>
      <c r="L67" t="str">
        <f>J67 &amp; "_" &amp; SUBSTITUTE(SUBSTITUTE(SUBSTITUTE(D67,CHAR(160),"")," ",""),"_","")</f>
        <v>10.1038%2Fsrep24528_TableS1</v>
      </c>
      <c r="M67" t="str">
        <f t="array" ref="M67">IFERROR(INDEX(FileList!$A$1:$A$100,MATCH(TRUE,EXACT(L67,_xlfn.TEXTBEFORE(FileList!$A$1:$A$100,".tsv")),0)),"notfound")</f>
        <v>notfound</v>
      </c>
      <c r="P67" s="2" t="s">
        <v>312</v>
      </c>
      <c r="Q67" s="2" t="s">
        <v>178</v>
      </c>
      <c r="T67" s="2" t="str">
        <f>IF(S67="N", R67, "write file name")</f>
        <v>write file name</v>
      </c>
      <c r="U67" s="2" t="s">
        <v>53</v>
      </c>
      <c r="V67" s="2" t="s">
        <v>40</v>
      </c>
      <c r="X67" s="2" t="s">
        <v>325</v>
      </c>
      <c r="AH67" s="2" t="s">
        <v>155</v>
      </c>
      <c r="AI67" s="2" t="s">
        <v>348</v>
      </c>
      <c r="AJ67" s="2" t="s">
        <v>99</v>
      </c>
      <c r="AL67" s="2" t="s">
        <v>119</v>
      </c>
      <c r="AM67" s="2" t="s">
        <v>349</v>
      </c>
    </row>
    <row r="68" ht="16" customHeight="1">
      <c r="A68" s="2" t="s">
        <v>350</v>
      </c>
      <c r="D68" s="2" t="s">
        <v>78</v>
      </c>
      <c r="E68" t="str">
        <f>RIGHT(A68,1)</f>
        <v>3</v>
      </c>
      <c r="F68" t="str">
        <f>G68 &amp; IF(H68&lt;&gt;"", "_" &amp; H68, "_") &amp; IF(I68&lt;&gt;"", "_" &amp; I68, "_") &amp; IF(B68&lt;&gt;"", "_" &amp; B68, "")</f>
        <v>HerculanoHouzel__2015</v>
      </c>
      <c r="G68" t="str">
        <f>SUBSTITUTE(SUBSTITUTE(_xlfn.TEXTBEFORE(A68,","), "-", ""), " ", "")</f>
        <v>HerculanoHouzel</v>
      </c>
      <c r="H68" t="str">
        <f>_xlfn.LET(
_xlpm.authors,_xlfn.TEXTBEFORE(A68," ("&amp;I68&amp;")"),
_xlpm.hasAmp,ISNUMBER(SEARCH("&amp;",_xlpm.authors)),
_xlpm.commasBeforeAmp,IF(_xlpm.hasAmp,LEN(_xlfn.TEXTBEFORE(_xlpm.authors,"&amp;"))-LEN(SUBSTITUTE(_xlfn.TEXTBEFORE(_xlpm.authors,"&amp;"),",","")),0),
IF(NOT(_xlpm.hasAmp),"",IF(_xlpm.commasBeforeAmp&gt;2,"etal",TRIM(_xlfn.TEXTBEFORE(_xlfn.TEXTAFTER(_xlpm.authors,"&amp; "),","))))
)</f>
      </c>
      <c r="I68" t="str">
        <f>_xlfn.TEXTBEFORE(_xlfn.TEXTAFTER(A68, "("), ")")</f>
        <v>2015</v>
      </c>
      <c r="J68" t="str">
        <f>_xlfn.LET(
_xlpm.doi,IF(C68&lt;&gt;"",C68,_xlfn.TEXTAFTER(A68,"https://doi.org/")),
SUBSTITUTE(
SUBSTITUTE(
SUBSTITUTE(
SUBSTITUTE(
_xlpm.doi,
"/","%2F"),
":","%3A"),
"&lt;","%3C"),
"&gt;","%3E")
)</f>
        <v>10.1098%2Frspb.2015.1853</v>
      </c>
      <c r="K68" t="str">
        <f>TRIM(_xlfn.TEXTJOIN("_",FALSE,F68,(SUBSTITUTE(SUBSTITUTE(D68," ",""), "_", ""))))</f>
        <v>HerculanoHouzel__2015_Table1</v>
      </c>
      <c r="L68" t="str">
        <f>J68 &amp; "_" &amp; SUBSTITUTE(SUBSTITUTE(SUBSTITUTE(D68,CHAR(160),"")," ",""),"_","")</f>
        <v>10.1098%2Frspb.2015.1853_Table1</v>
      </c>
      <c r="M68" t="str">
        <f t="array" ref="M68">IFERROR(INDEX(FileList!$A$1:$A$100,MATCH(TRUE,EXACT(L68,_xlfn.TEXTBEFORE(FileList!$A$1:$A$100,".tsv")),0)),"notfound")</f>
        <v>10.1098%2Frspb.2015.1853_Table1.tsv</v>
      </c>
      <c r="U68" s="2" t="s">
        <v>53</v>
      </c>
      <c r="V68" s="2" t="s">
        <v>40</v>
      </c>
      <c r="AI68" s="2" t="s">
        <v>351</v>
      </c>
      <c r="AJ68" s="2" t="s">
        <v>118</v>
      </c>
      <c r="AL68" s="2" t="s">
        <v>339</v>
      </c>
      <c r="AM68" s="2" t="s">
        <v>352</v>
      </c>
    </row>
    <row r="69" ht="16" customHeight="1">
      <c r="A69" s="2" t="s">
        <v>350</v>
      </c>
      <c r="D69" s="2" t="s">
        <v>100</v>
      </c>
      <c r="E69" t="str">
        <f>RIGHT(A69,1)</f>
        <v>3</v>
      </c>
      <c r="F69" t="str">
        <f>G69 &amp; IF(H69&lt;&gt;"", "_" &amp; H69, "_") &amp; IF(I69&lt;&gt;"", "_" &amp; I69, "_") &amp; IF(B69&lt;&gt;"", "_" &amp; B69, "")</f>
        <v>HerculanoHouzel__2015</v>
      </c>
      <c r="G69" t="str">
        <f>SUBSTITUTE(SUBSTITUTE(_xlfn.TEXTBEFORE(A69,","), "-", ""), " ", "")</f>
        <v>HerculanoHouzel</v>
      </c>
      <c r="H69" t="str">
        <f>_xlfn.LET(
_xlpm.authors,_xlfn.TEXTBEFORE(A69," ("&amp;I69&amp;")"),
_xlpm.hasAmp,ISNUMBER(SEARCH("&amp;",_xlpm.authors)),
_xlpm.commasBeforeAmp,IF(_xlpm.hasAmp,LEN(_xlfn.TEXTBEFORE(_xlpm.authors,"&amp;"))-LEN(SUBSTITUTE(_xlfn.TEXTBEFORE(_xlpm.authors,"&amp;"),",","")),0),
IF(NOT(_xlpm.hasAmp),"",IF(_xlpm.commasBeforeAmp&gt;2,"etal",TRIM(_xlfn.TEXTBEFORE(_xlfn.TEXTAFTER(_xlpm.authors,"&amp; "),","))))
)</f>
      </c>
      <c r="I69" t="str">
        <f>_xlfn.TEXTBEFORE(_xlfn.TEXTAFTER(A69, "("), ")")</f>
        <v>2015</v>
      </c>
      <c r="J69" t="str">
        <f>_xlfn.LET(
_xlpm.doi,IF(C69&lt;&gt;"",C69,_xlfn.TEXTAFTER(A69,"https://doi.org/")),
SUBSTITUTE(
SUBSTITUTE(
SUBSTITUTE(
SUBSTITUTE(
_xlpm.doi,
"/","%2F"),
":","%3A"),
"&lt;","%3C"),
"&gt;","%3E")
)</f>
        <v>10.1098%2Frspb.2015.1853</v>
      </c>
      <c r="K69" t="str">
        <f>TRIM(_xlfn.TEXTJOIN("_",FALSE,F69,(SUBSTITUTE(SUBSTITUTE(D69," ",""), "_", ""))))</f>
        <v>HerculanoHouzel__2015_Table2</v>
      </c>
      <c r="L69" t="str">
        <f>J69 &amp; "_" &amp; SUBSTITUTE(SUBSTITUTE(SUBSTITUTE(D69,CHAR(160),"")," ",""),"_","")</f>
        <v>10.1098%2Frspb.2015.1853_Table2</v>
      </c>
      <c r="M69" t="str">
        <f t="array" ref="M69">IFERROR(INDEX(FileList!$A$1:$A$100,MATCH(TRUE,EXACT(L69,_xlfn.TEXTBEFORE(FileList!$A$1:$A$100,".tsv")),0)),"notfound")</f>
        <v>10.1098%2Frspb.2015.1853_Table2.tsv</v>
      </c>
      <c r="N69" s="2" t="s">
        <v>353</v>
      </c>
      <c r="U69" s="2" t="s">
        <v>53</v>
      </c>
      <c r="V69" s="2" t="s">
        <v>40</v>
      </c>
      <c r="AI69" s="2" t="s">
        <v>354</v>
      </c>
      <c r="AJ69" s="2" t="s">
        <v>118</v>
      </c>
      <c r="AK69" s="2" t="s">
        <v>119</v>
      </c>
      <c r="AL69" s="2" t="s">
        <v>339</v>
      </c>
      <c r="AM69" s="2" t="s">
        <v>355</v>
      </c>
    </row>
    <row r="70" ht="16" customHeight="1">
      <c r="A70" s="2" t="s">
        <v>356</v>
      </c>
      <c r="D70" s="2" t="s">
        <v>78</v>
      </c>
      <c r="E70" t="str">
        <f>RIGHT(A70,1)</f>
        <v>3</v>
      </c>
      <c r="F70" t="str">
        <f>G70 &amp; IF(H70&lt;&gt;"", "_" &amp; H70, "_") &amp; IF(I70&lt;&gt;"", "_" &amp; I70, "_") &amp; IF(B70&lt;&gt;"", "_" &amp; B70, "")</f>
        <v>HerculanoHouzel_etal_2015</v>
      </c>
      <c r="G70" t="str">
        <f>SUBSTITUTE(SUBSTITUTE(_xlfn.TEXTBEFORE(A70,","), "-", ""), " ", "")</f>
        <v>HerculanoHouzel</v>
      </c>
      <c r="H70" t="str">
        <f>_xlfn.LET(
_xlpm.authors,_xlfn.TEXTBEFORE(A70," ("&amp;I70&amp;")"),
_xlpm.hasAmp,ISNUMBER(SEARCH("&amp;",_xlpm.authors)),
_xlpm.commasBeforeAmp,IF(_xlpm.hasAmp,LEN(_xlfn.TEXTBEFORE(_xlpm.authors,"&amp;"))-LEN(SUBSTITUTE(_xlfn.TEXTBEFORE(_xlpm.authors,"&amp;"),",","")),0),
IF(NOT(_xlpm.hasAmp),"",IF(_xlpm.commasBeforeAmp&gt;2,"etal",TRIM(_xlfn.TEXTBEFORE(_xlfn.TEXTAFTER(_xlpm.authors,"&amp; "),","))))
)</f>
        <v>etal</v>
      </c>
      <c r="I70" t="str">
        <f>_xlfn.TEXTBEFORE(_xlfn.TEXTAFTER(A70, "("), ")")</f>
        <v>2015</v>
      </c>
      <c r="J70" t="str">
        <f>_xlfn.LET(
_xlpm.doi,IF(C70&lt;&gt;"",C70,_xlfn.TEXTAFTER(A70,"https://doi.org/")),
SUBSTITUTE(
SUBSTITUTE(
SUBSTITUTE(
SUBSTITUTE(
_xlpm.doi,
"/","%2F"),
":","%3A"),
"&lt;","%3C"),
"&gt;","%3E")
)</f>
        <v>10.1159%2F000437413</v>
      </c>
      <c r="K70" t="str">
        <f>TRIM(_xlfn.TEXTJOIN("_",FALSE,F70,(SUBSTITUTE(SUBSTITUTE(D70," ",""), "_", ""))))</f>
        <v>HerculanoHouzel_etal_2015_Table1</v>
      </c>
      <c r="L70" t="str">
        <f>J70 &amp; "_" &amp; SUBSTITUTE(SUBSTITUTE(SUBSTITUTE(D70,CHAR(160),"")," ",""),"_","")</f>
        <v>10.1159%2F000437413_Table1</v>
      </c>
      <c r="M70" t="str">
        <f t="array" ref="M70">IFERROR(INDEX(FileList!$A$1:$A$100,MATCH(TRUE,EXACT(L70,_xlfn.TEXTBEFORE(FileList!$A$1:$A$100,".tsv")),0)),"notfound")</f>
        <v>10.1159%2F000437413_Table1.tsv</v>
      </c>
      <c r="N70" s="2" t="s">
        <v>357</v>
      </c>
      <c r="P70" s="2" t="s">
        <v>48</v>
      </c>
      <c r="Q70" s="2" t="s">
        <v>49</v>
      </c>
      <c r="R70" s="2" t="s">
        <v>358</v>
      </c>
      <c r="S70" s="2" t="s">
        <v>51</v>
      </c>
      <c r="T70" s="2" t="s">
        <v>359</v>
      </c>
      <c r="U70" s="2" t="s">
        <v>53</v>
      </c>
      <c r="V70" s="2" t="s">
        <v>40</v>
      </c>
      <c r="W70" s="2" t="s">
        <v>169</v>
      </c>
      <c r="X70" s="2" t="s">
        <v>325</v>
      </c>
      <c r="Y70" s="2" t="s">
        <v>56</v>
      </c>
      <c r="Z70" s="2" t="s">
        <v>56</v>
      </c>
      <c r="AC70" s="2" t="s">
        <v>360</v>
      </c>
      <c r="AG70" s="2" t="s">
        <v>57</v>
      </c>
      <c r="AH70" s="2" t="s">
        <v>58</v>
      </c>
      <c r="AI70" s="2" t="s">
        <v>254</v>
      </c>
      <c r="AJ70" s="2" t="s">
        <v>361</v>
      </c>
      <c r="AL70" s="2" t="s">
        <v>61</v>
      </c>
      <c r="AM70" s="2" t="s">
        <v>62</v>
      </c>
    </row>
    <row r="71" ht="16" customHeight="1">
      <c r="A71" s="2" t="s">
        <v>356</v>
      </c>
      <c r="D71" s="2" t="s">
        <v>100</v>
      </c>
      <c r="E71" t="str">
        <f>RIGHT(A71,1)</f>
        <v>3</v>
      </c>
      <c r="F71" t="str">
        <f>G71 &amp; IF(H71&lt;&gt;"", "_" &amp; H71, "_") &amp; IF(I71&lt;&gt;"", "_" &amp; I71, "_") &amp; IF(B71&lt;&gt;"", "_" &amp; B71, "")</f>
        <v>HerculanoHouzel_etal_2015</v>
      </c>
      <c r="G71" t="str">
        <f>SUBSTITUTE(SUBSTITUTE(_xlfn.TEXTBEFORE(A71,","), "-", ""), " ", "")</f>
        <v>HerculanoHouzel</v>
      </c>
      <c r="H71" t="str">
        <f>_xlfn.LET(
_xlpm.authors,_xlfn.TEXTBEFORE(A71," ("&amp;I71&amp;")"),
_xlpm.hasAmp,ISNUMBER(SEARCH("&amp;",_xlpm.authors)),
_xlpm.commasBeforeAmp,IF(_xlpm.hasAmp,LEN(_xlfn.TEXTBEFORE(_xlpm.authors,"&amp;"))-LEN(SUBSTITUTE(_xlfn.TEXTBEFORE(_xlpm.authors,"&amp;"),",","")),0),
IF(NOT(_xlpm.hasAmp),"",IF(_xlpm.commasBeforeAmp&gt;2,"etal",TRIM(_xlfn.TEXTBEFORE(_xlfn.TEXTAFTER(_xlpm.authors,"&amp; "),","))))
)</f>
        <v>etal</v>
      </c>
      <c r="I71" t="str">
        <f>_xlfn.TEXTBEFORE(_xlfn.TEXTAFTER(A71, "("), ")")</f>
        <v>2015</v>
      </c>
      <c r="J71" t="str">
        <f>_xlfn.LET(
_xlpm.doi,IF(C71&lt;&gt;"",C71,_xlfn.TEXTAFTER(A71,"https://doi.org/")),
SUBSTITUTE(
SUBSTITUTE(
SUBSTITUTE(
SUBSTITUTE(
_xlpm.doi,
"/","%2F"),
":","%3A"),
"&lt;","%3C"),
"&gt;","%3E")
)</f>
        <v>10.1159%2F000437413</v>
      </c>
      <c r="K71" t="str">
        <f>TRIM(_xlfn.TEXTJOIN("_",FALSE,F71,(SUBSTITUTE(SUBSTITUTE(D71," ",""), "_", ""))))</f>
        <v>HerculanoHouzel_etal_2015_Table2</v>
      </c>
      <c r="L71" t="str">
        <f>J71 &amp; "_" &amp; SUBSTITUTE(SUBSTITUTE(SUBSTITUTE(D71,CHAR(160),"")," ",""),"_","")</f>
        <v>10.1159%2F000437413_Table2</v>
      </c>
      <c r="M71" t="str">
        <f t="array" ref="M71">IFERROR(INDEX(FileList!$A$1:$A$100,MATCH(TRUE,EXACT(L71,_xlfn.TEXTBEFORE(FileList!$A$1:$A$100,".tsv")),0)),"notfound")</f>
        <v>10.1159%2F000437413_Table2.tsv</v>
      </c>
      <c r="N71" s="2" t="s">
        <v>362</v>
      </c>
      <c r="P71" s="2" t="s">
        <v>48</v>
      </c>
      <c r="Q71" s="2" t="s">
        <v>49</v>
      </c>
      <c r="R71" s="2" t="s">
        <v>363</v>
      </c>
      <c r="S71" s="2" t="s">
        <v>51</v>
      </c>
      <c r="T71" s="2" t="s">
        <v>364</v>
      </c>
      <c r="U71" s="2" t="s">
        <v>53</v>
      </c>
      <c r="V71" s="2" t="s">
        <v>40</v>
      </c>
      <c r="W71" s="2" t="s">
        <v>169</v>
      </c>
      <c r="X71" s="2" t="s">
        <v>325</v>
      </c>
      <c r="Y71" s="2" t="s">
        <v>56</v>
      </c>
      <c r="Z71" s="2" t="s">
        <v>56</v>
      </c>
      <c r="AG71" s="2" t="s">
        <v>57</v>
      </c>
      <c r="AH71" s="2" t="s">
        <v>58</v>
      </c>
      <c r="AI71" s="2" t="s">
        <v>254</v>
      </c>
      <c r="AJ71" s="2" t="s">
        <v>361</v>
      </c>
      <c r="AL71" s="2" t="s">
        <v>61</v>
      </c>
      <c r="AM71" s="2" t="s">
        <v>62</v>
      </c>
    </row>
    <row r="72" ht="16" customHeight="1">
      <c r="A72" s="2" t="s">
        <v>356</v>
      </c>
      <c r="D72" s="2" t="s">
        <v>101</v>
      </c>
      <c r="E72" t="str">
        <f>RIGHT(A72,1)</f>
        <v>3</v>
      </c>
      <c r="F72" t="str">
        <f>G72 &amp; IF(H72&lt;&gt;"", "_" &amp; H72, "_") &amp; IF(I72&lt;&gt;"", "_" &amp; I72, "_") &amp; IF(B72&lt;&gt;"", "_" &amp; B72, "")</f>
        <v>HerculanoHouzel_etal_2015</v>
      </c>
      <c r="G72" t="str">
        <f>SUBSTITUTE(SUBSTITUTE(_xlfn.TEXTBEFORE(A72,","), "-", ""), " ", "")</f>
        <v>HerculanoHouzel</v>
      </c>
      <c r="H72" t="str">
        <f>_xlfn.LET(
_xlpm.authors,_xlfn.TEXTBEFORE(A72," ("&amp;I72&amp;")"),
_xlpm.hasAmp,ISNUMBER(SEARCH("&amp;",_xlpm.authors)),
_xlpm.commasBeforeAmp,IF(_xlpm.hasAmp,LEN(_xlfn.TEXTBEFORE(_xlpm.authors,"&amp;"))-LEN(SUBSTITUTE(_xlfn.TEXTBEFORE(_xlpm.authors,"&amp;"),",","")),0),
IF(NOT(_xlpm.hasAmp),"",IF(_xlpm.commasBeforeAmp&gt;2,"etal",TRIM(_xlfn.TEXTBEFORE(_xlfn.TEXTAFTER(_xlpm.authors,"&amp; "),","))))
)</f>
        <v>etal</v>
      </c>
      <c r="I72" t="str">
        <f>_xlfn.TEXTBEFORE(_xlfn.TEXTAFTER(A72, "("), ")")</f>
        <v>2015</v>
      </c>
      <c r="J72" t="str">
        <f>_xlfn.LET(
_xlpm.doi,IF(C72&lt;&gt;"",C72,_xlfn.TEXTAFTER(A72,"https://doi.org/")),
SUBSTITUTE(
SUBSTITUTE(
SUBSTITUTE(
SUBSTITUTE(
_xlpm.doi,
"/","%2F"),
":","%3A"),
"&lt;","%3C"),
"&gt;","%3E")
)</f>
        <v>10.1159%2F000437413</v>
      </c>
      <c r="K72" t="str">
        <f>TRIM(_xlfn.TEXTJOIN("_",FALSE,F72,(SUBSTITUTE(SUBSTITUTE(D72," ",""), "_", ""))))</f>
        <v>HerculanoHouzel_etal_2015_Table3</v>
      </c>
      <c r="L72" t="str">
        <f>J72 &amp; "_" &amp; SUBSTITUTE(SUBSTITUTE(SUBSTITUTE(D72,CHAR(160),"")," ",""),"_","")</f>
        <v>10.1159%2F000437413_Table3</v>
      </c>
      <c r="M72" t="str">
        <f t="array" ref="M72">IFERROR(INDEX(FileList!$A$1:$A$100,MATCH(TRUE,EXACT(L72,_xlfn.TEXTBEFORE(FileList!$A$1:$A$100,".tsv")),0)),"notfound")</f>
        <v>10.1159%2F000437413_Table3.tsv</v>
      </c>
      <c r="N72" s="2" t="s">
        <v>365</v>
      </c>
      <c r="P72" s="2" t="s">
        <v>48</v>
      </c>
      <c r="Q72" s="2" t="s">
        <v>49</v>
      </c>
      <c r="R72" s="2" t="s">
        <v>366</v>
      </c>
      <c r="S72" s="2" t="s">
        <v>51</v>
      </c>
      <c r="T72" s="2" t="s">
        <v>367</v>
      </c>
      <c r="U72" s="2" t="s">
        <v>53</v>
      </c>
      <c r="V72" s="2" t="s">
        <v>40</v>
      </c>
      <c r="W72" s="2" t="s">
        <v>169</v>
      </c>
      <c r="X72" s="2" t="s">
        <v>325</v>
      </c>
      <c r="Y72" s="2" t="s">
        <v>56</v>
      </c>
      <c r="Z72" s="2" t="s">
        <v>56</v>
      </c>
      <c r="AG72" s="2" t="s">
        <v>57</v>
      </c>
      <c r="AH72" s="2" t="s">
        <v>58</v>
      </c>
      <c r="AI72" s="2" t="s">
        <v>254</v>
      </c>
      <c r="AJ72" s="2" t="s">
        <v>361</v>
      </c>
      <c r="AL72" s="2" t="s">
        <v>61</v>
      </c>
      <c r="AM72" s="2" t="s">
        <v>62</v>
      </c>
    </row>
    <row r="73" ht="16" customHeight="1">
      <c r="A73" s="2" t="s">
        <v>356</v>
      </c>
      <c r="D73" s="2" t="s">
        <v>39</v>
      </c>
      <c r="E73" t="str">
        <f>RIGHT(A73,1)</f>
        <v>3</v>
      </c>
      <c r="F73" t="str">
        <f>G73 &amp; IF(H73&lt;&gt;"", "_" &amp; H73, "_") &amp; IF(I73&lt;&gt;"", "_" &amp; I73, "_") &amp; IF(B73&lt;&gt;"", "_" &amp; B73, "")</f>
        <v>HerculanoHouzel_etal_2015</v>
      </c>
      <c r="G73" t="str">
        <f>SUBSTITUTE(SUBSTITUTE(_xlfn.TEXTBEFORE(A73,","), "-", ""), " ", "")</f>
        <v>HerculanoHouzel</v>
      </c>
      <c r="H73" t="str">
        <f>_xlfn.LET(
_xlpm.authors,_xlfn.TEXTBEFORE(A73," ("&amp;I73&amp;")"),
_xlpm.hasAmp,ISNUMBER(SEARCH("&amp;",_xlpm.authors)),
_xlpm.commasBeforeAmp,IF(_xlpm.hasAmp,LEN(_xlfn.TEXTBEFORE(_xlpm.authors,"&amp;"))-LEN(SUBSTITUTE(_xlfn.TEXTBEFORE(_xlpm.authors,"&amp;"),",","")),0),
IF(NOT(_xlpm.hasAmp),"",IF(_xlpm.commasBeforeAmp&gt;2,"etal",TRIM(_xlfn.TEXTBEFORE(_xlfn.TEXTAFTER(_xlpm.authors,"&amp; "),","))))
)</f>
        <v>etal</v>
      </c>
      <c r="I73" t="str">
        <f>_xlfn.TEXTBEFORE(_xlfn.TEXTAFTER(A73, "("), ")")</f>
        <v>2015</v>
      </c>
      <c r="J73" t="str">
        <f>_xlfn.LET(
_xlpm.doi,IF(C73&lt;&gt;"",C73,_xlfn.TEXTAFTER(A73,"https://doi.org/")),
SUBSTITUTE(
SUBSTITUTE(
SUBSTITUTE(
SUBSTITUTE(
_xlpm.doi,
"/","%2F"),
":","%3A"),
"&lt;","%3C"),
"&gt;","%3E")
)</f>
        <v>10.1159%2F000437413</v>
      </c>
      <c r="K73" t="str">
        <f>TRIM(_xlfn.TEXTJOIN("_",FALSE,F73,(SUBSTITUTE(SUBSTITUTE(D73," ",""), "_", ""))))</f>
        <v>HerculanoHouzel_etal_2015_Table4</v>
      </c>
      <c r="L73" t="str">
        <f>J73 &amp; "_" &amp; SUBSTITUTE(SUBSTITUTE(SUBSTITUTE(D73,CHAR(160),"")," ",""),"_","")</f>
        <v>10.1159%2F000437413_Table4</v>
      </c>
      <c r="M73" t="str">
        <f t="array" ref="M73">IFERROR(INDEX(FileList!$A$1:$A$100,MATCH(TRUE,EXACT(L73,_xlfn.TEXTBEFORE(FileList!$A$1:$A$100,".tsv")),0)),"notfound")</f>
        <v>10.1159%2F000437413_Table4.tsv</v>
      </c>
      <c r="N73" s="2" t="s">
        <v>368</v>
      </c>
      <c r="P73" s="2" t="s">
        <v>48</v>
      </c>
      <c r="Q73" s="2" t="s">
        <v>49</v>
      </c>
      <c r="R73" s="2" t="s">
        <v>369</v>
      </c>
      <c r="S73" s="2" t="s">
        <v>51</v>
      </c>
      <c r="T73" s="2" t="s">
        <v>370</v>
      </c>
      <c r="U73" s="2" t="s">
        <v>53</v>
      </c>
      <c r="V73" s="2" t="s">
        <v>40</v>
      </c>
      <c r="W73" s="2" t="s">
        <v>169</v>
      </c>
      <c r="X73" s="2" t="s">
        <v>325</v>
      </c>
      <c r="Y73" s="2" t="s">
        <v>56</v>
      </c>
      <c r="Z73" s="2" t="s">
        <v>56</v>
      </c>
      <c r="AG73" s="2" t="s">
        <v>57</v>
      </c>
      <c r="AH73" s="2" t="s">
        <v>58</v>
      </c>
      <c r="AI73" s="2" t="s">
        <v>254</v>
      </c>
      <c r="AJ73" s="2" t="s">
        <v>361</v>
      </c>
      <c r="AL73" s="2" t="s">
        <v>61</v>
      </c>
      <c r="AM73" s="2" t="s">
        <v>62</v>
      </c>
    </row>
    <row r="74" ht="16" customHeight="1">
      <c r="A74" s="2" t="s">
        <v>356</v>
      </c>
      <c r="D74" s="2" t="s">
        <v>371</v>
      </c>
      <c r="E74" t="str">
        <f>RIGHT(A74,1)</f>
        <v>3</v>
      </c>
      <c r="F74" t="str">
        <f>G74 &amp; IF(H74&lt;&gt;"", "_" &amp; H74, "_") &amp; IF(I74&lt;&gt;"", "_" &amp; I74, "_") &amp; IF(B74&lt;&gt;"", "_" &amp; B74, "")</f>
        <v>HerculanoHouzel_etal_2015</v>
      </c>
      <c r="G74" t="str">
        <f>SUBSTITUTE(SUBSTITUTE(_xlfn.TEXTBEFORE(A74,","), "-", ""), " ", "")</f>
        <v>HerculanoHouzel</v>
      </c>
      <c r="H74" t="str">
        <f>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t="str">
        <f>_xlfn.TEXTBEFORE(_xlfn.TEXTAFTER(A74, "("), ")")</f>
        <v>2015</v>
      </c>
      <c r="J74" t="str">
        <f>_xlfn.LET(
_xlpm.doi,IF(C74&lt;&gt;"",C74,_xlfn.TEXTAFTER(A74,"https://doi.org/")),
SUBSTITUTE(
SUBSTITUTE(
SUBSTITUTE(
SUBSTITUTE(
_xlpm.doi,
"/","%2F"),
":","%3A"),
"&lt;","%3C"),
"&gt;","%3E")
)</f>
        <v>10.1159%2F000437413</v>
      </c>
      <c r="K74" t="str">
        <f>TRIM(_xlfn.TEXTJOIN("_",FALSE,F74,(SUBSTITUTE(SUBSTITUTE(D74," ",""), "_", ""))))</f>
        <v>HerculanoHouzel_etal_2015_Table5</v>
      </c>
      <c r="L74" t="str">
        <f>J74 &amp; "_" &amp; SUBSTITUTE(SUBSTITUTE(SUBSTITUTE(D74,CHAR(160),"")," ",""),"_","")</f>
        <v>10.1159%2F000437413_Table5</v>
      </c>
      <c r="M74" t="str">
        <f t="array" ref="M74">IFERROR(INDEX(FileList!$A$1:$A$100,MATCH(TRUE,EXACT(L74,_xlfn.TEXTBEFORE(FileList!$A$1:$A$100,".tsv")),0)),"notfound")</f>
        <v>10.1159%2F000437413_Table5.tsv</v>
      </c>
      <c r="N74" s="2" t="s">
        <v>372</v>
      </c>
      <c r="P74" s="2" t="s">
        <v>48</v>
      </c>
      <c r="Q74" s="2" t="s">
        <v>49</v>
      </c>
      <c r="R74" s="2" t="s">
        <v>373</v>
      </c>
      <c r="S74" s="2" t="s">
        <v>51</v>
      </c>
      <c r="T74" s="2" t="s">
        <v>374</v>
      </c>
      <c r="U74" s="2" t="s">
        <v>53</v>
      </c>
      <c r="V74" s="2" t="s">
        <v>40</v>
      </c>
      <c r="W74" s="2" t="s">
        <v>169</v>
      </c>
      <c r="X74" s="2" t="s">
        <v>325</v>
      </c>
      <c r="Y74" s="2" t="s">
        <v>56</v>
      </c>
      <c r="Z74" s="2" t="s">
        <v>56</v>
      </c>
      <c r="AG74" s="2" t="s">
        <v>57</v>
      </c>
      <c r="AH74" s="2" t="s">
        <v>58</v>
      </c>
      <c r="AI74" s="2" t="s">
        <v>254</v>
      </c>
      <c r="AJ74" s="2" t="s">
        <v>361</v>
      </c>
      <c r="AL74" s="2" t="s">
        <v>61</v>
      </c>
      <c r="AM74" s="2" t="s">
        <v>62</v>
      </c>
    </row>
    <row r="75" ht="16" customHeight="1">
      <c r="A75" s="2" t="s">
        <v>375</v>
      </c>
      <c r="D75" s="2" t="s">
        <v>46</v>
      </c>
      <c r="E75" t="str">
        <f>RIGHT(A75,1)</f>
        <v>5</v>
      </c>
      <c r="F75" t="str">
        <f>G75 &amp; IF(H75&lt;&gt;"", "_" &amp; H75, "_") &amp; IF(I75&lt;&gt;"", "_" &amp; I75, "_") &amp; IF(B75&lt;&gt;"", "_" &amp; B75, "")</f>
        <v>HerculanoHouzel_etal_2020</v>
      </c>
      <c r="G75" t="str">
        <f>SUBSTITUTE(SUBSTITUTE(_xlfn.TEXTBEFORE(A75,","), "-", ""), " ", "")</f>
        <v>HerculanoHouzel</v>
      </c>
      <c r="H75" t="str">
        <f>_xlfn.LET(
_xlpm.authors,_xlfn.TEXTBEFORE(A75," ("&amp;I75&amp;")"),
_xlpm.hasAmp,ISNUMBER(SEARCH("&amp;",_xlpm.authors)),
_xlpm.commasBeforeAmp,IF(_xlpm.hasAmp,LEN(_xlfn.TEXTBEFORE(_xlpm.authors,"&amp;"))-LEN(SUBSTITUTE(_xlfn.TEXTBEFORE(_xlpm.authors,"&amp;"),",","")),0),
IF(NOT(_xlpm.hasAmp),"",IF(_xlpm.commasBeforeAmp&gt;2,"etal",TRIM(_xlfn.TEXTBEFORE(_xlfn.TEXTAFTER(_xlpm.authors,"&amp; "),","))))
)</f>
        <v>etal</v>
      </c>
      <c r="I75" t="str">
        <f>_xlfn.TEXTBEFORE(_xlfn.TEXTAFTER(A75, "("), ")")</f>
        <v>2020</v>
      </c>
      <c r="J75" t="str">
        <f>_xlfn.LET(
_xlpm.doi,IF(C75&lt;&gt;"",C75,_xlfn.TEXTAFTER(A75,"https://doi.org/")),
SUBSTITUTE(
SUBSTITUTE(
SUBSTITUTE(
SUBSTITUTE(
_xlpm.doi,
"/","%2F"),
":","%3A"),
"&lt;","%3C"),
"&gt;","%3E")
)</f>
        <v>10.1002%2Fcne.24985</v>
      </c>
      <c r="K75" t="str">
        <f>TRIM(_xlfn.TEXTJOIN("_",FALSE,F75,(SUBSTITUTE(SUBSTITUTE(D75," ",""), "_", ""))))</f>
        <v>HerculanoHouzel_etal_2020_TABLE1</v>
      </c>
      <c r="L75" t="str">
        <f>J75 &amp; "_" &amp; SUBSTITUTE(SUBSTITUTE(SUBSTITUTE(D75,CHAR(160),"")," ",""),"_","")</f>
        <v>10.1002%2Fcne.24985_TABLE1</v>
      </c>
      <c r="M75" t="str">
        <f t="array" ref="M75">IFERROR(INDEX(FileList!$A$1:$A$100,MATCH(TRUE,EXACT(L75,_xlfn.TEXTBEFORE(FileList!$A$1:$A$100,".tsv")),0)),"notfound")</f>
        <v>10.1002%2Fcne.24985_TABLE1.tsv</v>
      </c>
      <c r="N75" s="2" t="s">
        <v>376</v>
      </c>
      <c r="P75" s="2" t="s">
        <v>48</v>
      </c>
      <c r="Q75" s="2" t="s">
        <v>49</v>
      </c>
      <c r="R75" s="2" t="s">
        <v>377</v>
      </c>
      <c r="S75" s="2" t="s">
        <v>51</v>
      </c>
      <c r="T75" s="2" t="s">
        <v>378</v>
      </c>
      <c r="U75" s="2" t="s">
        <v>53</v>
      </c>
      <c r="V75" s="2" t="s">
        <v>40</v>
      </c>
      <c r="W75" s="2" t="s">
        <v>182</v>
      </c>
      <c r="X75" s="2" t="s">
        <v>379</v>
      </c>
      <c r="Y75" s="2" t="s">
        <v>56</v>
      </c>
      <c r="Z75" s="2" t="s">
        <v>56</v>
      </c>
      <c r="AC75" s="2" t="s">
        <v>134</v>
      </c>
      <c r="AG75" s="2" t="s">
        <v>57</v>
      </c>
      <c r="AH75" s="2" t="s">
        <v>380</v>
      </c>
      <c r="AI75" s="2" t="s">
        <v>381</v>
      </c>
      <c r="AJ75" s="2" t="s">
        <v>382</v>
      </c>
      <c r="AL75" s="2" t="s">
        <v>61</v>
      </c>
      <c r="AM75" s="2" t="s">
        <v>383</v>
      </c>
    </row>
    <row r="76" ht="16" customHeight="1">
      <c r="A76" s="2" t="s">
        <v>375</v>
      </c>
      <c r="D76" s="2" t="s">
        <v>281</v>
      </c>
      <c r="E76" t="str">
        <f>RIGHT(A76,1)</f>
        <v>5</v>
      </c>
      <c r="F76" t="str">
        <f>G76 &amp; IF(H76&lt;&gt;"", "_" &amp; H76, "_") &amp; IF(I76&lt;&gt;"", "_" &amp; I76, "_") &amp; IF(B76&lt;&gt;"", "_" &amp; B76, "")</f>
        <v>HerculanoHouzel_etal_2020</v>
      </c>
      <c r="G76" t="str">
        <f>SUBSTITUTE(SUBSTITUTE(_xlfn.TEXTBEFORE(A76,","), "-", ""), " ", "")</f>
        <v>HerculanoHouzel</v>
      </c>
      <c r="H76" t="str">
        <f>_xlfn.LET(
_xlpm.authors,_xlfn.TEXTBEFORE(A76," ("&amp;I76&amp;")"),
_xlpm.hasAmp,ISNUMBER(SEARCH("&amp;",_xlpm.authors)),
_xlpm.commasBeforeAmp,IF(_xlpm.hasAmp,LEN(_xlfn.TEXTBEFORE(_xlpm.authors,"&amp;"))-LEN(SUBSTITUTE(_xlfn.TEXTBEFORE(_xlpm.authors,"&amp;"),",","")),0),
IF(NOT(_xlpm.hasAmp),"",IF(_xlpm.commasBeforeAmp&gt;2,"etal",TRIM(_xlfn.TEXTBEFORE(_xlfn.TEXTAFTER(_xlpm.authors,"&amp; "),","))))
)</f>
        <v>etal</v>
      </c>
      <c r="I76" t="str">
        <f>_xlfn.TEXTBEFORE(_xlfn.TEXTAFTER(A76, "("), ")")</f>
        <v>2020</v>
      </c>
      <c r="J76" t="str">
        <f>_xlfn.LET(
_xlpm.doi,IF(C76&lt;&gt;"",C76,_xlfn.TEXTAFTER(A76,"https://doi.org/")),
SUBSTITUTE(
SUBSTITUTE(
SUBSTITUTE(
SUBSTITUTE(
_xlpm.doi,
"/","%2F"),
":","%3A"),
"&lt;","%3C"),
"&gt;","%3E")
)</f>
        <v>10.1002%2Fcne.24985</v>
      </c>
      <c r="K76" t="str">
        <f>TRIM(_xlfn.TEXTJOIN("_",FALSE,F76,(SUBSTITUTE(SUBSTITUTE(D76," ",""), "_", ""))))</f>
        <v>HerculanoHouzel_etal_2020_TABLE2</v>
      </c>
      <c r="L76" t="str">
        <f>J76 &amp; "_" &amp; SUBSTITUTE(SUBSTITUTE(SUBSTITUTE(D76,CHAR(160),"")," ",""),"_","")</f>
        <v>10.1002%2Fcne.24985_TABLE2</v>
      </c>
      <c r="M76" t="str">
        <f t="array" ref="M76">IFERROR(INDEX(FileList!$A$1:$A$100,MATCH(TRUE,EXACT(L76,_xlfn.TEXTBEFORE(FileList!$A$1:$A$100,".tsv")),0)),"notfound")</f>
        <v>10.1002%2Fcne.24985_TABLE2.tsv</v>
      </c>
      <c r="N76" s="2" t="s">
        <v>384</v>
      </c>
      <c r="P76" s="2" t="s">
        <v>48</v>
      </c>
      <c r="Q76" s="2" t="s">
        <v>49</v>
      </c>
      <c r="R76" s="2" t="s">
        <v>385</v>
      </c>
      <c r="S76" s="2" t="s">
        <v>51</v>
      </c>
      <c r="T76" s="2" t="s">
        <v>386</v>
      </c>
      <c r="U76" s="2" t="s">
        <v>53</v>
      </c>
      <c r="V76" s="2" t="s">
        <v>40</v>
      </c>
      <c r="W76" s="2" t="s">
        <v>182</v>
      </c>
      <c r="X76" s="2" t="s">
        <v>379</v>
      </c>
      <c r="Y76" s="2" t="s">
        <v>56</v>
      </c>
      <c r="Z76" s="2" t="s">
        <v>56</v>
      </c>
      <c r="AC76" s="2" t="s">
        <v>134</v>
      </c>
      <c r="AG76" s="2" t="s">
        <v>57</v>
      </c>
      <c r="AH76" s="2" t="s">
        <v>380</v>
      </c>
      <c r="AI76" s="2" t="s">
        <v>387</v>
      </c>
      <c r="AJ76" s="2" t="s">
        <v>382</v>
      </c>
      <c r="AL76" s="2" t="s">
        <v>61</v>
      </c>
      <c r="AM76" s="2" t="s">
        <v>62</v>
      </c>
    </row>
    <row r="77" ht="16" customHeight="1">
      <c r="A77" s="2" t="s">
        <v>388</v>
      </c>
      <c r="D77" s="2" t="s">
        <v>389</v>
      </c>
      <c r="E77" t="str">
        <f>RIGHT(A77,1)</f>
        <v>5</v>
      </c>
      <c r="F77" t="str">
        <f>G77 &amp; IF(H77&lt;&gt;"", "_" &amp; H77, "_") &amp; IF(I77&lt;&gt;"", "_" &amp; I77, "_") &amp; IF(B77&lt;&gt;"", "_" &amp; B77, "")</f>
        <v>HerculanoHouzel_etal_2013</v>
      </c>
      <c r="G77" t="str">
        <f>SUBSTITUTE(SUBSTITUTE(_xlfn.TEXTBEFORE(A77,","), "-", ""), " ", "")</f>
        <v>HerculanoHouzel</v>
      </c>
      <c r="H77" t="str">
        <f>_xlfn.LET(
_xlpm.authors,_xlfn.TEXTBEFORE(A77," ("&amp;I77&amp;")"),
_xlpm.hasAmp,ISNUMBER(SEARCH("&amp;",_xlpm.authors)),
_xlpm.commasBeforeAmp,IF(_xlpm.hasAmp,LEN(_xlfn.TEXTBEFORE(_xlpm.authors,"&amp;"))-LEN(SUBSTITUTE(_xlfn.TEXTBEFORE(_xlpm.authors,"&amp;"),",","")),0),
IF(NOT(_xlpm.hasAmp),"",IF(_xlpm.commasBeforeAmp&gt;2,"etal",TRIM(_xlfn.TEXTBEFORE(_xlfn.TEXTAFTER(_xlpm.authors,"&amp; "),","))))
)</f>
        <v>etal</v>
      </c>
      <c r="I77" t="str">
        <f>_xlfn.TEXTBEFORE(_xlfn.TEXTAFTER(A77, "("), ")")</f>
        <v>2013</v>
      </c>
      <c r="J77" t="str">
        <f>_xlfn.LET(
_xlpm.doi,IF(C77&lt;&gt;"",C77,_xlfn.TEXTAFTER(A77,"https://doi.org/")),
SUBSTITUTE(
SUBSTITUTE(
SUBSTITUTE(
SUBSTITUTE(
_xlpm.doi,
"/","%2F"),
":","%3A"),
"&lt;","%3C"),
"&gt;","%3E")
)</f>
        <v>10.3389%2Ffnana.2013.00035</v>
      </c>
      <c r="K77" t="str">
        <f>TRIM(_xlfn.TEXTJOIN("_",FALSE,F77,(SUBSTITUTE(SUBSTITUTE(D77," ",""), "_", ""))))</f>
        <v>HerculanoHouzel_etal_2013_Figure2TopLeft</v>
      </c>
      <c r="L77" t="str">
        <f>J77 &amp; "_" &amp; SUBSTITUTE(SUBSTITUTE(SUBSTITUTE(D77,CHAR(160),"")," ",""),"_","")</f>
        <v>10.3389%2Ffnana.2013.00035_Figure2TopLeft</v>
      </c>
      <c r="M77" t="str">
        <f t="array" ref="M77">IFERROR(INDEX(FileList!$A$1:$A$100,MATCH(TRUE,EXACT(L77,_xlfn.TEXTBEFORE(FileList!$A$1:$A$100,".tsv")),0)),"notfound")</f>
        <v>10.3389%2Ffnana.2013.00035_Figure2TopLeft.tsv</v>
      </c>
      <c r="Q77" s="2" t="s">
        <v>110</v>
      </c>
      <c r="Y77" s="2" t="s">
        <v>56</v>
      </c>
      <c r="Z77" s="2" t="s">
        <v>56</v>
      </c>
      <c r="AG77" s="2" t="s">
        <v>57</v>
      </c>
      <c r="AI77" s="2" t="s">
        <v>390</v>
      </c>
      <c r="AJ77" s="2" t="s">
        <v>118</v>
      </c>
      <c r="AL77" s="2" t="s">
        <v>61</v>
      </c>
      <c r="AM77" s="2" t="s">
        <v>62</v>
      </c>
    </row>
    <row r="78" ht="16" customHeight="1">
      <c r="A78" s="2" t="s">
        <v>388</v>
      </c>
      <c r="D78" s="2" t="s">
        <v>391</v>
      </c>
      <c r="E78" t="str">
        <f>RIGHT(A78,1)</f>
        <v>5</v>
      </c>
      <c r="F78" t="str">
        <f>G78 &amp; IF(H78&lt;&gt;"", "_" &amp; H78, "_") &amp; IF(I78&lt;&gt;"", "_" &amp; I78, "_") &amp; IF(B78&lt;&gt;"", "_" &amp; B78, "")</f>
        <v>HerculanoHouzel_etal_2013</v>
      </c>
      <c r="G78" t="str">
        <f>SUBSTITUTE(SUBSTITUTE(_xlfn.TEXTBEFORE(A78,","), "-", ""), " ", "")</f>
        <v>HerculanoHouzel</v>
      </c>
      <c r="H78" t="str">
        <f>_xlfn.LET(
_xlpm.authors,_xlfn.TEXTBEFORE(A78," ("&amp;I78&amp;")"),
_xlpm.hasAmp,ISNUMBER(SEARCH("&amp;",_xlpm.authors)),
_xlpm.commasBeforeAmp,IF(_xlpm.hasAmp,LEN(_xlfn.TEXTBEFORE(_xlpm.authors,"&amp;"))-LEN(SUBSTITUTE(_xlfn.TEXTBEFORE(_xlpm.authors,"&amp;"),",","")),0),
IF(NOT(_xlpm.hasAmp),"",IF(_xlpm.commasBeforeAmp&gt;2,"etal",TRIM(_xlfn.TEXTBEFORE(_xlfn.TEXTAFTER(_xlpm.authors,"&amp; "),","))))
)</f>
        <v>etal</v>
      </c>
      <c r="I78" t="str">
        <f>_xlfn.TEXTBEFORE(_xlfn.TEXTAFTER(A78, "("), ")")</f>
        <v>2013</v>
      </c>
      <c r="J78" t="str">
        <f>_xlfn.LET(
_xlpm.doi,IF(C78&lt;&gt;"",C78,_xlfn.TEXTAFTER(A78,"https://doi.org/")),
SUBSTITUTE(
SUBSTITUTE(
SUBSTITUTE(
SUBSTITUTE(
_xlpm.doi,
"/","%2F"),
":","%3A"),
"&lt;","%3C"),
"&gt;","%3E")
)</f>
        <v>10.3389%2Ffnana.2013.00035</v>
      </c>
      <c r="K78" t="str">
        <f>TRIM(_xlfn.TEXTJOIN("_",FALSE,F78,(SUBSTITUTE(SUBSTITUTE(D78," ",""), "_", ""))))</f>
        <v>HerculanoHouzel_etal_2013_Table1-a</v>
      </c>
      <c r="L78" t="str">
        <f>J78 &amp; "_" &amp; SUBSTITUTE(SUBSTITUTE(SUBSTITUTE(D78,CHAR(160),"")," ",""),"_","")</f>
        <v>10.3389%2Ffnana.2013.00035_Table1-a</v>
      </c>
      <c r="M78" t="str">
        <f t="array" ref="M78">IFERROR(INDEX(FileList!$A$1:$A$100,MATCH(TRUE,EXACT(L78,_xlfn.TEXTBEFORE(FileList!$A$1:$A$100,".tsv")),0)),"notfound")</f>
        <v>10.3389%2Ffnana.2013.00035_Table1-a.tsv</v>
      </c>
      <c r="Q78" s="2" t="s">
        <v>110</v>
      </c>
      <c r="V78" s="3" t="s">
        <v>40</v>
      </c>
      <c r="Y78" s="2" t="s">
        <v>56</v>
      </c>
      <c r="Z78" s="2" t="s">
        <v>56</v>
      </c>
      <c r="AG78" s="2" t="s">
        <v>57</v>
      </c>
      <c r="AI78" s="2" t="s">
        <v>390</v>
      </c>
      <c r="AJ78" s="2" t="s">
        <v>118</v>
      </c>
      <c r="AL78" s="2" t="s">
        <v>61</v>
      </c>
      <c r="AM78" s="2" t="s">
        <v>62</v>
      </c>
    </row>
    <row r="79" ht="16" customHeight="1">
      <c r="A79" s="2" t="s">
        <v>388</v>
      </c>
      <c r="D79" s="2" t="s">
        <v>392</v>
      </c>
      <c r="E79" t="str">
        <f>RIGHT(A79,1)</f>
        <v>5</v>
      </c>
      <c r="F79" t="str">
        <f>G79 &amp; IF(H79&lt;&gt;"", "_" &amp; H79, "_") &amp; IF(I79&lt;&gt;"", "_" &amp; I79, "_") &amp; IF(B79&lt;&gt;"", "_" &amp; B79, "")</f>
        <v>HerculanoHouzel_etal_2013</v>
      </c>
      <c r="G79" t="str">
        <f>SUBSTITUTE(SUBSTITUTE(_xlfn.TEXTBEFORE(A79,","), "-", ""), " ", "")</f>
        <v>HerculanoHouzel</v>
      </c>
      <c r="H79" t="str">
        <f>_xlfn.LET(
_xlpm.authors,_xlfn.TEXTBEFORE(A79," ("&amp;I79&amp;")"),
_xlpm.hasAmp,ISNUMBER(SEARCH("&amp;",_xlpm.authors)),
_xlpm.commasBeforeAmp,IF(_xlpm.hasAmp,LEN(_xlfn.TEXTBEFORE(_xlpm.authors,"&amp;"))-LEN(SUBSTITUTE(_xlfn.TEXTBEFORE(_xlpm.authors,"&amp;"),",","")),0),
IF(NOT(_xlpm.hasAmp),"",IF(_xlpm.commasBeforeAmp&gt;2,"etal",TRIM(_xlfn.TEXTBEFORE(_xlfn.TEXTAFTER(_xlpm.authors,"&amp; "),","))))
)</f>
        <v>etal</v>
      </c>
      <c r="I79" t="str">
        <f>_xlfn.TEXTBEFORE(_xlfn.TEXTAFTER(A79, "("), ")")</f>
        <v>2013</v>
      </c>
      <c r="J79" t="str">
        <f>_xlfn.LET(
_xlpm.doi,IF(C79&lt;&gt;"",C79,_xlfn.TEXTAFTER(A79,"https://doi.org/")),
SUBSTITUTE(
SUBSTITUTE(
SUBSTITUTE(
SUBSTITUTE(
_xlpm.doi,
"/","%2F"),
":","%3A"),
"&lt;","%3C"),
"&gt;","%3E")
)</f>
        <v>10.3389%2Ffnana.2013.00035</v>
      </c>
      <c r="K79" t="str">
        <f>TRIM(_xlfn.TEXTJOIN("_",FALSE,F79,(SUBSTITUTE(SUBSTITUTE(D79," ",""), "_", ""))))</f>
        <v>HerculanoHouzel_etal_2013_Table1-b</v>
      </c>
      <c r="L79" t="str">
        <f>J79 &amp; "_" &amp; SUBSTITUTE(SUBSTITUTE(SUBSTITUTE(D79,CHAR(160),"")," ",""),"_","")</f>
        <v>10.3389%2Ffnana.2013.00035_Table1-b</v>
      </c>
      <c r="M79" t="str">
        <f t="array" ref="M79">IFERROR(INDEX(FileList!$A$1:$A$100,MATCH(TRUE,EXACT(L79,_xlfn.TEXTBEFORE(FileList!$A$1:$A$100,".tsv")),0)),"notfound")</f>
        <v>10.3389%2Ffnana.2013.00035_Table1-b.tsv</v>
      </c>
      <c r="Q79" s="2" t="s">
        <v>110</v>
      </c>
      <c r="V79" s="3" t="s">
        <v>40</v>
      </c>
      <c r="Y79" s="2" t="s">
        <v>56</v>
      </c>
      <c r="Z79" s="2" t="s">
        <v>56</v>
      </c>
      <c r="AG79" s="2" t="s">
        <v>57</v>
      </c>
      <c r="AI79" s="2" t="s">
        <v>390</v>
      </c>
      <c r="AJ79" s="2" t="s">
        <v>118</v>
      </c>
      <c r="AL79" s="2" t="s">
        <v>61</v>
      </c>
      <c r="AM79" s="2" t="s">
        <v>62</v>
      </c>
    </row>
    <row r="80" ht="16" customHeight="1">
      <c r="A80" s="2" t="s">
        <v>393</v>
      </c>
      <c r="D80" s="2" t="s">
        <v>100</v>
      </c>
      <c r="E80" t="str">
        <f>RIGHT(A80,1)</f>
        <v>4</v>
      </c>
      <c r="F80" t="str">
        <f>G80 &amp; IF(H80&lt;&gt;"", "_" &amp; H80, "_") &amp; IF(I80&lt;&gt;"", "_" &amp; I80, "_") &amp; IF(B80&lt;&gt;"", "_" &amp; B80, "")</f>
        <v>Isler_etal_2008</v>
      </c>
      <c r="G80" t="str">
        <f>SUBSTITUTE(SUBSTITUTE(_xlfn.TEXTBEFORE(A80,","), "-", ""), " ", "")</f>
        <v>Isler</v>
      </c>
      <c r="H80" t="str">
        <f>_xlfn.LET(
_xlpm.authors,_xlfn.TEXTBEFORE(A80," ("&amp;I80&amp;")"),
_xlpm.hasAmp,ISNUMBER(SEARCH("&amp;",_xlpm.authors)),
_xlpm.commasBeforeAmp,IF(_xlpm.hasAmp,LEN(_xlfn.TEXTBEFORE(_xlpm.authors,"&amp;"))-LEN(SUBSTITUTE(_xlfn.TEXTBEFORE(_xlpm.authors,"&amp;"),",","")),0),
IF(NOT(_xlpm.hasAmp),"",IF(_xlpm.commasBeforeAmp&gt;2,"etal",TRIM(_xlfn.TEXTBEFORE(_xlfn.TEXTAFTER(_xlpm.authors,"&amp; "),","))))
)</f>
        <v>etal</v>
      </c>
      <c r="I80" t="str">
        <f>_xlfn.TEXTBEFORE(_xlfn.TEXTAFTER(A80, "("), ")")</f>
        <v>2008</v>
      </c>
      <c r="J80" t="str">
        <f>_xlfn.LET(
_xlpm.doi,IF(C80&lt;&gt;"",C80,_xlfn.TEXTAFTER(A80,"https://doi.org/")),
SUBSTITUTE(
SUBSTITUTE(
SUBSTITUTE(
SUBSTITUTE(
_xlpm.doi,
"/","%2F"),
":","%3A"),
"&lt;","%3C"),
"&gt;","%3E")
)</f>
        <v>10.1016%2Fj.jhevol.2008.08.004</v>
      </c>
      <c r="K80" t="str">
        <f>TRIM(_xlfn.TEXTJOIN("_",FALSE,F80,(SUBSTITUTE(SUBSTITUTE(D80," ",""), "_", ""))))</f>
        <v>Isler_etal_2008_Table2</v>
      </c>
      <c r="L80" t="str">
        <f>J80 &amp; "_" &amp; SUBSTITUTE(SUBSTITUTE(SUBSTITUTE(D80,CHAR(160),"")," ",""),"_","")</f>
        <v>10.1016%2Fj.jhevol.2008.08.004_Table2</v>
      </c>
      <c r="M80" t="str">
        <f t="array" ref="M80">IFERROR(INDEX(FileList!$A$1:$A$100,MATCH(TRUE,EXACT(L80,_xlfn.TEXTBEFORE(FileList!$A$1:$A$100,".tsv")),0)),"notfound")</f>
        <v>10.1016%2Fj.jhevol.2008.08.004_Table2.tsv</v>
      </c>
      <c r="Q80" s="2" t="s">
        <v>110</v>
      </c>
      <c r="V80" s="3" t="s">
        <v>40</v>
      </c>
      <c r="AI80" s="2" t="s">
        <v>394</v>
      </c>
      <c r="AJ80" s="2" t="s">
        <v>99</v>
      </c>
      <c r="AL80" s="2" t="s">
        <v>119</v>
      </c>
      <c r="AM80" s="2" t="s">
        <v>395</v>
      </c>
    </row>
    <row r="81" ht="16" customHeight="1">
      <c r="A81" s="2" t="s">
        <v>393</v>
      </c>
      <c r="D81" s="2" t="s">
        <v>396</v>
      </c>
      <c r="E81" t="str">
        <f>RIGHT(A81,1)</f>
        <v>4</v>
      </c>
      <c r="F81" t="str">
        <f>G81 &amp; IF(H81&lt;&gt;"", "_" &amp; H81, "_") &amp; IF(I81&lt;&gt;"", "_" &amp; I81, "_") &amp; IF(B81&lt;&gt;"", "_" &amp; B81, "")</f>
        <v>Isler_etal_2008</v>
      </c>
      <c r="G81" t="str">
        <f>SUBSTITUTE(SUBSTITUTE(_xlfn.TEXTBEFORE(A81,","), "-", ""), " ", "")</f>
        <v>Isler</v>
      </c>
      <c r="H81" t="str">
        <f>_xlfn.LET(
_xlpm.authors,_xlfn.TEXTBEFORE(A81," ("&amp;I81&amp;")"),
_xlpm.hasAmp,ISNUMBER(SEARCH("&amp;",_xlpm.authors)),
_xlpm.commasBeforeAmp,IF(_xlpm.hasAmp,LEN(_xlfn.TEXTBEFORE(_xlpm.authors,"&amp;"))-LEN(SUBSTITUTE(_xlfn.TEXTBEFORE(_xlpm.authors,"&amp;"),",","")),0),
IF(NOT(_xlpm.hasAmp),"",IF(_xlpm.commasBeforeAmp&gt;2,"etal",TRIM(_xlfn.TEXTBEFORE(_xlfn.TEXTAFTER(_xlpm.authors,"&amp; "),","))))
)</f>
        <v>etal</v>
      </c>
      <c r="I81" t="str">
        <f>_xlfn.TEXTBEFORE(_xlfn.TEXTAFTER(A81, "("), ")")</f>
        <v>2008</v>
      </c>
      <c r="J81" t="str">
        <f>_xlfn.LET(
_xlpm.doi,IF(C81&lt;&gt;"",C81,_xlfn.TEXTAFTER(A81,"https://doi.org/")),
SUBSTITUTE(
SUBSTITUTE(
SUBSTITUTE(
SUBSTITUTE(
_xlpm.doi,
"/","%2F"),
":","%3A"),
"&lt;","%3C"),
"&gt;","%3E")
)</f>
        <v>10.1016%2Fj.jhevol.2008.08.004</v>
      </c>
      <c r="K81" t="str">
        <f>TRIM(_xlfn.TEXTJOIN("_",FALSE,F81,(SUBSTITUTE(SUBSTITUTE(D81," ",""), "_", ""))))</f>
        <v>Isler_etal_2008_Table7</v>
      </c>
      <c r="L81" t="str">
        <f>J81 &amp; "_" &amp; SUBSTITUTE(SUBSTITUTE(SUBSTITUTE(D81,CHAR(160),"")," ",""),"_","")</f>
        <v>10.1016%2Fj.jhevol.2008.08.004_Table7</v>
      </c>
      <c r="M81" t="str">
        <f t="array" ref="M81">IFERROR(INDEX(FileList!$A$1:$A$100,MATCH(TRUE,EXACT(L81,_xlfn.TEXTBEFORE(FileList!$A$1:$A$100,".tsv")),0)),"notfound")</f>
        <v>10.1016%2Fj.jhevol.2008.08.004_Table7.tsv</v>
      </c>
      <c r="Q81" s="2" t="s">
        <v>110</v>
      </c>
      <c r="V81" s="3" t="s">
        <v>40</v>
      </c>
      <c r="AI81" s="2" t="s">
        <v>394</v>
      </c>
      <c r="AJ81" s="2" t="s">
        <v>99</v>
      </c>
      <c r="AL81" s="2" t="s">
        <v>119</v>
      </c>
      <c r="AM81" s="2" t="s">
        <v>395</v>
      </c>
    </row>
    <row r="82" ht="16" customHeight="1">
      <c r="A82" s="2" t="s">
        <v>393</v>
      </c>
      <c r="D82" s="2" t="s">
        <v>262</v>
      </c>
      <c r="E82" t="str">
        <f>RIGHT(A82,1)</f>
        <v>4</v>
      </c>
      <c r="F82" t="str">
        <f>G82 &amp; IF(H82&lt;&gt;"", "_" &amp; H82, "_") &amp; IF(I82&lt;&gt;"", "_" &amp; I82, "_") &amp; IF(B82&lt;&gt;"", "_" &amp; B82, "")</f>
        <v>Isler_etal_2008</v>
      </c>
      <c r="G82" t="str">
        <f>SUBSTITUTE(SUBSTITUTE(_xlfn.TEXTBEFORE(A82,","), "-", ""), " ", "")</f>
        <v>Isler</v>
      </c>
      <c r="H82" t="str">
        <f>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etal</v>
      </c>
      <c r="I82" t="str">
        <f>_xlfn.TEXTBEFORE(_xlfn.TEXTAFTER(A82, "("), ")")</f>
        <v>2008</v>
      </c>
      <c r="J82" t="str">
        <f>_xlfn.LET(
_xlpm.doi,IF(C82&lt;&gt;"",C82,_xlfn.TEXTAFTER(A82,"https://doi.org/")),
SUBSTITUTE(
SUBSTITUTE(
SUBSTITUTE(
SUBSTITUTE(
_xlpm.doi,
"/","%2F"),
":","%3A"),
"&lt;","%3C"),
"&gt;","%3E")
)</f>
        <v>10.1016%2Fj.jhevol.2008.08.004</v>
      </c>
      <c r="K82" t="str">
        <f>TRIM(_xlfn.TEXTJOIN("_",FALSE,F82,(SUBSTITUTE(SUBSTITUTE(D82," ",""), "_", ""))))</f>
        <v>Isler_etal_2008_TableS1</v>
      </c>
      <c r="L82" t="str">
        <f>J82 &amp; "_" &amp; SUBSTITUTE(SUBSTITUTE(SUBSTITUTE(D82,CHAR(160),"")," ",""),"_","")</f>
        <v>10.1016%2Fj.jhevol.2008.08.004_TableS1</v>
      </c>
      <c r="M82" t="str">
        <f t="array" ref="M82">IFERROR(INDEX(FileList!$A$1:$A$100,MATCH(TRUE,EXACT(L82,_xlfn.TEXTBEFORE(FileList!$A$1:$A$100,".tsv")),0)),"notfound")</f>
        <v>10.1016%2Fj.jhevol.2008.08.004_TableS1.tsv</v>
      </c>
      <c r="Q82" s="2" t="s">
        <v>110</v>
      </c>
      <c r="V82" s="3" t="s">
        <v>40</v>
      </c>
      <c r="AI82" s="2" t="s">
        <v>394</v>
      </c>
      <c r="AJ82" s="2" t="s">
        <v>99</v>
      </c>
      <c r="AL82" s="2" t="s">
        <v>119</v>
      </c>
      <c r="AM82" s="2" t="s">
        <v>395</v>
      </c>
    </row>
    <row r="83" ht="16" customHeight="1">
      <c r="A83" s="2" t="s">
        <v>393</v>
      </c>
      <c r="D83" s="2" t="s">
        <v>318</v>
      </c>
      <c r="E83" t="str">
        <f>RIGHT(A83,1)</f>
        <v>4</v>
      </c>
      <c r="F83" t="str">
        <f>G83 &amp; IF(H83&lt;&gt;"", "_" &amp; H83, "_") &amp; IF(I83&lt;&gt;"", "_" &amp; I83, "_") &amp; IF(B83&lt;&gt;"", "_" &amp; B83, "")</f>
        <v>Isler_etal_2008</v>
      </c>
      <c r="G83" t="str">
        <f>SUBSTITUTE(SUBSTITUTE(_xlfn.TEXTBEFORE(A83,","), "-", ""), " ", "")</f>
        <v>Isler</v>
      </c>
      <c r="H83" t="str">
        <f>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etal</v>
      </c>
      <c r="I83" t="str">
        <f>_xlfn.TEXTBEFORE(_xlfn.TEXTAFTER(A83, "("), ")")</f>
        <v>2008</v>
      </c>
      <c r="J83" t="str">
        <f>_xlfn.LET(
_xlpm.doi,IF(C83&lt;&gt;"",C83,_xlfn.TEXTAFTER(A83,"https://doi.org/")),
SUBSTITUTE(
SUBSTITUTE(
SUBSTITUTE(
SUBSTITUTE(
_xlpm.doi,
"/","%2F"),
":","%3A"),
"&lt;","%3C"),
"&gt;","%3E")
)</f>
        <v>10.1016%2Fj.jhevol.2008.08.004</v>
      </c>
      <c r="K83" t="str">
        <f>TRIM(_xlfn.TEXTJOIN("_",FALSE,F83,(SUBSTITUTE(SUBSTITUTE(D83," ",""), "_", ""))))</f>
        <v>Isler_etal_2008_TableS2</v>
      </c>
      <c r="L83" t="str">
        <f>J83 &amp; "_" &amp; SUBSTITUTE(SUBSTITUTE(SUBSTITUTE(D83,CHAR(160),"")," ",""),"_","")</f>
        <v>10.1016%2Fj.jhevol.2008.08.004_TableS2</v>
      </c>
      <c r="M83" t="str">
        <f t="array" ref="M83">IFERROR(INDEX(FileList!$A$1:$A$100,MATCH(TRUE,EXACT(L83,_xlfn.TEXTBEFORE(FileList!$A$1:$A$100,".tsv")),0)),"notfound")</f>
        <v>10.1016%2Fj.jhevol.2008.08.004_TableS2.tsv</v>
      </c>
      <c r="Q83" s="2" t="s">
        <v>110</v>
      </c>
      <c r="V83" s="3" t="s">
        <v>40</v>
      </c>
      <c r="AI83" s="2" t="s">
        <v>394</v>
      </c>
      <c r="AJ83" s="2" t="s">
        <v>99</v>
      </c>
      <c r="AL83" s="2" t="s">
        <v>119</v>
      </c>
      <c r="AM83" s="2" t="s">
        <v>395</v>
      </c>
    </row>
    <row r="84" ht="16" customHeight="1">
      <c r="A84" s="2" t="s">
        <v>393</v>
      </c>
      <c r="D84" s="2" t="s">
        <v>397</v>
      </c>
      <c r="E84" t="str">
        <f>RIGHT(A84,1)</f>
        <v>4</v>
      </c>
      <c r="F84" t="str">
        <f>G84 &amp; IF(H84&lt;&gt;"", "_" &amp; H84, "_") &amp; IF(I84&lt;&gt;"", "_" &amp; I84, "_") &amp; IF(B84&lt;&gt;"", "_" &amp; B84, "")</f>
        <v>Isler_etal_2008</v>
      </c>
      <c r="G84" t="str">
        <f>SUBSTITUTE(SUBSTITUTE(_xlfn.TEXTBEFORE(A84,","), "-", ""), " ", "")</f>
        <v>Isler</v>
      </c>
      <c r="H84" t="str">
        <f>_xlfn.LET(
_xlpm.authors,_xlfn.TEXTBEFORE(A84," ("&amp;I84&amp;")"),
_xlpm.hasAmp,ISNUMBER(SEARCH("&amp;",_xlpm.authors)),
_xlpm.commasBeforeAmp,IF(_xlpm.hasAmp,LEN(_xlfn.TEXTBEFORE(_xlpm.authors,"&amp;"))-LEN(SUBSTITUTE(_xlfn.TEXTBEFORE(_xlpm.authors,"&amp;"),",","")),0),
IF(NOT(_xlpm.hasAmp),"",IF(_xlpm.commasBeforeAmp&gt;2,"etal",TRIM(_xlfn.TEXTBEFORE(_xlfn.TEXTAFTER(_xlpm.authors,"&amp; "),","))))
)</f>
        <v>etal</v>
      </c>
      <c r="I84" t="str">
        <f>_xlfn.TEXTBEFORE(_xlfn.TEXTAFTER(A84, "("), ")")</f>
        <v>2008</v>
      </c>
      <c r="J84" t="str">
        <f>_xlfn.LET(
_xlpm.doi,IF(C84&lt;&gt;"",C84,_xlfn.TEXTAFTER(A84,"https://doi.org/")),
SUBSTITUTE(
SUBSTITUTE(
SUBSTITUTE(
SUBSTITUTE(
_xlpm.doi,
"/","%2F"),
":","%3A"),
"&lt;","%3C"),
"&gt;","%3E")
)</f>
        <v>10.1016%2Fj.jhevol.2008.08.004</v>
      </c>
      <c r="K84" t="str">
        <f>TRIM(_xlfn.TEXTJOIN("_",FALSE,F84,(SUBSTITUTE(SUBSTITUTE(D84," ",""), "_", ""))))</f>
        <v>Isler_etal_2008_TableS3</v>
      </c>
      <c r="L84" t="str">
        <f>J84 &amp; "_" &amp; SUBSTITUTE(SUBSTITUTE(SUBSTITUTE(D84,CHAR(160),"")," ",""),"_","")</f>
        <v>10.1016%2Fj.jhevol.2008.08.004_TableS3</v>
      </c>
      <c r="M84" t="str">
        <f t="array" ref="M84">IFERROR(INDEX(FileList!$A$1:$A$100,MATCH(TRUE,EXACT(L84,_xlfn.TEXTBEFORE(FileList!$A$1:$A$100,".tsv")),0)),"notfound")</f>
        <v>10.1016%2Fj.jhevol.2008.08.004_TableS3.tsv</v>
      </c>
      <c r="Q84" s="2" t="s">
        <v>110</v>
      </c>
      <c r="V84" s="3" t="s">
        <v>40</v>
      </c>
      <c r="AI84" s="2" t="s">
        <v>394</v>
      </c>
      <c r="AJ84" s="2" t="s">
        <v>99</v>
      </c>
      <c r="AL84" s="2" t="s">
        <v>119</v>
      </c>
      <c r="AM84" s="2" t="s">
        <v>395</v>
      </c>
    </row>
    <row r="85" ht="16" customHeight="1">
      <c r="A85" s="2" t="s">
        <v>393</v>
      </c>
      <c r="D85" s="2" t="s">
        <v>398</v>
      </c>
      <c r="E85" t="str">
        <f>RIGHT(A85,1)</f>
        <v>4</v>
      </c>
      <c r="F85" t="str">
        <f>G85 &amp; IF(H85&lt;&gt;"", "_" &amp; H85, "_") &amp; IF(I85&lt;&gt;"", "_" &amp; I85, "_") &amp; IF(B85&lt;&gt;"", "_" &amp; B85, "")</f>
        <v>Isler_etal_2008</v>
      </c>
      <c r="G85" t="str">
        <f>SUBSTITUTE(SUBSTITUTE(_xlfn.TEXTBEFORE(A85,","), "-", ""), " ", "")</f>
        <v>Isler</v>
      </c>
      <c r="H85" t="str">
        <f>_xlfn.LET(
_xlpm.authors,_xlfn.TEXTBEFORE(A85," ("&amp;I85&amp;")"),
_xlpm.hasAmp,ISNUMBER(SEARCH("&amp;",_xlpm.authors)),
_xlpm.commasBeforeAmp,IF(_xlpm.hasAmp,LEN(_xlfn.TEXTBEFORE(_xlpm.authors,"&amp;"))-LEN(SUBSTITUTE(_xlfn.TEXTBEFORE(_xlpm.authors,"&amp;"),",","")),0),
IF(NOT(_xlpm.hasAmp),"",IF(_xlpm.commasBeforeAmp&gt;2,"etal",TRIM(_xlfn.TEXTBEFORE(_xlfn.TEXTAFTER(_xlpm.authors,"&amp; "),","))))
)</f>
        <v>etal</v>
      </c>
      <c r="I85" t="str">
        <f>_xlfn.TEXTBEFORE(_xlfn.TEXTAFTER(A85, "("), ")")</f>
        <v>2008</v>
      </c>
      <c r="J85" t="str">
        <f>_xlfn.LET(
_xlpm.doi,IF(C85&lt;&gt;"",C85,_xlfn.TEXTAFTER(A85,"https://doi.org/")),
SUBSTITUTE(
SUBSTITUTE(
SUBSTITUTE(
SUBSTITUTE(
_xlpm.doi,
"/","%2F"),
":","%3A"),
"&lt;","%3C"),
"&gt;","%3E")
)</f>
        <v>10.1016%2Fj.jhevol.2008.08.004</v>
      </c>
      <c r="K85" t="str">
        <f>TRIM(_xlfn.TEXTJOIN("_",FALSE,F85,(SUBSTITUTE(SUBSTITUTE(D85," ",""), "_", ""))))</f>
        <v>Isler_etal_2008_Tree.nex</v>
      </c>
      <c r="L85" t="str">
        <f>J85 &amp; "_" &amp; SUBSTITUTE(SUBSTITUTE(SUBSTITUTE(D85,CHAR(160),"")," ",""),"_","")</f>
        <v>10.1016%2Fj.jhevol.2008.08.004_Tree.nex</v>
      </c>
      <c r="M85" t="str">
        <f t="array" ref="M85">IFERROR(INDEX(FileList!$A$1:$A$100,MATCH(TRUE,EXACT(L85,_xlfn.TEXTBEFORE(FileList!$A$1:$A$100,".tsv")),0)),"notfound")</f>
        <v>notfound</v>
      </c>
      <c r="Q85" s="2" t="s">
        <v>110</v>
      </c>
      <c r="V85" t="s">
        <v>399</v>
      </c>
      <c r="AI85" s="2" t="s">
        <v>400</v>
      </c>
      <c r="AJ85" s="2" t="s">
        <v>99</v>
      </c>
      <c r="AL85" s="2" t="s">
        <v>119</v>
      </c>
      <c r="AM85" s="2" t="s">
        <v>401</v>
      </c>
    </row>
    <row r="86" ht="15.75" customHeight="1">
      <c r="A86" s="2" t="s">
        <v>402</v>
      </c>
      <c r="D86" s="2" t="s">
        <v>78</v>
      </c>
      <c r="E86" t="str">
        <f>RIGHT(A86,1)</f>
        <v>9</v>
      </c>
      <c r="F86" t="str">
        <f>G86 &amp; IF(H86&lt;&gt;"", "_" &amp; H86, "_") &amp; IF(I86&lt;&gt;"", "_" &amp; I86, "_") &amp; IF(B86&lt;&gt;"", "_" &amp; B86, "")</f>
        <v>Iwaniuk_etal_2001</v>
      </c>
      <c r="G86" t="str">
        <f>SUBSTITUTE(SUBSTITUTE(_xlfn.TEXTBEFORE(A86,","), "-", ""), " ", "")</f>
        <v>Iwaniuk</v>
      </c>
      <c r="H86" t="str">
        <f>_xlfn.LET(
_xlpm.authors,_xlfn.TEXTBEFORE(A86," ("&amp;I86&amp;")"),
_xlpm.hasAmp,ISNUMBER(SEARCH("&amp;",_xlpm.authors)),
_xlpm.commasBeforeAmp,IF(_xlpm.hasAmp,LEN(_xlfn.TEXTBEFORE(_xlpm.authors,"&amp;"))-LEN(SUBSTITUTE(_xlfn.TEXTBEFORE(_xlpm.authors,"&amp;"),",","")),0),
IF(NOT(_xlpm.hasAmp),"",IF(_xlpm.commasBeforeAmp&gt;2,"etal",TRIM(_xlfn.TEXTBEFORE(_xlfn.TEXTAFTER(_xlpm.authors,"&amp; "),","))))
)</f>
        <v>etal</v>
      </c>
      <c r="I86" t="str">
        <f>_xlfn.TEXTBEFORE(_xlfn.TEXTAFTER(A86, "("), ")")</f>
        <v>2001</v>
      </c>
      <c r="J86" t="str">
        <f>_xlfn.LET(
_xlpm.doi,IF(C86&lt;&gt;"",C86,_xlfn.TEXTAFTER(A86,"https://doi.org/")),
SUBSTITUTE(
SUBSTITUTE(
SUBSTITUTE(
SUBSTITUTE(
_xlpm.doi,
"/","%2F"),
":","%3A"),
"&lt;","%3C"),
"&gt;","%3E")
)</f>
        <v>10.1037%2F0735-7036.115.1.29</v>
      </c>
      <c r="K86" t="str">
        <f>TRIM(_xlfn.TEXTJOIN("_",FALSE,F86,(SUBSTITUTE(SUBSTITUTE(D86," ",""), "_", ""))))</f>
        <v>Iwaniuk_etal_2001_Table1</v>
      </c>
      <c r="L86" t="str">
        <f>J86 &amp; "_" &amp; SUBSTITUTE(SUBSTITUTE(SUBSTITUTE(D86,CHAR(160),"")," ",""),"_","")</f>
        <v>10.1037%2F0735-7036.115.1.29_Table1</v>
      </c>
      <c r="M86" t="str">
        <f t="array" ref="M86">IFERROR(INDEX(FileList!$A$1:$A$100,MATCH(TRUE,EXACT(L86,_xlfn.TEXTBEFORE(FileList!$A$1:$A$100,".tsv")),0)),"notfound")</f>
        <v>10.1037%2F0735-7036.115.1.29_Table1.tsv</v>
      </c>
      <c r="N86" s="2" t="s">
        <v>403</v>
      </c>
      <c r="P86" s="2" t="s">
        <v>404</v>
      </c>
      <c r="Q86" s="2" t="s">
        <v>178</v>
      </c>
      <c r="T86" s="2" t="str">
        <f>IF(S86="N", R86, "write file name")</f>
        <v>write file name</v>
      </c>
      <c r="U86" s="2" t="s">
        <v>53</v>
      </c>
      <c r="V86" s="2" t="s">
        <v>40</v>
      </c>
      <c r="AH86" s="2" t="s">
        <v>405</v>
      </c>
      <c r="AI86" s="2" t="s">
        <v>406</v>
      </c>
      <c r="AJ86" s="2" t="s">
        <v>118</v>
      </c>
      <c r="AL86" s="2" t="s">
        <v>119</v>
      </c>
      <c r="AM86" s="2" t="s">
        <v>407</v>
      </c>
    </row>
    <row r="87" ht="15.75" customHeight="1">
      <c r="A87" s="2" t="s">
        <v>402</v>
      </c>
      <c r="D87" s="2" t="s">
        <v>100</v>
      </c>
      <c r="E87" t="str">
        <f>RIGHT(A87,1)</f>
        <v>9</v>
      </c>
      <c r="F87" t="str">
        <f>G87 &amp; IF(H87&lt;&gt;"", "_" &amp; H87, "_") &amp; IF(I87&lt;&gt;"", "_" &amp; I87, "_") &amp; IF(B87&lt;&gt;"", "_" &amp; B87, "")</f>
        <v>Iwaniuk_etal_2001</v>
      </c>
      <c r="G87" t="str">
        <f>SUBSTITUTE(SUBSTITUTE(_xlfn.TEXTBEFORE(A87,","), "-", ""), " ", "")</f>
        <v>Iwaniuk</v>
      </c>
      <c r="H87" t="str">
        <f>_xlfn.LET(
_xlpm.authors,_xlfn.TEXTBEFORE(A87," ("&amp;I87&amp;")"),
_xlpm.hasAmp,ISNUMBER(SEARCH("&amp;",_xlpm.authors)),
_xlpm.commasBeforeAmp,IF(_xlpm.hasAmp,LEN(_xlfn.TEXTBEFORE(_xlpm.authors,"&amp;"))-LEN(SUBSTITUTE(_xlfn.TEXTBEFORE(_xlpm.authors,"&amp;"),",","")),0),
IF(NOT(_xlpm.hasAmp),"",IF(_xlpm.commasBeforeAmp&gt;2,"etal",TRIM(_xlfn.TEXTBEFORE(_xlfn.TEXTAFTER(_xlpm.authors,"&amp; "),","))))
)</f>
        <v>etal</v>
      </c>
      <c r="I87" t="str">
        <f>_xlfn.TEXTBEFORE(_xlfn.TEXTAFTER(A87, "("), ")")</f>
        <v>2001</v>
      </c>
      <c r="J87" t="str">
        <f>_xlfn.LET(
_xlpm.doi,IF(C87&lt;&gt;"",C87,_xlfn.TEXTAFTER(A87,"https://doi.org/")),
SUBSTITUTE(
SUBSTITUTE(
SUBSTITUTE(
SUBSTITUTE(
_xlpm.doi,
"/","%2F"),
":","%3A"),
"&lt;","%3C"),
"&gt;","%3E")
)</f>
        <v>10.1037%2F0735-7036.115.1.29</v>
      </c>
      <c r="K87" t="str">
        <f>TRIM(_xlfn.TEXTJOIN("_",FALSE,F87,(SUBSTITUTE(SUBSTITUTE(D87," ",""), "_", ""))))</f>
        <v>Iwaniuk_etal_2001_Table2</v>
      </c>
      <c r="L87" t="str">
        <f>J87 &amp; "_" &amp; SUBSTITUTE(SUBSTITUTE(SUBSTITUTE(D87,CHAR(160),"")," ",""),"_","")</f>
        <v>10.1037%2F0735-7036.115.1.29_Table2</v>
      </c>
      <c r="M87" t="str">
        <f t="array" ref="M87">IFERROR(INDEX(FileList!$A$1:$A$100,MATCH(TRUE,EXACT(L87,_xlfn.TEXTBEFORE(FileList!$A$1:$A$100,".tsv")),0)),"notfound")</f>
        <v>10.1037%2F0735-7036.115.1.29_Table2.tsv</v>
      </c>
      <c r="N87" s="2" t="s">
        <v>408</v>
      </c>
      <c r="P87" s="2" t="s">
        <v>404</v>
      </c>
      <c r="Q87" s="2" t="s">
        <v>178</v>
      </c>
      <c r="T87" s="2" t="str">
        <f>IF(S87="N", R87, "write file name")</f>
        <v>write file name</v>
      </c>
      <c r="U87" s="2" t="s">
        <v>53</v>
      </c>
      <c r="V87" s="2" t="s">
        <v>40</v>
      </c>
      <c r="AH87" s="2" t="s">
        <v>405</v>
      </c>
      <c r="AI87" s="2" t="s">
        <v>406</v>
      </c>
      <c r="AJ87" s="2" t="s">
        <v>118</v>
      </c>
      <c r="AL87" s="2" t="s">
        <v>119</v>
      </c>
      <c r="AM87" s="2" t="s">
        <v>407</v>
      </c>
    </row>
    <row r="88" ht="15.75" customHeight="1">
      <c r="A88" s="2" t="s">
        <v>402</v>
      </c>
      <c r="D88" s="2" t="s">
        <v>101</v>
      </c>
      <c r="E88" t="str">
        <f>RIGHT(A88,1)</f>
        <v>9</v>
      </c>
      <c r="F88" t="str">
        <f>G88 &amp; IF(H88&lt;&gt;"", "_" &amp; H88, "_") &amp; IF(I88&lt;&gt;"", "_" &amp; I88, "_") &amp; IF(B88&lt;&gt;"", "_" &amp; B88, "")</f>
        <v>Iwaniuk_etal_2001</v>
      </c>
      <c r="G88" t="str">
        <f>SUBSTITUTE(SUBSTITUTE(_xlfn.TEXTBEFORE(A88,","), "-", ""), " ", "")</f>
        <v>Iwaniuk</v>
      </c>
      <c r="H88" t="str">
        <f>_xlfn.LET(
_xlpm.authors,_xlfn.TEXTBEFORE(A88," ("&amp;I88&amp;")"),
_xlpm.hasAmp,ISNUMBER(SEARCH("&amp;",_xlpm.authors)),
_xlpm.commasBeforeAmp,IF(_xlpm.hasAmp,LEN(_xlfn.TEXTBEFORE(_xlpm.authors,"&amp;"))-LEN(SUBSTITUTE(_xlfn.TEXTBEFORE(_xlpm.authors,"&amp;"),",","")),0),
IF(NOT(_xlpm.hasAmp),"",IF(_xlpm.commasBeforeAmp&gt;2,"etal",TRIM(_xlfn.TEXTBEFORE(_xlfn.TEXTAFTER(_xlpm.authors,"&amp; "),","))))
)</f>
        <v>etal</v>
      </c>
      <c r="I88" t="str">
        <f>_xlfn.TEXTBEFORE(_xlfn.TEXTAFTER(A88, "("), ")")</f>
        <v>2001</v>
      </c>
      <c r="J88" t="str">
        <f>_xlfn.LET(
_xlpm.doi,IF(C88&lt;&gt;"",C88,_xlfn.TEXTAFTER(A88,"https://doi.org/")),
SUBSTITUTE(
SUBSTITUTE(
SUBSTITUTE(
SUBSTITUTE(
_xlpm.doi,
"/","%2F"),
":","%3A"),
"&lt;","%3C"),
"&gt;","%3E")
)</f>
        <v>10.1037%2F0735-7036.115.1.29</v>
      </c>
      <c r="K88" t="str">
        <f>TRIM(_xlfn.TEXTJOIN("_",FALSE,F88,(SUBSTITUTE(SUBSTITUTE(D88," ",""), "_", ""))))</f>
        <v>Iwaniuk_etal_2001_Table3</v>
      </c>
      <c r="L88" t="str">
        <f>J88 &amp; "_" &amp; SUBSTITUTE(SUBSTITUTE(SUBSTITUTE(D88,CHAR(160),"")," ",""),"_","")</f>
        <v>10.1037%2F0735-7036.115.1.29_Table3</v>
      </c>
      <c r="M88" t="str">
        <f t="array" ref="M88">IFERROR(INDEX(FileList!$A$1:$A$100,MATCH(TRUE,EXACT(L88,_xlfn.TEXTBEFORE(FileList!$A$1:$A$100,".tsv")),0)),"notfound")</f>
        <v>10.1037%2F0735-7036.115.1.29_Table3.tsv</v>
      </c>
      <c r="N88" s="2" t="s">
        <v>409</v>
      </c>
      <c r="P88" s="2" t="s">
        <v>404</v>
      </c>
      <c r="Q88" s="2" t="s">
        <v>178</v>
      </c>
      <c r="T88" s="2" t="str">
        <f>IF(S88="N", R88, "write file name")</f>
        <v>write file name</v>
      </c>
      <c r="U88" s="2" t="s">
        <v>53</v>
      </c>
      <c r="V88" s="2" t="s">
        <v>40</v>
      </c>
      <c r="AH88" s="2" t="s">
        <v>405</v>
      </c>
      <c r="AI88" s="2" t="s">
        <v>406</v>
      </c>
      <c r="AJ88" s="2" t="s">
        <v>118</v>
      </c>
      <c r="AL88" s="2" t="s">
        <v>119</v>
      </c>
      <c r="AM88" s="2" t="s">
        <v>407</v>
      </c>
    </row>
    <row r="89" ht="15.75" customHeight="1">
      <c r="A89" s="2" t="s">
        <v>402</v>
      </c>
      <c r="D89" s="2" t="s">
        <v>39</v>
      </c>
      <c r="E89" t="str">
        <f>RIGHT(A89,1)</f>
        <v>9</v>
      </c>
      <c r="F89" t="str">
        <f>G89 &amp; IF(H89&lt;&gt;"", "_" &amp; H89, "_") &amp; IF(I89&lt;&gt;"", "_" &amp; I89, "_") &amp; IF(B89&lt;&gt;"", "_" &amp; B89, "")</f>
        <v>Iwaniuk_etal_2001</v>
      </c>
      <c r="G89" t="str">
        <f>SUBSTITUTE(SUBSTITUTE(_xlfn.TEXTBEFORE(A89,","), "-", ""), " ", "")</f>
        <v>Iwaniuk</v>
      </c>
      <c r="H89" t="str">
        <f>_xlfn.LET(
_xlpm.authors,_xlfn.TEXTBEFORE(A89," ("&amp;I89&amp;")"),
_xlpm.hasAmp,ISNUMBER(SEARCH("&amp;",_xlpm.authors)),
_xlpm.commasBeforeAmp,IF(_xlpm.hasAmp,LEN(_xlfn.TEXTBEFORE(_xlpm.authors,"&amp;"))-LEN(SUBSTITUTE(_xlfn.TEXTBEFORE(_xlpm.authors,"&amp;"),",","")),0),
IF(NOT(_xlpm.hasAmp),"",IF(_xlpm.commasBeforeAmp&gt;2,"etal",TRIM(_xlfn.TEXTBEFORE(_xlfn.TEXTAFTER(_xlpm.authors,"&amp; "),","))))
)</f>
        <v>etal</v>
      </c>
      <c r="I89" t="str">
        <f>_xlfn.TEXTBEFORE(_xlfn.TEXTAFTER(A89, "("), ")")</f>
        <v>2001</v>
      </c>
      <c r="J89" t="str">
        <f>_xlfn.LET(
_xlpm.doi,IF(C89&lt;&gt;"",C89,_xlfn.TEXTAFTER(A89,"https://doi.org/")),
SUBSTITUTE(
SUBSTITUTE(
SUBSTITUTE(
SUBSTITUTE(
_xlpm.doi,
"/","%2F"),
":","%3A"),
"&lt;","%3C"),
"&gt;","%3E")
)</f>
        <v>10.1037%2F0735-7036.115.1.29</v>
      </c>
      <c r="K89" t="str">
        <f>TRIM(_xlfn.TEXTJOIN("_",FALSE,F89,(SUBSTITUTE(SUBSTITUTE(D89," ",""), "_", ""))))</f>
        <v>Iwaniuk_etal_2001_Table4</v>
      </c>
      <c r="L89" t="str">
        <f>J89 &amp; "_" &amp; SUBSTITUTE(SUBSTITUTE(SUBSTITUTE(D89,CHAR(160),"")," ",""),"_","")</f>
        <v>10.1037%2F0735-7036.115.1.29_Table4</v>
      </c>
      <c r="M89" t="str">
        <f t="array" ref="M89">IFERROR(INDEX(FileList!$A$1:$A$100,MATCH(TRUE,EXACT(L89,_xlfn.TEXTBEFORE(FileList!$A$1:$A$100,".tsv")),0)),"notfound")</f>
        <v>10.1037%2F0735-7036.115.1.29_Table4.tsv</v>
      </c>
      <c r="N89" s="2" t="s">
        <v>410</v>
      </c>
      <c r="P89" s="2" t="s">
        <v>404</v>
      </c>
      <c r="Q89" s="2" t="s">
        <v>178</v>
      </c>
      <c r="T89" s="2" t="str">
        <f>IF(S89="N", R89, "write file name")</f>
        <v>write file name</v>
      </c>
      <c r="U89" s="2" t="s">
        <v>53</v>
      </c>
      <c r="V89" s="2" t="s">
        <v>40</v>
      </c>
      <c r="AH89" s="2" t="s">
        <v>405</v>
      </c>
      <c r="AI89" s="2" t="s">
        <v>406</v>
      </c>
      <c r="AJ89" s="2" t="s">
        <v>118</v>
      </c>
      <c r="AL89" s="2" t="s">
        <v>119</v>
      </c>
      <c r="AM89" s="2" t="s">
        <v>407</v>
      </c>
    </row>
    <row r="90" ht="15.75" customHeight="1">
      <c r="A90" s="2" t="s">
        <v>411</v>
      </c>
      <c r="D90" s="2" t="s">
        <v>412</v>
      </c>
      <c r="E90" t="str">
        <f>RIGHT(A90,1)</f>
        <v>x</v>
      </c>
      <c r="F90" t="str">
        <f>G90 &amp; IF(H90&lt;&gt;"", "_" &amp; H90, "_") &amp; IF(I90&lt;&gt;"", "_" &amp; I90, "_") &amp; IF(B90&lt;&gt;"", "_" &amp; B90, "")</f>
        <v>Iwaniuk_etal_1999</v>
      </c>
      <c r="G90" t="str">
        <f>SUBSTITUTE(SUBSTITUTE(_xlfn.TEXTBEFORE(A90,","), "-", ""), " ", "")</f>
        <v>Iwaniuk</v>
      </c>
      <c r="H90" t="str">
        <f>_xlfn.LET(
_xlpm.authors,_xlfn.TEXTBEFORE(A90," ("&amp;I90&amp;")"),
_xlpm.hasAmp,ISNUMBER(SEARCH("&amp;",_xlpm.authors)),
_xlpm.commasBeforeAmp,IF(_xlpm.hasAmp,LEN(_xlfn.TEXTBEFORE(_xlpm.authors,"&amp;"))-LEN(SUBSTITUTE(_xlfn.TEXTBEFORE(_xlpm.authors,"&amp;"),",","")),0),
IF(NOT(_xlpm.hasAmp),"",IF(_xlpm.commasBeforeAmp&gt;2,"etal",TRIM(_xlfn.TEXTBEFORE(_xlfn.TEXTAFTER(_xlpm.authors,"&amp; "),","))))
)</f>
        <v>etal</v>
      </c>
      <c r="I90" t="str">
        <f>_xlfn.TEXTBEFORE(_xlfn.TEXTAFTER(A90, "("), ")")</f>
        <v>1999</v>
      </c>
      <c r="J90" t="str">
        <f>_xlfn.LET(
_xlpm.doi,IF(C90&lt;&gt;"",C90,_xlfn.TEXTAFTER(A90,"https://doi.org/")),
SUBSTITUTE(
SUBSTITUTE(
SUBSTITUTE(
SUBSTITUTE(
_xlpm.doi,
"/","%2F"),
":","%3A"),
"&lt;","%3C"),
"&gt;","%3E")
)</f>
        <v>10.1016%2Fs0166-4328(98)00151-x</v>
      </c>
      <c r="K90" t="str">
        <f>TRIM(_xlfn.TEXTJOIN("_",FALSE,F90,(SUBSTITUTE(SUBSTITUTE(D90," ",""), "_", ""))))</f>
        <v>Iwaniuk_etal_1999_References</v>
      </c>
      <c r="L90" t="str">
        <f>J90 &amp; "_" &amp; SUBSTITUTE(SUBSTITUTE(SUBSTITUTE(D90,CHAR(160),"")," ",""),"_","")</f>
        <v>10.1016%2Fs0166-4328(98)00151-x_References</v>
      </c>
      <c r="M90" t="str">
        <f t="array" ref="M90">IFERROR(INDEX(FileList!$A$1:$A$100,MATCH(TRUE,EXACT(L90,_xlfn.TEXTBEFORE(FileList!$A$1:$A$100,".tsv")),0)),"notfound")</f>
        <v>notfound</v>
      </c>
      <c r="N90" s="2" t="s">
        <v>412</v>
      </c>
      <c r="P90" s="2" t="s">
        <v>312</v>
      </c>
      <c r="V90" s="2" t="s">
        <v>413</v>
      </c>
      <c r="W90" s="2" t="s">
        <v>182</v>
      </c>
      <c r="AI90" s="2" t="s">
        <v>414</v>
      </c>
      <c r="AJ90" s="2" t="s">
        <v>118</v>
      </c>
      <c r="AL90" s="2" t="s">
        <v>119</v>
      </c>
      <c r="AM90" s="2" t="s">
        <v>415</v>
      </c>
    </row>
    <row r="91" ht="15.75" customHeight="1">
      <c r="A91" s="2" t="s">
        <v>411</v>
      </c>
      <c r="D91" s="2" t="s">
        <v>78</v>
      </c>
      <c r="E91" t="str">
        <f>RIGHT(A91,1)</f>
        <v>x</v>
      </c>
      <c r="F91" t="str">
        <f>G91 &amp; IF(H91&lt;&gt;"", "_" &amp; H91, "_") &amp; IF(I91&lt;&gt;"", "_" &amp; I91, "_") &amp; IF(B91&lt;&gt;"", "_" &amp; B91, "")</f>
        <v>Iwaniuk_etal_1999</v>
      </c>
      <c r="G91" t="str">
        <f>SUBSTITUTE(SUBSTITUTE(_xlfn.TEXTBEFORE(A91,","), "-", ""), " ", "")</f>
        <v>Iwaniuk</v>
      </c>
      <c r="H91" t="str">
        <f>_xlfn.LET(
_xlpm.authors,_xlfn.TEXTBEFORE(A91," ("&amp;I91&amp;")"),
_xlpm.hasAmp,ISNUMBER(SEARCH("&amp;",_xlpm.authors)),
_xlpm.commasBeforeAmp,IF(_xlpm.hasAmp,LEN(_xlfn.TEXTBEFORE(_xlpm.authors,"&amp;"))-LEN(SUBSTITUTE(_xlfn.TEXTBEFORE(_xlpm.authors,"&amp;"),",","")),0),
IF(NOT(_xlpm.hasAmp),"",IF(_xlpm.commasBeforeAmp&gt;2,"etal",TRIM(_xlfn.TEXTBEFORE(_xlfn.TEXTAFTER(_xlpm.authors,"&amp; "),","))))
)</f>
        <v>etal</v>
      </c>
      <c r="I91" t="str">
        <f>_xlfn.TEXTBEFORE(_xlfn.TEXTAFTER(A91, "("), ")")</f>
        <v>1999</v>
      </c>
      <c r="J91" t="str">
        <f>_xlfn.LET(
_xlpm.doi,IF(C91&lt;&gt;"",C91,_xlfn.TEXTAFTER(A91,"https://doi.org/")),
SUBSTITUTE(
SUBSTITUTE(
SUBSTITUTE(
SUBSTITUTE(
_xlpm.doi,
"/","%2F"),
":","%3A"),
"&lt;","%3C"),
"&gt;","%3E")
)</f>
        <v>10.1016%2Fs0166-4328(98)00151-x</v>
      </c>
      <c r="K91" t="str">
        <f>TRIM(_xlfn.TEXTJOIN("_",FALSE,F91,(SUBSTITUTE(SUBSTITUTE(D91," ",""), "_", ""))))</f>
        <v>Iwaniuk_etal_1999_Table1</v>
      </c>
      <c r="L91" t="str">
        <f>J91 &amp; "_" &amp; SUBSTITUTE(SUBSTITUTE(SUBSTITUTE(D91,CHAR(160),"")," ",""),"_","")</f>
        <v>10.1016%2Fs0166-4328(98)00151-x_Table1</v>
      </c>
      <c r="M91" t="str">
        <f t="array" ref="M91">IFERROR(INDEX(FileList!$A$1:$A$100,MATCH(TRUE,EXACT(L91,_xlfn.TEXTBEFORE(FileList!$A$1:$A$100,".tsv")),0)),"notfound")</f>
        <v>10.1016%2Fs0166-4328(98)00151-x_Table1.tsv</v>
      </c>
      <c r="N91" s="2" t="s">
        <v>416</v>
      </c>
      <c r="P91" s="2" t="s">
        <v>312</v>
      </c>
      <c r="V91" s="2" t="s">
        <v>40</v>
      </c>
      <c r="W91" s="2" t="s">
        <v>182</v>
      </c>
      <c r="AI91" s="2" t="s">
        <v>414</v>
      </c>
      <c r="AJ91" s="2" t="s">
        <v>118</v>
      </c>
      <c r="AL91" s="2" t="s">
        <v>119</v>
      </c>
      <c r="AM91" s="2" t="s">
        <v>415</v>
      </c>
    </row>
    <row r="92" ht="15.75" customHeight="1">
      <c r="A92" s="2" t="s">
        <v>417</v>
      </c>
      <c r="D92" s="2" t="s">
        <v>78</v>
      </c>
      <c r="E92" t="str">
        <f>RIGHT(A92,1)</f>
        <v>8</v>
      </c>
      <c r="F92" t="str">
        <f>G92 &amp; IF(H92&lt;&gt;"", "_" &amp; H92, "_") &amp; IF(I92&lt;&gt;"", "_" &amp; I92, "_") &amp; IF(B92&lt;&gt;"", "_" &amp; B92, "")</f>
        <v>JardimMesseder_etal_2017</v>
      </c>
      <c r="G92" t="str">
        <f>SUBSTITUTE(SUBSTITUTE(_xlfn.TEXTBEFORE(A92,","), "-", ""), " ", "")</f>
        <v>JardimMesseder</v>
      </c>
      <c r="H92" t="str">
        <f>_xlfn.LET(
_xlpm.authors,_xlfn.TEXTBEFORE(A92," ("&amp;I92&amp;")"),
_xlpm.hasAmp,ISNUMBER(SEARCH("&amp;",_xlpm.authors)),
_xlpm.commasBeforeAmp,IF(_xlpm.hasAmp,LEN(_xlfn.TEXTBEFORE(_xlpm.authors,"&amp;"))-LEN(SUBSTITUTE(_xlfn.TEXTBEFORE(_xlpm.authors,"&amp;"),",","")),0),
IF(NOT(_xlpm.hasAmp),"",IF(_xlpm.commasBeforeAmp&gt;2,"etal",TRIM(_xlfn.TEXTBEFORE(_xlfn.TEXTAFTER(_xlpm.authors,"&amp; "),","))))
)</f>
        <v>etal</v>
      </c>
      <c r="I92" t="str">
        <f>_xlfn.TEXTBEFORE(_xlfn.TEXTAFTER(A92, "("), ")")</f>
        <v>2017</v>
      </c>
      <c r="J92" t="str">
        <f>_xlfn.LET(
_xlpm.doi,IF(C92&lt;&gt;"",C92,_xlfn.TEXTAFTER(A92,"https://doi.org/")),
SUBSTITUTE(
SUBSTITUTE(
SUBSTITUTE(
SUBSTITUTE(
_xlpm.doi,
"/","%2F"),
":","%3A"),
"&lt;","%3C"),
"&gt;","%3E")
)</f>
        <v>10.3389%2Ffnana.2017.00118</v>
      </c>
      <c r="K92" t="str">
        <f>TRIM(_xlfn.TEXTJOIN("_",FALSE,F92,(SUBSTITUTE(SUBSTITUTE(D92," ",""), "_", ""))))</f>
        <v>JardimMesseder_etal_2017_Table1</v>
      </c>
      <c r="L92" t="str">
        <f>J92 &amp; "_" &amp; SUBSTITUTE(SUBSTITUTE(SUBSTITUTE(D92,CHAR(160),"")," ",""),"_","")</f>
        <v>10.3389%2Ffnana.2017.00118_Table1</v>
      </c>
      <c r="M92" t="str">
        <f t="array" ref="M92">IFERROR(INDEX(FileList!$A$1:$A$100,MATCH(TRUE,EXACT(L92,_xlfn.TEXTBEFORE(FileList!$A$1:$A$100,".tsv")),0)),"notfound")</f>
        <v>10.3389%2Ffnana.2017.00118_Table1.tsv</v>
      </c>
      <c r="N92" s="2" t="s">
        <v>418</v>
      </c>
      <c r="P92" s="2" t="s">
        <v>48</v>
      </c>
      <c r="Q92" s="2" t="s">
        <v>49</v>
      </c>
      <c r="R92" s="2" t="s">
        <v>419</v>
      </c>
      <c r="S92" s="2" t="s">
        <v>51</v>
      </c>
      <c r="T92" s="2" t="s">
        <v>420</v>
      </c>
      <c r="U92" s="2" t="s">
        <v>53</v>
      </c>
      <c r="V92" s="2" t="s">
        <v>40</v>
      </c>
      <c r="W92" s="2" t="s">
        <v>169</v>
      </c>
      <c r="X92" s="2" t="s">
        <v>421</v>
      </c>
      <c r="Y92" s="2" t="s">
        <v>56</v>
      </c>
      <c r="Z92" s="2" t="s">
        <v>56</v>
      </c>
      <c r="AG92" s="2" t="s">
        <v>57</v>
      </c>
      <c r="AH92" s="2" t="s">
        <v>422</v>
      </c>
      <c r="AI92" s="2" t="s">
        <v>254</v>
      </c>
      <c r="AJ92" s="2" t="s">
        <v>423</v>
      </c>
      <c r="AK92" s="2" t="s">
        <v>61</v>
      </c>
      <c r="AL92" s="2" t="s">
        <v>61</v>
      </c>
      <c r="AM92" s="2" t="s">
        <v>62</v>
      </c>
    </row>
    <row r="93" ht="15.75" customHeight="1">
      <c r="A93" s="2" t="s">
        <v>424</v>
      </c>
      <c r="D93" s="2" t="s">
        <v>100</v>
      </c>
      <c r="E93" t="str">
        <f>RIGHT(A93,1)</f>
        <v>4</v>
      </c>
      <c r="F93" t="str">
        <f>G93 &amp; IF(H93&lt;&gt;"", "_" &amp; H93, "_") &amp; IF(I93&lt;&gt;"", "_" &amp; I93, "_") &amp; IF(B93&lt;&gt;"", "_" &amp; B93, "")</f>
        <v>Johansen_etal_2024</v>
      </c>
      <c r="G93" t="str">
        <f>SUBSTITUTE(SUBSTITUTE(_xlfn.TEXTBEFORE(A93,","), "-", ""), " ", "")</f>
        <v>Johansen</v>
      </c>
      <c r="H93" t="str">
        <f>_xlfn.LET(
_xlpm.authors,_xlfn.TEXTBEFORE(A93," ("&amp;I93&amp;")"),
_xlpm.hasAmp,ISNUMBER(SEARCH("&amp;",_xlpm.authors)),
_xlpm.commasBeforeAmp,IF(_xlpm.hasAmp,LEN(_xlfn.TEXTBEFORE(_xlpm.authors,"&amp;"))-LEN(SUBSTITUTE(_xlfn.TEXTBEFORE(_xlpm.authors,"&amp;"),",","")),0),
IF(NOT(_xlpm.hasAmp),"",IF(_xlpm.commasBeforeAmp&gt;2,"etal",TRIM(_xlfn.TEXTBEFORE(_xlfn.TEXTAFTER(_xlpm.authors,"&amp; "),","))))
)</f>
        <v>etal</v>
      </c>
      <c r="I93" t="str">
        <f>_xlfn.TEXTBEFORE(_xlfn.TEXTAFTER(A93, "("), ")")</f>
        <v>2024</v>
      </c>
      <c r="J93" t="str">
        <f>_xlfn.LET(
_xlpm.doi,IF(C93&lt;&gt;"",C93,_xlfn.TEXTAFTER(A93,"https://doi.org/")),
SUBSTITUTE(
SUBSTITUTE(
SUBSTITUTE(
SUBSTITUTE(
_xlpm.doi,
"/","%2F"),
":","%3A"),
"&lt;","%3C"),
"&gt;","%3E")
)</f>
        <v>10.1523%2FJNEUROSCI.1750-23.2024</v>
      </c>
      <c r="K93" t="str">
        <f>TRIM(_xlfn.TEXTJOIN("_",FALSE,F93,(SUBSTITUTE(SUBSTITUTE(D93," ",""), "_", ""))))</f>
        <v>Johansen_etal_2024_Table2</v>
      </c>
      <c r="L93" t="str">
        <f>J93 &amp; "_" &amp; SUBSTITUTE(SUBSTITUTE(SUBSTITUTE(D93,CHAR(160),"")," ",""),"_","")</f>
        <v>10.1523%2FJNEUROSCI.1750-23.2024_Table2</v>
      </c>
      <c r="M93" t="str">
        <f t="array" ref="M93">IFERROR(INDEX(FileList!$A$1:$A$100,MATCH(TRUE,EXACT(L93,_xlfn.TEXTBEFORE(FileList!$A$1:$A$100,".tsv")),0)),"notfound")</f>
        <v>notfound</v>
      </c>
      <c r="N93" s="2" t="s">
        <v>425</v>
      </c>
      <c r="V93" s="4" t="s">
        <v>40</v>
      </c>
      <c r="AI93" s="2" t="s">
        <v>426</v>
      </c>
      <c r="AJ93" s="2" t="s">
        <v>427</v>
      </c>
      <c r="AL93" s="2" t="s">
        <v>61</v>
      </c>
      <c r="AM93" s="2" t="s">
        <v>428</v>
      </c>
    </row>
    <row r="94" ht="15.75" customHeight="1">
      <c r="A94" s="2" t="s">
        <v>429</v>
      </c>
      <c r="D94" s="2" t="s">
        <v>78</v>
      </c>
      <c r="E94" t="str">
        <f>RIGHT(A94,1)</f>
        <v>8</v>
      </c>
      <c r="F94" t="str">
        <f>G94 &amp; IF(H94&lt;&gt;"", "_" &amp; H94, "_") &amp; IF(I94&lt;&gt;"", "_" &amp; I94, "_") &amp; IF(B94&lt;&gt;"", "_" &amp; B94, "")</f>
        <v>Karbowski__2007</v>
      </c>
      <c r="G94" t="str">
        <f>SUBSTITUTE(SUBSTITUTE(_xlfn.TEXTBEFORE(A94,","), "-", ""), " ", "")</f>
        <v>Karbowski</v>
      </c>
      <c r="H94" t="str">
        <f>_xlfn.LET(
_xlpm.authors,_xlfn.TEXTBEFORE(A94," ("&amp;I94&amp;")"),
_xlpm.hasAmp,ISNUMBER(SEARCH("&amp;",_xlpm.authors)),
_xlpm.commasBeforeAmp,IF(_xlpm.hasAmp,LEN(_xlfn.TEXTBEFORE(_xlpm.authors,"&amp;"))-LEN(SUBSTITUTE(_xlfn.TEXTBEFORE(_xlpm.authors,"&amp;"),",","")),0),
IF(NOT(_xlpm.hasAmp),"",IF(_xlpm.commasBeforeAmp&gt;2,"etal",TRIM(_xlfn.TEXTBEFORE(_xlfn.TEXTAFTER(_xlpm.authors,"&amp; "),","))))
)</f>
      </c>
      <c r="I94" t="str">
        <f>_xlfn.TEXTBEFORE(_xlfn.TEXTAFTER(A94, "("), ")")</f>
        <v>2007</v>
      </c>
      <c r="J94" t="str">
        <f>_xlfn.LET(
_xlpm.doi,IF(C94&lt;&gt;"",C94,_xlfn.TEXTAFTER(A94,"https://doi.org/")),
SUBSTITUTE(
SUBSTITUTE(
SUBSTITUTE(
SUBSTITUTE(
_xlpm.doi,
"/","%2F"),
":","%3A"),
"&lt;","%3C"),
"&gt;","%3E")
)</f>
        <v>10.1186%2F1741-7007-5-18</v>
      </c>
      <c r="K94" t="str">
        <f>TRIM(_xlfn.TEXTJOIN("_",FALSE,F94,(SUBSTITUTE(SUBSTITUTE(D94," ",""), "_", ""))))</f>
        <v>Karbowski__2007_Table1</v>
      </c>
      <c r="L94" t="str">
        <f>J94 &amp; "_" &amp; SUBSTITUTE(SUBSTITUTE(SUBSTITUTE(D94,CHAR(160),"")," ",""),"_","")</f>
        <v>10.1186%2F1741-7007-5-18_Table1</v>
      </c>
      <c r="M94" t="str">
        <f t="array" ref="M94">IFERROR(INDEX(FileList!$A$1:$A$100,MATCH(TRUE,EXACT(L94,_xlfn.TEXTBEFORE(FileList!$A$1:$A$100,".tsv")),0)),"notfound")</f>
        <v>notfound</v>
      </c>
      <c r="N94" s="2" t="s">
        <v>430</v>
      </c>
      <c r="V94" s="2" t="s">
        <v>40</v>
      </c>
      <c r="AG94" s="2" t="s">
        <v>431</v>
      </c>
      <c r="AI94" s="2" t="s">
        <v>432</v>
      </c>
      <c r="AJ94" s="2" t="s">
        <v>118</v>
      </c>
      <c r="AK94" s="2" t="s">
        <v>61</v>
      </c>
      <c r="AL94" s="2" t="s">
        <v>119</v>
      </c>
      <c r="AM94" s="2" t="s">
        <v>433</v>
      </c>
    </row>
    <row r="95">
      <c r="A95" s="2" t="s">
        <v>434</v>
      </c>
      <c r="D95" s="2" t="s">
        <v>46</v>
      </c>
      <c r="E95" t="str">
        <f>RIGHT(A95,1)</f>
        <v>9</v>
      </c>
      <c r="F95" t="str">
        <f>G95 &amp; IF(H95&lt;&gt;"", "_" &amp; H95, "_") &amp; IF(I95&lt;&gt;"", "_" &amp; I95, "_") &amp; IF(B95&lt;&gt;"", "_" &amp; B95, "")</f>
        <v>Karl_etal_2024</v>
      </c>
      <c r="G95" t="str">
        <f>SUBSTITUTE(SUBSTITUTE(_xlfn.TEXTBEFORE(A95,","), "-", ""), " ", "")</f>
        <v>Karl</v>
      </c>
      <c r="H95" t="str">
        <f>_xlfn.LET(
_xlpm.authors,_xlfn.TEXTBEFORE(A95," ("&amp;I95&amp;")"),
_xlpm.hasAmp,ISNUMBER(SEARCH("&amp;",_xlpm.authors)),
_xlpm.commasBeforeAmp,IF(_xlpm.hasAmp,LEN(_xlfn.TEXTBEFORE(_xlpm.authors,"&amp;"))-LEN(SUBSTITUTE(_xlfn.TEXTBEFORE(_xlpm.authors,"&amp;"),",","")),0),
IF(NOT(_xlpm.hasAmp),"",IF(_xlpm.commasBeforeAmp&gt;2,"etal",TRIM(_xlfn.TEXTBEFORE(_xlfn.TEXTAFTER(_xlpm.authors,"&amp; "),","))))
)</f>
        <v>etal</v>
      </c>
      <c r="I95" t="str">
        <f>_xlfn.TEXTBEFORE(_xlfn.TEXTAFTER(A95, "("), ")")</f>
        <v>2024</v>
      </c>
      <c r="J95" t="str">
        <f>_xlfn.LET(
_xlpm.doi,IF(C95&lt;&gt;"",C95,_xlfn.TEXTAFTER(A95,"https://doi.org/")),
SUBSTITUTE(
SUBSTITUTE(
SUBSTITUTE(
SUBSTITUTE(
_xlpm.doi,
"/","%2F"),
":","%3A"),
"&lt;","%3C"),
"&gt;","%3E")
)</f>
        <v>10.1002%2Fcne.25669</v>
      </c>
      <c r="K95" t="str">
        <f>TRIM(_xlfn.TEXTJOIN("_",FALSE,F95,(SUBSTITUTE(SUBSTITUTE(D95," ",""), "_", ""))))</f>
        <v>Karl_etal_2024_TABLE1</v>
      </c>
      <c r="L95" t="str">
        <f>J95 &amp; "_" &amp; SUBSTITUTE(SUBSTITUTE(SUBSTITUTE(D95,CHAR(160),"")," ",""),"_","")</f>
        <v>10.1002%2Fcne.25669_TABLE1</v>
      </c>
      <c r="M95" t="str">
        <f t="array" ref="M95">IFERROR(INDEX(FileList!$A$1:$A$100,MATCH(TRUE,EXACT(L95,_xlfn.TEXTBEFORE(FileList!$A$1:$A$100,".tsv")),0)),"notfound")</f>
        <v>10.1002%2Fcne.25669_TABLE1.tsv</v>
      </c>
      <c r="N95" s="2" t="s">
        <v>435</v>
      </c>
      <c r="P95" s="2" t="s">
        <v>48</v>
      </c>
      <c r="U95" s="2" t="s">
        <v>53</v>
      </c>
      <c r="V95" s="2" t="s">
        <v>40</v>
      </c>
      <c r="W95" s="2" t="s">
        <v>182</v>
      </c>
      <c r="AI95" s="2" t="s">
        <v>436</v>
      </c>
      <c r="AJ95" s="2" t="s">
        <v>118</v>
      </c>
      <c r="AK95" s="2" t="s">
        <v>61</v>
      </c>
      <c r="AL95" s="2" t="s">
        <v>61</v>
      </c>
      <c r="AM95" s="2" t="s">
        <v>436</v>
      </c>
    </row>
    <row r="96" ht="15.75" customHeight="1">
      <c r="A96" s="2" t="s">
        <v>437</v>
      </c>
      <c r="C96" s="2" t="s">
        <v>438</v>
      </c>
      <c r="D96" s="2" t="s">
        <v>78</v>
      </c>
      <c r="E96" t="str">
        <f>RIGHT(A96,1)</f>
        <v>.</v>
      </c>
      <c r="F96" t="str">
        <f>G96 &amp; IF(H96&lt;&gt;"", "_" &amp; H96, "_") &amp; IF(I96&lt;&gt;"", "_" &amp; I96, "_") &amp; IF(B96&lt;&gt;"", "_" &amp; B96, "")</f>
        <v>Kaufman__2004</v>
      </c>
      <c r="G96" t="str">
        <f>SUBSTITUTE(SUBSTITUTE(_xlfn.TEXTBEFORE(A96,","), "-", ""), " ", "")</f>
        <v>Kaufman</v>
      </c>
      <c r="H96" t="str">
        <f>_xlfn.LET(
_xlpm.authors,_xlfn.TEXTBEFORE(A96," ("&amp;I96&amp;")"),
_xlpm.hasAmp,ISNUMBER(SEARCH("&amp;",_xlpm.authors)),
_xlpm.commasBeforeAmp,IF(_xlpm.hasAmp,LEN(_xlfn.TEXTBEFORE(_xlpm.authors,"&amp;"))-LEN(SUBSTITUTE(_xlfn.TEXTBEFORE(_xlpm.authors,"&amp;"),",","")),0),
IF(NOT(_xlpm.hasAmp),"",IF(_xlpm.commasBeforeAmp&gt;2,"etal",TRIM(_xlfn.TEXTBEFORE(_xlfn.TEXTAFTER(_xlpm.authors,"&amp; "),","))))
)</f>
      </c>
      <c r="I96" t="str">
        <f>_xlfn.TEXTBEFORE(_xlfn.TEXTAFTER(A96, "("), ")")</f>
        <v>2004</v>
      </c>
      <c r="J96" t="str">
        <f>_xlfn.LET(
_xlpm.doi,IF(C96&lt;&gt;"",C96,_xlfn.TEXTAFTER(A96,"https://doi.org/")),
SUBSTITUTE(
SUBSTITUTE(
SUBSTITUTE(
SUBSTITUTE(
_xlpm.doi,
"/","%2F"),
":","%3A"),
"&lt;","%3C"),
"&gt;","%3E")
)</f>
        <v>UMI%3A3147447</v>
      </c>
      <c r="K96" t="str">
        <f>TRIM(_xlfn.TEXTJOIN("_",FALSE,F96,(SUBSTITUTE(SUBSTITUTE(D96," ",""), "_", ""))))</f>
        <v>Kaufman__2004_Table1</v>
      </c>
      <c r="L96" t="str">
        <f>J96 &amp; "_" &amp; SUBSTITUTE(SUBSTITUTE(SUBSTITUTE(D96,CHAR(160),"")," ",""),"_","")</f>
        <v>UMI%3A3147447_Table1</v>
      </c>
      <c r="M96" t="str">
        <f t="array" ref="M96">IFERROR(INDEX(FileList!$A$1:$A$100,MATCH(TRUE,EXACT(L96,_xlfn.TEXTBEFORE(FileList!$A$1:$A$100,".tsv")),0)),"notfound")</f>
        <v>notfound</v>
      </c>
      <c r="V96" s="2" t="s">
        <v>40</v>
      </c>
      <c r="AB96" s="2" t="s">
        <v>439</v>
      </c>
      <c r="AI96" s="2" t="s">
        <v>440</v>
      </c>
      <c r="AJ96" s="2" t="s">
        <v>118</v>
      </c>
      <c r="AK96" s="2" t="s">
        <v>61</v>
      </c>
      <c r="AL96" s="2" t="s">
        <v>119</v>
      </c>
      <c r="AM96" s="2" t="s">
        <v>441</v>
      </c>
    </row>
    <row r="97" ht="15.75" customHeight="1">
      <c r="A97" s="2" t="s">
        <v>666</v>
      </c>
      <c r="C97" s="3"/>
      <c r="D97" s="2" t="s">
        <v>677</v>
      </c>
      <c r="E97" t="str">
        <f>RIGHT(A97,1)</f>
        <v>0</v>
      </c>
      <c r="F97" t="str">
        <f>G97 &amp; IF(H97&lt;&gt;"", "_" &amp; H97, "_") &amp; IF(I97&lt;&gt;"", "_" &amp; I97, "_") &amp; IF(B97&lt;&gt;"", "_" &amp; B97, "")</f>
        <v>Kochiyama_etal_2018</v>
      </c>
      <c r="G97" t="str">
        <f>SUBSTITUTE(SUBSTITUTE(_xlfn.TEXTBEFORE(A97,","), "-", ""), " ", "")</f>
        <v>Kochiyama</v>
      </c>
      <c r="H97" t="str">
        <f>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v>etal</v>
      </c>
      <c r="I97" t="str">
        <f>_xlfn.TEXTBEFORE(_xlfn.TEXTAFTER(A97, "("), ")")</f>
        <v>2018</v>
      </c>
      <c r="J97" t="str">
        <f>_xlfn.LET(
_xlpm.doi,IF(C97&lt;&gt;"",C97,_xlfn.TEXTAFTER(A97,"https://doi.org/")),
SUBSTITUTE(
SUBSTITUTE(
SUBSTITUTE(
SUBSTITUTE(
_xlpm.doi,
"/","%2F"),
":","%3A"),
"&lt;","%3C"),
"&gt;","%3E")
)</f>
        <v>10.1038%2Fs41598-018-24331-0</v>
      </c>
      <c r="K97" t="str">
        <f>TRIM(_xlfn.TEXTJOIN("_",FALSE,F97,(SUBSTITUTE(SUBSTITUTE(D97," ",""), "_", ""))))</f>
        <v>Kochiyama_etal_2018_ExtendedDataFigure4</v>
      </c>
      <c r="L97" t="str">
        <f>J97 &amp; "_" &amp; SUBSTITUTE(SUBSTITUTE(SUBSTITUTE(D97,CHAR(160),"")," ",""),"_","")</f>
        <v>10.1038%2Fs41598-018-24331-0_ExtendedDataFigure4</v>
      </c>
      <c r="M97" t="str">
        <f t="array" ref="M97">IFERROR(INDEX(FileList!$A$1:$A$100,MATCH(TRUE,EXACT(L97,_xlfn.TEXTBEFORE(FileList!$A$1:$A$100,".tsv")),0)),"notfound")</f>
        <v>10.1038%2Fs41598-018-24331-0_ExtendedDataFigure4.tsv</v>
      </c>
      <c r="N97" s="3" t="s">
        <v>676</v>
      </c>
      <c r="O97" t="s">
        <v>675</v>
      </c>
      <c r="V97" s="2" t="s">
        <v>679</v>
      </c>
      <c r="AB97" s="3"/>
      <c r="AI97" s="2"/>
      <c r="AJ97" s="2"/>
      <c r="AK97" s="2"/>
      <c r="AL97" s="2"/>
      <c r="AM97" s="2"/>
    </row>
    <row r="98" ht="15.75" customHeight="1">
      <c r="A98" s="2" t="s">
        <v>666</v>
      </c>
      <c r="C98" s="3"/>
      <c r="D98" s="2" t="s">
        <v>681</v>
      </c>
      <c r="E98" t="str">
        <f>RIGHT(A98,1)</f>
        <v>0</v>
      </c>
      <c r="F98" t="str">
        <f>G98 &amp; IF(H98&lt;&gt;"", "_" &amp; H98, "_") &amp; IF(I98&lt;&gt;"", "_" &amp; I98, "_") &amp; IF(B98&lt;&gt;"", "_" &amp; B98, "")</f>
        <v>Kochiyama_etal_2018</v>
      </c>
      <c r="G98" t="str">
        <f>SUBSTITUTE(SUBSTITUTE(_xlfn.TEXTBEFORE(A98,","), "-", ""), " ", "")</f>
        <v>Kochiyama</v>
      </c>
      <c r="H98" t="str">
        <f>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etal</v>
      </c>
      <c r="I98" t="str">
        <f>_xlfn.TEXTBEFORE(_xlfn.TEXTAFTER(A98, "("), ")")</f>
        <v>2018</v>
      </c>
      <c r="J98" t="str">
        <f>_xlfn.LET(
_xlpm.doi,IF(C98&lt;&gt;"",C98,_xlfn.TEXTAFTER(A98,"https://doi.org/")),
SUBSTITUTE(
SUBSTITUTE(
SUBSTITUTE(
SUBSTITUTE(
_xlpm.doi,
"/","%2F"),
":","%3A"),
"&lt;","%3C"),
"&gt;","%3E")
)</f>
        <v>10.1038%2Fs41598-018-24331-0</v>
      </c>
      <c r="K98" t="str">
        <f>TRIM(_xlfn.TEXTJOIN("_",FALSE,F98,(SUBSTITUTE(SUBSTITUTE(D98," ",""), "_", ""))))</f>
        <v>Kochiyama_etal_2018_ExtendedDataTable1</v>
      </c>
      <c r="L98" t="str">
        <f>J98 &amp; "_" &amp; SUBSTITUTE(SUBSTITUTE(SUBSTITUTE(D98,CHAR(160),"")," ",""),"_","")</f>
        <v>10.1038%2Fs41598-018-24331-0_ExtendedDataTable1</v>
      </c>
      <c r="M98" t="str">
        <f t="array" ref="M98">IFERROR(INDEX(FileList!$A$1:$A$100,MATCH(TRUE,EXACT(L98,_xlfn.TEXTBEFORE(FileList!$A$1:$A$100,".tsv")),0)),"notfound")</f>
        <v>10.1038%2Fs41598-018-24331-0_ExtendedDataTable1.tsv</v>
      </c>
      <c r="N98" s="3" t="s">
        <v>680</v>
      </c>
      <c r="V98" s="2" t="s">
        <v>40</v>
      </c>
      <c r="AB98" s="3"/>
      <c r="AI98" s="2"/>
      <c r="AJ98" s="2"/>
      <c r="AK98" s="2"/>
      <c r="AL98" s="2"/>
      <c r="AM98" s="2"/>
    </row>
    <row r="99" ht="15.75" customHeight="1">
      <c r="A99" s="2" t="s">
        <v>666</v>
      </c>
      <c r="C99" s="3"/>
      <c r="D99" s="2" t="s">
        <v>683</v>
      </c>
      <c r="E99" t="str">
        <f>RIGHT(A99,1)</f>
        <v>0</v>
      </c>
      <c r="F99" t="str">
        <f>G99 &amp; IF(H99&lt;&gt;"", "_" &amp; H99, "_") &amp; IF(I99&lt;&gt;"", "_" &amp; I99, "_") &amp; IF(B99&lt;&gt;"", "_" &amp; B99, "")</f>
        <v>Kochiyama_etal_2018</v>
      </c>
      <c r="G99" t="str">
        <f>SUBSTITUTE(SUBSTITUTE(_xlfn.TEXTBEFORE(A99,","), "-", ""), " ", "")</f>
        <v>Kochiyama</v>
      </c>
      <c r="H99" t="str">
        <f>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v>etal</v>
      </c>
      <c r="I99" t="str">
        <f>_xlfn.TEXTBEFORE(_xlfn.TEXTAFTER(A99, "("), ")")</f>
        <v>2018</v>
      </c>
      <c r="J99" t="str">
        <f>_xlfn.LET(
_xlpm.doi,IF(C99&lt;&gt;"",C99,_xlfn.TEXTAFTER(A99,"https://doi.org/")),
SUBSTITUTE(
SUBSTITUTE(
SUBSTITUTE(
SUBSTITUTE(
_xlpm.doi,
"/","%2F"),
":","%3A"),
"&lt;","%3C"),
"&gt;","%3E")
)</f>
        <v>10.1038%2Fs41598-018-24331-0</v>
      </c>
      <c r="K99" t="str">
        <f>TRIM(_xlfn.TEXTJOIN("_",FALSE,F99,(SUBSTITUTE(SUBSTITUTE(D99," ",""), "_", ""))))</f>
        <v>Kochiyama_etal_2018_ExtendedDataTable3</v>
      </c>
      <c r="L99" t="str">
        <f>J99 &amp; "_" &amp; SUBSTITUTE(SUBSTITUTE(SUBSTITUTE(D99,CHAR(160),"")," ",""),"_","")</f>
        <v>10.1038%2Fs41598-018-24331-0_ExtendedDataTable3</v>
      </c>
      <c r="M99" t="str">
        <f t="array" ref="M99">IFERROR(INDEX(FileList!$A$1:$A$100,MATCH(TRUE,EXACT(L99,_xlfn.TEXTBEFORE(FileList!$A$1:$A$100,".tsv")),0)),"notfound")</f>
        <v>10.1038%2Fs41598-018-24331-0_ExtendedDataTable3.tsv</v>
      </c>
      <c r="N99" s="3" t="s">
        <v>682</v>
      </c>
      <c r="V99" s="2" t="s">
        <v>40</v>
      </c>
      <c r="AB99" s="3"/>
      <c r="AI99" s="2"/>
      <c r="AJ99" s="2"/>
      <c r="AK99" s="2"/>
      <c r="AL99" s="2"/>
      <c r="AM99" s="2"/>
    </row>
    <row r="100" ht="15.75" customHeight="1">
      <c r="A100" s="2" t="s">
        <v>666</v>
      </c>
      <c r="C100" s="3"/>
      <c r="D100" s="2" t="s">
        <v>673</v>
      </c>
      <c r="E100" t="str">
        <f>RIGHT(A100,1)</f>
        <v>0</v>
      </c>
      <c r="F100" t="str">
        <f>G100 &amp; IF(H100&lt;&gt;"", "_" &amp; H100, "_") &amp; IF(I100&lt;&gt;"", "_" &amp; I100, "_") &amp; IF(B100&lt;&gt;"", "_" &amp; B100, "")</f>
        <v>Kochiyama_etal_2018</v>
      </c>
      <c r="G100" t="str">
        <f>SUBSTITUTE(SUBSTITUTE(_xlfn.TEXTBEFORE(A100,","), "-", ""), " ", "")</f>
        <v>Kochiyama</v>
      </c>
      <c r="H100" t="str">
        <f>_xlfn.LET(
_xlpm.authors,_xlfn.TEXTBEFORE(A100," ("&amp;I100&amp;")"),
_xlpm.hasAmp,ISNUMBER(SEARCH("&amp;",_xlpm.authors)),
_xlpm.commasBeforeAmp,IF(_xlpm.hasAmp,LEN(_xlfn.TEXTBEFORE(_xlpm.authors,"&amp;"))-LEN(SUBSTITUTE(_xlfn.TEXTBEFORE(_xlpm.authors,"&amp;"),",","")),0),
IF(NOT(_xlpm.hasAmp),"",IF(_xlpm.commasBeforeAmp&gt;2,"etal",TRIM(_xlfn.TEXTBEFORE(_xlfn.TEXTAFTER(_xlpm.authors,"&amp; "),","))))
)</f>
        <v>etal</v>
      </c>
      <c r="I100" t="str">
        <f>_xlfn.TEXTBEFORE(_xlfn.TEXTAFTER(A100, "("), ")")</f>
        <v>2018</v>
      </c>
      <c r="J100" t="str">
        <f>_xlfn.LET(
_xlpm.doi,IF(C100&lt;&gt;"",C100,_xlfn.TEXTAFTER(A100,"https://doi.org/")),
SUBSTITUTE(
SUBSTITUTE(
SUBSTITUTE(
SUBSTITUTE(
_xlpm.doi,
"/","%2F"),
":","%3A"),
"&lt;","%3C"),
"&gt;","%3E")
)</f>
        <v>10.1038%2Fs41598-018-24331-0</v>
      </c>
      <c r="K100" t="str">
        <f>TRIM(_xlfn.TEXTJOIN("_",FALSE,F100,(SUBSTITUTE(SUBSTITUTE(D100," ",""), "_", ""))))</f>
        <v>Kochiyama_etal_2018_Figure3legend</v>
      </c>
      <c r="L100" t="str">
        <f>J100 &amp; "_" &amp; SUBSTITUTE(SUBSTITUTE(SUBSTITUTE(D100,CHAR(160),"")," ",""),"_","")</f>
        <v>10.1038%2Fs41598-018-24331-0_Figure3legend</v>
      </c>
      <c r="M100" t="str">
        <f t="array" ref="M100">IFERROR(INDEX(FileList!$A$1:$A$100,MATCH(TRUE,EXACT(L100,_xlfn.TEXTBEFORE(FileList!$A$1:$A$100,".tsv")),0)),"notfound")</f>
        <v>10.1038%2Fs41598-018-24331-0_Figure3legend.tsv</v>
      </c>
      <c r="N100" s="3" t="s">
        <v>667</v>
      </c>
      <c r="O100" t="s">
        <v>674</v>
      </c>
      <c r="V100" s="2" t="s">
        <v>678</v>
      </c>
      <c r="AB100" s="3"/>
      <c r="AI100" s="2"/>
      <c r="AJ100" s="2"/>
      <c r="AK100" s="2"/>
      <c r="AL100" s="2"/>
      <c r="AM100" s="2"/>
    </row>
    <row r="101" ht="15.75" customHeight="1">
      <c r="A101" s="2" t="s">
        <v>666</v>
      </c>
      <c r="C101" s="3"/>
      <c r="D101" s="2" t="s">
        <v>804</v>
      </c>
      <c r="E101" t="str">
        <f>RIGHT(A101,1)</f>
        <v>0</v>
      </c>
      <c r="F101" t="str">
        <f>G101 &amp; IF(H101&lt;&gt;"", "_" &amp; H101, "_") &amp; IF(I101&lt;&gt;"", "_" &amp; I101, "_") &amp; IF(B101&lt;&gt;"", "_" &amp; B101, "")</f>
        <v>Kochiyama_etal_2018</v>
      </c>
      <c r="G101" t="str">
        <f>SUBSTITUTE(SUBSTITUTE(_xlfn.TEXTBEFORE(A101,","), "-", ""), " ", "")</f>
        <v>Kochiyama</v>
      </c>
      <c r="H101" t="str">
        <f>_xlfn.LET(
_xlpm.authors,_xlfn.TEXTBEFORE(A101," ("&amp;I101&amp;")"),
_xlpm.hasAmp,ISNUMBER(SEARCH("&amp;",_xlpm.authors)),
_xlpm.commasBeforeAmp,IF(_xlpm.hasAmp,LEN(_xlfn.TEXTBEFORE(_xlpm.authors,"&amp;"))-LEN(SUBSTITUTE(_xlfn.TEXTBEFORE(_xlpm.authors,"&amp;"),",","")),0),
IF(NOT(_xlpm.hasAmp),"",IF(_xlpm.commasBeforeAmp&gt;2,"etal",TRIM(_xlfn.TEXTBEFORE(_xlfn.TEXTAFTER(_xlpm.authors,"&amp; "),","))))
)</f>
        <v>etal</v>
      </c>
      <c r="I101" t="str">
        <f>_xlfn.TEXTBEFORE(_xlfn.TEXTAFTER(A101, "("), ")")</f>
        <v>2018</v>
      </c>
      <c r="J101" t="str">
        <f>_xlfn.LET(
_xlpm.doi,IF(C101&lt;&gt;"",C101,_xlfn.TEXTAFTER(A101,"https://doi.org/")),
SUBSTITUTE(
SUBSTITUTE(
SUBSTITUTE(
SUBSTITUTE(
_xlpm.doi,
"/","%2F"),
":","%3A"),
"&lt;","%3C"),
"&gt;","%3E")
)</f>
        <v>10.1038%2Fs41598-018-24331-0</v>
      </c>
      <c r="K101" t="str">
        <f>TRIM(_xlfn.TEXTJOIN("_",FALSE,F101,(SUBSTITUTE(SUBSTITUTE(D101," ",""), "_", ""))))</f>
        <v>Kochiyama_etal_2018_Figure3A</v>
      </c>
      <c r="L101" t="str">
        <f>J101 &amp; "_" &amp; SUBSTITUTE(SUBSTITUTE(SUBSTITUTE(D101,CHAR(160),"")," ",""),"_","")</f>
        <v>10.1038%2Fs41598-018-24331-0_Figure3A</v>
      </c>
      <c r="M101" t="str">
        <f t="array" ref="M101">IFERROR(INDEX(FileList!$A$1:$A$100,MATCH(TRUE,EXACT(L101,_xlfn.TEXTBEFORE(FileList!$A$1:$A$100,".tsv")),0)),"notfound")</f>
        <v>notfound</v>
      </c>
      <c r="N101" s="3" t="s">
        <v>667</v>
      </c>
      <c r="O101" t="s">
        <v>675</v>
      </c>
      <c r="V101" s="2" t="s">
        <v>679</v>
      </c>
      <c r="AB101" s="3"/>
      <c r="AI101" s="2"/>
      <c r="AJ101" s="2"/>
      <c r="AK101" s="2"/>
      <c r="AL101" s="2"/>
      <c r="AM101" s="2"/>
    </row>
    <row r="102" ht="15.75" customHeight="1">
      <c r="A102" s="2" t="s">
        <v>666</v>
      </c>
      <c r="C102" s="3"/>
      <c r="D102" s="2" t="s">
        <v>805</v>
      </c>
      <c r="E102" t="str">
        <f>RIGHT(A102,1)</f>
        <v>0</v>
      </c>
      <c r="F102" t="str">
        <f>G102 &amp; IF(H102&lt;&gt;"", "_" &amp; H102, "_") &amp; IF(I102&lt;&gt;"", "_" &amp; I102, "_") &amp; IF(B102&lt;&gt;"", "_" &amp; B102, "")</f>
        <v>Kochiyama_etal_2018</v>
      </c>
      <c r="G102" t="str">
        <f>SUBSTITUTE(SUBSTITUTE(_xlfn.TEXTBEFORE(A102,","), "-", ""), " ", "")</f>
        <v>Kochiyama</v>
      </c>
      <c r="H102" t="str">
        <f>_xlfn.LET(
_xlpm.authors,_xlfn.TEXTBEFORE(A102," ("&amp;I102&amp;")"),
_xlpm.hasAmp,ISNUMBER(SEARCH("&amp;",_xlpm.authors)),
_xlpm.commasBeforeAmp,IF(_xlpm.hasAmp,LEN(_xlfn.TEXTBEFORE(_xlpm.authors,"&amp;"))-LEN(SUBSTITUTE(_xlfn.TEXTBEFORE(_xlpm.authors,"&amp;"),",","")),0),
IF(NOT(_xlpm.hasAmp),"",IF(_xlpm.commasBeforeAmp&gt;2,"etal",TRIM(_xlfn.TEXTBEFORE(_xlfn.TEXTAFTER(_xlpm.authors,"&amp; "),","))))
)</f>
        <v>etal</v>
      </c>
      <c r="I102" t="str">
        <f>_xlfn.TEXTBEFORE(_xlfn.TEXTAFTER(A102, "("), ")")</f>
        <v>2018</v>
      </c>
      <c r="J102" t="str">
        <f>_xlfn.LET(
_xlpm.doi,IF(C102&lt;&gt;"",C102,_xlfn.TEXTAFTER(A102,"https://doi.org/")),
SUBSTITUTE(
SUBSTITUTE(
SUBSTITUTE(
SUBSTITUTE(
_xlpm.doi,
"/","%2F"),
":","%3A"),
"&lt;","%3C"),
"&gt;","%3E")
)</f>
        <v>10.1038%2Fs41598-018-24331-0</v>
      </c>
      <c r="K102" t="str">
        <f>TRIM(_xlfn.TEXTJOIN("_",FALSE,F102,(SUBSTITUTE(SUBSTITUTE(D102," ",""), "_", ""))))</f>
        <v>Kochiyama_etal_2018_Figure3B</v>
      </c>
      <c r="L102" t="str">
        <f>J102 &amp; "_" &amp; SUBSTITUTE(SUBSTITUTE(SUBSTITUTE(D102,CHAR(160),"")," ",""),"_","")</f>
        <v>10.1038%2Fs41598-018-24331-0_Figure3B</v>
      </c>
      <c r="M102" t="str">
        <f t="array" ref="M102">IFERROR(INDEX(FileList!$A$1:$A$100,MATCH(TRUE,EXACT(L102,_xlfn.TEXTBEFORE(FileList!$A$1:$A$100,".tsv")),0)),"notfound")</f>
        <v>notfound</v>
      </c>
      <c r="N102" s="3" t="s">
        <v>667</v>
      </c>
      <c r="O102" t="s">
        <v>675</v>
      </c>
      <c r="V102" s="2" t="s">
        <v>679</v>
      </c>
      <c r="AB102" s="3"/>
      <c r="AI102" s="2"/>
      <c r="AJ102" s="2"/>
      <c r="AK102" s="2"/>
      <c r="AL102" s="2"/>
      <c r="AM102" s="2"/>
    </row>
    <row r="103" ht="15.75" customHeight="1">
      <c r="A103" s="2" t="s">
        <v>666</v>
      </c>
      <c r="C103" s="3"/>
      <c r="D103" s="2" t="s">
        <v>685</v>
      </c>
      <c r="E103" t="str">
        <f>RIGHT(A103,1)</f>
        <v>0</v>
      </c>
      <c r="F103" t="str">
        <f>G103 &amp; IF(H103&lt;&gt;"", "_" &amp; H103, "_") &amp; IF(I103&lt;&gt;"", "_" &amp; I103, "_") &amp; IF(B103&lt;&gt;"", "_" &amp; B103, "")</f>
        <v>Kochiyama_etal_2018</v>
      </c>
      <c r="G103" t="str">
        <f>SUBSTITUTE(SUBSTITUTE(_xlfn.TEXTBEFORE(A103,","), "-", ""), " ", "")</f>
        <v>Kochiyama</v>
      </c>
      <c r="H103" t="str">
        <f>_xlfn.LET(
_xlpm.authors,_xlfn.TEXTBEFORE(A103," ("&amp;I103&amp;")"),
_xlpm.hasAmp,ISNUMBER(SEARCH("&amp;",_xlpm.authors)),
_xlpm.commasBeforeAmp,IF(_xlpm.hasAmp,LEN(_xlfn.TEXTBEFORE(_xlpm.authors,"&amp;"))-LEN(SUBSTITUTE(_xlfn.TEXTBEFORE(_xlpm.authors,"&amp;"),",","")),0),
IF(NOT(_xlpm.hasAmp),"",IF(_xlpm.commasBeforeAmp&gt;2,"etal",TRIM(_xlfn.TEXTBEFORE(_xlfn.TEXTAFTER(_xlpm.authors,"&amp; "),","))))
)</f>
        <v>etal</v>
      </c>
      <c r="I103" t="str">
        <f>_xlfn.TEXTBEFORE(_xlfn.TEXTAFTER(A103, "("), ")")</f>
        <v>2018</v>
      </c>
      <c r="J103" t="str">
        <f>_xlfn.LET(
_xlpm.doi,IF(C103&lt;&gt;"",C103,_xlfn.TEXTAFTER(A103,"https://doi.org/")),
SUBSTITUTE(
SUBSTITUTE(
SUBSTITUTE(
SUBSTITUTE(
_xlpm.doi,
"/","%2F"),
":","%3A"),
"&lt;","%3C"),
"&gt;","%3E")
)</f>
        <v>10.1038%2Fs41598-018-24331-0</v>
      </c>
      <c r="K103" t="str">
        <f>TRIM(_xlfn.TEXTJOIN("_",FALSE,F103,(SUBSTITUTE(SUBSTITUTE(D103," ",""), "_", ""))))</f>
        <v>Kochiyama_etal_2018_FossilSpecimensText</v>
      </c>
      <c r="L103" t="str">
        <f>J103 &amp; "_" &amp; SUBSTITUTE(SUBSTITUTE(SUBSTITUTE(D103,CHAR(160),"")," ",""),"_","")</f>
        <v>10.1038%2Fs41598-018-24331-0_FossilSpecimensText</v>
      </c>
      <c r="M103" t="str">
        <f t="array" ref="M103">IFERROR(INDEX(FileList!$A$1:$A$100,MATCH(TRUE,EXACT(L103,_xlfn.TEXTBEFORE(FileList!$A$1:$A$100,".tsv")),0)),"notfound")</f>
        <v>10.1038%2Fs41598-018-24331-0_FossilSpecimensText.tsv</v>
      </c>
      <c r="N103" s="3" t="s">
        <v>684</v>
      </c>
      <c r="O103" s="3" t="s">
        <v>686</v>
      </c>
      <c r="V103" s="2" t="s">
        <v>40</v>
      </c>
      <c r="AB103" s="3"/>
      <c r="AI103" s="2"/>
      <c r="AJ103" s="2"/>
      <c r="AK103" s="2"/>
      <c r="AL103" s="2"/>
      <c r="AM103" s="2"/>
    </row>
    <row r="104" ht="15.75" customHeight="1">
      <c r="A104" s="2" t="s">
        <v>442</v>
      </c>
      <c r="D104" s="2" t="s">
        <v>78</v>
      </c>
      <c r="E104" t="str">
        <f>RIGHT(A104,1)</f>
        <v>8</v>
      </c>
      <c r="F104" t="str">
        <f>G104 &amp; IF(H104&lt;&gt;"", "_" &amp; H104, "_") &amp; IF(I104&lt;&gt;"", "_" &amp; I104, "_") &amp; IF(B104&lt;&gt;"", "_" &amp; B104, "")</f>
        <v>Kverkova_etal_2018</v>
      </c>
      <c r="G104" t="str">
        <f>SUBSTITUTE(SUBSTITUTE(_xlfn.TEXTBEFORE(A104,","), "-", ""), " ", "")</f>
        <v>Kverkova</v>
      </c>
      <c r="H104" t="str">
        <f>_xlfn.LET(
_xlpm.authors,_xlfn.TEXTBEFORE(A104," ("&amp;I104&amp;")"),
_xlpm.hasAmp,ISNUMBER(SEARCH("&amp;",_xlpm.authors)),
_xlpm.commasBeforeAmp,IF(_xlpm.hasAmp,LEN(_xlfn.TEXTBEFORE(_xlpm.authors,"&amp;"))-LEN(SUBSTITUTE(_xlfn.TEXTBEFORE(_xlpm.authors,"&amp;"),",","")),0),
IF(NOT(_xlpm.hasAmp),"",IF(_xlpm.commasBeforeAmp&gt;2,"etal",TRIM(_xlfn.TEXTBEFORE(_xlfn.TEXTAFTER(_xlpm.authors,"&amp; "),","))))
)</f>
        <v>etal</v>
      </c>
      <c r="I104" t="str">
        <f>_xlfn.TEXTBEFORE(_xlfn.TEXTAFTER(A104, "("), ")")</f>
        <v>2018</v>
      </c>
      <c r="J104" t="str">
        <f>_xlfn.LET(
_xlpm.doi,IF(C104&lt;&gt;"",C104,_xlfn.TEXTAFTER(A104,"https://doi.org/")),
SUBSTITUTE(
SUBSTITUTE(
SUBSTITUTE(
SUBSTITUTE(
_xlpm.doi,
"/","%2F"),
":","%3A"),
"&lt;","%3C"),
"&gt;","%3E")
)</f>
        <v>10.1038%2Fs41598-018-26062-8</v>
      </c>
      <c r="K104" t="str">
        <f>TRIM(_xlfn.TEXTJOIN("_",FALSE,F104,(SUBSTITUTE(SUBSTITUTE(D104," ",""), "_", ""))))</f>
        <v>Kverkova_etal_2018_Table1</v>
      </c>
      <c r="L104" t="str">
        <f>J104 &amp; "_" &amp; SUBSTITUTE(SUBSTITUTE(SUBSTITUTE(D104,CHAR(160),"")," ",""),"_","")</f>
        <v>10.1038%2Fs41598-018-26062-8_Table1</v>
      </c>
      <c r="M104" t="str">
        <f t="array" ref="M104">IFERROR(INDEX(FileList!$A$1:$A$100,MATCH(TRUE,EXACT(L104,_xlfn.TEXTBEFORE(FileList!$A$1:$A$100,".tsv")),0)),"notfound")</f>
        <v>10.1038%2Fs41598-018-26062-8_Table1.tsv</v>
      </c>
      <c r="N104" s="2" t="s">
        <v>443</v>
      </c>
      <c r="P104" s="2" t="s">
        <v>48</v>
      </c>
      <c r="Q104" s="2" t="s">
        <v>49</v>
      </c>
      <c r="R104" s="2" t="s">
        <v>444</v>
      </c>
      <c r="S104" s="2" t="s">
        <v>51</v>
      </c>
      <c r="T104" s="2" t="s">
        <v>445</v>
      </c>
      <c r="U104" s="2" t="s">
        <v>446</v>
      </c>
      <c r="V104" s="2" t="s">
        <v>40</v>
      </c>
      <c r="Y104" s="2" t="s">
        <v>447</v>
      </c>
      <c r="Z104" s="2" t="s">
        <v>447</v>
      </c>
      <c r="AH104" s="2" t="s">
        <v>448</v>
      </c>
      <c r="AI104" s="2" t="s">
        <v>449</v>
      </c>
      <c r="AJ104" s="2" t="s">
        <v>450</v>
      </c>
      <c r="AK104" s="2" t="s">
        <v>61</v>
      </c>
      <c r="AL104" s="2" t="s">
        <v>61</v>
      </c>
      <c r="AM104" s="2" t="s">
        <v>451</v>
      </c>
    </row>
    <row r="105">
      <c r="A105" s="2" t="s">
        <v>442</v>
      </c>
      <c r="D105" s="2" t="s">
        <v>262</v>
      </c>
      <c r="E105" t="str">
        <f>RIGHT(A105,1)</f>
        <v>8</v>
      </c>
      <c r="F105" t="str">
        <f>G105 &amp; IF(H105&lt;&gt;"", "_" &amp; H105, "_") &amp; IF(I105&lt;&gt;"", "_" &amp; I105, "_") &amp; IF(B105&lt;&gt;"", "_" &amp; B105, "")</f>
        <v>Kverkova_etal_2018</v>
      </c>
      <c r="G105" t="str">
        <f>SUBSTITUTE(SUBSTITUTE(_xlfn.TEXTBEFORE(A105,","), "-", ""), " ", "")</f>
        <v>Kverkova</v>
      </c>
      <c r="H105" t="str">
        <f>_xlfn.LET(
_xlpm.authors,_xlfn.TEXTBEFORE(A105," ("&amp;I105&amp;")"),
_xlpm.hasAmp,ISNUMBER(SEARCH("&amp;",_xlpm.authors)),
_xlpm.commasBeforeAmp,IF(_xlpm.hasAmp,LEN(_xlfn.TEXTBEFORE(_xlpm.authors,"&amp;"))-LEN(SUBSTITUTE(_xlfn.TEXTBEFORE(_xlpm.authors,"&amp;"),",","")),0),
IF(NOT(_xlpm.hasAmp),"",IF(_xlpm.commasBeforeAmp&gt;2,"etal",TRIM(_xlfn.TEXTBEFORE(_xlfn.TEXTAFTER(_xlpm.authors,"&amp; "),","))))
)</f>
        <v>etal</v>
      </c>
      <c r="I105" t="str">
        <f>_xlfn.TEXTBEFORE(_xlfn.TEXTAFTER(A105, "("), ")")</f>
        <v>2018</v>
      </c>
      <c r="J105" t="str">
        <f>_xlfn.LET(
_xlpm.doi,IF(C105&lt;&gt;"",C105,_xlfn.TEXTAFTER(A105,"https://doi.org/")),
SUBSTITUTE(
SUBSTITUTE(
SUBSTITUTE(
SUBSTITUTE(
_xlpm.doi,
"/","%2F"),
":","%3A"),
"&lt;","%3C"),
"&gt;","%3E")
)</f>
        <v>10.1038%2Fs41598-018-26062-8</v>
      </c>
      <c r="K105" t="str">
        <f>TRIM(_xlfn.TEXTJOIN("_",FALSE,F105,(SUBSTITUTE(SUBSTITUTE(D105," ",""), "_", ""))))</f>
        <v>Kverkova_etal_2018_TableS1</v>
      </c>
      <c r="L105" t="str">
        <f>J105 &amp; "_" &amp; SUBSTITUTE(SUBSTITUTE(SUBSTITUTE(D105,CHAR(160),"")," ",""),"_","")</f>
        <v>10.1038%2Fs41598-018-26062-8_TableS1</v>
      </c>
      <c r="M105" t="str">
        <f t="array" ref="M105">IFERROR(INDEX(FileList!$A$1:$A$100,MATCH(TRUE,EXACT(L105,_xlfn.TEXTBEFORE(FileList!$A$1:$A$100,".tsv")),0)),"notfound")</f>
        <v>10.1038%2Fs41598-018-26062-8_TableS1.tsv</v>
      </c>
      <c r="N105" s="2" t="s">
        <v>452</v>
      </c>
      <c r="P105" s="2" t="s">
        <v>48</v>
      </c>
      <c r="Q105" s="2" t="s">
        <v>49</v>
      </c>
      <c r="R105" s="2" t="s">
        <v>453</v>
      </c>
      <c r="S105" s="2" t="s">
        <v>51</v>
      </c>
      <c r="T105" s="2" t="s">
        <v>445</v>
      </c>
      <c r="U105" s="2" t="s">
        <v>446</v>
      </c>
      <c r="V105" s="2" t="s">
        <v>40</v>
      </c>
      <c r="W105" s="2" t="s">
        <v>169</v>
      </c>
      <c r="X105" s="2" t="s">
        <v>454</v>
      </c>
      <c r="Y105" s="2" t="s">
        <v>447</v>
      </c>
      <c r="Z105" s="2" t="s">
        <v>447</v>
      </c>
      <c r="AH105" s="2" t="s">
        <v>448</v>
      </c>
      <c r="AI105" s="2" t="s">
        <v>381</v>
      </c>
      <c r="AJ105" s="2" t="s">
        <v>450</v>
      </c>
      <c r="AK105" s="2" t="s">
        <v>455</v>
      </c>
      <c r="AL105" s="2" t="s">
        <v>61</v>
      </c>
      <c r="AM105" s="2" t="s">
        <v>383</v>
      </c>
    </row>
    <row r="106">
      <c r="A106" s="2" t="s">
        <v>442</v>
      </c>
      <c r="D106" s="2" t="s">
        <v>456</v>
      </c>
      <c r="E106" t="str">
        <f>RIGHT(A106,1)</f>
        <v>8</v>
      </c>
      <c r="F106" t="str">
        <f>G106 &amp; IF(H106&lt;&gt;"", "_" &amp; H106, "_") &amp; IF(I106&lt;&gt;"", "_" &amp; I106, "_") &amp; IF(B106&lt;&gt;"", "_" &amp; B106, "")</f>
        <v>Kverkova_etal_2018</v>
      </c>
      <c r="G106" t="str">
        <f>SUBSTITUTE(SUBSTITUTE(_xlfn.TEXTBEFORE(A106,","), "-", ""), " ", "")</f>
        <v>Kverkova</v>
      </c>
      <c r="H106" t="str">
        <f>_xlfn.LET(
_xlpm.authors,_xlfn.TEXTBEFORE(A106," ("&amp;I106&amp;")"),
_xlpm.hasAmp,ISNUMBER(SEARCH("&amp;",_xlpm.authors)),
_xlpm.commasBeforeAmp,IF(_xlpm.hasAmp,LEN(_xlfn.TEXTBEFORE(_xlpm.authors,"&amp;"))-LEN(SUBSTITUTE(_xlfn.TEXTBEFORE(_xlpm.authors,"&amp;"),",","")),0),
IF(NOT(_xlpm.hasAmp),"",IF(_xlpm.commasBeforeAmp&gt;2,"etal",TRIM(_xlfn.TEXTBEFORE(_xlfn.TEXTAFTER(_xlpm.authors,"&amp; "),","))))
)</f>
        <v>etal</v>
      </c>
      <c r="I106" t="str">
        <f>_xlfn.TEXTBEFORE(_xlfn.TEXTAFTER(A106, "("), ")")</f>
        <v>2018</v>
      </c>
      <c r="J106" t="str">
        <f>_xlfn.LET(
_xlpm.doi,IF(C106&lt;&gt;"",C106,_xlfn.TEXTAFTER(A106,"https://doi.org/")),
SUBSTITUTE(
SUBSTITUTE(
SUBSTITUTE(
SUBSTITUTE(
_xlpm.doi,
"/","%2F"),
":","%3A"),
"&lt;","%3C"),
"&gt;","%3E")
)</f>
        <v>10.1038%2Fs41598-018-26062-8</v>
      </c>
      <c r="K106" t="str">
        <f>TRIM(_xlfn.TEXTJOIN("_",FALSE,F106,(SUBSTITUTE(SUBSTITUTE(D106," ",""), "_", ""))))</f>
        <v>Kverkova_etal_2018_TableS5</v>
      </c>
      <c r="L106" t="str">
        <f>J106 &amp; "_" &amp; SUBSTITUTE(SUBSTITUTE(SUBSTITUTE(D106,CHAR(160),"")," ",""),"_","")</f>
        <v>10.1038%2Fs41598-018-26062-8_TableS5</v>
      </c>
      <c r="M106" t="str">
        <f t="array" ref="M106">IFERROR(INDEX(FileList!$A$1:$A$100,MATCH(TRUE,EXACT(L106,_xlfn.TEXTBEFORE(FileList!$A$1:$A$100,".tsv")),0)),"notfound")</f>
        <v>10.1038%2Fs41598-018-26062-8_TableS5.tsv</v>
      </c>
      <c r="N106" s="2" t="s">
        <v>457</v>
      </c>
      <c r="P106" s="2" t="s">
        <v>48</v>
      </c>
      <c r="Q106" s="2" t="s">
        <v>49</v>
      </c>
      <c r="R106" s="2" t="s">
        <v>458</v>
      </c>
      <c r="S106" s="2" t="s">
        <v>51</v>
      </c>
      <c r="T106" s="2" t="s">
        <v>459</v>
      </c>
      <c r="U106" s="2" t="s">
        <v>460</v>
      </c>
      <c r="V106" s="2" t="s">
        <v>40</v>
      </c>
      <c r="W106" s="2" t="s">
        <v>169</v>
      </c>
      <c r="X106" s="2" t="s">
        <v>454</v>
      </c>
      <c r="Y106" s="2" t="s">
        <v>447</v>
      </c>
      <c r="Z106" s="2" t="s">
        <v>447</v>
      </c>
      <c r="AG106" s="2" t="s">
        <v>57</v>
      </c>
      <c r="AH106" s="2" t="s">
        <v>448</v>
      </c>
      <c r="AI106" s="2" t="s">
        <v>387</v>
      </c>
      <c r="AJ106" s="2" t="s">
        <v>450</v>
      </c>
      <c r="AK106" s="2" t="s">
        <v>61</v>
      </c>
      <c r="AL106" s="2" t="s">
        <v>61</v>
      </c>
      <c r="AM106" s="2" t="s">
        <v>62</v>
      </c>
    </row>
    <row r="107">
      <c r="A107" s="2" t="s">
        <v>461</v>
      </c>
      <c r="D107" s="2" t="s">
        <v>462</v>
      </c>
      <c r="E107" t="str">
        <f>RIGHT(A107,1)</f>
        <v>4</v>
      </c>
      <c r="F107" t="str">
        <f>G107 &amp; IF(H107&lt;&gt;"", "_" &amp; H107, "_") &amp; IF(I107&lt;&gt;"", "_" &amp; I107, "_") &amp; IF(B107&lt;&gt;"", "_" &amp; B107, "")</f>
        <v>Lewitus_etal_2013</v>
      </c>
      <c r="G107" t="str">
        <f>SUBSTITUTE(SUBSTITUTE(_xlfn.TEXTBEFORE(A107,","), "-", ""), " ", "")</f>
        <v>Lewitus</v>
      </c>
      <c r="H107" t="str">
        <f>_xlfn.LET(
_xlpm.authors,_xlfn.TEXTBEFORE(A107," ("&amp;I107&amp;")"),
_xlpm.hasAmp,ISNUMBER(SEARCH("&amp;",_xlpm.authors)),
_xlpm.commasBeforeAmp,IF(_xlpm.hasAmp,LEN(_xlfn.TEXTBEFORE(_xlpm.authors,"&amp;"))-LEN(SUBSTITUTE(_xlfn.TEXTBEFORE(_xlpm.authors,"&amp;"),",","")),0),
IF(NOT(_xlpm.hasAmp),"",IF(_xlpm.commasBeforeAmp&gt;2,"etal",TRIM(_xlfn.TEXTBEFORE(_xlfn.TEXTAFTER(_xlpm.authors,"&amp; "),","))))
)</f>
        <v>etal</v>
      </c>
      <c r="I107" t="str">
        <f>_xlfn.TEXTBEFORE(_xlfn.TEXTAFTER(A107, "("), ")")</f>
        <v>2013</v>
      </c>
      <c r="J107" t="str">
        <f>_xlfn.LET(
_xlpm.doi,IF(C107&lt;&gt;"",C107,_xlfn.TEXTAFTER(A107,"https://doi.org/")),
SUBSTITUTE(
SUBSTITUTE(
SUBSTITUTE(
SUBSTITUTE(
_xlpm.doi,
"/","%2F"),
":","%3A"),
"&lt;","%3C"),
"&gt;","%3E")
)</f>
        <v>10.3389%2Ffnhum.2013.00424</v>
      </c>
      <c r="K107" t="str">
        <f>TRIM(_xlfn.TEXTJOIN("_",FALSE,F107,(SUBSTITUTE(SUBSTITUTE(D107," ",""), "_", ""))))</f>
        <v>Lewitus_etal_2013_TableS2partial</v>
      </c>
      <c r="L107" t="str">
        <f>J107 &amp; "_" &amp; SUBSTITUTE(SUBSTITUTE(SUBSTITUTE(D107,CHAR(160),"")," ",""),"_","")</f>
        <v>10.3389%2Ffnhum.2013.00424_TableS2partial</v>
      </c>
      <c r="M107" t="str">
        <f t="array" ref="M107">IFERROR(INDEX(FileList!$A$1:$A$100,MATCH(TRUE,EXACT(L107,_xlfn.TEXTBEFORE(FileList!$A$1:$A$100,".tsv")),0)),"notfound")</f>
        <v>10.3389%2Ffnhum.2013.00424_TableS2partial.tsv</v>
      </c>
      <c r="Q107" s="2" t="s">
        <v>110</v>
      </c>
      <c r="AI107" s="2" t="s">
        <v>463</v>
      </c>
      <c r="AJ107" s="2" t="s">
        <v>118</v>
      </c>
      <c r="AL107" s="2" t="s">
        <v>61</v>
      </c>
      <c r="AM107" s="2" t="s">
        <v>464</v>
      </c>
    </row>
    <row r="108">
      <c r="A108" s="2" t="s">
        <v>465</v>
      </c>
      <c r="D108" s="2" t="s">
        <v>262</v>
      </c>
      <c r="E108" t="str">
        <f>RIGHT(A108,1)</f>
        <v>0</v>
      </c>
      <c r="F108" t="str">
        <f>G108 &amp; IF(H108&lt;&gt;"", "_" &amp; H108, "_") &amp; IF(I108&lt;&gt;"", "_" &amp; I108, "_") &amp; IF(B108&lt;&gt;"", "_" &amp; B108, "")</f>
        <v>Lewitus_etal_2014</v>
      </c>
      <c r="G108" t="str">
        <f>SUBSTITUTE(SUBSTITUTE(_xlfn.TEXTBEFORE(A108,","), "-", ""), " ", "")</f>
        <v>Lewitus</v>
      </c>
      <c r="H108" t="str">
        <f>_xlfn.LET(
_xlpm.authors,_xlfn.TEXTBEFORE(A108," ("&amp;I108&amp;")"),
_xlpm.hasAmp,ISNUMBER(SEARCH("&amp;",_xlpm.authors)),
_xlpm.commasBeforeAmp,IF(_xlpm.hasAmp,LEN(_xlfn.TEXTBEFORE(_xlpm.authors,"&amp;"))-LEN(SUBSTITUTE(_xlfn.TEXTBEFORE(_xlpm.authors,"&amp;"),",","")),0),
IF(NOT(_xlpm.hasAmp),"",IF(_xlpm.commasBeforeAmp&gt;2,"etal",TRIM(_xlfn.TEXTBEFORE(_xlfn.TEXTAFTER(_xlpm.authors,"&amp; "),","))))
)</f>
        <v>etal</v>
      </c>
      <c r="I108" t="str">
        <f>_xlfn.TEXTBEFORE(_xlfn.TEXTAFTER(A108, "("), ")")</f>
        <v>2014</v>
      </c>
      <c r="J108" t="str">
        <f>_xlfn.LET(
_xlpm.doi,IF(C108&lt;&gt;"",C108,_xlfn.TEXTAFTER(A108,"https://doi.org/")),
SUBSTITUTE(
SUBSTITUTE(
SUBSTITUTE(
SUBSTITUTE(
_xlpm.doi,
"/","%2F"),
":","%3A"),
"&lt;","%3C"),
"&gt;","%3E")
)</f>
        <v>10.1371%2Fjournal.pbio.1002000</v>
      </c>
      <c r="K108" t="str">
        <f>TRIM(_xlfn.TEXTJOIN("_",FALSE,F108,(SUBSTITUTE(SUBSTITUTE(D108," ",""), "_", ""))))</f>
        <v>Lewitus_etal_2014_TableS1</v>
      </c>
      <c r="L108" t="str">
        <f>J108 &amp; "_" &amp; SUBSTITUTE(SUBSTITUTE(SUBSTITUTE(D108,CHAR(160),"")," ",""),"_","")</f>
        <v>10.1371%2Fjournal.pbio.1002000_TableS1</v>
      </c>
      <c r="M108" t="str">
        <f t="array" ref="M108">IFERROR(INDEX(FileList!$A$1:$A$100,MATCH(TRUE,EXACT(L108,_xlfn.TEXTBEFORE(FileList!$A$1:$A$100,".tsv")),0)),"notfound")</f>
        <v>10.1371%2Fjournal.pbio.1002000_TableS1.tsv</v>
      </c>
      <c r="N108" s="2" t="s">
        <v>466</v>
      </c>
      <c r="Q108" s="2" t="s">
        <v>110</v>
      </c>
      <c r="AI108" s="2" t="s">
        <v>467</v>
      </c>
      <c r="AJ108" s="2" t="s">
        <v>118</v>
      </c>
      <c r="AL108" s="2" t="s">
        <v>119</v>
      </c>
      <c r="AM108" s="2" t="s">
        <v>468</v>
      </c>
    </row>
    <row r="109">
      <c r="A109" s="2" t="s">
        <v>465</v>
      </c>
      <c r="D109" s="2" t="s">
        <v>469</v>
      </c>
      <c r="E109" t="str">
        <f>RIGHT(A109,1)</f>
        <v>0</v>
      </c>
      <c r="F109" t="str">
        <f>G109 &amp; IF(H109&lt;&gt;"", "_" &amp; H109, "_") &amp; IF(I109&lt;&gt;"", "_" &amp; I109, "_") &amp; IF(B109&lt;&gt;"", "_" &amp; B109, "")</f>
        <v>Lewitus_etal_2014</v>
      </c>
      <c r="G109" t="str">
        <f>SUBSTITUTE(SUBSTITUTE(_xlfn.TEXTBEFORE(A109,","), "-", ""), " ", "")</f>
        <v>Lewitus</v>
      </c>
      <c r="H109" t="str">
        <f>_xlfn.LET(
_xlpm.authors,_xlfn.TEXTBEFORE(A109," ("&amp;I109&amp;")"),
_xlpm.hasAmp,ISNUMBER(SEARCH("&amp;",_xlpm.authors)),
_xlpm.commasBeforeAmp,IF(_xlpm.hasAmp,LEN(_xlfn.TEXTBEFORE(_xlpm.authors,"&amp;"))-LEN(SUBSTITUTE(_xlfn.TEXTBEFORE(_xlpm.authors,"&amp;"),",","")),0),
IF(NOT(_xlpm.hasAmp),"",IF(_xlpm.commasBeforeAmp&gt;2,"etal",TRIM(_xlfn.TEXTBEFORE(_xlfn.TEXTAFTER(_xlpm.authors,"&amp; "),","))))
)</f>
        <v>etal</v>
      </c>
      <c r="I109" t="str">
        <f>_xlfn.TEXTBEFORE(_xlfn.TEXTAFTER(A109, "("), ")")</f>
        <v>2014</v>
      </c>
      <c r="J109" t="str">
        <f>_xlfn.LET(
_xlpm.doi,IF(C109&lt;&gt;"",C109,_xlfn.TEXTAFTER(A109,"https://doi.org/")),
SUBSTITUTE(
SUBSTITUTE(
SUBSTITUTE(
SUBSTITUTE(
_xlpm.doi,
"/","%2F"),
":","%3A"),
"&lt;","%3C"),
"&gt;","%3E")
)</f>
        <v>10.1371%2Fjournal.pbio.1002000</v>
      </c>
      <c r="K109" t="str">
        <f>TRIM(_xlfn.TEXTJOIN("_",FALSE,F109,(SUBSTITUTE(SUBSTITUTE(D109," ",""), "_", ""))))</f>
        <v>Lewitus_etal_2014_TableS8</v>
      </c>
      <c r="L109" t="str">
        <f>J109 &amp; "_" &amp; SUBSTITUTE(SUBSTITUTE(SUBSTITUTE(D109,CHAR(160),"")," ",""),"_","")</f>
        <v>10.1371%2Fjournal.pbio.1002000_TableS8</v>
      </c>
      <c r="M109" t="str">
        <f t="array" ref="M109">IFERROR(INDEX(FileList!$A$1:$A$100,MATCH(TRUE,EXACT(L109,_xlfn.TEXTBEFORE(FileList!$A$1:$A$100,".tsv")),0)),"notfound")</f>
        <v>10.1371%2Fjournal.pbio.1002000_TableS8.tsv</v>
      </c>
      <c r="N109" s="2" t="s">
        <v>470</v>
      </c>
      <c r="Q109" s="2" t="s">
        <v>110</v>
      </c>
      <c r="AI109" s="2" t="s">
        <v>467</v>
      </c>
      <c r="AJ109" s="2" t="s">
        <v>118</v>
      </c>
      <c r="AL109" s="2" t="s">
        <v>119</v>
      </c>
      <c r="AM109" s="2" t="s">
        <v>468</v>
      </c>
    </row>
    <row r="110">
      <c r="A110" s="2" t="s">
        <v>471</v>
      </c>
      <c r="D110" s="2" t="s">
        <v>78</v>
      </c>
      <c r="E110" t="str">
        <f>RIGHT(A110,1)</f>
        <v>5</v>
      </c>
      <c r="F110" t="str">
        <f>G110 &amp; IF(H110&lt;&gt;"", "_" &amp; H110, "_") &amp; IF(I110&lt;&gt;"", "_" &amp; I110, "_") &amp; IF(B110&lt;&gt;"", "_" &amp; B110, "")</f>
        <v>MacLarnon__1996</v>
      </c>
      <c r="G110" t="str">
        <f>SUBSTITUTE(SUBSTITUTE(_xlfn.TEXTBEFORE(A110,","), "-", ""), " ", "")</f>
        <v>MacLarnon</v>
      </c>
      <c r="H110" t="str">
        <f>_xlfn.LET(
_xlpm.authors,_xlfn.TEXTBEFORE(A110," ("&amp;I110&amp;")"),
_xlpm.hasAmp,ISNUMBER(SEARCH("&amp;",_xlpm.authors)),
_xlpm.commasBeforeAmp,IF(_xlpm.hasAmp,LEN(_xlfn.TEXTBEFORE(_xlpm.authors,"&amp;"))-LEN(SUBSTITUTE(_xlfn.TEXTBEFORE(_xlpm.authors,"&amp;"),",","")),0),
IF(NOT(_xlpm.hasAmp),"",IF(_xlpm.commasBeforeAmp&gt;2,"etal",TRIM(_xlfn.TEXTBEFORE(_xlfn.TEXTAFTER(_xlpm.authors,"&amp; "),","))))
)</f>
      </c>
      <c r="I110" t="str">
        <f>_xlfn.TEXTBEFORE(_xlfn.TEXTAFTER(A110, "("), ")")</f>
        <v>1996</v>
      </c>
      <c r="J110" t="str">
        <f>_xlfn.LET(
_xlpm.doi,IF(C110&lt;&gt;"",C110,_xlfn.TEXTAFTER(A110,"https://doi.org/")),
SUBSTITUTE(
SUBSTITUTE(
SUBSTITUTE(
SUBSTITUTE(
_xlpm.doi,
"/","%2F"),
":","%3A"),
"&lt;","%3C"),
"&gt;","%3E")
)</f>
        <v>10.1006%2Fjhev.1996.0005</v>
      </c>
      <c r="K110" t="str">
        <f>TRIM(_xlfn.TEXTJOIN("_",FALSE,F110,(SUBSTITUTE(SUBSTITUTE(D110," ",""), "_", ""))))</f>
        <v>MacLarnon__1996_Table1</v>
      </c>
      <c r="L110" t="str">
        <f>J110 &amp; "_" &amp; SUBSTITUTE(SUBSTITUTE(SUBSTITUTE(D110,CHAR(160),"")," ",""),"_","")</f>
        <v>10.1006%2Fjhev.1996.0005_Table1</v>
      </c>
      <c r="M110" t="str">
        <f t="array" ref="M110">IFERROR(INDEX(FileList!$A$1:$A$100,MATCH(TRUE,EXACT(L110,_xlfn.TEXTBEFORE(FileList!$A$1:$A$100,".tsv")),0)),"notfound")</f>
        <v>10.1006%2Fjhev.1996.0005_Table1.tsv</v>
      </c>
      <c r="N110" s="2" t="s">
        <v>472</v>
      </c>
      <c r="P110" s="2" t="s">
        <v>48</v>
      </c>
      <c r="AI110" s="2" t="s">
        <v>473</v>
      </c>
      <c r="AJ110" s="2" t="s">
        <v>99</v>
      </c>
      <c r="AL110" s="2" t="s">
        <v>61</v>
      </c>
      <c r="AM110" s="2" t="s">
        <v>474</v>
      </c>
    </row>
    <row r="111">
      <c r="A111" s="2" t="s">
        <v>658</v>
      </c>
      <c r="C111" t="s">
        <v>659</v>
      </c>
      <c r="D111" s="2" t="s">
        <v>660</v>
      </c>
      <c r="E111" t="str">
        <f>RIGHT(A111,1)</f>
        <v>.</v>
      </c>
      <c r="F111" t="str">
        <f>G111 &amp; IF(H111&lt;&gt;"", "_" &amp; H111, "_") &amp; IF(I111&lt;&gt;"", "_" &amp; I111, "_") &amp; IF(B111&lt;&gt;"", "_" &amp; B111, "")</f>
        <v>MacLeod__2000</v>
      </c>
      <c r="G111" t="str">
        <f>SUBSTITUTE(SUBSTITUTE(_xlfn.TEXTBEFORE(A111,","), "-", ""), " ", "")</f>
        <v>MacLeod</v>
      </c>
      <c r="H111" t="str">
        <f>_xlfn.LET(
_xlpm.authors,_xlfn.TEXTBEFORE(A111," ("&amp;I111&amp;")"),
_xlpm.hasAmp,ISNUMBER(SEARCH("&amp;",_xlpm.authors)),
_xlpm.commasBeforeAmp,IF(_xlpm.hasAmp,LEN(_xlfn.TEXTBEFORE(_xlpm.authors,"&amp;"))-LEN(SUBSTITUTE(_xlfn.TEXTBEFORE(_xlpm.authors,"&amp;"),",","")),0),
IF(NOT(_xlpm.hasAmp),"",IF(_xlpm.commasBeforeAmp&gt;2,"etal",TRIM(_xlfn.TEXTBEFORE(_xlfn.TEXTAFTER(_xlpm.authors,"&amp; "),","))))
)</f>
      </c>
      <c r="I111" t="str">
        <f>_xlfn.TEXTBEFORE(_xlfn.TEXTAFTER(A111, "("), ")")</f>
        <v>2000</v>
      </c>
      <c r="J111" t="str">
        <f>_xlfn.LET(
_xlpm.doi,IF(C111&lt;&gt;"",C111,_xlfn.TEXTAFTER(A111,"https://doi.org/")),
SUBSTITUTE(
SUBSTITUTE(
SUBSTITUTE(
SUBSTITUTE(
_xlpm.doi,
"/","%2F"),
":","%3A"),
"&lt;","%3C"),
"&gt;","%3E")
)</f>
        <v>NQ%3A61662</v>
      </c>
      <c r="K111" t="str">
        <f>TRIM(_xlfn.TEXTJOIN("_",FALSE,F111,(SUBSTITUTE(SUBSTITUTE(D111," ",""), "_", ""))))</f>
        <v>MacLeod__2000_APPENDIXI</v>
      </c>
      <c r="L111" t="str">
        <f>J111 &amp; "_" &amp; SUBSTITUTE(SUBSTITUTE(SUBSTITUTE(D111,CHAR(160),"")," ",""),"_","")</f>
        <v>NQ%3A61662_APPENDIXI</v>
      </c>
      <c r="M111" t="str">
        <f t="array" ref="M111">IFERROR(INDEX(FileList!$A$1:$A$100,MATCH(TRUE,EXACT(L111,_xlfn.TEXTBEFORE(FileList!$A$1:$A$100,".tsv")),0)),"notfound")</f>
        <v>notfound</v>
      </c>
      <c r="N111" s="2" t="s">
        <v>661</v>
      </c>
      <c r="P111" s="3"/>
      <c r="AI111" s="2"/>
      <c r="AJ111" s="2"/>
      <c r="AL111" s="2"/>
      <c r="AM111" s="2"/>
    </row>
    <row r="112">
      <c r="A112" s="2" t="s">
        <v>475</v>
      </c>
      <c r="D112" s="2" t="s">
        <v>78</v>
      </c>
      <c r="E112" t="str">
        <f>RIGHT(A112,1)</f>
        <v>9</v>
      </c>
      <c r="F112" t="str">
        <f>G112 &amp; IF(H112&lt;&gt;"", "_" &amp; H112, "_") &amp; IF(I112&lt;&gt;"", "_" &amp; I112, "_") &amp; IF(B112&lt;&gt;"", "_" &amp; B112, "")</f>
        <v>MacLeod_etal_2003</v>
      </c>
      <c r="G112" t="str">
        <f>SUBSTITUTE(SUBSTITUTE(_xlfn.TEXTBEFORE(A112,","), "-", ""), " ", "")</f>
        <v>MacLeod</v>
      </c>
      <c r="H112" t="str">
        <f>_xlfn.LET(
_xlpm.authors,_xlfn.TEXTBEFORE(A112," ("&amp;I112&amp;")"),
_xlpm.hasAmp,ISNUMBER(SEARCH("&amp;",_xlpm.authors)),
_xlpm.commasBeforeAmp,IF(_xlpm.hasAmp,LEN(_xlfn.TEXTBEFORE(_xlpm.authors,"&amp;"))-LEN(SUBSTITUTE(_xlfn.TEXTBEFORE(_xlpm.authors,"&amp;"),",","")),0),
IF(NOT(_xlpm.hasAmp),"",IF(_xlpm.commasBeforeAmp&gt;2,"etal",TRIM(_xlfn.TEXTBEFORE(_xlfn.TEXTAFTER(_xlpm.authors,"&amp; "),","))))
)</f>
        <v>etal</v>
      </c>
      <c r="I112" t="str">
        <f>_xlfn.TEXTBEFORE(_xlfn.TEXTAFTER(A112, "("), ")")</f>
        <v>2003</v>
      </c>
      <c r="J112" t="str">
        <f>_xlfn.LET(
_xlpm.doi,IF(C112&lt;&gt;"",C112,_xlfn.TEXTAFTER(A112,"https://doi.org/")),
SUBSTITUTE(
SUBSTITUTE(
SUBSTITUTE(
SUBSTITUTE(
_xlpm.doi,
"/","%2F"),
":","%3A"),
"&lt;","%3C"),
"&gt;","%3E")
)</f>
        <v>10.1016%2Fs0047-2484(03)00028-9</v>
      </c>
      <c r="K112" t="str">
        <f>TRIM(_xlfn.TEXTJOIN("_",FALSE,F112,(SUBSTITUTE(SUBSTITUTE(D112," ",""), "_", ""))))</f>
        <v>MacLeod_etal_2003_Table1</v>
      </c>
      <c r="L112" t="str">
        <f>J112 &amp; "_" &amp; SUBSTITUTE(SUBSTITUTE(SUBSTITUTE(D112,CHAR(160),"")," ",""),"_","")</f>
        <v>10.1016%2Fs0047-2484(03)00028-9_Table1</v>
      </c>
      <c r="M112" t="str">
        <f t="array" ref="M112">IFERROR(INDEX(FileList!$A$1:$A$100,MATCH(TRUE,EXACT(L112,_xlfn.TEXTBEFORE(FileList!$A$1:$A$100,".tsv")),0)),"notfound")</f>
        <v>10.1016%2Fs0047-2484(03)00028-9_Table1.tsv</v>
      </c>
      <c r="N112" s="2" t="s">
        <v>476</v>
      </c>
      <c r="Y112" s="2" t="s">
        <v>477</v>
      </c>
      <c r="Z112" s="2" t="s">
        <v>477</v>
      </c>
      <c r="AF112" s="2" t="s">
        <v>478</v>
      </c>
      <c r="AG112" s="2" t="s">
        <v>93</v>
      </c>
      <c r="AI112" s="2" t="s">
        <v>479</v>
      </c>
      <c r="AJ112" s="2" t="s">
        <v>99</v>
      </c>
      <c r="AK112" s="2" t="s">
        <v>61</v>
      </c>
      <c r="AL112" s="2" t="s">
        <v>61</v>
      </c>
      <c r="AM112" s="2" t="s">
        <v>73</v>
      </c>
    </row>
    <row r="113">
      <c r="A113" s="2" t="s">
        <v>475</v>
      </c>
      <c r="D113" s="2" t="s">
        <v>100</v>
      </c>
      <c r="E113" t="str">
        <f>RIGHT(A113,1)</f>
        <v>9</v>
      </c>
      <c r="F113" t="str">
        <f>G113 &amp; IF(H113&lt;&gt;"", "_" &amp; H113, "_") &amp; IF(I113&lt;&gt;"", "_" &amp; I113, "_") &amp; IF(B113&lt;&gt;"", "_" &amp; B113, "")</f>
        <v>MacLeod_etal_2003</v>
      </c>
      <c r="G113" t="str">
        <f>SUBSTITUTE(SUBSTITUTE(_xlfn.TEXTBEFORE(A113,","), "-", ""), " ", "")</f>
        <v>MacLeod</v>
      </c>
      <c r="H113" t="str">
        <f>_xlfn.LET(
_xlpm.authors,_xlfn.TEXTBEFORE(A113," ("&amp;I113&amp;")"),
_xlpm.hasAmp,ISNUMBER(SEARCH("&amp;",_xlpm.authors)),
_xlpm.commasBeforeAmp,IF(_xlpm.hasAmp,LEN(_xlfn.TEXTBEFORE(_xlpm.authors,"&amp;"))-LEN(SUBSTITUTE(_xlfn.TEXTBEFORE(_xlpm.authors,"&amp;"),",","")),0),
IF(NOT(_xlpm.hasAmp),"",IF(_xlpm.commasBeforeAmp&gt;2,"etal",TRIM(_xlfn.TEXTBEFORE(_xlfn.TEXTAFTER(_xlpm.authors,"&amp; "),","))))
)</f>
        <v>etal</v>
      </c>
      <c r="I113" t="str">
        <f>_xlfn.TEXTBEFORE(_xlfn.TEXTAFTER(A113, "("), ")")</f>
        <v>2003</v>
      </c>
      <c r="J113" t="str">
        <f>_xlfn.LET(
_xlpm.doi,IF(C113&lt;&gt;"",C113,_xlfn.TEXTAFTER(A113,"https://doi.org/")),
SUBSTITUTE(
SUBSTITUTE(
SUBSTITUTE(
SUBSTITUTE(
_xlpm.doi,
"/","%2F"),
":","%3A"),
"&lt;","%3C"),
"&gt;","%3E")
)</f>
        <v>10.1016%2Fs0047-2484(03)00028-9</v>
      </c>
      <c r="K113" t="str">
        <f>TRIM(_xlfn.TEXTJOIN("_",FALSE,F113,(SUBSTITUTE(SUBSTITUTE(D113," ",""), "_", ""))))</f>
        <v>MacLeod_etal_2003_Table2</v>
      </c>
      <c r="L113" t="str">
        <f>J113 &amp; "_" &amp; SUBSTITUTE(SUBSTITUTE(SUBSTITUTE(D113,CHAR(160),"")," ",""),"_","")</f>
        <v>10.1016%2Fs0047-2484(03)00028-9_Table2</v>
      </c>
      <c r="M113" t="str">
        <f t="array" ref="M113">IFERROR(INDEX(FileList!$A$1:$A$100,MATCH(TRUE,EXACT(L113,_xlfn.TEXTBEFORE(FileList!$A$1:$A$100,".tsv")),0)),"notfound")</f>
        <v>10.1016%2Fs0047-2484(03)00028-9_Table2.tsv</v>
      </c>
      <c r="N113" s="2" t="s">
        <v>480</v>
      </c>
      <c r="Y113" s="2" t="s">
        <v>481</v>
      </c>
      <c r="Z113" s="2" t="s">
        <v>481</v>
      </c>
      <c r="AF113" s="2" t="s">
        <v>70</v>
      </c>
      <c r="AG113" s="2" t="s">
        <v>93</v>
      </c>
      <c r="AI113" s="2" t="s">
        <v>479</v>
      </c>
      <c r="AJ113" s="2" t="s">
        <v>99</v>
      </c>
      <c r="AK113" s="2" t="s">
        <v>61</v>
      </c>
      <c r="AL113" s="2" t="s">
        <v>61</v>
      </c>
      <c r="AM113" s="2" t="s">
        <v>73</v>
      </c>
    </row>
    <row r="114">
      <c r="A114" s="2" t="s">
        <v>482</v>
      </c>
      <c r="D114" s="4" t="s">
        <v>484</v>
      </c>
      <c r="E114" t="str">
        <f>RIGHT(A114,1)</f>
        <v>2</v>
      </c>
      <c r="F114" t="str">
        <f>G114 &amp; IF(H114&lt;&gt;"", "_" &amp; H114, "_") &amp; IF(I114&lt;&gt;"", "_" &amp; I114, "_") &amp; IF(B114&lt;&gt;"", "_" &amp; B114, "")</f>
        <v>ManyPrimates__2022</v>
      </c>
      <c r="G114" t="str">
        <f>SUBSTITUTE(SUBSTITUTE(_xlfn.TEXTBEFORE(A114,","), "-", ""), " ", "")</f>
        <v>ManyPrimates</v>
      </c>
      <c r="H114" t="str">
        <f>_xlfn.LET(
_xlpm.authors,_xlfn.TEXTBEFORE(A114," ("&amp;I114&amp;")"),
_xlpm.hasAmp,ISNUMBER(SEARCH("&amp;",_xlpm.authors)),
_xlpm.commasBeforeAmp,IF(_xlpm.hasAmp,LEN(_xlfn.TEXTBEFORE(_xlpm.authors,"&amp;"))-LEN(SUBSTITUTE(_xlfn.TEXTBEFORE(_xlpm.authors,"&amp;"),",","")),0),
IF(NOT(_xlpm.hasAmp),"",IF(_xlpm.commasBeforeAmp&gt;2,"etal",TRIM(_xlfn.TEXTBEFORE(_xlfn.TEXTAFTER(_xlpm.authors,"&amp; "),","))))
)</f>
      </c>
      <c r="I114" t="str">
        <f>_xlfn.TEXTBEFORE(_xlfn.TEXTAFTER(A114, "("), ")")</f>
        <v>2022</v>
      </c>
      <c r="J114" t="str">
        <f>_xlfn.LET(
_xlpm.doi,IF(C114&lt;&gt;"",C114,_xlfn.TEXTAFTER(A114,"https://doi.org/")),
SUBSTITUTE(
SUBSTITUTE(
SUBSTITUTE(
SUBSTITUTE(
_xlpm.doi,
"/","%2F"),
":","%3A"),
"&lt;","%3C"),
"&gt;","%3E")
)</f>
        <v>10.26451%2Fabc.09.04.06.2022</v>
      </c>
      <c r="K114" t="str">
        <f>TRIM(_xlfn.TEXTJOIN("_",FALSE,F114,(SUBSTITUTE(SUBSTITUTE(D114," ",""), "_", ""))))</f>
        <v>ManyPrimates__2022_data/speciespredictors.xlsx</v>
      </c>
      <c r="L114" t="str">
        <f>J114 &amp; "_" &amp; SUBSTITUTE(SUBSTITUTE(SUBSTITUTE(D114,CHAR(160),"")," ",""),"_","")</f>
        <v>10.26451%2Fabc.09.04.06.2022_data/speciespredictors.xlsx</v>
      </c>
      <c r="M114" t="str">
        <f t="array" ref="M114">IFERROR(INDEX(FileList!$A$1:$A$100,MATCH(TRUE,EXACT(L114,_xlfn.TEXTBEFORE(FileList!$A$1:$A$100,".tsv")),0)),"notfound")</f>
        <v>notfound</v>
      </c>
      <c r="P114" s="2" t="s">
        <v>485</v>
      </c>
      <c r="Q114" s="2" t="s">
        <v>178</v>
      </c>
      <c r="T114" s="2" t="str">
        <f>IF(S114="N", R114, "write file name")</f>
        <v>write file name</v>
      </c>
      <c r="U114" s="2" t="s">
        <v>161</v>
      </c>
      <c r="V114" s="2" t="s">
        <v>40</v>
      </c>
      <c r="W114" s="2" t="s">
        <v>162</v>
      </c>
      <c r="X114" s="2" t="s">
        <v>486</v>
      </c>
      <c r="AA114" s="2" t="s">
        <v>487</v>
      </c>
      <c r="AH114" s="2" t="s">
        <v>155</v>
      </c>
      <c r="AI114" s="2" t="s">
        <v>488</v>
      </c>
      <c r="AJ114" s="2" t="s">
        <v>99</v>
      </c>
      <c r="AK114" s="2" t="s">
        <v>119</v>
      </c>
      <c r="AL114" s="2"/>
      <c r="AM114" s="2" t="s">
        <v>483</v>
      </c>
    </row>
    <row r="115">
      <c r="A115" s="2" t="s">
        <v>482</v>
      </c>
      <c r="D115" s="2"/>
      <c r="E115" t="str">
        <f>RIGHT(A115,1)</f>
        <v>2</v>
      </c>
      <c r="F115" t="str">
        <f>G115 &amp; IF(H115&lt;&gt;"", "_" &amp; H115, "_") &amp; IF(I115&lt;&gt;"", "_" &amp; I115, "_") &amp; IF(B115&lt;&gt;"", "_" &amp; B115, "")</f>
        <v>ManyPrimates__2022</v>
      </c>
      <c r="G115" t="str">
        <f>SUBSTITUTE(SUBSTITUTE(_xlfn.TEXTBEFORE(A115,","), "-", ""), " ", "")</f>
        <v>ManyPrimates</v>
      </c>
      <c r="H115" t="str">
        <f>_xlfn.LET(
_xlpm.authors,_xlfn.TEXTBEFORE(A115," ("&amp;I115&amp;")"),
_xlpm.hasAmp,ISNUMBER(SEARCH("&amp;",_xlpm.authors)),
_xlpm.commasBeforeAmp,IF(_xlpm.hasAmp,LEN(_xlfn.TEXTBEFORE(_xlpm.authors,"&amp;"))-LEN(SUBSTITUTE(_xlfn.TEXTBEFORE(_xlpm.authors,"&amp;"),",","")),0),
IF(NOT(_xlpm.hasAmp),"",IF(_xlpm.commasBeforeAmp&gt;2,"etal",TRIM(_xlfn.TEXTBEFORE(_xlfn.TEXTAFTER(_xlpm.authors,"&amp; "),","))))
)</f>
      </c>
      <c r="I115" t="str">
        <f>_xlfn.TEXTBEFORE(_xlfn.TEXTAFTER(A115, "("), ")")</f>
        <v>2022</v>
      </c>
      <c r="J115" t="str">
        <f>_xlfn.LET(
_xlpm.doi,IF(C112&lt;&gt;"",C112,_xlfn.TEXTAFTER(A115,"https://doi.org/")),
SUBSTITUTE(
SUBSTITUTE(
SUBSTITUTE(
SUBSTITUTE(
_xlpm.doi,
"/","%2F"),
":","%3A"),
"&lt;","%3C"),
"&gt;","%3E")
)</f>
        <v>10.26451%2Fabc.09.04.06.2022</v>
      </c>
      <c r="K115" t="str">
        <f>TRIM(_xlfn.TEXTJOIN("_",FALSE,F115,(SUBSTITUTE(SUBSTITUTE(D115," ",""), "_", ""))))</f>
        <v>ManyPrimates__2022_</v>
      </c>
      <c r="L115" t="str">
        <f>J115 &amp; "_" &amp; SUBSTITUTE(SUBSTITUTE(SUBSTITUTE(D115,CHAR(160),"")," ",""),"_","")</f>
        <v>10.26451%2Fabc.09.04.06.2022_</v>
      </c>
      <c r="M115" t="str">
        <f t="array" ref="M115">IFERROR(INDEX(FileList!$A$1:$A$100,MATCH(TRUE,EXACT(L115,_xlfn.TEXTBEFORE(FileList!$A$1:$A$100,".tsv")),0)),"notfound")</f>
        <v>notfound</v>
      </c>
      <c r="P115" s="2" t="s">
        <v>312</v>
      </c>
      <c r="Q115" s="2"/>
      <c r="T115" s="2"/>
      <c r="U115" s="2"/>
      <c r="V115" s="2"/>
      <c r="W115" s="2"/>
      <c r="X115" s="2"/>
      <c r="AA115" s="2"/>
      <c r="AH115" s="2"/>
      <c r="AI115" s="2"/>
      <c r="AJ115" s="2" t="s">
        <v>99</v>
      </c>
      <c r="AK115" s="2"/>
      <c r="AL115" s="2" t="s">
        <v>61</v>
      </c>
      <c r="AM115" s="2" t="s">
        <v>483</v>
      </c>
    </row>
    <row r="116">
      <c r="A116" s="2" t="s">
        <v>493</v>
      </c>
      <c r="B116" s="6"/>
      <c r="D116" s="2" t="s">
        <v>281</v>
      </c>
      <c r="E116" t="str">
        <f>RIGHT(A116,1)</f>
        <v>F</v>
      </c>
      <c r="F116" t="str">
        <f>G116 &amp; IF(H116&lt;&gt;"", "_" &amp; H116, "_") &amp; IF(I116&lt;&gt;"", "_" &amp; I116, "_") &amp; IF(B116&lt;&gt;"", "_" &amp; B116, "")</f>
        <v>Matano__2001</v>
      </c>
      <c r="G116" t="str">
        <f>SUBSTITUTE(SUBSTITUTE(_xlfn.TEXTBEFORE(A116,","), "-", ""), " ", "")</f>
        <v>Matano</v>
      </c>
      <c r="H116" t="str">
        <f>_xlfn.LET(
_xlpm.authors,_xlfn.TEXTBEFORE(A116," ("&amp;I116&amp;")"),
_xlpm.hasAmp,ISNUMBER(SEARCH("&amp;",_xlpm.authors)),
_xlpm.commasBeforeAmp,IF(_xlpm.hasAmp,LEN(_xlfn.TEXTBEFORE(_xlpm.authors,"&amp;"))-LEN(SUBSTITUTE(_xlfn.TEXTBEFORE(_xlpm.authors,"&amp;"),",","")),0),
IF(NOT(_xlpm.hasAmp),"",IF(_xlpm.commasBeforeAmp&gt;2,"etal",TRIM(_xlfn.TEXTBEFORE(_xlfn.TEXTAFTER(_xlpm.authors,"&amp; "),","))))
)</f>
      </c>
      <c r="I116" t="str">
        <f>_xlfn.TEXTBEFORE(_xlfn.TEXTAFTER(A116, "("), ")")</f>
        <v>2001</v>
      </c>
      <c r="J116" t="str">
        <f>_xlfn.LET(
_xlpm.doi,IF(C116&lt;&gt;"",C116,_xlfn.TEXTAFTER(A116,"https://doi.org/")),
SUBSTITUTE(
SUBSTITUTE(
SUBSTITUTE(
SUBSTITUTE(
_xlpm.doi,
"/","%2F"),
":","%3A"),
"&lt;","%3C"),
"&gt;","%3E")
)</f>
        <v>10.1002%2F1096-8644(200102)114%3A2%3C163%3A%3AAID-AJPA1016%3E3.0.CO;2-F</v>
      </c>
      <c r="K116" t="str">
        <f>TRIM(_xlfn.TEXTJOIN("_",FALSE,F116,(SUBSTITUTE(SUBSTITUTE(D116," ",""), "_", ""))))</f>
        <v>Matano__2001_TABLE2</v>
      </c>
      <c r="L116" t="str">
        <f>J116 &amp; "_" &amp; SUBSTITUTE(SUBSTITUTE(SUBSTITUTE(D116,CHAR(160),"")," ",""),"_","")</f>
        <v>10.1002%2F1096-8644(200102)114%3A2%3C163%3A%3AAID-AJPA1016%3E3.0.CO;2-F_TABLE2</v>
      </c>
      <c r="M116" t="str">
        <f t="array" ref="M116">IFERROR(INDEX(FileList!$A$1:$A$100,MATCH(TRUE,EXACT(L116,_xlfn.TEXTBEFORE(FileList!$A$1:$A$100,".tsv")),0)),"notfound")</f>
        <v>10.1002%2F1096-8644(200102)114%3A2%3C163%3A%3AAID-AJPA1016%3E3.0.CO;2-F_TABLE2.tsv</v>
      </c>
      <c r="N116" s="2" t="s">
        <v>494</v>
      </c>
      <c r="P116" s="6"/>
      <c r="V116" s="6"/>
      <c r="Y116" s="2"/>
      <c r="Z116" s="2"/>
      <c r="AF116" s="2"/>
      <c r="AG116" s="6"/>
      <c r="AI116" s="6"/>
      <c r="AJ116" s="6"/>
      <c r="AK116" s="6"/>
      <c r="AL116" s="6"/>
      <c r="AM116" s="6"/>
    </row>
    <row r="117">
      <c r="A117" s="2" t="s">
        <v>489</v>
      </c>
      <c r="B117" s="2" t="s">
        <v>140</v>
      </c>
      <c r="D117" s="2" t="s">
        <v>78</v>
      </c>
      <c r="E117" t="str">
        <f>RIGHT(A117,1)</f>
        <v>2</v>
      </c>
      <c r="F117" t="str">
        <f>G117 &amp; IF(H117&lt;&gt;"", "_" &amp; H117, "_") &amp; IF(I117&lt;&gt;"", "_" &amp; I117, "_") &amp; IF(B117&lt;&gt;"", "_" &amp; B117, "")</f>
        <v>Matano_etal_1985_a</v>
      </c>
      <c r="G117" t="str">
        <f>SUBSTITUTE(SUBSTITUTE(_xlfn.TEXTBEFORE(A117,","), "-", ""), " ", "")</f>
        <v>Matano</v>
      </c>
      <c r="H117" t="str">
        <f>_xlfn.LET(
_xlpm.authors,_xlfn.TEXTBEFORE(A117," ("&amp;I117&amp;")"),
_xlpm.hasAmp,ISNUMBER(SEARCH("&amp;",_xlpm.authors)),
_xlpm.commasBeforeAmp,IF(_xlpm.hasAmp,LEN(_xlfn.TEXTBEFORE(_xlpm.authors,"&amp;"))-LEN(SUBSTITUTE(_xlfn.TEXTBEFORE(_xlpm.authors,"&amp;"),",","")),0),
IF(NOT(_xlpm.hasAmp),"",IF(_xlpm.commasBeforeAmp&gt;2,"etal",TRIM(_xlfn.TEXTBEFORE(_xlfn.TEXTAFTER(_xlpm.authors,"&amp; "),","))))
)</f>
        <v>etal</v>
      </c>
      <c r="I117" t="str">
        <f>_xlfn.TEXTBEFORE(_xlfn.TEXTAFTER(A117, "("), ")")</f>
        <v>1985</v>
      </c>
      <c r="J117" t="str">
        <f>_xlfn.LET(
_xlpm.doi,IF(C117&lt;&gt;"",C117,_xlfn.TEXTAFTER(A117,"https://doi.org/")),
SUBSTITUTE(
SUBSTITUTE(
SUBSTITUTE(
SUBSTITUTE(
_xlpm.doi,
"/","%2F"),
":","%3A"),
"&lt;","%3C"),
"&gt;","%3E")
)</f>
        <v>10.1159%2F000156212</v>
      </c>
      <c r="K117" t="str">
        <f>TRIM(_xlfn.TEXTJOIN("_",FALSE,F117,(SUBSTITUTE(SUBSTITUTE(D117," ",""), "_", ""))))</f>
        <v>Matano_etal_1985_a_Table1</v>
      </c>
      <c r="L117" t="str">
        <f>J117 &amp; "_" &amp; SUBSTITUTE(SUBSTITUTE(SUBSTITUTE(D117,CHAR(160),"")," ",""),"_","")</f>
        <v>10.1159%2F000156212_Table1</v>
      </c>
      <c r="M117" t="str">
        <f t="array" ref="M117">IFERROR(INDEX(FileList!$A$1:$A$100,MATCH(TRUE,EXACT(L117,_xlfn.TEXTBEFORE(FileList!$A$1:$A$100,".tsv")),0)),"notfound")</f>
        <v>10.1159%2F000156212_Table1.tsv</v>
      </c>
      <c r="N117" s="3" t="s">
        <v>490</v>
      </c>
      <c r="P117" s="2" t="s">
        <v>48</v>
      </c>
      <c r="V117" s="3" t="s">
        <v>40</v>
      </c>
      <c r="Y117" s="2" t="s">
        <v>80</v>
      </c>
      <c r="Z117" s="2" t="s">
        <v>80</v>
      </c>
      <c r="AF117" s="2" t="s">
        <v>70</v>
      </c>
      <c r="AG117" s="3" t="s">
        <v>93</v>
      </c>
      <c r="AI117" s="3" t="s">
        <v>491</v>
      </c>
      <c r="AJ117" s="3" t="s">
        <v>82</v>
      </c>
      <c r="AK117" s="3" t="s">
        <v>61</v>
      </c>
      <c r="AL117" s="3" t="s">
        <v>61</v>
      </c>
      <c r="AM117" s="3" t="s">
        <v>73</v>
      </c>
    </row>
    <row r="118">
      <c r="A118" s="2" t="s">
        <v>492</v>
      </c>
      <c r="B118" s="3" t="s">
        <v>150</v>
      </c>
      <c r="D118" s="2" t="s">
        <v>78</v>
      </c>
      <c r="E118" t="str">
        <f>RIGHT(A118,1)</f>
        <v>1</v>
      </c>
      <c r="F118" t="str">
        <f>G118 &amp; IF(H118&lt;&gt;"", "_" &amp; H118, "_") &amp; IF(I118&lt;&gt;"", "_" &amp; I118, "_") &amp; IF(B118&lt;&gt;"", "_" &amp; B118, "")</f>
        <v>Matano_etal_1985_b</v>
      </c>
      <c r="G118" t="str">
        <f>SUBSTITUTE(SUBSTITUTE(_xlfn.TEXTBEFORE(A118,","), "-", ""), " ", "")</f>
        <v>Matano</v>
      </c>
      <c r="H118" t="str">
        <f>_xlfn.LET(
_xlpm.authors,_xlfn.TEXTBEFORE(A118," ("&amp;I118&amp;")"),
_xlpm.hasAmp,ISNUMBER(SEARCH("&amp;",_xlpm.authors)),
_xlpm.commasBeforeAmp,IF(_xlpm.hasAmp,LEN(_xlfn.TEXTBEFORE(_xlpm.authors,"&amp;"))-LEN(SUBSTITUTE(_xlfn.TEXTBEFORE(_xlpm.authors,"&amp;"),",","")),0),
IF(NOT(_xlpm.hasAmp),"",IF(_xlpm.commasBeforeAmp&gt;2,"etal",TRIM(_xlfn.TEXTBEFORE(_xlfn.TEXTAFTER(_xlpm.authors,"&amp; "),","))))
)</f>
        <v>etal</v>
      </c>
      <c r="I118" t="str">
        <f>_xlfn.TEXTBEFORE(_xlfn.TEXTAFTER(A118, "("), ")")</f>
        <v>1985</v>
      </c>
      <c r="J118" t="str">
        <f>_xlfn.LET(
_xlpm.doi,IF(C118&lt;&gt;"",C118,_xlfn.TEXTAFTER(A118,"https://doi.org/")),
SUBSTITUTE(
SUBSTITUTE(
SUBSTITUTE(
SUBSTITUTE(
_xlpm.doi,
"/","%2F"),
":","%3A"),
"&lt;","%3C"),
"&gt;","%3E")
)</f>
        <v>10.1159%2F000156211</v>
      </c>
      <c r="K118" t="str">
        <f>TRIM(_xlfn.TEXTJOIN("_",FALSE,F118,(SUBSTITUTE(SUBSTITUTE(D118," ",""), "_", ""))))</f>
        <v>Matano_etal_1985_b_Table1</v>
      </c>
      <c r="L118" t="str">
        <f>J118 &amp; "_" &amp; SUBSTITUTE(SUBSTITUTE(SUBSTITUTE(D118,CHAR(160),"")," ",""),"_","")</f>
        <v>10.1159%2F000156211_Table1</v>
      </c>
      <c r="M118" t="str">
        <f t="array" ref="M118">IFERROR(INDEX(FileList!$A$1:$A$100,MATCH(TRUE,EXACT(L118,_xlfn.TEXTBEFORE(FileList!$A$1:$A$100,".tsv")),0)),"notfound")</f>
        <v>10.1159%2F000156211_Table1.tsv</v>
      </c>
      <c r="P118" s="3" t="s">
        <v>48</v>
      </c>
      <c r="Y118" s="3" t="s">
        <v>80</v>
      </c>
      <c r="Z118" s="3" t="s">
        <v>80</v>
      </c>
      <c r="AF118" s="3" t="s">
        <v>70</v>
      </c>
    </row>
    <row r="119">
      <c r="A119" s="2" t="s">
        <v>495</v>
      </c>
      <c r="D119" s="2" t="s">
        <v>262</v>
      </c>
      <c r="E119" t="str">
        <f>RIGHT(A119,1)</f>
        <v>1</v>
      </c>
      <c r="F119" t="str">
        <f>G119 &amp; IF(H119&lt;&gt;"", "_" &amp; H119, "_") &amp; IF(I119&lt;&gt;"", "_" &amp; I119, "_") &amp; IF(B119&lt;&gt;"", "_" &amp; B119, "")</f>
        <v>Mota_Herculano-Houzel_2015</v>
      </c>
      <c r="G119" t="str">
        <f>SUBSTITUTE(SUBSTITUTE(_xlfn.TEXTBEFORE(A119,","), "-", ""), " ", "")</f>
        <v>Mota</v>
      </c>
      <c r="H119" t="str">
        <f>_xlfn.LET(
_xlpm.authors,_xlfn.TEXTBEFORE(A119," ("&amp;I119&amp;")"),
_xlpm.hasAmp,ISNUMBER(SEARCH("&amp;",_xlpm.authors)),
_xlpm.commasBeforeAmp,IF(_xlpm.hasAmp,LEN(_xlfn.TEXTBEFORE(_xlpm.authors,"&amp;"))-LEN(SUBSTITUTE(_xlfn.TEXTBEFORE(_xlpm.authors,"&amp;"),",","")),0),
IF(NOT(_xlpm.hasAmp),"",IF(_xlpm.commasBeforeAmp&gt;2,"etal",TRIM(_xlfn.TEXTBEFORE(_xlfn.TEXTAFTER(_xlpm.authors,"&amp; "),","))))
)</f>
        <v>Herculano-Houzel</v>
      </c>
      <c r="I119" t="str">
        <f>_xlfn.TEXTBEFORE(_xlfn.TEXTAFTER(A119, "("), ")")</f>
        <v>2015</v>
      </c>
      <c r="J119" t="str">
        <f>_xlfn.LET(
_xlpm.doi,IF(C119&lt;&gt;"",C119,_xlfn.TEXTAFTER(A119,"https://doi.org/")),
SUBSTITUTE(
SUBSTITUTE(
SUBSTITUTE(
SUBSTITUTE(
_xlpm.doi,
"/","%2F"),
":","%3A"),
"&lt;","%3C"),
"&gt;","%3E")
)</f>
        <v>10.1126%2Fscience.aaa9101</v>
      </c>
      <c r="K119" t="str">
        <f>TRIM(_xlfn.TEXTJOIN("_",FALSE,F119,(SUBSTITUTE(SUBSTITUTE(D119," ",""), "_", ""))))</f>
        <v>Mota_Herculano-Houzel_2015_TableS1</v>
      </c>
      <c r="L119" t="str">
        <f>J119 &amp; "_" &amp; SUBSTITUTE(SUBSTITUTE(SUBSTITUTE(D119,CHAR(160),"")," ",""),"_","")</f>
        <v>10.1126%2Fscience.aaa9101_TableS1</v>
      </c>
      <c r="M119" t="str">
        <f t="array" ref="M119">IFERROR(INDEX(FileList!$A$1:$A$100,MATCH(TRUE,EXACT(L119,_xlfn.TEXTBEFORE(FileList!$A$1:$A$100,".tsv")),0)),"notfound")</f>
        <v>10.1126%2Fscience.aaa9101_TableS1.tsv</v>
      </c>
      <c r="P119" s="2"/>
      <c r="Q119" s="2" t="s">
        <v>110</v>
      </c>
      <c r="AI119" s="2" t="s">
        <v>496</v>
      </c>
      <c r="AJ119" s="2" t="s">
        <v>118</v>
      </c>
      <c r="AL119" s="2" t="s">
        <v>339</v>
      </c>
      <c r="AM119" s="2" t="s">
        <v>496</v>
      </c>
    </row>
    <row r="120">
      <c r="A120" s="2" t="s">
        <v>497</v>
      </c>
      <c r="D120" s="2" t="s">
        <v>498</v>
      </c>
      <c r="E120" t="str">
        <f>RIGHT(A120,1)</f>
        <v>6</v>
      </c>
      <c r="F120" t="str">
        <f>G120 &amp; IF(H120&lt;&gt;"", "_" &amp; H120, "_") &amp; IF(I120&lt;&gt;"", "_" &amp; I120, "_") &amp; IF(B120&lt;&gt;"", "_" &amp; B120, "")</f>
        <v>Mota_etal_2019</v>
      </c>
      <c r="G120" t="str">
        <f>SUBSTITUTE(SUBSTITUTE(_xlfn.TEXTBEFORE(A120,","), "-", ""), " ", "")</f>
        <v>Mota</v>
      </c>
      <c r="H120" t="str">
        <f>_xlfn.LET(
_xlpm.authors,_xlfn.TEXTBEFORE(A120," ("&amp;I120&amp;")"),
_xlpm.hasAmp,ISNUMBER(SEARCH("&amp;",_xlpm.authors)),
_xlpm.commasBeforeAmp,IF(_xlpm.hasAmp,LEN(_xlfn.TEXTBEFORE(_xlpm.authors,"&amp;"))-LEN(SUBSTITUTE(_xlfn.TEXTBEFORE(_xlpm.authors,"&amp;"),",","")),0),
IF(NOT(_xlpm.hasAmp),"",IF(_xlpm.commasBeforeAmp&gt;2,"etal",TRIM(_xlfn.TEXTBEFORE(_xlfn.TEXTAFTER(_xlpm.authors,"&amp; "),","))))
)</f>
        <v>etal</v>
      </c>
      <c r="I120" t="str">
        <f>_xlfn.TEXTBEFORE(_xlfn.TEXTAFTER(A120, "("), ")")</f>
        <v>2019</v>
      </c>
      <c r="J120" t="str">
        <f>_xlfn.LET(
_xlpm.doi,IF(C120&lt;&gt;"",C120,_xlfn.TEXTAFTER(A120,"https://doi.org/")),
SUBSTITUTE(
SUBSTITUTE(
SUBSTITUTE(
SUBSTITUTE(
_xlpm.doi,
"/","%2F"),
":","%3A"),
"&lt;","%3C"),
"&gt;","%3E")
)</f>
        <v>10.1073%2Fpnas.1716956116</v>
      </c>
      <c r="K120" t="str">
        <f>TRIM(_xlfn.TEXTJOIN("_",FALSE,F120,(SUBSTITUTE(SUBSTITUTE(D120," ",""), "_", ""))))</f>
        <v>Mota_etal_2019_SupplementaryTableS1</v>
      </c>
      <c r="L120" t="str">
        <f>J120 &amp; "_" &amp; SUBSTITUTE(SUBSTITUTE(SUBSTITUTE(D120,CHAR(160),"")," ",""),"_","")</f>
        <v>10.1073%2Fpnas.1716956116_SupplementaryTableS1</v>
      </c>
      <c r="M120" t="str">
        <f t="array" ref="M120">IFERROR(INDEX(FileList!$A$1:$A$100,MATCH(TRUE,EXACT(L120,_xlfn.TEXTBEFORE(FileList!$A$1:$A$100,".tsv")),0)),"notfound")</f>
        <v>10.1073%2Fpnas.1716956116_SupplementaryTableS1.tsv</v>
      </c>
      <c r="N120" s="2" t="s">
        <v>499</v>
      </c>
      <c r="P120" s="2" t="s">
        <v>312</v>
      </c>
      <c r="AA120" s="2" t="s">
        <v>500</v>
      </c>
      <c r="AI120" s="2" t="s">
        <v>501</v>
      </c>
      <c r="AJ120" s="2" t="s">
        <v>118</v>
      </c>
      <c r="AL120" s="2" t="s">
        <v>339</v>
      </c>
      <c r="AM120" s="2" t="s">
        <v>502</v>
      </c>
    </row>
    <row r="121">
      <c r="A121" s="2" t="s">
        <v>503</v>
      </c>
      <c r="C121" s="2" t="s">
        <v>504</v>
      </c>
      <c r="D121" s="2" t="s">
        <v>505</v>
      </c>
      <c r="E121" t="str">
        <f>RIGHT(A121,1)</f>
        <v>5</v>
      </c>
      <c r="F121" t="str">
        <f>G121 &amp; IF(H121&lt;&gt;"", "_" &amp; H121, "_") &amp; IF(I121&lt;&gt;"", "_" &amp; I121, "_") &amp; IF(B121&lt;&gt;"", "_" &amp; B121, "")</f>
        <v>Powell_etal_2017</v>
      </c>
      <c r="G121" t="str">
        <f>SUBSTITUTE(SUBSTITUTE(_xlfn.TEXTBEFORE(A121,","), "-", ""), " ", "")</f>
        <v>Powell</v>
      </c>
      <c r="H121" t="str">
        <f>_xlfn.LET(
_xlpm.authors,_xlfn.TEXTBEFORE(A121," ("&amp;I121&amp;")"),
_xlpm.hasAmp,ISNUMBER(SEARCH("&amp;",_xlpm.authors)),
_xlpm.commasBeforeAmp,IF(_xlpm.hasAmp,LEN(_xlfn.TEXTBEFORE(_xlpm.authors,"&amp;"))-LEN(SUBSTITUTE(_xlfn.TEXTBEFORE(_xlpm.authors,"&amp;"),",","")),0),
IF(NOT(_xlpm.hasAmp),"",IF(_xlpm.commasBeforeAmp&gt;2,"etal",TRIM(_xlfn.TEXTBEFORE(_xlfn.TEXTAFTER(_xlpm.authors,"&amp; "),","))))
)</f>
        <v>etal</v>
      </c>
      <c r="I121" t="str">
        <f>_xlfn.TEXTBEFORE(_xlfn.TEXTAFTER(A121, "("), ")")</f>
        <v>2017</v>
      </c>
      <c r="J121" t="str">
        <f>_xlfn.LET(
_xlpm.doi,IF(C121&lt;&gt;"",C121,_xlfn.TEXTAFTER(A121,"https://doi.org/")),
SUBSTITUTE(
SUBSTITUTE(
SUBSTITUTE(
SUBSTITUTE(
_xlpm.doi,
"/","%2F"),
":","%3A"),
"&lt;","%3C"),
"&gt;","%3E")
)</f>
        <v>10.6084%2Fm9.figshare.c.3899422.v1</v>
      </c>
      <c r="K121" t="str">
        <f>TRIM(_xlfn.TEXTJOIN("_",FALSE,F121,(SUBSTITUTE(SUBSTITUTE(D121," ",""), "_", ""))))</f>
        <v>Powell_etal_2017_Dataset1</v>
      </c>
      <c r="L121" t="str">
        <f>J121 &amp; "_" &amp; SUBSTITUTE(SUBSTITUTE(SUBSTITUTE(D121,CHAR(160),"")," ",""),"_","")</f>
        <v>10.6084%2Fm9.figshare.c.3899422.v1_Dataset1</v>
      </c>
      <c r="M121" t="str">
        <f t="array" ref="M121">IFERROR(INDEX(FileList!$A$1:$A$100,MATCH(TRUE,EXACT(L121,_xlfn.TEXTBEFORE(FileList!$A$1:$A$100,".tsv")),0)),"notfound")</f>
        <v>10.6084%2Fm9.figshare.c.3899422.v1_Dataset1.tsv</v>
      </c>
      <c r="P121" s="2" t="s">
        <v>312</v>
      </c>
      <c r="Q121" s="2" t="s">
        <v>178</v>
      </c>
      <c r="T121" s="2" t="str">
        <f>IF(S121="N", R121, "write file name")</f>
        <v>write file name</v>
      </c>
      <c r="U121" s="2" t="s">
        <v>161</v>
      </c>
      <c r="V121" s="2" t="s">
        <v>40</v>
      </c>
      <c r="W121" s="2" t="s">
        <v>162</v>
      </c>
      <c r="X121" s="2" t="s">
        <v>506</v>
      </c>
      <c r="AA121" s="2" t="s">
        <v>117</v>
      </c>
      <c r="AH121" s="2" t="s">
        <v>155</v>
      </c>
      <c r="AI121" s="2" t="s">
        <v>507</v>
      </c>
      <c r="AJ121" s="2" t="s">
        <v>99</v>
      </c>
      <c r="AK121" s="2" t="s">
        <v>119</v>
      </c>
      <c r="AL121" s="2" t="s">
        <v>119</v>
      </c>
      <c r="AM121" s="2" t="s">
        <v>507</v>
      </c>
    </row>
    <row r="122">
      <c r="A122" s="2" t="s">
        <v>508</v>
      </c>
      <c r="D122" s="2" t="s">
        <v>78</v>
      </c>
      <c r="E122" t="str">
        <f>RIGHT(A122,1)</f>
        <v>5</v>
      </c>
      <c r="F122" t="str">
        <f>G122 &amp; IF(H122&lt;&gt;"", "_" &amp; H122, "_") &amp; IF(I122&lt;&gt;"", "_" &amp; I122, "_") &amp; IF(B122&lt;&gt;"", "_" &amp; B122, "")</f>
        <v>Rilling_Insel_1998</v>
      </c>
      <c r="G122" t="str">
        <f>SUBSTITUTE(SUBSTITUTE(_xlfn.TEXTBEFORE(A122,","), "-", ""), " ", "")</f>
        <v>Rilling</v>
      </c>
      <c r="H122" t="str">
        <f>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Insel</v>
      </c>
      <c r="I122" t="str">
        <f>_xlfn.TEXTBEFORE(_xlfn.TEXTAFTER(A122, "("), ")")</f>
        <v>1998</v>
      </c>
      <c r="J122" t="str">
        <f>_xlfn.LET(
_xlpm.doi,IF(C122&lt;&gt;"",C122,_xlfn.TEXTAFTER(A122,"https://doi.org/")),
SUBSTITUTE(
SUBSTITUTE(
SUBSTITUTE(
SUBSTITUTE(
_xlpm.doi,
"/","%2F"),
":","%3A"),
"&lt;","%3C"),
"&gt;","%3E")
)</f>
        <v>10.1159%2F000006575</v>
      </c>
      <c r="K122" t="str">
        <f>TRIM(_xlfn.TEXTJOIN("_",FALSE,F122,(SUBSTITUTE(SUBSTITUTE(D122," ",""), "_", ""))))</f>
        <v>Rilling_Insel_1998_Table1</v>
      </c>
      <c r="L122" t="str">
        <f>J122 &amp; "_" &amp; SUBSTITUTE(SUBSTITUTE(SUBSTITUTE(D122,CHAR(160),"")," ",""),"_","")</f>
        <v>10.1159%2F000006575_Table1</v>
      </c>
      <c r="M122" t="str">
        <f t="array" ref="M122">IFERROR(INDEX(FileList!$A$1:$A$100,MATCH(TRUE,EXACT(L122,_xlfn.TEXTBEFORE(FileList!$A$1:$A$100,".tsv")),0)),"notfound")</f>
        <v>10.1159%2F000006575_Table1.tsv</v>
      </c>
      <c r="N122" s="2" t="s">
        <v>509</v>
      </c>
      <c r="Y122" s="2" t="s">
        <v>477</v>
      </c>
      <c r="Z122" s="2" t="s">
        <v>477</v>
      </c>
      <c r="AF122" s="2" t="s">
        <v>478</v>
      </c>
      <c r="AG122" s="2" t="s">
        <v>93</v>
      </c>
    </row>
    <row r="123">
      <c r="A123" s="2" t="s">
        <v>626</v>
      </c>
      <c r="D123" s="2" t="s">
        <v>78</v>
      </c>
      <c r="E123" t="str">
        <f>RIGHT(A123,1)</f>
        <v>3</v>
      </c>
      <c r="F123" t="str">
        <f>G123 &amp; IF(H123&lt;&gt;"", "_" &amp; H123, "_") &amp; IF(I123&lt;&gt;"", "_" &amp; I123, "_") &amp; IF(B123&lt;&gt;"", "_" &amp; B123, "")</f>
        <v>Rilling_Insel_1999</v>
      </c>
      <c r="G123" t="str">
        <f>SUBSTITUTE(SUBSTITUTE(_xlfn.TEXTBEFORE(A123,","), "-", ""), " ", "")</f>
        <v>Rilling</v>
      </c>
      <c r="H123" t="str">
        <f>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v>Insel</v>
      </c>
      <c r="I123" t="str">
        <f>_xlfn.TEXTBEFORE(_xlfn.TEXTAFTER(A123, "("), ")")</f>
        <v>1999</v>
      </c>
      <c r="J123" t="str">
        <f>_xlfn.LET(
_xlpm.doi,IF(C123&lt;&gt;"",C123,_xlfn.TEXTAFTER(A123,"https://doi.org/")),
SUBSTITUTE(
SUBSTITUTE(
SUBSTITUTE(
SUBSTITUTE(
_xlpm.doi,
"/","%2F"),
":","%3A"),
"&lt;","%3C"),
"&gt;","%3E")
)</f>
        <v>10.1006%2Fjhev.1999.0313</v>
      </c>
      <c r="K123" t="str">
        <f>TRIM(_xlfn.TEXTJOIN("_",FALSE,F123,(SUBSTITUTE(SUBSTITUTE(D123," ",""), "_", ""))))</f>
        <v>Rilling_Insel_1999_Table1</v>
      </c>
      <c r="L123" t="str">
        <f>J123 &amp; "_" &amp; SUBSTITUTE(SUBSTITUTE(SUBSTITUTE(D123,CHAR(160),"")," ",""),"_","")</f>
        <v>10.1006%2Fjhev.1999.0313_Table1</v>
      </c>
      <c r="M123" t="str">
        <f t="array" ref="M123">IFERROR(INDEX(FileList!$A$1:$A$100,MATCH(TRUE,EXACT(L123,_xlfn.TEXTBEFORE(FileList!$A$1:$A$100,".tsv")),0)),"notfound")</f>
        <v>10.1006%2Fjhev.1999.0313_Table1.tsv</v>
      </c>
      <c r="N123" s="2" t="s">
        <v>627</v>
      </c>
      <c r="Y123" s="2" t="s">
        <v>477</v>
      </c>
      <c r="Z123" s="3" t="s">
        <v>477</v>
      </c>
      <c r="AF123" s="2"/>
      <c r="AG123" s="2"/>
    </row>
    <row r="124">
      <c r="A124" s="2" t="s">
        <v>510</v>
      </c>
      <c r="D124" s="2" t="s">
        <v>511</v>
      </c>
      <c r="E124" t="str">
        <f>RIGHT(A124,1)</f>
        <v>2</v>
      </c>
      <c r="F124" t="str">
        <f>G124 &amp; IF(H124&lt;&gt;"", "_" &amp; H124, "_") &amp; IF(I124&lt;&gt;"", "_" &amp; I124, "_") &amp; IF(B124&lt;&gt;"", "_" &amp; B124, "")</f>
        <v>Schniter_Penaherrera-Aguirre_2026</v>
      </c>
      <c r="G124" t="str">
        <f>SUBSTITUTE(SUBSTITUTE(_xlfn.TEXTBEFORE(A124,","), "-", ""), " ", "")</f>
        <v>Schniter</v>
      </c>
      <c r="H124" t="str">
        <f>_xlfn.LET(
_xlpm.authors,_xlfn.TEXTBEFORE(A124," ("&amp;I124&amp;")"),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24" t="str">
        <f>_xlfn.TEXTBEFORE(_xlfn.TEXTAFTER(A124, "("), ")")</f>
        <v>2026</v>
      </c>
      <c r="J124" t="str">
        <f>_xlfn.LET(
_xlpm.doi,IF(C124&lt;&gt;"",C124,_xlfn.TEXTAFTER(A124,"https://doi.org/")),
SUBSTITUTE(
SUBSTITUTE(
SUBSTITUTE(
SUBSTITUTE(
_xlpm.doi,
"/","%2F"),
":","%3A"),
"&lt;","%3C"),
"&gt;","%3E")
)</f>
        <v>10.1007%2Fs10329-026-01271-2</v>
      </c>
      <c r="K124" t="str">
        <f>TRIM(_xlfn.TEXTJOIN("_",FALSE,F124,(SUBSTITUTE(SUBSTITUTE(D124," ",""), "_", ""))))</f>
        <v>Schniter_Penaherrera-Aguirre_2026_data</v>
      </c>
      <c r="L124" t="str">
        <f>J124 &amp; "_" &amp; SUBSTITUTE(SUBSTITUTE(SUBSTITUTE(D124,CHAR(160),"")," ",""),"_","")</f>
        <v>10.1007%2Fs10329-026-01271-2_data</v>
      </c>
      <c r="M124" t="str">
        <f t="array" ref="M124">IFERROR(INDEX(FileList!$A$1:$A$100,MATCH(TRUE,EXACT(L124,_xlfn.TEXTBEFORE(FileList!$A$1:$A$100,".tsv")),0)),"notfound")</f>
        <v>notfound</v>
      </c>
      <c r="N124" s="2" t="s">
        <v>511</v>
      </c>
      <c r="Z124" s="3"/>
      <c r="AF124" s="2"/>
      <c r="AG124" s="2"/>
    </row>
    <row r="125">
      <c r="A125" s="2" t="s">
        <v>662</v>
      </c>
      <c r="D125" s="2"/>
      <c r="E125" t="str">
        <f>RIGHT(A125,1)</f>
        <v>1</v>
      </c>
      <c r="F125" t="str">
        <f>G125 &amp; IF(H125&lt;&gt;"", "_" &amp; H125, "_") &amp; IF(I125&lt;&gt;"", "_" &amp; I125, "_") &amp; IF(B125&lt;&gt;"", "_" &amp; B125, "")</f>
        <v>Semendeferi_Damasio_2000</v>
      </c>
      <c r="G125" t="str">
        <f>SUBSTITUTE(SUBSTITUTE(_xlfn.TEXTBEFORE(A125,","), "-", ""), " ", "")</f>
        <v>Semendeferi</v>
      </c>
      <c r="H125" t="str">
        <f>_xlfn.LET(
_xlpm.authors,_xlfn.TEXTBEFORE(A125," ("&amp;I125&amp;")"),
_xlpm.hasAmp,ISNUMBER(SEARCH("&amp;",_xlpm.authors)),
_xlpm.commasBeforeAmp,IF(_xlpm.hasAmp,LEN(_xlfn.TEXTBEFORE(_xlpm.authors,"&amp;"))-LEN(SUBSTITUTE(_xlfn.TEXTBEFORE(_xlpm.authors,"&amp;"),",","")),0),
IF(NOT(_xlpm.hasAmp),"",IF(_xlpm.commasBeforeAmp&gt;2,"etal",TRIM(_xlfn.TEXTBEFORE(_xlfn.TEXTAFTER(_xlpm.authors,"&amp; "),","))))
)</f>
        <v>Damasio</v>
      </c>
      <c r="I125" t="str">
        <f>_xlfn.TEXTBEFORE(_xlfn.TEXTAFTER(A125, "("), ")")</f>
        <v>2000</v>
      </c>
      <c r="J125" t="str">
        <f>_xlfn.LET(
_xlpm.doi,IF(C125&lt;&gt;"",C125,_xlfn.TEXTAFTER(A125,"https://doi.org/")),
SUBSTITUTE(
SUBSTITUTE(
SUBSTITUTE(
SUBSTITUTE(
_xlpm.doi,
"/","%2F"),
":","%3A"),
"&lt;","%3C"),
"&gt;","%3E")
)</f>
        <v>10.1006%2Fjhev.1999.0381</v>
      </c>
      <c r="K125" t="str">
        <f>TRIM(_xlfn.TEXTJOIN("_",FALSE,F125,(SUBSTITUTE(SUBSTITUTE(D125," ",""), "_", ""))))</f>
        <v>Semendeferi_Damasio_2000_</v>
      </c>
      <c r="L125" t="str">
        <f>J125 &amp; "_" &amp; SUBSTITUTE(SUBSTITUTE(SUBSTITUTE(D125,CHAR(160),"")," ",""),"_","")</f>
        <v>10.1006%2Fjhev.1999.0381_</v>
      </c>
      <c r="M125" t="str">
        <f t="array" ref="M125">IFERROR(INDEX(FileList!$A$1:$A$100,MATCH(TRUE,EXACT(L125,_xlfn.TEXTBEFORE(FileList!$A$1:$A$100,".tsv")),0)),"notfound")</f>
        <v>notfound</v>
      </c>
      <c r="N125" s="2"/>
      <c r="P125" s="6"/>
      <c r="Y125" s="2"/>
      <c r="AF125" s="2"/>
      <c r="AG125" s="2"/>
      <c r="AI125" s="2"/>
      <c r="AJ125" s="2"/>
      <c r="AK125" s="2"/>
      <c r="AL125" s="2"/>
      <c r="AM125" s="2"/>
    </row>
    <row r="126">
      <c r="A126" s="2" t="s">
        <v>512</v>
      </c>
      <c r="D126" s="2" t="s">
        <v>281</v>
      </c>
      <c r="E126" t="str">
        <f>RIGHT(A126,1)</f>
        <v>L</v>
      </c>
      <c r="F126" t="str">
        <f>G126 &amp; IF(H126&lt;&gt;"", "_" &amp; H126, "_") &amp; IF(I126&lt;&gt;"", "_" &amp; I126, "_") &amp; IF(B126&lt;&gt;"", "_" &amp; B126, "")</f>
        <v>Semendeferi_etal_1998</v>
      </c>
      <c r="G126" t="str">
        <f>SUBSTITUTE(SUBSTITUTE(_xlfn.TEXTBEFORE(A126,","), "-", ""), " ", "")</f>
        <v>Semendeferi</v>
      </c>
      <c r="H126" t="str">
        <f>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v>etal</v>
      </c>
      <c r="I126" t="str">
        <f>_xlfn.TEXTBEFORE(_xlfn.TEXTAFTER(A126, "("), ")")</f>
        <v>1998</v>
      </c>
      <c r="J126" t="str">
        <f>_xlfn.LET(
_xlpm.doi,IF(C126&lt;&gt;"",C126,_xlfn.TEXTAFTER(A126,"https://doi.org/")),
SUBSTITUTE(
SUBSTITUTE(
SUBSTITUTE(
SUBSTITUTE(
_xlpm.doi,
"/","%2F"),
":","%3A"),
"&lt;","%3C"),
"&gt;","%3E")
)</f>
        <v>10.1002%2F(SICI)1096-8644(199806)106%3A2%3C129%3A%3AAID-AJPA3%3E3.0.CO;2-L</v>
      </c>
      <c r="K126" t="str">
        <f>TRIM(_xlfn.TEXTJOIN("_",FALSE,F126,(SUBSTITUTE(SUBSTITUTE(D126," ",""), "_", ""))))</f>
        <v>Semendeferi_etal_1998_TABLE2</v>
      </c>
      <c r="L126" t="str">
        <f>J126 &amp; "_" &amp; SUBSTITUTE(SUBSTITUTE(SUBSTITUTE(D126,CHAR(160),"")," ",""),"_","")</f>
        <v>10.1002%2F(SICI)1096-8644(199806)106%3A2%3C129%3A%3AAID-AJPA3%3E3.0.CO;2-L_TABLE2</v>
      </c>
      <c r="M126" t="str">
        <f t="array" ref="M126">IFERROR(INDEX(FileList!$A$1:$A$100,MATCH(TRUE,EXACT(L126,_xlfn.TEXTBEFORE(FileList!$A$1:$A$100,".tsv")),0)),"notfound")</f>
        <v>10.1002%2F(SICI)1096-8644(199806)106%3A2%3C129%3A%3AAID-AJPA3%3E3.0.CO;2-L_TABLE2.tsv</v>
      </c>
      <c r="N126" s="2" t="s">
        <v>513</v>
      </c>
      <c r="P126" s="2" t="s">
        <v>48</v>
      </c>
      <c r="Y126" s="2" t="s">
        <v>69</v>
      </c>
      <c r="AF126" s="2" t="s">
        <v>70</v>
      </c>
      <c r="AG126" s="2" t="s">
        <v>93</v>
      </c>
      <c r="AI126" s="2" t="s">
        <v>514</v>
      </c>
      <c r="AJ126" s="2" t="s">
        <v>72</v>
      </c>
      <c r="AK126" s="2" t="s">
        <v>61</v>
      </c>
      <c r="AL126" s="2" t="s">
        <v>61</v>
      </c>
      <c r="AM126" s="2" t="s">
        <v>73</v>
      </c>
    </row>
    <row r="127">
      <c r="A127" s="2" t="s">
        <v>515</v>
      </c>
      <c r="D127" s="2" t="s">
        <v>281</v>
      </c>
      <c r="E127" t="str">
        <f>RIGHT(A127,1)</f>
        <v>I</v>
      </c>
      <c r="F127" t="str">
        <f>G127 &amp; IF(H127&lt;&gt;"", "_" &amp; H127, "_") &amp; IF(I127&lt;&gt;"", "_" &amp; I127, "_") &amp; IF(B127&lt;&gt;"", "_" &amp; B127, "")</f>
        <v>Semendeferi_etal_2001</v>
      </c>
      <c r="G127" t="str">
        <f>SUBSTITUTE(SUBSTITUTE(_xlfn.TEXTBEFORE(A127,","), "-", ""), " ", "")</f>
        <v>Semendeferi</v>
      </c>
      <c r="H127" t="str">
        <f>_xlfn.LET(
_xlpm.authors,_xlfn.TEXTBEFORE(A127," ("&amp;I127&amp;")"),
_xlpm.hasAmp,ISNUMBER(SEARCH("&amp;",_xlpm.authors)),
_xlpm.commasBeforeAmp,IF(_xlpm.hasAmp,LEN(_xlfn.TEXTBEFORE(_xlpm.authors,"&amp;"))-LEN(SUBSTITUTE(_xlfn.TEXTBEFORE(_xlpm.authors,"&amp;"),",","")),0),
IF(NOT(_xlpm.hasAmp),"",IF(_xlpm.commasBeforeAmp&gt;2,"etal",TRIM(_xlfn.TEXTBEFORE(_xlfn.TEXTAFTER(_xlpm.authors,"&amp; "),","))))
)</f>
        <v>etal</v>
      </c>
      <c r="I127" t="str">
        <f>_xlfn.TEXTBEFORE(_xlfn.TEXTAFTER(A127, "("), ")")</f>
        <v>2001</v>
      </c>
      <c r="J127" t="str">
        <f>_xlfn.LET(
_xlpm.doi,IF(C127&lt;&gt;"",C127,_xlfn.TEXTAFTER(A127,"https://doi.org/")),
SUBSTITUTE(
SUBSTITUTE(
SUBSTITUTE(
SUBSTITUTE(
_xlpm.doi,
"/","%2F"),
":","%3A"),
"&lt;","%3C"),
"&gt;","%3E")
)</f>
        <v>10.1002%2F1096-8644(200103)114%3A3%3C224%3A%3AAID-AJPA1022%3E3.0.CO;2-I</v>
      </c>
      <c r="K127" t="str">
        <f>TRIM(_xlfn.TEXTJOIN("_",FALSE,F127,(SUBSTITUTE(SUBSTITUTE(D127," ",""), "_", ""))))</f>
        <v>Semendeferi_etal_2001_TABLE2</v>
      </c>
      <c r="L127" t="str">
        <f>J127 &amp; "_" &amp; SUBSTITUTE(SUBSTITUTE(SUBSTITUTE(D127,CHAR(160),"")," ",""),"_","")</f>
        <v>10.1002%2F1096-8644(200103)114%3A3%3C224%3A%3AAID-AJPA1022%3E3.0.CO;2-I_TABLE2</v>
      </c>
      <c r="M127" t="str">
        <f t="array" ref="M127">IFERROR(INDEX(FileList!$A$1:$A$100,MATCH(TRUE,EXACT(L127,_xlfn.TEXTBEFORE(FileList!$A$1:$A$100,".tsv")),0)),"notfound")</f>
        <v>10.1002%2F1096-8644(200103)114%3A3%3C224%3A%3AAID-AJPA1022%3E3.0.CO;2-I_TABLE2.tsv</v>
      </c>
      <c r="N127" s="2" t="s">
        <v>516</v>
      </c>
      <c r="P127" s="3" t="s">
        <v>48</v>
      </c>
      <c r="Y127" s="2" t="s">
        <v>69</v>
      </c>
      <c r="AF127" s="2" t="s">
        <v>70</v>
      </c>
      <c r="AG127" s="2" t="s">
        <v>93</v>
      </c>
      <c r="AI127" s="2" t="s">
        <v>517</v>
      </c>
      <c r="AJ127" s="2" t="s">
        <v>72</v>
      </c>
      <c r="AK127" s="2" t="s">
        <v>61</v>
      </c>
      <c r="AL127" s="2" t="s">
        <v>61</v>
      </c>
      <c r="AM127" s="2" t="s">
        <v>73</v>
      </c>
    </row>
    <row r="128">
      <c r="A128" s="2" t="s">
        <v>518</v>
      </c>
      <c r="D128" s="2" t="s">
        <v>78</v>
      </c>
      <c r="E128" t="str">
        <f>RIGHT(A128,1)</f>
        <v>4</v>
      </c>
      <c r="F128" t="str">
        <f>G128 &amp; IF(H128&lt;&gt;"", "_" &amp; H128, "_") &amp; IF(I128&lt;&gt;"", "_" &amp; I128, "_") &amp; IF(B128&lt;&gt;"", "_" &amp; B128, "")</f>
        <v>Semendeferi_etal_2002</v>
      </c>
      <c r="G128" t="str">
        <f>SUBSTITUTE(SUBSTITUTE(_xlfn.TEXTBEFORE(A128,","), "-", ""), " ", "")</f>
        <v>Semendeferi</v>
      </c>
      <c r="H128" t="str">
        <f>_xlfn.LET(
_xlpm.authors,_xlfn.TEXTBEFORE(A128," ("&amp;I128&amp;")"),
_xlpm.hasAmp,ISNUMBER(SEARCH("&amp;",_xlpm.authors)),
_xlpm.commasBeforeAmp,IF(_xlpm.hasAmp,LEN(_xlfn.TEXTBEFORE(_xlpm.authors,"&amp;"))-LEN(SUBSTITUTE(_xlfn.TEXTBEFORE(_xlpm.authors,"&amp;"),",","")),0),
IF(NOT(_xlpm.hasAmp),"",IF(_xlpm.commasBeforeAmp&gt;2,"etal",TRIM(_xlfn.TEXTBEFORE(_xlfn.TEXTAFTER(_xlpm.authors,"&amp; "),","))))
)</f>
        <v>etal</v>
      </c>
      <c r="I128" t="str">
        <f>_xlfn.TEXTBEFORE(_xlfn.TEXTAFTER(A128, "("), ")")</f>
        <v>2002</v>
      </c>
      <c r="J128" t="str">
        <f>_xlfn.LET(
_xlpm.doi,IF(C128&lt;&gt;"",C128,_xlfn.TEXTAFTER(A128,"https://doi.org/")),
SUBSTITUTE(
SUBSTITUTE(
SUBSTITUTE(
SUBSTITUTE(
_xlpm.doi,
"/","%2F"),
":","%3A"),
"&lt;","%3C"),
"&gt;","%3E")
)</f>
        <v>10.1038%2Fnn814</v>
      </c>
      <c r="K128" t="str">
        <f>TRIM(_xlfn.TEXTJOIN("_",FALSE,F128,(SUBSTITUTE(SUBSTITUTE(D128," ",""), "_", ""))))</f>
        <v>Semendeferi_etal_2002_Table1</v>
      </c>
      <c r="L128" t="str">
        <f>J128 &amp; "_" &amp; SUBSTITUTE(SUBSTITUTE(SUBSTITUTE(D128,CHAR(160),"")," ",""),"_","")</f>
        <v>10.1038%2Fnn814_Table1</v>
      </c>
      <c r="M128" t="str">
        <f t="array" ref="M128">IFERROR(INDEX(FileList!$A$1:$A$100,MATCH(TRUE,EXACT(L128,_xlfn.TEXTBEFORE(FileList!$A$1:$A$100,".tsv")),0)),"notfound")</f>
        <v>notfound</v>
      </c>
      <c r="N128" s="2" t="s">
        <v>519</v>
      </c>
      <c r="Y128" s="2" t="s">
        <v>69</v>
      </c>
      <c r="AF128" s="2" t="s">
        <v>70</v>
      </c>
      <c r="AG128" s="2" t="s">
        <v>93</v>
      </c>
      <c r="AI128" s="2" t="s">
        <v>520</v>
      </c>
      <c r="AJ128" s="2" t="s">
        <v>72</v>
      </c>
      <c r="AK128" s="2" t="s">
        <v>61</v>
      </c>
      <c r="AL128" s="2" t="s">
        <v>61</v>
      </c>
      <c r="AM128" s="2" t="s">
        <v>73</v>
      </c>
    </row>
    <row r="129">
      <c r="A129" s="2" t="s">
        <v>530</v>
      </c>
      <c r="D129" s="2" t="s">
        <v>531</v>
      </c>
      <c r="E129" t="str">
        <f>RIGHT(A129,1)</f>
        <v>8</v>
      </c>
      <c r="F129" t="str">
        <f>G129 &amp; IF(H129&lt;&gt;"", "_" &amp; H129, "_") &amp; IF(I129&lt;&gt;"", "_" &amp; I129, "_") &amp; IF(B129&lt;&gt;"", "_" &amp; B129, "")</f>
        <v>Sherwood_etal_2004</v>
      </c>
      <c r="G129" t="str">
        <f>SUBSTITUTE(SUBSTITUTE(_xlfn.TEXTBEFORE(A129,","), "-", ""), " ", "")</f>
        <v>Sherwood</v>
      </c>
      <c r="H129" t="str">
        <f>_xlfn.LET(
_xlpm.authors,_xlfn.TEXTBEFORE(A129," ("&amp;I129&amp;")"),
_xlpm.hasAmp,ISNUMBER(SEARCH("&amp;",_xlpm.authors)),
_xlpm.commasBeforeAmp,IF(_xlpm.hasAmp,LEN(_xlfn.TEXTBEFORE(_xlpm.authors,"&amp;"))-LEN(SUBSTITUTE(_xlfn.TEXTBEFORE(_xlpm.authors,"&amp;"),",","")),0),
IF(NOT(_xlpm.hasAmp),"",IF(_xlpm.commasBeforeAmp&gt;2,"etal",TRIM(_xlfn.TEXTBEFORE(_xlfn.TEXTAFTER(_xlpm.authors,"&amp; "),","))))
)</f>
        <v>etal</v>
      </c>
      <c r="I129" t="str">
        <f>_xlfn.TEXTBEFORE(_xlfn.TEXTAFTER(A129, "("), ")")</f>
        <v>2004</v>
      </c>
      <c r="J129" t="str">
        <f>_xlfn.LET(
_xlpm.doi,IF(C129&lt;&gt;"",C129,_xlfn.TEXTAFTER(A129,"https://doi.org/")),
SUBSTITUTE(
SUBSTITUTE(
SUBSTITUTE(
SUBSTITUTE(
_xlpm.doi,
"/","%2F"),
":","%3A"),
"&lt;","%3C"),
"&gt;","%3E")
)</f>
        <v>10.1002%2Fajp.20048</v>
      </c>
      <c r="K129" t="str">
        <f>TRIM(_xlfn.TEXTJOIN("_",FALSE,F129,(SUBSTITUTE(SUBSTITUTE(D129," ",""), "_", ""))))</f>
        <v>Sherwood_etal_2004_TABLEI</v>
      </c>
      <c r="L129" t="str">
        <f>J129 &amp; "_" &amp; SUBSTITUTE(SUBSTITUTE(SUBSTITUTE(D129,CHAR(160),"")," ",""),"_","")</f>
        <v>10.1002%2Fajp.20048_TABLEI</v>
      </c>
      <c r="M129" t="str">
        <f t="array" ref="M129">IFERROR(INDEX(FileList!$A$1:$A$100,MATCH(TRUE,EXACT(L129,_xlfn.TEXTBEFORE(FileList!$A$1:$A$100,".tsv")),0)),"notfound")</f>
        <v>10.1002%2Fajp.20048_TABLEI.tsv</v>
      </c>
      <c r="N129" s="2" t="s">
        <v>532</v>
      </c>
      <c r="V129" s="6"/>
      <c r="Y129" s="2" t="s">
        <v>587</v>
      </c>
      <c r="Z129" s="2" t="s">
        <v>533</v>
      </c>
      <c r="AF129" s="2" t="s">
        <v>478</v>
      </c>
      <c r="AG129" s="2" t="s">
        <v>93</v>
      </c>
      <c r="AI129" s="6"/>
      <c r="AJ129" s="6"/>
      <c r="AK129" s="2" t="s">
        <v>61</v>
      </c>
      <c r="AL129" s="6"/>
      <c r="AM129" s="6"/>
    </row>
    <row r="130">
      <c r="A130" s="2" t="s">
        <v>530</v>
      </c>
      <c r="B130" s="6"/>
      <c r="D130" s="2" t="s">
        <v>656</v>
      </c>
      <c r="E130" t="str">
        <f>RIGHT(A130,1)</f>
        <v>8</v>
      </c>
      <c r="F130" t="str">
        <f>G130 &amp; IF(H130&lt;&gt;"", "_" &amp; H130, "_") &amp; IF(I130&lt;&gt;"", "_" &amp; I130, "_") &amp; IF(B130&lt;&gt;"", "_" &amp; B130, "")</f>
        <v>Sherwood_etal_2004</v>
      </c>
      <c r="G130" t="str">
        <f>SUBSTITUTE(SUBSTITUTE(_xlfn.TEXTBEFORE(A130,","), "-", ""), " ", "")</f>
        <v>Sherwood</v>
      </c>
      <c r="H130" t="str">
        <f>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v>etal</v>
      </c>
      <c r="I130" t="str">
        <f>_xlfn.TEXTBEFORE(_xlfn.TEXTAFTER(A130, "("), ")")</f>
        <v>2004</v>
      </c>
      <c r="J130" t="str">
        <f>_xlfn.LET(
_xlpm.doi,IF(C130&lt;&gt;"",C130,_xlfn.TEXTAFTER(A130,"https://doi.org/")),
SUBSTITUTE(
SUBSTITUTE(
SUBSTITUTE(
SUBSTITUTE(
_xlpm.doi,
"/","%2F"),
":","%3A"),
"&lt;","%3C"),
"&gt;","%3E")
)</f>
        <v>10.1002%2Fajp.20048</v>
      </c>
      <c r="K130" t="str">
        <f>TRIM(_xlfn.TEXTJOIN("_",FALSE,F130,(SUBSTITUTE(SUBSTITUTE(D130," ",""), "_", ""))))</f>
        <v>Sherwood_etal_2004_unpublishedviaDeCasien</v>
      </c>
      <c r="L130" t="str">
        <f>J130 &amp; "_" &amp; SUBSTITUTE(SUBSTITUTE(SUBSTITUTE(D130,CHAR(160),"")," ",""),"_","")</f>
        <v>10.1002%2Fajp.20048_unpublishedviaDeCasien</v>
      </c>
      <c r="M130" t="str">
        <f t="array" ref="M130">IFERROR(INDEX(FileList!$A$1:$A$100,MATCH(TRUE,EXACT(L130,_xlfn.TEXTBEFORE(FileList!$A$1:$A$100,".tsv")),0)),"notfound")</f>
        <v>10.1002%2Fajp.20048_unpublishedviaDeCasien.tsv</v>
      </c>
      <c r="N130" s="2"/>
      <c r="O130" t="s">
        <v>657</v>
      </c>
      <c r="P130" s="6"/>
      <c r="Q130" s="6"/>
      <c r="T130" s="6"/>
      <c r="U130" s="6"/>
      <c r="V130" s="6"/>
      <c r="Y130" s="3" t="s">
        <v>587</v>
      </c>
      <c r="Z130" s="2" t="s">
        <v>533</v>
      </c>
      <c r="AF130" s="2" t="s">
        <v>478</v>
      </c>
      <c r="AG130" s="3" t="s">
        <v>93</v>
      </c>
      <c r="AH130" s="6"/>
      <c r="AI130" s="6"/>
      <c r="AJ130" s="6"/>
      <c r="AK130" s="2" t="s">
        <v>61</v>
      </c>
      <c r="AL130" s="6"/>
      <c r="AM130" s="6"/>
    </row>
    <row r="131">
      <c r="A131" s="2" t="s">
        <v>521</v>
      </c>
      <c r="B131" s="6"/>
      <c r="D131" s="2" t="s">
        <v>78</v>
      </c>
      <c r="E131" t="str">
        <f>RIGHT(A131,1)</f>
        <v>3</v>
      </c>
      <c r="F131" t="str">
        <f>G131 &amp; IF(H131&lt;&gt;"", "_" &amp; H131, "_") &amp; IF(I131&lt;&gt;"", "_" &amp; I131, "_") &amp; IF(B131&lt;&gt;"", "_" &amp; B131, "")</f>
        <v>Sherwood_etal_2005</v>
      </c>
      <c r="G131" t="str">
        <f>SUBSTITUTE(SUBSTITUTE(_xlfn.TEXTBEFORE(A131,","), "-", ""), " ", "")</f>
        <v>Sherwood</v>
      </c>
      <c r="H131" t="str">
        <f>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v>etal</v>
      </c>
      <c r="I131" t="str">
        <f>_xlfn.TEXTBEFORE(_xlfn.TEXTAFTER(A131, "("), ")")</f>
        <v>2005</v>
      </c>
      <c r="J131" t="str">
        <f>_xlfn.LET(
_xlpm.doi,IF(C131&lt;&gt;"",C131,_xlfn.TEXTAFTER(A131,"https://doi.org/")),
SUBSTITUTE(
SUBSTITUTE(
SUBSTITUTE(
SUBSTITUTE(
_xlpm.doi,
"/","%2F"),
":","%3A"),
"&lt;","%3C"),
"&gt;","%3E")
)</f>
        <v>10.1016%2Fj.jhevol.2004.10.003</v>
      </c>
      <c r="K131" t="str">
        <f>TRIM(_xlfn.TEXTJOIN("_",FALSE,F131,(SUBSTITUTE(SUBSTITUTE(D131," ",""), "_", ""))))</f>
        <v>Sherwood_etal_2005_Table1</v>
      </c>
      <c r="L131" t="str">
        <f>J131 &amp; "_" &amp; SUBSTITUTE(SUBSTITUTE(SUBSTITUTE(D131,CHAR(160),"")," ",""),"_","")</f>
        <v>10.1016%2Fj.jhevol.2004.10.003_Table1</v>
      </c>
      <c r="M131" t="str">
        <f t="array" ref="M131">IFERROR(INDEX(FileList!$A$1:$A$100,MATCH(TRUE,EXACT(L131,_xlfn.TEXTBEFORE(FileList!$A$1:$A$100,".tsv")),0)),"notfound")</f>
        <v>10.1016%2Fj.jhevol.2004.10.003_Table1.tsv</v>
      </c>
      <c r="N131" s="2" t="s">
        <v>522</v>
      </c>
      <c r="P131" s="6"/>
      <c r="Q131" s="6"/>
      <c r="T131" s="6"/>
      <c r="U131" s="6"/>
      <c r="V131" s="2" t="s">
        <v>40</v>
      </c>
      <c r="Y131" s="3" t="s">
        <v>80</v>
      </c>
      <c r="Z131" s="2" t="s">
        <v>481</v>
      </c>
      <c r="AF131" s="2" t="s">
        <v>70</v>
      </c>
      <c r="AG131" s="2" t="s">
        <v>93</v>
      </c>
      <c r="AH131" s="6"/>
      <c r="AI131" s="2" t="s">
        <v>523</v>
      </c>
      <c r="AJ131" s="2" t="s">
        <v>128</v>
      </c>
      <c r="AK131" s="2" t="s">
        <v>61</v>
      </c>
      <c r="AL131" s="2" t="s">
        <v>61</v>
      </c>
      <c r="AM131" s="2" t="s">
        <v>73</v>
      </c>
    </row>
    <row r="132">
      <c r="A132" s="2" t="s">
        <v>524</v>
      </c>
      <c r="B132" s="3" t="s">
        <v>525</v>
      </c>
      <c r="D132" s="2" t="s">
        <v>39</v>
      </c>
      <c r="E132" t="str">
        <f>RIGHT(A132,1)</f>
        <v>2</v>
      </c>
      <c r="F132" t="str">
        <f>G132 &amp; IF(H132&lt;&gt;"", "_" &amp; H132, "_") &amp; IF(I132&lt;&gt;"", "_" &amp; I132, "_") &amp; IF(B132&lt;&gt;"", "_" &amp; B132, "")</f>
        <v>Sherwood_etal_2004_I</v>
      </c>
      <c r="G132" t="str">
        <f>SUBSTITUTE(SUBSTITUTE(_xlfn.TEXTBEFORE(A132,","), "-", ""), " ", "")</f>
        <v>Sherwood</v>
      </c>
      <c r="H132" t="str">
        <f>_xlfn.LET(
_xlpm.authors,_xlfn.TEXTBEFORE(A132," ("&amp;I132&amp;")"),
_xlpm.hasAmp,ISNUMBER(SEARCH("&amp;",_xlpm.authors)),
_xlpm.commasBeforeAmp,IF(_xlpm.hasAmp,LEN(_xlfn.TEXTBEFORE(_xlpm.authors,"&amp;"))-LEN(SUBSTITUTE(_xlfn.TEXTBEFORE(_xlpm.authors,"&amp;"),",","")),0),
IF(NOT(_xlpm.hasAmp),"",IF(_xlpm.commasBeforeAmp&gt;2,"etal",TRIM(_xlfn.TEXTBEFORE(_xlfn.TEXTAFTER(_xlpm.authors,"&amp; "),","))))
)</f>
        <v>etal</v>
      </c>
      <c r="I132" t="str">
        <f>_xlfn.TEXTBEFORE(_xlfn.TEXTAFTER(A132, "("), ")")</f>
        <v>2004</v>
      </c>
      <c r="J132" t="str">
        <f>_xlfn.LET(
_xlpm.doi,IF(C132&lt;&gt;"",C132,_xlfn.TEXTAFTER(A132,"https://doi.org/")),
SUBSTITUTE(
SUBSTITUTE(
SUBSTITUTE(
SUBSTITUTE(
_xlpm.doi,
"/","%2F"),
":","%3A"),
"&lt;","%3C"),
"&gt;","%3E")
)</f>
        <v>10.1159%2F000075672</v>
      </c>
      <c r="K132" t="str">
        <f>TRIM(_xlfn.TEXTJOIN("_",FALSE,F132,(SUBSTITUTE(SUBSTITUTE(D132," ",""), "_", ""))))</f>
        <v>Sherwood_etal_2004_I_Table4</v>
      </c>
      <c r="L132" t="str">
        <f>J132 &amp; "_" &amp; SUBSTITUTE(SUBSTITUTE(SUBSTITUTE(D132,CHAR(160),"")," ",""),"_","")</f>
        <v>10.1159%2F000075672_Table4</v>
      </c>
      <c r="M132" t="str">
        <f t="array" ref="M132">IFERROR(INDEX(FileList!$A$1:$A$100,MATCH(TRUE,EXACT(L132,_xlfn.TEXTBEFORE(FileList!$A$1:$A$100,".tsv")),0)),"notfound")</f>
        <v>notfound</v>
      </c>
      <c r="N132" s="2" t="s">
        <v>526</v>
      </c>
      <c r="P132" s="3" t="s">
        <v>485</v>
      </c>
      <c r="Q132" s="3" t="s">
        <v>178</v>
      </c>
      <c r="T132" s="3" t="str">
        <f>IF(S132="N", R132, "write file name")</f>
        <v>write file name</v>
      </c>
      <c r="U132" s="3" t="s">
        <v>53</v>
      </c>
      <c r="V132" s="3" t="s">
        <v>527</v>
      </c>
      <c r="Y132" s="6"/>
      <c r="Z132" s="2" t="s">
        <v>69</v>
      </c>
      <c r="AF132" s="2" t="s">
        <v>70</v>
      </c>
      <c r="AG132" s="6"/>
      <c r="AH132" s="3" t="s">
        <v>155</v>
      </c>
      <c r="AI132" s="3" t="s">
        <v>528</v>
      </c>
      <c r="AJ132" s="3" t="s">
        <v>99</v>
      </c>
      <c r="AK132" s="2" t="s">
        <v>61</v>
      </c>
      <c r="AL132" s="3" t="s">
        <v>61</v>
      </c>
      <c r="AM132" s="3" t="s">
        <v>529</v>
      </c>
    </row>
    <row r="133">
      <c r="A133" s="2" t="s">
        <v>524</v>
      </c>
      <c r="B133" s="3" t="s">
        <v>525</v>
      </c>
      <c r="D133" s="2" t="s">
        <v>371</v>
      </c>
      <c r="E133" t="str">
        <f>RIGHT(A133,1)</f>
        <v>2</v>
      </c>
      <c r="F133" t="str">
        <f>G133 &amp; IF(H133&lt;&gt;"", "_" &amp; H133, "_") &amp; IF(I133&lt;&gt;"", "_" &amp; I133, "_") &amp; IF(B133&lt;&gt;"", "_" &amp; B133, "")</f>
        <v>Sherwood_etal_2004_I</v>
      </c>
      <c r="G133" t="str">
        <f>SUBSTITUTE(SUBSTITUTE(_xlfn.TEXTBEFORE(A133,","), "-", ""), " ", "")</f>
        <v>Sherwood</v>
      </c>
      <c r="H133" t="str">
        <f>_xlfn.LET(
_xlpm.authors,_xlfn.TEXTBEFORE(A133," ("&amp;I133&amp;")"),
_xlpm.hasAmp,ISNUMBER(SEARCH("&amp;",_xlpm.authors)),
_xlpm.commasBeforeAmp,IF(_xlpm.hasAmp,LEN(_xlfn.TEXTBEFORE(_xlpm.authors,"&amp;"))-LEN(SUBSTITUTE(_xlfn.TEXTBEFORE(_xlpm.authors,"&amp;"),",","")),0),
IF(NOT(_xlpm.hasAmp),"",IF(_xlpm.commasBeforeAmp&gt;2,"etal",TRIM(_xlfn.TEXTBEFORE(_xlfn.TEXTAFTER(_xlpm.authors,"&amp; "),","))))
)</f>
        <v>etal</v>
      </c>
      <c r="I133" t="str">
        <f>_xlfn.TEXTBEFORE(_xlfn.TEXTAFTER(A133, "("), ")")</f>
        <v>2004</v>
      </c>
      <c r="J133" t="str">
        <f>_xlfn.LET(
_xlpm.doi,IF(C133&lt;&gt;"",C133,_xlfn.TEXTAFTER(A133,"https://doi.org/")),
SUBSTITUTE(
SUBSTITUTE(
SUBSTITUTE(
SUBSTITUTE(
_xlpm.doi,
"/","%2F"),
":","%3A"),
"&lt;","%3C"),
"&gt;","%3E")
)</f>
        <v>10.1159%2F000075672</v>
      </c>
      <c r="K133" t="str">
        <f>TRIM(_xlfn.TEXTJOIN("_",FALSE,F133,(SUBSTITUTE(SUBSTITUTE(D133," ",""), "_", ""))))</f>
        <v>Sherwood_etal_2004_I_Table5</v>
      </c>
      <c r="L133" t="str">
        <f>J133 &amp; "_" &amp; SUBSTITUTE(SUBSTITUTE(SUBSTITUTE(D133,CHAR(160),"")," ",""),"_","")</f>
        <v>10.1159%2F000075672_Table5</v>
      </c>
      <c r="M133" t="str">
        <f t="array" ref="M133">IFERROR(INDEX(FileList!$A$1:$A$100,MATCH(TRUE,EXACT(L133,_xlfn.TEXTBEFORE(FileList!$A$1:$A$100,".tsv")),0)),"notfound")</f>
        <v>notfound</v>
      </c>
      <c r="N133" s="2" t="s">
        <v>534</v>
      </c>
      <c r="P133" s="3" t="s">
        <v>485</v>
      </c>
      <c r="Q133" s="3" t="s">
        <v>178</v>
      </c>
      <c r="T133" s="3" t="str">
        <f>IF(S133="N", R133, "write file name")</f>
        <v>write file name</v>
      </c>
      <c r="U133" s="3" t="s">
        <v>53</v>
      </c>
      <c r="V133" s="3" t="s">
        <v>527</v>
      </c>
      <c r="Y133" s="6"/>
      <c r="Z133" s="2" t="s">
        <v>481</v>
      </c>
      <c r="AF133" s="2" t="s">
        <v>70</v>
      </c>
      <c r="AG133" s="2" t="s">
        <v>93</v>
      </c>
      <c r="AH133" s="3" t="s">
        <v>155</v>
      </c>
      <c r="AI133" s="3" t="s">
        <v>528</v>
      </c>
      <c r="AJ133" s="3" t="s">
        <v>99</v>
      </c>
      <c r="AK133" s="2" t="s">
        <v>61</v>
      </c>
      <c r="AL133" s="3" t="s">
        <v>61</v>
      </c>
      <c r="AM133" s="3" t="s">
        <v>529</v>
      </c>
    </row>
    <row r="134">
      <c r="A134" s="2" t="s">
        <v>535</v>
      </c>
      <c r="C134" s="2" t="s">
        <v>536</v>
      </c>
      <c r="D134" s="2" t="s">
        <v>537</v>
      </c>
      <c r="E134" t="str">
        <f>RIGHT(A134,1)</f>
        <v>9</v>
      </c>
      <c r="F134" t="str">
        <f>G134 &amp; IF(H134&lt;&gt;"", "_" &amp; H134, "_") &amp; IF(I134&lt;&gt;"", "_" &amp; I134, "_") &amp; IF(B134&lt;&gt;"", "_" &amp; B134, "")</f>
        <v>Smaers_Soligo_2013</v>
      </c>
      <c r="G134" t="str">
        <f>SUBSTITUTE(SUBSTITUTE(_xlfn.TEXTBEFORE(A134,","), "-", ""), " ", "")</f>
        <v>Smaers</v>
      </c>
      <c r="H134" t="str">
        <f>_xlfn.LET(
_xlpm.authors,_xlfn.TEXTBEFORE(A134," ("&amp;I134&amp;")"),
_xlpm.hasAmp,ISNUMBER(SEARCH("&amp;",_xlpm.authors)),
_xlpm.commasBeforeAmp,IF(_xlpm.hasAmp,LEN(_xlfn.TEXTBEFORE(_xlpm.authors,"&amp;"))-LEN(SUBSTITUTE(_xlfn.TEXTBEFORE(_xlpm.authors,"&amp;"),",","")),0),
IF(NOT(_xlpm.hasAmp),"",IF(_xlpm.commasBeforeAmp&gt;2,"etal",TRIM(_xlfn.TEXTBEFORE(_xlfn.TEXTAFTER(_xlpm.authors,"&amp; "),","))))
)</f>
        <v>Soligo</v>
      </c>
      <c r="I134" t="str">
        <f>_xlfn.TEXTBEFORE(_xlfn.TEXTAFTER(A134, "("), ")")</f>
        <v>2013</v>
      </c>
      <c r="J134" t="str">
        <f>_xlfn.LET(
_xlpm.doi,IF(C134&lt;&gt;"",C134,_xlfn.TEXTAFTER(A134,"https://doi.org/")),
SUBSTITUTE(
SUBSTITUTE(
SUBSTITUTE(
SUBSTITUTE(
_xlpm.doi,
"/","%2F"),
":","%3A"),
"&lt;","%3C"),
"&gt;","%3E")
)</f>
        <v>10.1098%2Frspb.2013.0269</v>
      </c>
      <c r="K134" t="str">
        <f>TRIM(_xlfn.TEXTJOIN("_",FALSE,F134,(SUBSTITUTE(SUBSTITUTE(D134," ",""), "_", ""))))</f>
        <v>Smaers_Soligo_2013_Supplement</v>
      </c>
      <c r="L134" t="str">
        <f>J134 &amp; "_" &amp; SUBSTITUTE(SUBSTITUTE(SUBSTITUTE(D134,CHAR(160),"")," ",""),"_","")</f>
        <v>10.1098%2Frspb.2013.0269_Supplement</v>
      </c>
      <c r="M134" t="str">
        <f t="array" ref="M134">IFERROR(INDEX(FileList!$A$1:$A$100,MATCH(TRUE,EXACT(L134,_xlfn.TEXTBEFORE(FileList!$A$1:$A$100,".tsv")),0)),"notfound")</f>
        <v>notfound</v>
      </c>
      <c r="N134" s="2" t="s">
        <v>538</v>
      </c>
      <c r="AF134" s="2" t="s">
        <v>70</v>
      </c>
      <c r="AG134" s="2" t="s">
        <v>93</v>
      </c>
      <c r="AI134" s="2" t="s">
        <v>539</v>
      </c>
      <c r="AJ134" s="2" t="s">
        <v>540</v>
      </c>
      <c r="AL134" s="2" t="s">
        <v>339</v>
      </c>
      <c r="AM134" s="2" t="s">
        <v>73</v>
      </c>
    </row>
    <row r="135">
      <c r="A135" s="2" t="s">
        <v>541</v>
      </c>
      <c r="D135" s="2" t="s">
        <v>542</v>
      </c>
      <c r="E135" t="str">
        <f>RIGHT(A135,1)</f>
        <v>0</v>
      </c>
      <c r="F135" t="str">
        <f>G135 &amp; IF(H135&lt;&gt;"", "_" &amp; H135, "_") &amp; IF(I135&lt;&gt;"", "_" &amp; I135, "_") &amp; IF(B135&lt;&gt;"", "_" &amp; B135, "")</f>
        <v>Smaers_etal_2017</v>
      </c>
      <c r="G135" t="str">
        <f>SUBSTITUTE(SUBSTITUTE(_xlfn.TEXTBEFORE(A135,","), "-", ""), " ", "")</f>
        <v>Smaers</v>
      </c>
      <c r="H135" t="str">
        <f>_xlfn.LET(
_xlpm.authors,_xlfn.TEXTBEFORE(A135," ("&amp;I135&amp;")"),
_xlpm.hasAmp,ISNUMBER(SEARCH("&amp;",_xlpm.authors)),
_xlpm.commasBeforeAmp,IF(_xlpm.hasAmp,LEN(_xlfn.TEXTBEFORE(_xlpm.authors,"&amp;"))-LEN(SUBSTITUTE(_xlfn.TEXTBEFORE(_xlpm.authors,"&amp;"),",","")),0),
IF(NOT(_xlpm.hasAmp),"",IF(_xlpm.commasBeforeAmp&gt;2,"etal",TRIM(_xlfn.TEXTBEFORE(_xlfn.TEXTAFTER(_xlpm.authors,"&amp; "),","))))
)</f>
        <v>etal</v>
      </c>
      <c r="I135" t="str">
        <f>_xlfn.TEXTBEFORE(_xlfn.TEXTAFTER(A135, "("), ")")</f>
        <v>2017</v>
      </c>
      <c r="J135" t="str">
        <f>_xlfn.LET(
_xlpm.doi,IF(C135&lt;&gt;"",C135,_xlfn.TEXTAFTER(A135,"https://doi.org/")),
SUBSTITUTE(
SUBSTITUTE(
SUBSTITUTE(
SUBSTITUTE(
_xlpm.doi,
"/","%2F"),
":","%3A"),
"&lt;","%3C"),
"&gt;","%3E")
)</f>
        <v>10.1016%2Fj.cub.2017.01.020</v>
      </c>
      <c r="K135" t="str">
        <f>TRIM(_xlfn.TEXTJOIN("_",FALSE,F135,(SUBSTITUTE(SUBSTITUTE(D135," ",""), "_", ""))))</f>
        <v>Smaers_etal_2017_TableS1part1</v>
      </c>
      <c r="L135" t="str">
        <f>J135 &amp; "_" &amp; SUBSTITUTE(SUBSTITUTE(SUBSTITUTE(D135,CHAR(160),"")," ",""),"_","")</f>
        <v>10.1016%2Fj.cub.2017.01.020_TableS1part1</v>
      </c>
      <c r="M135" t="str">
        <f t="array" ref="M135">IFERROR(INDEX(FileList!$A$1:$A$100,MATCH(TRUE,EXACT(L135,_xlfn.TEXTBEFORE(FileList!$A$1:$A$100,".tsv")),0)),"notfound")</f>
        <v>10.1016%2Fj.cub.2017.01.020_TableS1part1.tsv</v>
      </c>
      <c r="N135" s="2" t="s">
        <v>543</v>
      </c>
      <c r="O135" t="s">
        <v>544</v>
      </c>
      <c r="P135" s="2" t="s">
        <v>48</v>
      </c>
      <c r="V135" s="2" t="s">
        <v>40</v>
      </c>
      <c r="Y135" s="2" t="s">
        <v>545</v>
      </c>
      <c r="Z135" s="2" t="s">
        <v>481</v>
      </c>
      <c r="AC135" s="2" t="s">
        <v>546</v>
      </c>
      <c r="AF135" s="2" t="s">
        <v>70</v>
      </c>
      <c r="AG135" s="2" t="s">
        <v>93</v>
      </c>
      <c r="AI135" s="2" t="s">
        <v>547</v>
      </c>
      <c r="AJ135" s="2" t="s">
        <v>99</v>
      </c>
      <c r="AK135" s="2" t="s">
        <v>548</v>
      </c>
      <c r="AL135" s="2" t="s">
        <v>339</v>
      </c>
      <c r="AM135" s="2" t="s">
        <v>73</v>
      </c>
    </row>
    <row r="136">
      <c r="A136" s="2" t="s">
        <v>541</v>
      </c>
      <c r="D136" s="2" t="s">
        <v>549</v>
      </c>
      <c r="E136" t="str">
        <f>RIGHT(A136,1)</f>
        <v>0</v>
      </c>
      <c r="F136" t="str">
        <f>G136 &amp; IF(H136&lt;&gt;"", "_" &amp; H136, "_") &amp; IF(I136&lt;&gt;"", "_" &amp; I136, "_") &amp; IF(B136&lt;&gt;"", "_" &amp; B136, "")</f>
        <v>Smaers_etal_2017</v>
      </c>
      <c r="G136" t="str">
        <f>SUBSTITUTE(SUBSTITUTE(_xlfn.TEXTBEFORE(A136,","), "-", ""), " ", "")</f>
        <v>Smaers</v>
      </c>
      <c r="H136" t="str">
        <f>_xlfn.LET(
_xlpm.authors,_xlfn.TEXTBEFORE(A136," ("&amp;I136&amp;")"),
_xlpm.hasAmp,ISNUMBER(SEARCH("&amp;",_xlpm.authors)),
_xlpm.commasBeforeAmp,IF(_xlpm.hasAmp,LEN(_xlfn.TEXTBEFORE(_xlpm.authors,"&amp;"))-LEN(SUBSTITUTE(_xlfn.TEXTBEFORE(_xlpm.authors,"&amp;"),",","")),0),
IF(NOT(_xlpm.hasAmp),"",IF(_xlpm.commasBeforeAmp&gt;2,"etal",TRIM(_xlfn.TEXTBEFORE(_xlfn.TEXTAFTER(_xlpm.authors,"&amp; "),","))))
)</f>
        <v>etal</v>
      </c>
      <c r="I136" t="str">
        <f>_xlfn.TEXTBEFORE(_xlfn.TEXTAFTER(A136, "("), ")")</f>
        <v>2017</v>
      </c>
      <c r="J136" t="str">
        <f>_xlfn.LET(
_xlpm.doi,IF(C136&lt;&gt;"",C136,_xlfn.TEXTAFTER(A136,"https://doi.org/")),
SUBSTITUTE(
SUBSTITUTE(
SUBSTITUTE(
SUBSTITUTE(
_xlpm.doi,
"/","%2F"),
":","%3A"),
"&lt;","%3C"),
"&gt;","%3E")
)</f>
        <v>10.1016%2Fj.cub.2017.01.020</v>
      </c>
      <c r="K136" t="str">
        <f>TRIM(_xlfn.TEXTJOIN("_",FALSE,F136,(SUBSTITUTE(SUBSTITUTE(D136," ",""), "_", ""))))</f>
        <v>Smaers_etal_2017_TableS1part2</v>
      </c>
      <c r="L136" t="str">
        <f>J136 &amp; "_" &amp; SUBSTITUTE(SUBSTITUTE(SUBSTITUTE(D136,CHAR(160),"")," ",""),"_","")</f>
        <v>10.1016%2Fj.cub.2017.01.020_TableS1part2</v>
      </c>
      <c r="M136" t="str">
        <f t="array" ref="M136">IFERROR(INDEX(FileList!$A$1:$A$100,MATCH(TRUE,EXACT(L136,_xlfn.TEXTBEFORE(FileList!$A$1:$A$100,".tsv")),0)),"notfound")</f>
        <v>10.1016%2Fj.cub.2017.01.020_TableS1part2.tsv</v>
      </c>
      <c r="N136" s="2" t="s">
        <v>543</v>
      </c>
      <c r="O136" t="s">
        <v>550</v>
      </c>
      <c r="P136" s="2" t="s">
        <v>48</v>
      </c>
      <c r="V136" s="2" t="s">
        <v>40</v>
      </c>
      <c r="Y136" s="2" t="s">
        <v>545</v>
      </c>
      <c r="Z136" s="2" t="s">
        <v>481</v>
      </c>
      <c r="AC136" s="2" t="s">
        <v>546</v>
      </c>
      <c r="AF136" s="2" t="s">
        <v>70</v>
      </c>
      <c r="AG136" s="2" t="s">
        <v>93</v>
      </c>
      <c r="AI136" s="2" t="s">
        <v>547</v>
      </c>
      <c r="AJ136" s="2" t="s">
        <v>99</v>
      </c>
      <c r="AK136" s="2" t="s">
        <v>548</v>
      </c>
      <c r="AL136" s="2" t="s">
        <v>339</v>
      </c>
      <c r="AM136" s="2" t="s">
        <v>73</v>
      </c>
    </row>
    <row r="137">
      <c r="A137" s="2" t="s">
        <v>551</v>
      </c>
      <c r="D137" s="2" t="s">
        <v>552</v>
      </c>
      <c r="E137" t="str">
        <f>RIGHT(A137,1)</f>
        <v>1</v>
      </c>
      <c r="F137" t="str">
        <f>G137 &amp; IF(H137&lt;&gt;"", "_" &amp; H137, "_") &amp; IF(I137&lt;&gt;"", "_" &amp; I137, "_") &amp; IF(B137&lt;&gt;"", "_" &amp; B137, "")</f>
        <v>Smaers_etal_2011</v>
      </c>
      <c r="G137" t="str">
        <f>SUBSTITUTE(SUBSTITUTE(_xlfn.TEXTBEFORE(A137,","), "-", ""), " ", "")</f>
        <v>Smaers</v>
      </c>
      <c r="H137" t="str">
        <f>_xlfn.LET(
_xlpm.authors,_xlfn.TEXTBEFORE(A137," ("&amp;I137&amp;")"),
_xlpm.hasAmp,ISNUMBER(SEARCH("&amp;",_xlpm.authors)),
_xlpm.commasBeforeAmp,IF(_xlpm.hasAmp,LEN(_xlfn.TEXTBEFORE(_xlpm.authors,"&amp;"))-LEN(SUBSTITUTE(_xlfn.TEXTBEFORE(_xlpm.authors,"&amp;"),",","")),0),
IF(NOT(_xlpm.hasAmp),"",IF(_xlpm.commasBeforeAmp&gt;2,"etal",TRIM(_xlfn.TEXTBEFORE(_xlfn.TEXTAFTER(_xlpm.authors,"&amp; "),","))))
)</f>
        <v>etal</v>
      </c>
      <c r="I137" t="str">
        <f>_xlfn.TEXTBEFORE(_xlfn.TEXTAFTER(A137, "("), ")")</f>
        <v>2011</v>
      </c>
      <c r="J137" t="str">
        <f>_xlfn.LET(
_xlpm.doi,IF(C137&lt;&gt;"",C137,_xlfn.TEXTAFTER(A137,"https://doi.org/")),
SUBSTITUTE(
SUBSTITUTE(
SUBSTITUTE(
SUBSTITUTE(
_xlpm.doi,
"/","%2F"),
":","%3A"),
"&lt;","%3C"),
"&gt;","%3E")
)</f>
        <v>10.1159%2F000323671</v>
      </c>
      <c r="K137" t="str">
        <f>TRIM(_xlfn.TEXTJOIN("_",FALSE,F137,(SUBSTITUTE(SUBSTITUTE(D137," ",""), "_", ""))))</f>
        <v>Smaers_etal_2011_SupplementaryTable1</v>
      </c>
      <c r="L137" t="str">
        <f>J137 &amp; "_" &amp; SUBSTITUTE(SUBSTITUTE(SUBSTITUTE(D137,CHAR(160),"")," ",""),"_","")</f>
        <v>10.1159%2F000323671_SupplementaryTable1</v>
      </c>
      <c r="M137" t="str">
        <f t="array" ref="M137">IFERROR(INDEX(FileList!$A$1:$A$100,MATCH(TRUE,EXACT(L137,_xlfn.TEXTBEFORE(FileList!$A$1:$A$100,".tsv")),0)),"notfound")</f>
        <v>10.1159%2F000323671_SupplementaryTable1.tsv</v>
      </c>
      <c r="P137" s="2"/>
      <c r="Q137" s="2" t="s">
        <v>110</v>
      </c>
      <c r="V137" s="2" t="s">
        <v>40</v>
      </c>
      <c r="Z137" s="2" t="s">
        <v>481</v>
      </c>
      <c r="AF137" s="2" t="s">
        <v>70</v>
      </c>
      <c r="AG137" s="2" t="s">
        <v>93</v>
      </c>
      <c r="AI137" s="2" t="s">
        <v>553</v>
      </c>
      <c r="AJ137" s="2" t="s">
        <v>99</v>
      </c>
      <c r="AL137" s="2" t="s">
        <v>339</v>
      </c>
      <c r="AM137" s="2" t="s">
        <v>73</v>
      </c>
    </row>
    <row r="138">
      <c r="A138" s="2" t="s">
        <v>551</v>
      </c>
      <c r="D138" s="2" t="s">
        <v>554</v>
      </c>
      <c r="E138" t="str">
        <f>RIGHT(A138,1)</f>
        <v>1</v>
      </c>
      <c r="F138" t="str">
        <f>G138 &amp; IF(H138&lt;&gt;"", "_" &amp; H138, "_") &amp; IF(I138&lt;&gt;"", "_" &amp; I138, "_") &amp; IF(B138&lt;&gt;"", "_" &amp; B138, "")</f>
        <v>Smaers_etal_2011</v>
      </c>
      <c r="G138" t="str">
        <f>SUBSTITUTE(SUBSTITUTE(_xlfn.TEXTBEFORE(A138,","), "-", ""), " ", "")</f>
        <v>Smaers</v>
      </c>
      <c r="H138" t="str">
        <f>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v>etal</v>
      </c>
      <c r="I138" t="str">
        <f>_xlfn.TEXTBEFORE(_xlfn.TEXTAFTER(A138, "("), ")")</f>
        <v>2011</v>
      </c>
      <c r="J138" t="str">
        <f>_xlfn.LET(
_xlpm.doi,IF(C138&lt;&gt;"",C138,_xlfn.TEXTAFTER(A138,"https://doi.org/")),
SUBSTITUTE(
SUBSTITUTE(
SUBSTITUTE(
SUBSTITUTE(
_xlpm.doi,
"/","%2F"),
":","%3A"),
"&lt;","%3C"),
"&gt;","%3E")
)</f>
        <v>10.1159%2F000323671</v>
      </c>
      <c r="K138" t="str">
        <f>TRIM(_xlfn.TEXTJOIN("_",FALSE,F138,(SUBSTITUTE(SUBSTITUTE(D138," ",""), "_", ""))))</f>
        <v>Smaers_etal_2011_SupplementaryTable2</v>
      </c>
      <c r="L138" t="str">
        <f>J138 &amp; "_" &amp; SUBSTITUTE(SUBSTITUTE(SUBSTITUTE(D138,CHAR(160),"")," ",""),"_","")</f>
        <v>10.1159%2F000323671_SupplementaryTable2</v>
      </c>
      <c r="M138" t="str">
        <f t="array" ref="M138">IFERROR(INDEX(FileList!$A$1:$A$100,MATCH(TRUE,EXACT(L138,_xlfn.TEXTBEFORE(FileList!$A$1:$A$100,".tsv")),0)),"notfound")</f>
        <v>10.1159%2F000323671_SupplementaryTable2.tsv</v>
      </c>
      <c r="P138" s="2"/>
      <c r="Q138" s="2" t="s">
        <v>110</v>
      </c>
      <c r="V138" s="2" t="s">
        <v>40</v>
      </c>
      <c r="Z138" s="2" t="s">
        <v>481</v>
      </c>
      <c r="AF138" s="2" t="s">
        <v>70</v>
      </c>
      <c r="AG138" s="2" t="s">
        <v>93</v>
      </c>
      <c r="AI138" s="2" t="s">
        <v>553</v>
      </c>
      <c r="AJ138" s="2" t="s">
        <v>99</v>
      </c>
      <c r="AL138" s="2" t="s">
        <v>339</v>
      </c>
      <c r="AM138" s="2" t="s">
        <v>73</v>
      </c>
    </row>
    <row r="139">
      <c r="A139" s="2" t="s">
        <v>555</v>
      </c>
      <c r="C139" s="2" t="s">
        <v>556</v>
      </c>
      <c r="D139" s="2" t="s">
        <v>557</v>
      </c>
      <c r="E139" t="str">
        <f>RIGHT(A139,1)</f>
        <v>6</v>
      </c>
      <c r="F139" t="str">
        <f>G139 &amp; IF(H139&lt;&gt;"", "_" &amp; H139, "_") &amp; IF(I139&lt;&gt;"", "_" &amp; I139, "_") &amp; IF(B139&lt;&gt;"", "_" &amp; B139, "")</f>
        <v>Smaers_etal_2018</v>
      </c>
      <c r="G139" t="str">
        <f>SUBSTITUTE(SUBSTITUTE(_xlfn.TEXTBEFORE(A139,","), "-", ""), " ", "")</f>
        <v>Smaers</v>
      </c>
      <c r="H139" t="str">
        <f>_xlfn.LET(
_xlpm.authors,_xlfn.TEXTBEFORE(A139," ("&amp;I139&amp;")"),
_xlpm.hasAmp,ISNUMBER(SEARCH("&amp;",_xlpm.authors)),
_xlpm.commasBeforeAmp,IF(_xlpm.hasAmp,LEN(_xlfn.TEXTBEFORE(_xlpm.authors,"&amp;"))-LEN(SUBSTITUTE(_xlfn.TEXTBEFORE(_xlpm.authors,"&amp;"),",","")),0),
IF(NOT(_xlpm.hasAmp),"",IF(_xlpm.commasBeforeAmp&gt;2,"etal",TRIM(_xlfn.TEXTBEFORE(_xlfn.TEXTAFTER(_xlpm.authors,"&amp; "),","))))
)</f>
        <v>etal</v>
      </c>
      <c r="I139" t="str">
        <f>_xlfn.TEXTBEFORE(_xlfn.TEXTAFTER(A139, "("), ")")</f>
        <v>2018</v>
      </c>
      <c r="J139" t="str">
        <f>_xlfn.LET(
_xlpm.doi,IF(C139&lt;&gt;"",C139,_xlfn.TEXTAFTER(A139,"https://doi.org/")),
SUBSTITUTE(
SUBSTITUTE(
SUBSTITUTE(
SUBSTITUTE(
_xlpm.doi,
"/","%2F"),
":","%3A"),
"&lt;","%3C"),
"&gt;","%3E")
)</f>
        <v>10.7554%2FeLife.35696</v>
      </c>
      <c r="K139" t="str">
        <f>TRIM(_xlfn.TEXTJOIN("_",FALSE,F139,(SUBSTITUTE(SUBSTITUTE(D139," ",""), "_", ""))))</f>
        <v>Smaers_etal_2018_Figure2-data1</v>
      </c>
      <c r="L139" t="str">
        <f>J139 &amp; "_" &amp; SUBSTITUTE(SUBSTITUTE(SUBSTITUTE(D139,CHAR(160),"")," ",""),"_","")</f>
        <v>10.7554%2FeLife.35696_Figure2-data1</v>
      </c>
      <c r="M139" t="str">
        <f t="array" ref="M139">IFERROR(INDEX(FileList!$A$1:$A$100,MATCH(TRUE,EXACT(L139,_xlfn.TEXTBEFORE(FileList!$A$1:$A$100,".tsv")),0)),"notfound")</f>
        <v>notfound</v>
      </c>
      <c r="N139" s="2" t="s">
        <v>558</v>
      </c>
      <c r="Z139" s="2" t="s">
        <v>481</v>
      </c>
      <c r="AF139" s="2" t="s">
        <v>70</v>
      </c>
      <c r="AG139" s="2" t="s">
        <v>93</v>
      </c>
      <c r="AI139" s="2" t="s">
        <v>559</v>
      </c>
      <c r="AJ139" s="2" t="s">
        <v>118</v>
      </c>
      <c r="AL139" s="2" t="s">
        <v>339</v>
      </c>
      <c r="AM139" s="2" t="s">
        <v>73</v>
      </c>
    </row>
    <row r="140">
      <c r="A140" s="2" t="s">
        <v>572</v>
      </c>
      <c r="C140" s="2" t="s">
        <v>573</v>
      </c>
      <c r="D140" s="2" t="s">
        <v>78</v>
      </c>
      <c r="E140" t="str">
        <f>RIGHT(A140,1)</f>
        <v>3</v>
      </c>
      <c r="F140" t="str">
        <f>G140 &amp; IF(H140&lt;&gt;"", "_" &amp; H140, "_") &amp; IF(I140&lt;&gt;"", "_" &amp; I140, "_") &amp; IF(B140&lt;&gt;"", "_" &amp; B140, "")</f>
        <v>Stephan_etal_1982</v>
      </c>
      <c r="G140" t="str">
        <f>SUBSTITUTE(SUBSTITUTE(_xlfn.TEXTBEFORE(A140,","), "-", ""), " ", "")</f>
        <v>Stephan</v>
      </c>
      <c r="H140" t="str">
        <f>_xlfn.LET(
_xlpm.authors,_xlfn.TEXTBEFORE(A140," ("&amp;I140&amp;")"),
_xlpm.hasAmp,ISNUMBER(SEARCH("&amp;",_xlpm.authors)),
_xlpm.commasBeforeAmp,IF(_xlpm.hasAmp,LEN(_xlfn.TEXTBEFORE(_xlpm.authors,"&amp;"))-LEN(SUBSTITUTE(_xlfn.TEXTBEFORE(_xlpm.authors,"&amp;"),",","")),0),
IF(NOT(_xlpm.hasAmp),"",IF(_xlpm.commasBeforeAmp&gt;2,"etal",TRIM(_xlfn.TEXTBEFORE(_xlfn.TEXTAFTER(_xlpm.authors,"&amp; "),","))))
)</f>
        <v>etal</v>
      </c>
      <c r="I140" t="str">
        <f>_xlfn.TEXTBEFORE(_xlfn.TEXTAFTER(A140, "("), ")")</f>
        <v>1982</v>
      </c>
      <c r="J140" t="str">
        <f>_xlfn.LET(
_xlpm.doi,IF(C140&lt;&gt;"",C140,_xlfn.TEXTAFTER(A140,"https://doi.org/")),
SUBSTITUTE(
SUBSTITUTE(
SUBSTITUTE(
SUBSTITUTE(
_xlpm.doi,
"/","%2F"),
":","%3A"),
"&lt;","%3C"),
"&gt;","%3E")
)</f>
        <v>PMID%3A7161483</v>
      </c>
      <c r="K140" t="str">
        <f>TRIM(_xlfn.TEXTJOIN("_",FALSE,F140,(SUBSTITUTE(SUBSTITUTE(D140," ",""), "_", ""))))</f>
        <v>Stephan_etal_1982_Table1</v>
      </c>
      <c r="L140" t="str">
        <f>J140 &amp; "_" &amp; SUBSTITUTE(SUBSTITUTE(SUBSTITUTE(D140,CHAR(160),"")," ",""),"_","")</f>
        <v>PMID%3A7161483_Table1</v>
      </c>
      <c r="M140" t="str">
        <f t="array" ref="M140">IFERROR(INDEX(FileList!$A$1:$A$100,MATCH(TRUE,EXACT(L140,_xlfn.TEXTBEFORE(FileList!$A$1:$A$100,".tsv")),0)),"notfound")</f>
        <v>notfound</v>
      </c>
      <c r="N140" s="2" t="s">
        <v>574</v>
      </c>
      <c r="P140" s="3" t="s">
        <v>48</v>
      </c>
      <c r="V140" s="3" t="s">
        <v>40</v>
      </c>
      <c r="W140" s="3" t="s">
        <v>85</v>
      </c>
      <c r="Y140" s="3" t="s">
        <v>80</v>
      </c>
      <c r="Z140" s="2" t="s">
        <v>80</v>
      </c>
      <c r="AF140" s="2" t="s">
        <v>70</v>
      </c>
      <c r="AG140" s="2" t="s">
        <v>93</v>
      </c>
      <c r="AI140" s="3" t="s">
        <v>575</v>
      </c>
      <c r="AJ140" s="2" t="s">
        <v>82</v>
      </c>
      <c r="AK140" s="3" t="s">
        <v>61</v>
      </c>
      <c r="AL140" s="2" t="s">
        <v>61</v>
      </c>
      <c r="AM140" s="2" t="s">
        <v>73</v>
      </c>
    </row>
    <row r="141">
      <c r="A141" s="2" t="s">
        <v>628</v>
      </c>
      <c r="C141" s="2" t="s">
        <v>629</v>
      </c>
      <c r="D141" s="2" t="s">
        <v>46</v>
      </c>
      <c r="E141" t="str">
        <f>RIGHT(A141,1)</f>
        <v>.</v>
      </c>
      <c r="F141" t="str">
        <f>G141 &amp; IF(H141&lt;&gt;"", "_" &amp; H141, "_") &amp; IF(I141&lt;&gt;"", "_" &amp; I141, "_") &amp; IF(B141&lt;&gt;"", "_" &amp; B141, "")</f>
        <v>Stephan_etal_1988</v>
      </c>
      <c r="G141" t="str">
        <f>SUBSTITUTE(SUBSTITUTE(_xlfn.TEXTBEFORE(A141,","), "-", ""), " ", "")</f>
        <v>Stephan</v>
      </c>
      <c r="H141" t="str">
        <f>_xlfn.LET(
_xlpm.authors,_xlfn.TEXTBEFORE(A141," ("&amp;I141&amp;")"),
_xlpm.hasAmp,ISNUMBER(SEARCH("&amp;",_xlpm.authors)),
_xlpm.commasBeforeAmp,IF(_xlpm.hasAmp,LEN(_xlfn.TEXTBEFORE(_xlpm.authors,"&amp;"))-LEN(SUBSTITUTE(_xlfn.TEXTBEFORE(_xlpm.authors,"&amp;"),",","")),0),
IF(NOT(_xlpm.hasAmp),"",IF(_xlpm.commasBeforeAmp&gt;2,"etal",TRIM(_xlfn.TEXTBEFORE(_xlfn.TEXTAFTER(_xlpm.authors,"&amp; "),","))))
)</f>
        <v>etal</v>
      </c>
      <c r="I141" t="str">
        <f>_xlfn.TEXTBEFORE(_xlfn.TEXTAFTER(A141, "("), ")")</f>
        <v>1988</v>
      </c>
      <c r="J141" t="str">
        <f>_xlfn.LET(
_xlpm.doi,IF(C141&lt;&gt;"",C141,_xlfn.TEXTAFTER(A141,"https://doi.org/")),
SUBSTITUTE(
SUBSTITUTE(
SUBSTITUTE(
SUBSTITUTE(
_xlpm.doi,
"/","%2F"),
":","%3A"),
"&lt;","%3C"),
"&gt;","%3E")
)</f>
        <v>ISBN%3A0845140000</v>
      </c>
      <c r="K141" t="str">
        <f>TRIM(_xlfn.TEXTJOIN("_",FALSE,F141,(SUBSTITUTE(SUBSTITUTE(D141," ",""), "_", ""))))</f>
        <v>Stephan_etal_1988_TABLE1</v>
      </c>
      <c r="L141" t="str">
        <f>J141 &amp; "_" &amp; SUBSTITUTE(SUBSTITUTE(SUBSTITUTE(D141,CHAR(160),"")," ",""),"_","")</f>
        <v>ISBN%3A0845140000_TABLE1</v>
      </c>
      <c r="M141" t="str">
        <f t="array" ref="M141">IFERROR(INDEX(FileList!$A$1:$A$100,MATCH(TRUE,EXACT(L141,_xlfn.TEXTBEFORE(FileList!$A$1:$A$100,".tsv")),0)),"notfound")</f>
        <v>ISBN%3A0845140000_TABLE1.tsv</v>
      </c>
      <c r="N141" s="2" t="s">
        <v>630</v>
      </c>
      <c r="P141" s="3"/>
      <c r="V141" s="3"/>
      <c r="Y141" s="3"/>
      <c r="Z141" s="2"/>
      <c r="AF141" s="2"/>
      <c r="AG141" s="2"/>
      <c r="AI141" s="3"/>
      <c r="AJ141" s="2"/>
      <c r="AK141" s="3"/>
      <c r="AL141" s="2"/>
      <c r="AM141" s="2"/>
    </row>
    <row r="142">
      <c r="A142" s="2" t="s">
        <v>560</v>
      </c>
      <c r="C142" s="2" t="s">
        <v>623</v>
      </c>
      <c r="D142" s="2" t="s">
        <v>46</v>
      </c>
      <c r="E142" t="str">
        <f>RIGHT(A142,1)</f>
        <v>s</v>
      </c>
      <c r="F142" t="str">
        <f>G142 &amp; IF(H142&lt;&gt;"", "_" &amp; H142, "_") &amp; IF(I142&lt;&gt;"", "_" &amp; I142, "_") &amp; IF(B142&lt;&gt;"", "_" &amp; B142, "")</f>
        <v>Stephan_etal_1970</v>
      </c>
      <c r="G142" t="str">
        <f>SUBSTITUTE(SUBSTITUTE(_xlfn.TEXTBEFORE(A142,","), "-", ""), " ", "")</f>
        <v>Stephan</v>
      </c>
      <c r="H142" t="str">
        <f>_xlfn.LET(
_xlpm.authors,_xlfn.TEXTBEFORE(A142," ("&amp;I142&amp;")"),
_xlpm.hasAmp,ISNUMBER(SEARCH("&amp;",_xlpm.authors)),
_xlpm.commasBeforeAmp,IF(_xlpm.hasAmp,LEN(_xlfn.TEXTBEFORE(_xlpm.authors,"&amp;"))-LEN(SUBSTITUTE(_xlfn.TEXTBEFORE(_xlpm.authors,"&amp;"),",","")),0),
IF(NOT(_xlpm.hasAmp),"",IF(_xlpm.commasBeforeAmp&gt;2,"etal",TRIM(_xlfn.TEXTBEFORE(_xlfn.TEXTAFTER(_xlpm.authors,"&amp; "),","))))
)</f>
        <v>etal</v>
      </c>
      <c r="I142" t="str">
        <f>_xlfn.TEXTBEFORE(_xlfn.TEXTAFTER(A142, "("), ")")</f>
        <v>1970</v>
      </c>
      <c r="J142" t="str">
        <f>_xlfn.LET(
_xlpm.doi,IF(C142&lt;&gt;"",C142,_xlfn.TEXTAFTER(A142,"https://doi.org/")),
SUBSTITUTE(
SUBSTITUTE(
SUBSTITUTE(
SUBSTITUTE(
_xlpm.doi,
"/","%2F"),
":","%3A"),
"&lt;","%3C"),
"&gt;","%3E")
)</f>
        <v>ISBN%3A0390672505</v>
      </c>
      <c r="K142" t="str">
        <f>TRIM(_xlfn.TEXTJOIN("_",FALSE,F142,(SUBSTITUTE(SUBSTITUTE(D142," ",""), "_", ""))))</f>
        <v>Stephan_etal_1970_TABLE1</v>
      </c>
      <c r="L142" t="str">
        <f>J142 &amp; "_" &amp; SUBSTITUTE(SUBSTITUTE(SUBSTITUTE(D142,CHAR(160),"")," ",""),"_","")</f>
        <v>ISBN%3A0390672505_TABLE1</v>
      </c>
      <c r="M142" t="str">
        <f t="array" ref="M142">IFERROR(INDEX(FileList!$A$1:$A$100,MATCH(TRUE,EXACT(L142,_xlfn.TEXTBEFORE(FileList!$A$1:$A$100,".tsv")),0)),"notfound")</f>
        <v>notfound</v>
      </c>
      <c r="N142" s="2" t="s">
        <v>561</v>
      </c>
      <c r="V142" t="s">
        <v>40</v>
      </c>
      <c r="Z142" s="2" t="s">
        <v>80</v>
      </c>
      <c r="AF142" s="2" t="s">
        <v>70</v>
      </c>
      <c r="AG142" s="2" t="s">
        <v>93</v>
      </c>
      <c r="AJ142" s="2" t="s">
        <v>624</v>
      </c>
      <c r="AL142" s="2" t="s">
        <v>61</v>
      </c>
      <c r="AM142" s="2" t="s">
        <v>73</v>
      </c>
    </row>
    <row r="143">
      <c r="A143" s="2" t="s">
        <v>560</v>
      </c>
      <c r="C143" s="2" t="s">
        <v>623</v>
      </c>
      <c r="D143" s="2" t="s">
        <v>281</v>
      </c>
      <c r="E143" t="str">
        <f>RIGHT(A143,1)</f>
        <v>s</v>
      </c>
      <c r="F143" t="str">
        <f>G143 &amp; IF(H143&lt;&gt;"", "_" &amp; H143, "_") &amp; IF(I143&lt;&gt;"", "_" &amp; I143, "_") &amp; IF(B143&lt;&gt;"", "_" &amp; B143, "")</f>
        <v>Stephan_etal_1970</v>
      </c>
      <c r="G143" t="str">
        <f>SUBSTITUTE(SUBSTITUTE(_xlfn.TEXTBEFORE(A143,","), "-", ""), " ", "")</f>
        <v>Stephan</v>
      </c>
      <c r="H143" t="str">
        <f>_xlfn.LET(
_xlpm.authors,_xlfn.TEXTBEFORE(A143," ("&amp;I143&amp;")"),
_xlpm.hasAmp,ISNUMBER(SEARCH("&amp;",_xlpm.authors)),
_xlpm.commasBeforeAmp,IF(_xlpm.hasAmp,LEN(_xlfn.TEXTBEFORE(_xlpm.authors,"&amp;"))-LEN(SUBSTITUTE(_xlfn.TEXTBEFORE(_xlpm.authors,"&amp;"),",","")),0),
IF(NOT(_xlpm.hasAmp),"",IF(_xlpm.commasBeforeAmp&gt;2,"etal",TRIM(_xlfn.TEXTBEFORE(_xlfn.TEXTAFTER(_xlpm.authors,"&amp; "),","))))
)</f>
        <v>etal</v>
      </c>
      <c r="I143" t="str">
        <f>_xlfn.TEXTBEFORE(_xlfn.TEXTAFTER(A143, "("), ")")</f>
        <v>1970</v>
      </c>
      <c r="J143" t="str">
        <f>_xlfn.LET(
_xlpm.doi,IF(C143&lt;&gt;"",C143,_xlfn.TEXTAFTER(A143,"https://doi.org/")),
SUBSTITUTE(
SUBSTITUTE(
SUBSTITUTE(
SUBSTITUTE(
_xlpm.doi,
"/","%2F"),
":","%3A"),
"&lt;","%3C"),
"&gt;","%3E")
)</f>
        <v>ISBN%3A0390672505</v>
      </c>
      <c r="K143" t="str">
        <f>TRIM(_xlfn.TEXTJOIN("_",FALSE,F143,(SUBSTITUTE(SUBSTITUTE(D143," ",""), "_", ""))))</f>
        <v>Stephan_etal_1970_TABLE2</v>
      </c>
      <c r="L143" t="str">
        <f>J143 &amp; "_" &amp; SUBSTITUTE(SUBSTITUTE(SUBSTITUTE(D143,CHAR(160),"")," ",""),"_","")</f>
        <v>ISBN%3A0390672505_TABLE2</v>
      </c>
      <c r="M143" t="str">
        <f t="array" ref="M143">IFERROR(INDEX(FileList!$A$1:$A$100,MATCH(TRUE,EXACT(L143,_xlfn.TEXTBEFORE(FileList!$A$1:$A$100,".tsv")),0)),"notfound")</f>
        <v>notfound</v>
      </c>
      <c r="N143" s="2" t="s">
        <v>562</v>
      </c>
      <c r="V143" t="s">
        <v>40</v>
      </c>
      <c r="Z143" s="2" t="s">
        <v>80</v>
      </c>
      <c r="AF143" s="2" t="s">
        <v>70</v>
      </c>
      <c r="AG143" s="2" t="s">
        <v>93</v>
      </c>
      <c r="AJ143" s="2" t="s">
        <v>99</v>
      </c>
      <c r="AL143" s="2" t="s">
        <v>61</v>
      </c>
      <c r="AM143" s="2" t="s">
        <v>73</v>
      </c>
    </row>
    <row r="144">
      <c r="A144" s="2" t="s">
        <v>560</v>
      </c>
      <c r="C144" s="2" t="s">
        <v>623</v>
      </c>
      <c r="D144" s="2" t="s">
        <v>563</v>
      </c>
      <c r="E144" t="str">
        <f>RIGHT(A144,1)</f>
        <v>s</v>
      </c>
      <c r="F144" t="str">
        <f>G144 &amp; IF(H144&lt;&gt;"", "_" &amp; H144, "_") &amp; IF(I144&lt;&gt;"", "_" &amp; I144, "_") &amp; IF(B144&lt;&gt;"", "_" &amp; B144, "")</f>
        <v>Stephan_etal_1970</v>
      </c>
      <c r="G144" t="str">
        <f>SUBSTITUTE(SUBSTITUTE(_xlfn.TEXTBEFORE(A144,","), "-", ""), " ", "")</f>
        <v>Stephan</v>
      </c>
      <c r="H144" t="str">
        <f>_xlfn.LET(
_xlpm.authors,_xlfn.TEXTBEFORE(A144," ("&amp;I144&amp;")"),
_xlpm.hasAmp,ISNUMBER(SEARCH("&amp;",_xlpm.authors)),
_xlpm.commasBeforeAmp,IF(_xlpm.hasAmp,LEN(_xlfn.TEXTBEFORE(_xlpm.authors,"&amp;"))-LEN(SUBSTITUTE(_xlfn.TEXTBEFORE(_xlpm.authors,"&amp;"),",","")),0),
IF(NOT(_xlpm.hasAmp),"",IF(_xlpm.commasBeforeAmp&gt;2,"etal",TRIM(_xlfn.TEXTBEFORE(_xlfn.TEXTAFTER(_xlpm.authors,"&amp; "),","))))
)</f>
        <v>etal</v>
      </c>
      <c r="I144" t="str">
        <f>_xlfn.TEXTBEFORE(_xlfn.TEXTAFTER(A144, "("), ")")</f>
        <v>1970</v>
      </c>
      <c r="J144" t="str">
        <f>_xlfn.LET(
_xlpm.doi,IF(C144&lt;&gt;"",C144,_xlfn.TEXTAFTER(A144,"https://doi.org/")),
SUBSTITUTE(
SUBSTITUTE(
SUBSTITUTE(
SUBSTITUTE(
_xlpm.doi,
"/","%2F"),
":","%3A"),
"&lt;","%3C"),
"&gt;","%3E")
)</f>
        <v>ISBN%3A0390672505</v>
      </c>
      <c r="K144" t="str">
        <f>TRIM(_xlfn.TEXTJOIN("_",FALSE,F144,(SUBSTITUTE(SUBSTITUTE(D144," ",""), "_", ""))))</f>
        <v>Stephan_etal_1970_TABLE3</v>
      </c>
      <c r="L144" t="str">
        <f>J144 &amp; "_" &amp; SUBSTITUTE(SUBSTITUTE(SUBSTITUTE(D144,CHAR(160),"")," ",""),"_","")</f>
        <v>ISBN%3A0390672505_TABLE3</v>
      </c>
      <c r="M144" t="str">
        <f t="array" ref="M144">IFERROR(INDEX(FileList!$A$1:$A$100,MATCH(TRUE,EXACT(L144,_xlfn.TEXTBEFORE(FileList!$A$1:$A$100,".tsv")),0)),"notfound")</f>
        <v>notfound</v>
      </c>
      <c r="N144" s="2" t="s">
        <v>564</v>
      </c>
      <c r="V144" t="s">
        <v>40</v>
      </c>
      <c r="Z144" s="2" t="s">
        <v>80</v>
      </c>
      <c r="AF144" s="2" t="s">
        <v>70</v>
      </c>
      <c r="AG144" s="2" t="s">
        <v>93</v>
      </c>
      <c r="AJ144" s="2" t="s">
        <v>99</v>
      </c>
      <c r="AL144" s="2" t="s">
        <v>61</v>
      </c>
      <c r="AM144" s="2" t="s">
        <v>73</v>
      </c>
    </row>
    <row r="145">
      <c r="A145" s="2" t="s">
        <v>560</v>
      </c>
      <c r="C145" s="2" t="s">
        <v>623</v>
      </c>
      <c r="D145" s="2" t="s">
        <v>565</v>
      </c>
      <c r="E145" t="str">
        <f>RIGHT(A145,1)</f>
        <v>s</v>
      </c>
      <c r="F145" t="str">
        <f>G145 &amp; IF(H145&lt;&gt;"", "_" &amp; H145, "_") &amp; IF(I145&lt;&gt;"", "_" &amp; I145, "_") &amp; IF(B145&lt;&gt;"", "_" &amp; B145, "")</f>
        <v>Stephan_etal_1970</v>
      </c>
      <c r="G145" t="str">
        <f>SUBSTITUTE(SUBSTITUTE(_xlfn.TEXTBEFORE(A145,","), "-", ""), " ", "")</f>
        <v>Stephan</v>
      </c>
      <c r="H145" t="str">
        <f>_xlfn.LET(
_xlpm.authors,_xlfn.TEXTBEFORE(A145," ("&amp;I145&amp;")"),
_xlpm.hasAmp,ISNUMBER(SEARCH("&amp;",_xlpm.authors)),
_xlpm.commasBeforeAmp,IF(_xlpm.hasAmp,LEN(_xlfn.TEXTBEFORE(_xlpm.authors,"&amp;"))-LEN(SUBSTITUTE(_xlfn.TEXTBEFORE(_xlpm.authors,"&amp;"),",","")),0),
IF(NOT(_xlpm.hasAmp),"",IF(_xlpm.commasBeforeAmp&gt;2,"etal",TRIM(_xlfn.TEXTBEFORE(_xlfn.TEXTAFTER(_xlpm.authors,"&amp; "),","))))
)</f>
        <v>etal</v>
      </c>
      <c r="I145" t="str">
        <f>_xlfn.TEXTBEFORE(_xlfn.TEXTAFTER(A145, "("), ")")</f>
        <v>1970</v>
      </c>
      <c r="J145" t="str">
        <f>_xlfn.LET(
_xlpm.doi,IF(C145&lt;&gt;"",C145,_xlfn.TEXTAFTER(A145,"https://doi.org/")),
SUBSTITUTE(
SUBSTITUTE(
SUBSTITUTE(
SUBSTITUTE(
_xlpm.doi,
"/","%2F"),
":","%3A"),
"&lt;","%3C"),
"&gt;","%3E")
)</f>
        <v>ISBN%3A0390672505</v>
      </c>
      <c r="K145" t="str">
        <f>TRIM(_xlfn.TEXTJOIN("_",FALSE,F145,(SUBSTITUTE(SUBSTITUTE(D145," ",""), "_", ""))))</f>
        <v>Stephan_etal_1970_TABLE4</v>
      </c>
      <c r="L145" t="str">
        <f>J145 &amp; "_" &amp; SUBSTITUTE(SUBSTITUTE(SUBSTITUTE(D145,CHAR(160),"")," ",""),"_","")</f>
        <v>ISBN%3A0390672505_TABLE4</v>
      </c>
      <c r="M145" t="str">
        <f t="array" ref="M145">IFERROR(INDEX(FileList!$A$1:$A$100,MATCH(TRUE,EXACT(L145,_xlfn.TEXTBEFORE(FileList!$A$1:$A$100,".tsv")),0)),"notfound")</f>
        <v>notfound</v>
      </c>
      <c r="N145" s="2" t="s">
        <v>566</v>
      </c>
      <c r="V145" t="s">
        <v>40</v>
      </c>
      <c r="Z145" s="2" t="s">
        <v>80</v>
      </c>
      <c r="AF145" s="2" t="s">
        <v>70</v>
      </c>
      <c r="AG145" s="2" t="s">
        <v>93</v>
      </c>
      <c r="AJ145" s="2" t="s">
        <v>624</v>
      </c>
      <c r="AL145" s="2" t="s">
        <v>61</v>
      </c>
      <c r="AM145" s="2" t="s">
        <v>73</v>
      </c>
    </row>
    <row r="146">
      <c r="A146" s="2" t="s">
        <v>560</v>
      </c>
      <c r="C146" s="2" t="s">
        <v>623</v>
      </c>
      <c r="D146" s="2" t="s">
        <v>567</v>
      </c>
      <c r="E146" t="str">
        <f>RIGHT(A146,1)</f>
        <v>s</v>
      </c>
      <c r="F146" t="str">
        <f>G146 &amp; IF(H146&lt;&gt;"", "_" &amp; H146, "_") &amp; IF(I146&lt;&gt;"", "_" &amp; I146, "_") &amp; IF(B146&lt;&gt;"", "_" &amp; B146, "")</f>
        <v>Stephan_etal_1970</v>
      </c>
      <c r="G146" t="str">
        <f>SUBSTITUTE(SUBSTITUTE(_xlfn.TEXTBEFORE(A146,","), "-", ""), " ", "")</f>
        <v>Stephan</v>
      </c>
      <c r="H146" t="str">
        <f>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v>etal</v>
      </c>
      <c r="I146" t="str">
        <f>_xlfn.TEXTBEFORE(_xlfn.TEXTAFTER(A146, "("), ")")</f>
        <v>1970</v>
      </c>
      <c r="J146" t="str">
        <f>_xlfn.LET(
_xlpm.doi,IF(C146&lt;&gt;"",C146,_xlfn.TEXTAFTER(A146,"https://doi.org/")),
SUBSTITUTE(
SUBSTITUTE(
SUBSTITUTE(
SUBSTITUTE(
_xlpm.doi,
"/","%2F"),
":","%3A"),
"&lt;","%3C"),
"&gt;","%3E")
)</f>
        <v>ISBN%3A0390672505</v>
      </c>
      <c r="K146" t="str">
        <f>TRIM(_xlfn.TEXTJOIN("_",FALSE,F146,(SUBSTITUTE(SUBSTITUTE(D146," ",""), "_", ""))))</f>
        <v>Stephan_etal_1970_TABLE5</v>
      </c>
      <c r="L146" t="str">
        <f>J146 &amp; "_" &amp; SUBSTITUTE(SUBSTITUTE(SUBSTITUTE(D146,CHAR(160),"")," ",""),"_","")</f>
        <v>ISBN%3A0390672505_TABLE5</v>
      </c>
      <c r="M146" t="str">
        <f t="array" ref="M146">IFERROR(INDEX(FileList!$A$1:$A$100,MATCH(TRUE,EXACT(L146,_xlfn.TEXTBEFORE(FileList!$A$1:$A$100,".tsv")),0)),"notfound")</f>
        <v>notfound</v>
      </c>
      <c r="N146" s="2" t="s">
        <v>568</v>
      </c>
      <c r="P146" s="6"/>
      <c r="V146" t="s">
        <v>40</v>
      </c>
      <c r="Y146" s="6"/>
      <c r="Z146" s="2" t="s">
        <v>80</v>
      </c>
      <c r="AF146" s="2" t="s">
        <v>70</v>
      </c>
      <c r="AG146" s="2" t="s">
        <v>93</v>
      </c>
      <c r="AJ146" s="2" t="s">
        <v>99</v>
      </c>
      <c r="AL146" s="2" t="s">
        <v>61</v>
      </c>
      <c r="AM146" s="2" t="s">
        <v>73</v>
      </c>
    </row>
    <row r="147">
      <c r="A147" s="2" t="s">
        <v>560</v>
      </c>
      <c r="C147" s="2" t="s">
        <v>623</v>
      </c>
      <c r="D147" s="2" t="s">
        <v>569</v>
      </c>
      <c r="E147" t="str">
        <f>RIGHT(A147,1)</f>
        <v>s</v>
      </c>
      <c r="F147" t="str">
        <f>G147 &amp; IF(H147&lt;&gt;"", "_" &amp; H147, "_") &amp; IF(I147&lt;&gt;"", "_" &amp; I147, "_") &amp; IF(B147&lt;&gt;"", "_" &amp; B147, "")</f>
        <v>Stephan_etal_1970</v>
      </c>
      <c r="G147" t="str">
        <f>SUBSTITUTE(SUBSTITUTE(_xlfn.TEXTBEFORE(A147,","), "-", ""), " ", "")</f>
        <v>Stephan</v>
      </c>
      <c r="H147" t="str">
        <f>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v>etal</v>
      </c>
      <c r="I147" t="str">
        <f>_xlfn.TEXTBEFORE(_xlfn.TEXTAFTER(A147, "("), ")")</f>
        <v>1970</v>
      </c>
      <c r="J147" t="str">
        <f>_xlfn.LET(
_xlpm.doi,IF(C147&lt;&gt;"",C147,_xlfn.TEXTAFTER(A147,"https://doi.org/")),
SUBSTITUTE(
SUBSTITUTE(
SUBSTITUTE(
SUBSTITUTE(
_xlpm.doi,
"/","%2F"),
":","%3A"),
"&lt;","%3C"),
"&gt;","%3E")
)</f>
        <v>ISBN%3A0390672505</v>
      </c>
      <c r="K147" t="str">
        <f>TRIM(_xlfn.TEXTJOIN("_",FALSE,F147,(SUBSTITUTE(SUBSTITUTE(D147," ",""), "_", ""))))</f>
        <v>Stephan_etal_1970_TABLE6</v>
      </c>
      <c r="L147" t="str">
        <f>J147 &amp; "_" &amp; SUBSTITUTE(SUBSTITUTE(SUBSTITUTE(D147,CHAR(160),"")," ",""),"_","")</f>
        <v>ISBN%3A0390672505_TABLE6</v>
      </c>
      <c r="M147" t="str">
        <f t="array" ref="M147">IFERROR(INDEX(FileList!$A$1:$A$100,MATCH(TRUE,EXACT(L147,_xlfn.TEXTBEFORE(FileList!$A$1:$A$100,".tsv")),0)),"notfound")</f>
        <v>notfound</v>
      </c>
      <c r="N147" s="2" t="s">
        <v>570</v>
      </c>
      <c r="P147" s="6"/>
      <c r="V147" s="6" t="s">
        <v>40</v>
      </c>
      <c r="W147" s="6"/>
      <c r="Y147" s="6"/>
      <c r="Z147" s="2" t="s">
        <v>80</v>
      </c>
      <c r="AF147" s="2" t="s">
        <v>70</v>
      </c>
      <c r="AG147" s="2" t="s">
        <v>93</v>
      </c>
      <c r="AI147" s="6"/>
      <c r="AJ147" s="2" t="s">
        <v>99</v>
      </c>
      <c r="AK147" s="6"/>
      <c r="AL147" s="2" t="s">
        <v>61</v>
      </c>
      <c r="AM147" s="2" t="s">
        <v>73</v>
      </c>
    </row>
    <row r="148">
      <c r="A148" s="2" t="s">
        <v>560</v>
      </c>
      <c r="C148" s="2" t="s">
        <v>623</v>
      </c>
      <c r="D148" s="2" t="s">
        <v>571</v>
      </c>
      <c r="E148" t="str">
        <f>RIGHT(A148,1)</f>
        <v>s</v>
      </c>
      <c r="F148" t="str">
        <f>G148 &amp; IF(H148&lt;&gt;"", "_" &amp; H148, "_") &amp; IF(I148&lt;&gt;"", "_" &amp; I148, "_") &amp; IF(B148&lt;&gt;"", "_" &amp; B148, "")</f>
        <v>Stephan_etal_1970</v>
      </c>
      <c r="G148" t="str">
        <f>SUBSTITUTE(SUBSTITUTE(_xlfn.TEXTBEFORE(A148,","), "-", ""), " ", "")</f>
        <v>Stephan</v>
      </c>
      <c r="H148" t="str">
        <f>_xlfn.LET(
_xlpm.authors,_xlfn.TEXTBEFORE(A148," ("&amp;I148&amp;")"),
_xlpm.hasAmp,ISNUMBER(SEARCH("&amp;",_xlpm.authors)),
_xlpm.commasBeforeAmp,IF(_xlpm.hasAmp,LEN(_xlfn.TEXTBEFORE(_xlpm.authors,"&amp;"))-LEN(SUBSTITUTE(_xlfn.TEXTBEFORE(_xlpm.authors,"&amp;"),",","")),0),
IF(NOT(_xlpm.hasAmp),"",IF(_xlpm.commasBeforeAmp&gt;2,"etal",TRIM(_xlfn.TEXTBEFORE(_xlfn.TEXTAFTER(_xlpm.authors,"&amp; "),","))))
)</f>
        <v>etal</v>
      </c>
      <c r="I148" t="str">
        <f>_xlfn.TEXTBEFORE(_xlfn.TEXTAFTER(A148, "("), ")")</f>
        <v>1970</v>
      </c>
      <c r="J148" t="str">
        <f>_xlfn.LET(
_xlpm.doi,IF(C148&lt;&gt;"",C148,_xlfn.TEXTAFTER(A148,"https://doi.org/")),
SUBSTITUTE(
SUBSTITUTE(
SUBSTITUTE(
SUBSTITUTE(
_xlpm.doi,
"/","%2F"),
":","%3A"),
"&lt;","%3C"),
"&gt;","%3E")
)</f>
        <v>ISBN%3A0390672505</v>
      </c>
      <c r="K148" t="str">
        <f>TRIM(_xlfn.TEXTJOIN("_",FALSE,F148,(SUBSTITUTE(SUBSTITUTE(D148," ",""), "_", ""))))</f>
        <v>Stephan_etal_1970_Tables1-6</v>
      </c>
      <c r="L148" t="str">
        <f>J148 &amp; "_" &amp; SUBSTITUTE(SUBSTITUTE(SUBSTITUTE(D148,CHAR(160),"")," ",""),"_","")</f>
        <v>ISBN%3A0390672505_Tables1-6</v>
      </c>
      <c r="M148" t="str">
        <f t="array" ref="M148">IFERROR(INDEX(FileList!$A$1:$A$100,MATCH(TRUE,EXACT(L148,_xlfn.TEXTBEFORE(FileList!$A$1:$A$100,".tsv")),0)),"notfound")</f>
        <v>ISBN%3A0390672505_Tables1-6.tsv</v>
      </c>
      <c r="N148" s="2"/>
      <c r="O148" t="s">
        <v>644</v>
      </c>
      <c r="P148" s="2" t="s">
        <v>48</v>
      </c>
      <c r="V148" s="6" t="s">
        <v>527</v>
      </c>
      <c r="W148" s="6"/>
      <c r="Y148" s="2" t="s">
        <v>80</v>
      </c>
      <c r="Z148" s="2" t="s">
        <v>80</v>
      </c>
      <c r="AF148" s="2" t="s">
        <v>70</v>
      </c>
      <c r="AG148" s="2" t="s">
        <v>93</v>
      </c>
      <c r="AI148" s="6"/>
      <c r="AJ148" s="2" t="s">
        <v>82</v>
      </c>
      <c r="AK148" s="6"/>
      <c r="AL148" s="2" t="s">
        <v>61</v>
      </c>
      <c r="AM148" s="2" t="s">
        <v>73</v>
      </c>
    </row>
    <row r="149">
      <c r="A149" s="2" t="s">
        <v>576</v>
      </c>
      <c r="C149" s="2" t="s">
        <v>577</v>
      </c>
      <c r="D149" s="2" t="s">
        <v>78</v>
      </c>
      <c r="E149" t="str">
        <f>RIGHT(A149,1)</f>
        <v>4</v>
      </c>
      <c r="F149" t="str">
        <f>G149 &amp; IF(H149&lt;&gt;"", "_" &amp; H149, "_") &amp; IF(I149&lt;&gt;"", "_" &amp; I149, "_") &amp; IF(B149&lt;&gt;"", "_" &amp; B149, "")</f>
        <v>Stephan_etal_1984</v>
      </c>
      <c r="G149" t="str">
        <f>SUBSTITUTE(SUBSTITUTE(_xlfn.TEXTBEFORE(A149,","), "-", ""), " ", "")</f>
        <v>Stephan</v>
      </c>
      <c r="H149" t="str">
        <f>_xlfn.LET(
_xlpm.authors,_xlfn.TEXTBEFORE(A149," ("&amp;I149&amp;")"),
_xlpm.hasAmp,ISNUMBER(SEARCH("&amp;",_xlpm.authors)),
_xlpm.commasBeforeAmp,IF(_xlpm.hasAmp,LEN(_xlfn.TEXTBEFORE(_xlpm.authors,"&amp;"))-LEN(SUBSTITUTE(_xlfn.TEXTBEFORE(_xlpm.authors,"&amp;"),",","")),0),
IF(NOT(_xlpm.hasAmp),"",IF(_xlpm.commasBeforeAmp&gt;2,"etal",TRIM(_xlfn.TEXTBEFORE(_xlfn.TEXTAFTER(_xlpm.authors,"&amp; "),","))))
)</f>
        <v>etal</v>
      </c>
      <c r="I149" t="str">
        <f>_xlfn.TEXTBEFORE(_xlfn.TEXTAFTER(A149, "("), ")")</f>
        <v>1984</v>
      </c>
      <c r="J149" t="str">
        <f>_xlfn.LET(
_xlpm.doi,IF(C149&lt;&gt;"",C149,_xlfn.TEXTAFTER(A149,"https://doi.org/")),
SUBSTITUTE(
SUBSTITUTE(
SUBSTITUTE(
SUBSTITUTE(
_xlpm.doi,
"/","%2F"),
":","%3A"),
"&lt;","%3C"),
"&gt;","%3E")
)</f>
        <v>PMID%3A6481154</v>
      </c>
      <c r="K149" t="str">
        <f>TRIM(_xlfn.TEXTJOIN("_",FALSE,F149,(SUBSTITUTE(SUBSTITUTE(D149," ",""), "_", ""))))</f>
        <v>Stephan_etal_1984_Table1</v>
      </c>
      <c r="L149" t="str">
        <f>J149 &amp; "_" &amp; SUBSTITUTE(SUBSTITUTE(SUBSTITUTE(D149,CHAR(160),"")," ",""),"_","")</f>
        <v>PMID%3A6481154_Table1</v>
      </c>
      <c r="M149" t="str">
        <f t="array" ref="M149">IFERROR(INDEX(FileList!$A$1:$A$100,MATCH(TRUE,EXACT(L149,_xlfn.TEXTBEFORE(FileList!$A$1:$A$100,".tsv")),0)),"notfound")</f>
        <v>notfound</v>
      </c>
      <c r="N149" s="2" t="s">
        <v>578</v>
      </c>
      <c r="P149" s="2" t="s">
        <v>48</v>
      </c>
      <c r="V149" s="2" t="s">
        <v>40</v>
      </c>
      <c r="W149" s="2" t="s">
        <v>85</v>
      </c>
      <c r="Y149" s="2" t="s">
        <v>80</v>
      </c>
      <c r="Z149" s="2" t="s">
        <v>80</v>
      </c>
      <c r="AF149" s="2" t="s">
        <v>70</v>
      </c>
      <c r="AG149" s="2" t="s">
        <v>93</v>
      </c>
      <c r="AI149" s="2" t="s">
        <v>579</v>
      </c>
      <c r="AJ149" s="2" t="s">
        <v>82</v>
      </c>
      <c r="AK149" s="2" t="s">
        <v>61</v>
      </c>
      <c r="AL149" s="2" t="s">
        <v>61</v>
      </c>
      <c r="AM149" s="2" t="s">
        <v>73</v>
      </c>
    </row>
    <row r="150">
      <c r="A150" s="2" t="s">
        <v>580</v>
      </c>
      <c r="C150" s="3" t="s">
        <v>581</v>
      </c>
      <c r="D150" s="2" t="s">
        <v>78</v>
      </c>
      <c r="E150" t="str">
        <f>RIGHT(A150,1)</f>
        <v>5</v>
      </c>
      <c r="F150" t="str">
        <f>G150 &amp; IF(H150&lt;&gt;"", "_" &amp; H150, "_") &amp; IF(I150&lt;&gt;"", "_" &amp; I150, "_") &amp; IF(B150&lt;&gt;"", "_" &amp; B150, "")</f>
        <v>Stephan_etal_1987</v>
      </c>
      <c r="G150" t="str">
        <f>SUBSTITUTE(SUBSTITUTE(_xlfn.TEXTBEFORE(A150,","), "-", ""), " ", "")</f>
        <v>Stephan</v>
      </c>
      <c r="H150" t="str">
        <f>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v>etal</v>
      </c>
      <c r="I150" t="str">
        <f>_xlfn.TEXTBEFORE(_xlfn.TEXTAFTER(A150, "("), ")")</f>
        <v>1987</v>
      </c>
      <c r="J150" t="str">
        <f>_xlfn.LET(
_xlpm.doi,IF(C150&lt;&gt;"",C150,_xlfn.TEXTAFTER(A150,"https://doi.org/")),
SUBSTITUTE(
SUBSTITUTE(
SUBSTITUTE(
SUBSTITUTE(
_xlpm.doi,
"/","%2F"),
":","%3A"),
"&lt;","%3C"),
"&gt;","%3E")
)</f>
        <v>PMID%3A3693895</v>
      </c>
      <c r="K150" t="str">
        <f>TRIM(_xlfn.TEXTJOIN("_",FALSE,F150,(SUBSTITUTE(SUBSTITUTE(D150," ",""), "_", ""))))</f>
        <v>Stephan_etal_1987_Table1</v>
      </c>
      <c r="L150" t="str">
        <f>J150 &amp; "_" &amp; SUBSTITUTE(SUBSTITUTE(SUBSTITUTE(D150,CHAR(160),"")," ",""),"_","")</f>
        <v>PMID%3A3693895_Table1</v>
      </c>
      <c r="M150" t="str">
        <f t="array" ref="M150">IFERROR(INDEX(FileList!$A$1:$A$100,MATCH(TRUE,EXACT(L150,_xlfn.TEXTBEFORE(FileList!$A$1:$A$100,".tsv")),0)),"notfound")</f>
        <v>notfound</v>
      </c>
      <c r="N150" s="2" t="s">
        <v>829</v>
      </c>
      <c r="P150" s="2" t="s">
        <v>48</v>
      </c>
      <c r="V150" s="2" t="s">
        <v>40</v>
      </c>
      <c r="W150" s="3" t="s">
        <v>85</v>
      </c>
      <c r="Y150" s="2" t="s">
        <v>80</v>
      </c>
      <c r="Z150" s="2" t="s">
        <v>80</v>
      </c>
      <c r="AF150" s="2" t="s">
        <v>70</v>
      </c>
      <c r="AG150" s="2" t="s">
        <v>93</v>
      </c>
      <c r="AI150" s="2" t="s">
        <v>582</v>
      </c>
      <c r="AJ150" s="2" t="s">
        <v>82</v>
      </c>
      <c r="AK150" s="2" t="s">
        <v>61</v>
      </c>
      <c r="AL150" s="2" t="s">
        <v>61</v>
      </c>
      <c r="AM150" s="2" t="s">
        <v>73</v>
      </c>
    </row>
    <row r="151">
      <c r="A151" s="2" t="s">
        <v>583</v>
      </c>
      <c r="D151" s="2" t="s">
        <v>330</v>
      </c>
      <c r="E151" t="str">
        <f>RIGHT(A151,1)</f>
        <v>3</v>
      </c>
      <c r="F151" t="str">
        <f>G151 &amp; IF(H151&lt;&gt;"", "_" &amp; H151, "_") &amp; IF(I151&lt;&gt;"", "_" &amp; I151, "_") &amp; IF(B151&lt;&gt;"", "_" &amp; B151, "")</f>
        <v>Stephan_etal_1981</v>
      </c>
      <c r="G151" t="str">
        <f>SUBSTITUTE(SUBSTITUTE(_xlfn.TEXTBEFORE(A151,","), "-", ""), " ", "")</f>
        <v>Stephan</v>
      </c>
      <c r="H151" t="str">
        <f>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v>etal</v>
      </c>
      <c r="I151" t="str">
        <f>_xlfn.TEXTBEFORE(_xlfn.TEXTAFTER(A151, "("), ")")</f>
        <v>1981</v>
      </c>
      <c r="J151" t="str">
        <f>_xlfn.LET(
_xlpm.doi,IF(C151&lt;&gt;"",C151,_xlfn.TEXTAFTER(A151,"https://doi.org/")),
SUBSTITUTE(
SUBSTITUTE(
SUBSTITUTE(
SUBSTITUTE(
_xlpm.doi,
"/","%2F"),
":","%3A"),
"&lt;","%3C"),
"&gt;","%3E")
)</f>
        <v>10.1159%2F000155963</v>
      </c>
      <c r="K151" t="str">
        <f>TRIM(_xlfn.TEXTJOIN("_",FALSE,F151,(SUBSTITUTE(SUBSTITUTE(D151," ",""), "_", ""))))</f>
        <v>Stephan_etal_1981_TableI</v>
      </c>
      <c r="L151" t="str">
        <f>J151 &amp; "_" &amp; SUBSTITUTE(SUBSTITUTE(SUBSTITUTE(D151,CHAR(160),"")," ",""),"_","")</f>
        <v>10.1159%2F000155963_TableI</v>
      </c>
      <c r="M151" t="str">
        <f t="array" ref="M151">IFERROR(INDEX(FileList!$A$1:$A$100,MATCH(TRUE,EXACT(L151,_xlfn.TEXTBEFORE(FileList!$A$1:$A$100,".tsv")),0)),"notfound")</f>
        <v>notfound</v>
      </c>
      <c r="N151" s="2" t="s">
        <v>634</v>
      </c>
      <c r="P151" s="2"/>
      <c r="V151" s="2" t="s">
        <v>40</v>
      </c>
      <c r="Y151" s="2" t="s">
        <v>80</v>
      </c>
      <c r="Z151" s="2" t="s">
        <v>80</v>
      </c>
      <c r="AF151" s="2" t="s">
        <v>70</v>
      </c>
      <c r="AG151" s="2" t="s">
        <v>93</v>
      </c>
      <c r="AI151" s="2" t="s">
        <v>584</v>
      </c>
      <c r="AJ151" s="2" t="s">
        <v>82</v>
      </c>
      <c r="AK151" s="2" t="s">
        <v>61</v>
      </c>
      <c r="AL151" s="2" t="s">
        <v>61</v>
      </c>
      <c r="AM151" s="2" t="s">
        <v>73</v>
      </c>
    </row>
    <row r="152">
      <c r="A152" s="2" t="s">
        <v>583</v>
      </c>
      <c r="D152" s="2" t="s">
        <v>636</v>
      </c>
      <c r="E152" t="str">
        <f>RIGHT(A152,1)</f>
        <v>3</v>
      </c>
      <c r="F152" t="str">
        <f>G152 &amp; IF(H152&lt;&gt;"", "_" &amp; H152, "_") &amp; IF(I152&lt;&gt;"", "_" &amp; I152, "_") &amp; IF(B152&lt;&gt;"", "_" &amp; B152, "")</f>
        <v>Stephan_etal_1981</v>
      </c>
      <c r="G152" t="str">
        <f>SUBSTITUTE(SUBSTITUTE(_xlfn.TEXTBEFORE(A152,","), "-", ""), " ", "")</f>
        <v>Stephan</v>
      </c>
      <c r="H152" t="str">
        <f>_xlfn.LET(
_xlpm.authors,_xlfn.TEXTBEFORE(A152," ("&amp;I152&amp;")"),
_xlpm.hasAmp,ISNUMBER(SEARCH("&amp;",_xlpm.authors)),
_xlpm.commasBeforeAmp,IF(_xlpm.hasAmp,LEN(_xlfn.TEXTBEFORE(_xlpm.authors,"&amp;"))-LEN(SUBSTITUTE(_xlfn.TEXTBEFORE(_xlpm.authors,"&amp;"),",","")),0),
IF(NOT(_xlpm.hasAmp),"",IF(_xlpm.commasBeforeAmp&gt;2,"etal",TRIM(_xlfn.TEXTBEFORE(_xlfn.TEXTAFTER(_xlpm.authors,"&amp; "),","))))
)</f>
        <v>etal</v>
      </c>
      <c r="I152" t="str">
        <f>_xlfn.TEXTBEFORE(_xlfn.TEXTAFTER(A152, "("), ")")</f>
        <v>1981</v>
      </c>
      <c r="J152" t="str">
        <f>_xlfn.LET(
_xlpm.doi,IF(C152&lt;&gt;"",C152,_xlfn.TEXTAFTER(A152,"https://doi.org/")),
SUBSTITUTE(
SUBSTITUTE(
SUBSTITUTE(
SUBSTITUTE(
_xlpm.doi,
"/","%2F"),
":","%3A"),
"&lt;","%3C"),
"&gt;","%3E")
)</f>
        <v>10.1159%2F000155963</v>
      </c>
      <c r="K152" t="str">
        <f>TRIM(_xlfn.TEXTJOIN("_",FALSE,F152,(SUBSTITUTE(SUBSTITUTE(D152," ",""), "_", ""))))</f>
        <v>Stephan_etal_1981_TableII</v>
      </c>
      <c r="L152" t="str">
        <f>J152 &amp; "_" &amp; SUBSTITUTE(SUBSTITUTE(SUBSTITUTE(D152,CHAR(160),"")," ",""),"_","")</f>
        <v>10.1159%2F000155963_TableII</v>
      </c>
      <c r="M152" t="str">
        <f t="array" ref="M152">IFERROR(INDEX(FileList!$A$1:$A$100,MATCH(TRUE,EXACT(L152,_xlfn.TEXTBEFORE(FileList!$A$1:$A$100,".tsv")),0)),"notfound")</f>
        <v>notfound</v>
      </c>
      <c r="N152" s="2" t="s">
        <v>635</v>
      </c>
      <c r="P152" s="2"/>
      <c r="V152" s="2" t="s">
        <v>40</v>
      </c>
      <c r="Y152" s="2" t="s">
        <v>80</v>
      </c>
      <c r="Z152" s="2" t="s">
        <v>80</v>
      </c>
      <c r="AF152" s="2" t="s">
        <v>70</v>
      </c>
      <c r="AG152" s="2" t="s">
        <v>93</v>
      </c>
      <c r="AI152" s="2" t="s">
        <v>584</v>
      </c>
      <c r="AJ152" s="2" t="s">
        <v>82</v>
      </c>
      <c r="AK152" s="2" t="s">
        <v>61</v>
      </c>
      <c r="AL152" s="2" t="s">
        <v>61</v>
      </c>
      <c r="AM152" s="2" t="s">
        <v>73</v>
      </c>
    </row>
    <row r="153">
      <c r="A153" s="2" t="s">
        <v>583</v>
      </c>
      <c r="D153" s="2" t="s">
        <v>637</v>
      </c>
      <c r="E153" t="str">
        <f>RIGHT(A153,1)</f>
        <v>3</v>
      </c>
      <c r="F153" t="str">
        <f>G153 &amp; IF(H153&lt;&gt;"", "_" &amp; H153, "_") &amp; IF(I153&lt;&gt;"", "_" &amp; I153, "_") &amp; IF(B153&lt;&gt;"", "_" &amp; B153, "")</f>
        <v>Stephan_etal_1981</v>
      </c>
      <c r="G153" t="str">
        <f>SUBSTITUTE(SUBSTITUTE(_xlfn.TEXTBEFORE(A153,","), "-", ""), " ", "")</f>
        <v>Stephan</v>
      </c>
      <c r="H153" t="str">
        <f>_xlfn.LET(
_xlpm.authors,_xlfn.TEXTBEFORE(A153," ("&amp;I153&amp;")"),
_xlpm.hasAmp,ISNUMBER(SEARCH("&amp;",_xlpm.authors)),
_xlpm.commasBeforeAmp,IF(_xlpm.hasAmp,LEN(_xlfn.TEXTBEFORE(_xlpm.authors,"&amp;"))-LEN(SUBSTITUTE(_xlfn.TEXTBEFORE(_xlpm.authors,"&amp;"),",","")),0),
IF(NOT(_xlpm.hasAmp),"",IF(_xlpm.commasBeforeAmp&gt;2,"etal",TRIM(_xlfn.TEXTBEFORE(_xlfn.TEXTAFTER(_xlpm.authors,"&amp; "),","))))
)</f>
        <v>etal</v>
      </c>
      <c r="I153" t="str">
        <f>_xlfn.TEXTBEFORE(_xlfn.TEXTAFTER(A153, "("), ")")</f>
        <v>1981</v>
      </c>
      <c r="J153" t="str">
        <f>_xlfn.LET(
_xlpm.doi,IF(C153&lt;&gt;"",C153,_xlfn.TEXTAFTER(A153,"https://doi.org/")),
SUBSTITUTE(
SUBSTITUTE(
SUBSTITUTE(
SUBSTITUTE(
_xlpm.doi,
"/","%2F"),
":","%3A"),
"&lt;","%3C"),
"&gt;","%3E")
)</f>
        <v>10.1159%2F000155963</v>
      </c>
      <c r="K153" t="str">
        <f>TRIM(_xlfn.TEXTJOIN("_",FALSE,F153,(SUBSTITUTE(SUBSTITUTE(D153," ",""), "_", ""))))</f>
        <v>Stephan_etal_1981_TableIII</v>
      </c>
      <c r="L153" t="str">
        <f>J153 &amp; "_" &amp; SUBSTITUTE(SUBSTITUTE(SUBSTITUTE(D153,CHAR(160),"")," ",""),"_","")</f>
        <v>10.1159%2F000155963_TableIII</v>
      </c>
      <c r="M153" t="str">
        <f t="array" ref="M153">IFERROR(INDEX(FileList!$A$1:$A$100,MATCH(TRUE,EXACT(L153,_xlfn.TEXTBEFORE(FileList!$A$1:$A$100,".tsv")),0)),"notfound")</f>
        <v>notfound</v>
      </c>
      <c r="N153" s="2" t="s">
        <v>641</v>
      </c>
      <c r="P153" s="2"/>
      <c r="V153" s="2" t="s">
        <v>40</v>
      </c>
      <c r="Y153" s="2" t="s">
        <v>80</v>
      </c>
      <c r="Z153" s="2" t="s">
        <v>80</v>
      </c>
      <c r="AF153" s="2" t="s">
        <v>70</v>
      </c>
      <c r="AG153" s="2" t="s">
        <v>93</v>
      </c>
      <c r="AI153" s="2" t="s">
        <v>584</v>
      </c>
      <c r="AJ153" s="2" t="s">
        <v>82</v>
      </c>
      <c r="AK153" s="2" t="s">
        <v>61</v>
      </c>
      <c r="AL153" s="2" t="s">
        <v>61</v>
      </c>
      <c r="AM153" s="2" t="s">
        <v>73</v>
      </c>
    </row>
    <row r="154">
      <c r="A154" s="2" t="s">
        <v>583</v>
      </c>
      <c r="D154" s="2" t="s">
        <v>638</v>
      </c>
      <c r="E154" t="str">
        <f>RIGHT(A154,1)</f>
        <v>3</v>
      </c>
      <c r="F154" t="str">
        <f>G154 &amp; IF(H154&lt;&gt;"", "_" &amp; H154, "_") &amp; IF(I154&lt;&gt;"", "_" &amp; I154, "_") &amp; IF(B154&lt;&gt;"", "_" &amp; B154, "")</f>
        <v>Stephan_etal_1981</v>
      </c>
      <c r="G154" t="str">
        <f>SUBSTITUTE(SUBSTITUTE(_xlfn.TEXTBEFORE(A154,","), "-", ""), " ", "")</f>
        <v>Stephan</v>
      </c>
      <c r="H154" t="str">
        <f>_xlfn.LET(
_xlpm.authors,_xlfn.TEXTBEFORE(A154," ("&amp;I154&amp;")"),
_xlpm.hasAmp,ISNUMBER(SEARCH("&amp;",_xlpm.authors)),
_xlpm.commasBeforeAmp,IF(_xlpm.hasAmp,LEN(_xlfn.TEXTBEFORE(_xlpm.authors,"&amp;"))-LEN(SUBSTITUTE(_xlfn.TEXTBEFORE(_xlpm.authors,"&amp;"),",","")),0),
IF(NOT(_xlpm.hasAmp),"",IF(_xlpm.commasBeforeAmp&gt;2,"etal",TRIM(_xlfn.TEXTBEFORE(_xlfn.TEXTAFTER(_xlpm.authors,"&amp; "),","))))
)</f>
        <v>etal</v>
      </c>
      <c r="I154" t="str">
        <f>_xlfn.TEXTBEFORE(_xlfn.TEXTAFTER(A154, "("), ")")</f>
        <v>1981</v>
      </c>
      <c r="J154" t="str">
        <f>_xlfn.LET(
_xlpm.doi,IF(C154&lt;&gt;"",C154,_xlfn.TEXTAFTER(A154,"https://doi.org/")),
SUBSTITUTE(
SUBSTITUTE(
SUBSTITUTE(
SUBSTITUTE(
_xlpm.doi,
"/","%2F"),
":","%3A"),
"&lt;","%3C"),
"&gt;","%3E")
)</f>
        <v>10.1159%2F000155963</v>
      </c>
      <c r="K154" t="str">
        <f>TRIM(_xlfn.TEXTJOIN("_",FALSE,F154,(SUBSTITUTE(SUBSTITUTE(D154," ",""), "_", ""))))</f>
        <v>Stephan_etal_1981_TableIV</v>
      </c>
      <c r="L154" t="str">
        <f>J154 &amp; "_" &amp; SUBSTITUTE(SUBSTITUTE(SUBSTITUTE(D154,CHAR(160),"")," ",""),"_","")</f>
        <v>10.1159%2F000155963_TableIV</v>
      </c>
      <c r="M154" t="str">
        <f t="array" ref="M154">IFERROR(INDEX(FileList!$A$1:$A$100,MATCH(TRUE,EXACT(L154,_xlfn.TEXTBEFORE(FileList!$A$1:$A$100,".tsv")),0)),"notfound")</f>
        <v>notfound</v>
      </c>
      <c r="N154" s="2" t="s">
        <v>643</v>
      </c>
      <c r="P154" s="2"/>
      <c r="V154" s="2" t="s">
        <v>40</v>
      </c>
      <c r="Y154" s="2" t="s">
        <v>80</v>
      </c>
      <c r="Z154" s="2" t="s">
        <v>80</v>
      </c>
      <c r="AF154" s="2" t="s">
        <v>70</v>
      </c>
      <c r="AG154" s="2" t="s">
        <v>93</v>
      </c>
      <c r="AI154" s="2" t="s">
        <v>584</v>
      </c>
      <c r="AJ154" s="2" t="s">
        <v>82</v>
      </c>
      <c r="AK154" s="2" t="s">
        <v>61</v>
      </c>
      <c r="AL154" s="2" t="s">
        <v>61</v>
      </c>
      <c r="AM154" s="2" t="s">
        <v>73</v>
      </c>
    </row>
    <row r="155">
      <c r="A155" s="2" t="s">
        <v>583</v>
      </c>
      <c r="D155" s="2" t="s">
        <v>639</v>
      </c>
      <c r="E155" t="str">
        <f>RIGHT(A155,1)</f>
        <v>3</v>
      </c>
      <c r="F155" t="str">
        <f>G155 &amp; IF(H155&lt;&gt;"", "_" &amp; H155, "_") &amp; IF(I155&lt;&gt;"", "_" &amp; I155, "_") &amp; IF(B155&lt;&gt;"", "_" &amp; B155, "")</f>
        <v>Stephan_etal_1981</v>
      </c>
      <c r="G155" t="str">
        <f>SUBSTITUTE(SUBSTITUTE(_xlfn.TEXTBEFORE(A155,","), "-", ""), " ", "")</f>
        <v>Stephan</v>
      </c>
      <c r="H155" t="str">
        <f>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v>etal</v>
      </c>
      <c r="I155" t="str">
        <f>_xlfn.TEXTBEFORE(_xlfn.TEXTAFTER(A155, "("), ")")</f>
        <v>1981</v>
      </c>
      <c r="J155" t="str">
        <f>_xlfn.LET(
_xlpm.doi,IF(C155&lt;&gt;"",C155,_xlfn.TEXTAFTER(A155,"https://doi.org/")),
SUBSTITUTE(
SUBSTITUTE(
SUBSTITUTE(
SUBSTITUTE(
_xlpm.doi,
"/","%2F"),
":","%3A"),
"&lt;","%3C"),
"&gt;","%3E")
)</f>
        <v>10.1159%2F000155963</v>
      </c>
      <c r="K155" t="str">
        <f>TRIM(_xlfn.TEXTJOIN("_",FALSE,F155,(SUBSTITUTE(SUBSTITUTE(D155," ",""), "_", ""))))</f>
        <v>Stephan_etal_1981_TableV</v>
      </c>
      <c r="L155" t="str">
        <f>J155 &amp; "_" &amp; SUBSTITUTE(SUBSTITUTE(SUBSTITUTE(D155,CHAR(160),"")," ",""),"_","")</f>
        <v>10.1159%2F000155963_TableV</v>
      </c>
      <c r="M155" t="str">
        <f t="array" ref="M155">IFERROR(INDEX(FileList!$A$1:$A$100,MATCH(TRUE,EXACT(L155,_xlfn.TEXTBEFORE(FileList!$A$1:$A$100,".tsv")),0)),"notfound")</f>
        <v>notfound</v>
      </c>
      <c r="N155" s="2" t="s">
        <v>642</v>
      </c>
      <c r="P155" s="2"/>
      <c r="V155" s="2" t="s">
        <v>40</v>
      </c>
      <c r="Y155" s="2" t="s">
        <v>80</v>
      </c>
      <c r="Z155" s="2" t="s">
        <v>80</v>
      </c>
      <c r="AF155" s="2" t="s">
        <v>70</v>
      </c>
      <c r="AG155" s="2" t="s">
        <v>93</v>
      </c>
      <c r="AI155" s="2" t="s">
        <v>584</v>
      </c>
      <c r="AJ155" s="2" t="s">
        <v>82</v>
      </c>
      <c r="AK155" s="2" t="s">
        <v>61</v>
      </c>
      <c r="AL155" s="2" t="s">
        <v>61</v>
      </c>
      <c r="AM155" s="2" t="s">
        <v>73</v>
      </c>
    </row>
    <row r="156">
      <c r="A156" s="2" t="s">
        <v>583</v>
      </c>
      <c r="D156" s="2" t="s">
        <v>640</v>
      </c>
      <c r="E156" t="str">
        <f>RIGHT(A156,1)</f>
        <v>3</v>
      </c>
      <c r="F156" t="str">
        <f>G156 &amp; IF(H156&lt;&gt;"", "_" &amp; H156, "_") &amp; IF(I156&lt;&gt;"", "_" &amp; I156, "_") &amp; IF(B156&lt;&gt;"", "_" &amp; B156, "")</f>
        <v>Stephan_etal_1981</v>
      </c>
      <c r="G156" t="str">
        <f>SUBSTITUTE(SUBSTITUTE(_xlfn.TEXTBEFORE(A156,","), "-", ""), " ", "")</f>
        <v>Stephan</v>
      </c>
      <c r="H156" t="str">
        <f>_xlfn.LET(
_xlpm.authors,_xlfn.TEXTBEFORE(A156," ("&amp;I156&amp;")"),
_xlpm.hasAmp,ISNUMBER(SEARCH("&amp;",_xlpm.authors)),
_xlpm.commasBeforeAmp,IF(_xlpm.hasAmp,LEN(_xlfn.TEXTBEFORE(_xlpm.authors,"&amp;"))-LEN(SUBSTITUTE(_xlfn.TEXTBEFORE(_xlpm.authors,"&amp;"),",","")),0),
IF(NOT(_xlpm.hasAmp),"",IF(_xlpm.commasBeforeAmp&gt;2,"etal",TRIM(_xlfn.TEXTBEFORE(_xlfn.TEXTAFTER(_xlpm.authors,"&amp; "),","))))
)</f>
        <v>etal</v>
      </c>
      <c r="I156" t="str">
        <f>_xlfn.TEXTBEFORE(_xlfn.TEXTAFTER(A156, "("), ")")</f>
        <v>1981</v>
      </c>
      <c r="J156" t="str">
        <f>_xlfn.LET(
_xlpm.doi,IF(C156&lt;&gt;"",C156,_xlfn.TEXTAFTER(A156,"https://doi.org/")),
SUBSTITUTE(
SUBSTITUTE(
SUBSTITUTE(
SUBSTITUTE(
_xlpm.doi,
"/","%2F"),
":","%3A"),
"&lt;","%3C"),
"&gt;","%3E")
)</f>
        <v>10.1159%2F000155963</v>
      </c>
      <c r="K156" t="str">
        <f>TRIM(_xlfn.TEXTJOIN("_",FALSE,F156,(SUBSTITUTE(SUBSTITUTE(D156," ",""), "_", ""))))</f>
        <v>Stephan_etal_1981_TableVI</v>
      </c>
      <c r="L156" t="str">
        <f>J156 &amp; "_" &amp; SUBSTITUTE(SUBSTITUTE(SUBSTITUTE(D156,CHAR(160),"")," ",""),"_","")</f>
        <v>10.1159%2F000155963_TableVI</v>
      </c>
      <c r="M156" t="str">
        <f t="array" ref="M156">IFERROR(INDEX(FileList!$A$1:$A$100,MATCH(TRUE,EXACT(L156,_xlfn.TEXTBEFORE(FileList!$A$1:$A$100,".tsv")),0)),"notfound")</f>
        <v>notfound</v>
      </c>
      <c r="N156" s="2" t="s">
        <v>647</v>
      </c>
      <c r="P156" s="2"/>
      <c r="V156" s="2" t="s">
        <v>40</v>
      </c>
      <c r="Y156" s="2" t="s">
        <v>80</v>
      </c>
      <c r="Z156" s="2" t="s">
        <v>80</v>
      </c>
      <c r="AF156" s="2" t="s">
        <v>70</v>
      </c>
      <c r="AG156" s="2" t="s">
        <v>93</v>
      </c>
      <c r="AI156" s="2" t="s">
        <v>584</v>
      </c>
      <c r="AJ156" s="2" t="s">
        <v>82</v>
      </c>
      <c r="AK156" s="2" t="s">
        <v>61</v>
      </c>
      <c r="AL156" s="2" t="s">
        <v>61</v>
      </c>
      <c r="AM156" s="2" t="s">
        <v>73</v>
      </c>
    </row>
    <row r="157">
      <c r="A157" s="2" t="s">
        <v>583</v>
      </c>
      <c r="C157" s="7"/>
      <c r="D157" s="2" t="s">
        <v>806</v>
      </c>
      <c r="E157" t="str">
        <f>RIGHT(A157,1)</f>
        <v>3</v>
      </c>
      <c r="F157" t="str">
        <f>G157 &amp; IF(H157&lt;&gt;"", "_" &amp; H157, "_") &amp; IF(I157&lt;&gt;"", "_" &amp; I157, "_") &amp; IF(B157&lt;&gt;"", "_" &amp; B157, "")</f>
        <v>Stephan_etal_1981</v>
      </c>
      <c r="G157" t="str">
        <f>SUBSTITUTE(SUBSTITUTE(_xlfn.TEXTBEFORE(A157,","), "-", ""), " ", "")</f>
        <v>Stephan</v>
      </c>
      <c r="H157" t="str">
        <f>_xlfn.LET(
_xlpm.authors,_xlfn.TEXTBEFORE(A157," ("&amp;I157&amp;")"),
_xlpm.hasAmp,ISNUMBER(SEARCH("&amp;",_xlpm.authors)),
_xlpm.commasBeforeAmp,IF(_xlpm.hasAmp,LEN(_xlfn.TEXTBEFORE(_xlpm.authors,"&amp;"))-LEN(SUBSTITUTE(_xlfn.TEXTBEFORE(_xlpm.authors,"&amp;"),",","")),0),
IF(NOT(_xlpm.hasAmp),"",IF(_xlpm.commasBeforeAmp&gt;2,"etal",TRIM(_xlfn.TEXTBEFORE(_xlfn.TEXTAFTER(_xlpm.authors,"&amp; "),","))))
)</f>
        <v>etal</v>
      </c>
      <c r="I157" t="str">
        <f>_xlfn.TEXTBEFORE(_xlfn.TEXTAFTER(A157, "("), ")")</f>
        <v>1981</v>
      </c>
      <c r="J157" t="str">
        <f>_xlfn.LET(
_xlpm.doi,IF(C157&lt;&gt;"",C157,_xlfn.TEXTAFTER(A157,"https://doi.org/")),
SUBSTITUTE(
SUBSTITUTE(
SUBSTITUTE(
SUBSTITUTE(
_xlpm.doi,
"/","%2F"),
":","%3A"),
"&lt;","%3C"),
"&gt;","%3E")
)</f>
        <v>10.1159%2F000155963</v>
      </c>
      <c r="K157" t="str">
        <f>TRIM(_xlfn.TEXTJOIN("_",FALSE,F157,(SUBSTITUTE(SUBSTITUTE(D157," ",""), "_", ""))))</f>
        <v>Stephan_etal_1981_TableVII</v>
      </c>
      <c r="L157" t="str">
        <f>J157 &amp; "_" &amp; SUBSTITUTE(SUBSTITUTE(SUBSTITUTE(D157,CHAR(160),"")," ",""),"_","")</f>
        <v>10.1159%2F000155963_TableVII</v>
      </c>
      <c r="M157" t="str">
        <f t="array" ref="M157">IFERROR(INDEX(FileList!$A$1:$A$100,MATCH(TRUE,EXACT(L157,_xlfn.TEXTBEFORE(FileList!$A$1:$A$100,".tsv")),0)),"notfound")</f>
        <v>notfound</v>
      </c>
      <c r="N157" s="2" t="s">
        <v>828</v>
      </c>
      <c r="P157" s="2"/>
      <c r="V157" s="2" t="s">
        <v>40</v>
      </c>
      <c r="Y157" s="2" t="s">
        <v>80</v>
      </c>
      <c r="Z157" s="2" t="s">
        <v>80</v>
      </c>
      <c r="AF157" s="2" t="s">
        <v>70</v>
      </c>
      <c r="AG157" s="2" t="s">
        <v>93</v>
      </c>
      <c r="AI157" s="3" t="s">
        <v>584</v>
      </c>
      <c r="AJ157" s="3" t="s">
        <v>82</v>
      </c>
      <c r="AK157" s="3" t="s">
        <v>61</v>
      </c>
      <c r="AL157" s="2" t="s">
        <v>61</v>
      </c>
      <c r="AM157" s="2" t="s">
        <v>73</v>
      </c>
    </row>
    <row r="158">
      <c r="A158" s="2" t="s">
        <v>810</v>
      </c>
      <c r="C158" s="7"/>
      <c r="D158" s="2" t="s">
        <v>807</v>
      </c>
      <c r="E158" t="str">
        <f t="shared" ref="E158:E160" si="0">RIGHT(A158,1)</f>
        <v>4</v>
      </c>
      <c r="F158" t="str">
        <f t="shared" ref="F158:F160" si="1">G158 &amp; IF(H158&lt;&gt;"", "_" &amp; H158, "_") &amp; IF(I158&lt;&gt;"", "_" &amp; I158, "_") &amp; IF(B158&lt;&gt;"", "_" &amp; B158, "")</f>
        <v>Stephan_etal_1981</v>
      </c>
      <c r="G158" t="str">
        <f t="shared" ref="G158:G160" si="2">SUBSTITUTE(SUBSTITUTE(_xlfn.TEXTBEFORE(A158,","), "-", ""), " ", "")</f>
        <v>Stephan</v>
      </c>
      <c r="H158" t="str">
        <f t="shared" ref="H158:H160" si="3">_xlfn.LET(
_xlpm.authors,_xlfn.TEXTBEFORE(A158," ("&amp;I158&amp;")"),
_xlpm.hasAmp,ISNUMBER(SEARCH("&amp;",_xlpm.authors)),
_xlpm.commasBeforeAmp,IF(_xlpm.hasAmp,LEN(_xlfn.TEXTBEFORE(_xlpm.authors,"&amp;"))-LEN(SUBSTITUTE(_xlfn.TEXTBEFORE(_xlpm.authors,"&amp;"),",","")),0),
IF(NOT(_xlpm.hasAmp),"",IF(_xlpm.commasBeforeAmp&gt;2,"etal",TRIM(_xlfn.TEXTBEFORE(_xlfn.TEXTAFTER(_xlpm.authors,"&amp; "),","))))
)</f>
        <v>etal</v>
      </c>
      <c r="I158" t="str">
        <f t="shared" ref="I158:I160" si="4">_xlfn.TEXTBEFORE(_xlfn.TEXTAFTER(A158, "("), ")")</f>
        <v>1981</v>
      </c>
      <c r="J158" t="str">
        <f t="shared" ref="J158:J160" si="5">_xlfn.LET(
_xlpm.doi,IF(C158&lt;&gt;"",C158,_xlfn.TEXTAFTER(A158,"https://doi.org/")),
SUBSTITUTE(
SUBSTITUTE(
SUBSTITUTE(
SUBSTITUTE(
_xlpm.doi,
"/","%2F"),
":","%3A"),
"&lt;","%3C"),
"&gt;","%3E")
)</f>
        <v>10.1159%2F000155964</v>
      </c>
      <c r="K158" t="str">
        <f t="shared" ref="K158:K160" si="6">TRIM(_xlfn.TEXTJOIN("_",FALSE,F158,(SUBSTITUTE(SUBSTITUTE(D158," ",""), "_", ""))))</f>
        <v>Stephan_etal_1981_TableVIII</v>
      </c>
      <c r="L158" t="str">
        <f t="shared" ref="L158:L160" si="7">J158 &amp; "_" &amp; SUBSTITUTE(SUBSTITUTE(SUBSTITUTE(D158,CHAR(160),"")," ",""),"_","")</f>
        <v>10.1159%2F000155964_TableVIII</v>
      </c>
      <c r="M158" t="str">
        <f t="array" ref="M158">IFERROR(INDEX(FileList!$A$1:$A$100,MATCH(TRUE,EXACT(L158,_xlfn.TEXTBEFORE(FileList!$A$1:$A$100,".tsv")),0)),"notfound")</f>
        <v>notfound</v>
      </c>
      <c r="N158" s="2" t="s">
        <v>827</v>
      </c>
      <c r="P158" s="2"/>
      <c r="V158" s="2"/>
      <c r="W158" s="3"/>
      <c r="Y158" s="2"/>
      <c r="Z158" s="2"/>
      <c r="AF158" s="2"/>
      <c r="AG158" s="2"/>
      <c r="AI158" s="3"/>
      <c r="AJ158" s="3"/>
      <c r="AK158" s="3"/>
      <c r="AL158" s="2"/>
      <c r="AM158" s="2"/>
    </row>
    <row r="159">
      <c r="A159" s="2" t="s">
        <v>811</v>
      </c>
      <c r="C159" s="7"/>
      <c r="D159" s="2" t="s">
        <v>808</v>
      </c>
      <c r="E159" t="str">
        <f t="shared" si="0"/>
        <v>5</v>
      </c>
      <c r="F159" t="str">
        <f t="shared" si="1"/>
        <v>Stephan_etal_1981</v>
      </c>
      <c r="G159" t="str">
        <f t="shared" si="2"/>
        <v>Stephan</v>
      </c>
      <c r="H159" t="str">
        <f t="shared" si="3"/>
        <v>etal</v>
      </c>
      <c r="I159" t="str">
        <f t="shared" si="4"/>
        <v>1981</v>
      </c>
      <c r="J159" t="str">
        <f t="shared" si="5"/>
        <v>10.1159%2F000155965</v>
      </c>
      <c r="K159" t="str">
        <f t="shared" si="6"/>
        <v>Stephan_etal_1981_TableIX</v>
      </c>
      <c r="L159" t="str">
        <f t="shared" si="7"/>
        <v>10.1159%2F000155965_TableIX</v>
      </c>
      <c r="M159" t="str">
        <f t="array" ref="M159">IFERROR(INDEX(FileList!$A$1:$A$100,MATCH(TRUE,EXACT(L159,_xlfn.TEXTBEFORE(FileList!$A$1:$A$100,".tsv")),0)),"notfound")</f>
        <v>notfound</v>
      </c>
      <c r="N159" s="2" t="s">
        <v>826</v>
      </c>
      <c r="P159" s="2"/>
      <c r="V159" s="2"/>
      <c r="Y159" s="2"/>
      <c r="Z159" s="2"/>
      <c r="AF159" s="2"/>
      <c r="AG159" s="2"/>
      <c r="AI159" s="3"/>
      <c r="AJ159" s="3"/>
      <c r="AK159" s="3"/>
      <c r="AL159" s="2"/>
      <c r="AM159" s="2"/>
    </row>
    <row r="160">
      <c r="A160" s="2" t="s">
        <v>812</v>
      </c>
      <c r="C160" s="7"/>
      <c r="D160" s="2" t="s">
        <v>809</v>
      </c>
      <c r="E160" t="str">
        <f t="shared" si="0"/>
        <v>6</v>
      </c>
      <c r="F160" t="str">
        <f t="shared" si="1"/>
        <v>Stephan_etal_1981</v>
      </c>
      <c r="G160" t="str">
        <f t="shared" si="2"/>
        <v>Stephan</v>
      </c>
      <c r="H160" t="str">
        <f t="shared" si="3"/>
        <v>etal</v>
      </c>
      <c r="I160" t="str">
        <f t="shared" si="4"/>
        <v>1981</v>
      </c>
      <c r="J160" t="str">
        <f t="shared" si="5"/>
        <v>10.1159%2F000155966</v>
      </c>
      <c r="K160" t="str">
        <f t="shared" si="6"/>
        <v>Stephan_etal_1981_TableX</v>
      </c>
      <c r="L160" t="str">
        <f t="shared" si="7"/>
        <v>10.1159%2F000155966_TableX</v>
      </c>
      <c r="M160" t="str">
        <f t="array" ref="M160">IFERROR(INDEX(FileList!$A$1:$A$100,MATCH(TRUE,EXACT(L160,_xlfn.TEXTBEFORE(FileList!$A$1:$A$100,".tsv")),0)),"notfound")</f>
        <v>notfound</v>
      </c>
      <c r="N160" s="2" t="s">
        <v>825</v>
      </c>
      <c r="P160" s="2"/>
      <c r="V160" s="2"/>
      <c r="W160" s="3"/>
      <c r="Y160" s="2"/>
      <c r="Z160" s="2"/>
      <c r="AF160" s="2"/>
      <c r="AG160" s="2"/>
      <c r="AI160" s="2"/>
      <c r="AJ160" s="2"/>
      <c r="AK160" s="2"/>
      <c r="AL160" s="2"/>
      <c r="AM160" s="2"/>
    </row>
    <row r="161">
      <c r="A161" s="2" t="s">
        <v>583</v>
      </c>
      <c r="D161" s="2" t="s">
        <v>813</v>
      </c>
      <c r="E161" t="str">
        <f>RIGHT(A161,1)</f>
        <v>3</v>
      </c>
      <c r="F161" t="str">
        <f>G161 &amp; IF(H161&lt;&gt;"", "_" &amp; H161, "_") &amp; IF(I161&lt;&gt;"", "_" &amp; I161, "_") &amp; IF(B161&lt;&gt;"", "_" &amp; B161, "")</f>
        <v>Stephan_etal_1981</v>
      </c>
      <c r="G161" t="str">
        <f>SUBSTITUTE(SUBSTITUTE(_xlfn.TEXTBEFORE(A161,","), "-", ""), " ", "")</f>
        <v>Stephan</v>
      </c>
      <c r="H161" t="str">
        <f>_xlfn.LET(
_xlpm.authors,_xlfn.TEXTBEFORE(A161," ("&amp;I161&amp;")"),
_xlpm.hasAmp,ISNUMBER(SEARCH("&amp;",_xlpm.authors)),
_xlpm.commasBeforeAmp,IF(_xlpm.hasAmp,LEN(_xlfn.TEXTBEFORE(_xlpm.authors,"&amp;"))-LEN(SUBSTITUTE(_xlfn.TEXTBEFORE(_xlpm.authors,"&amp;"),",","")),0),
IF(NOT(_xlpm.hasAmp),"",IF(_xlpm.commasBeforeAmp&gt;2,"etal",TRIM(_xlfn.TEXTBEFORE(_xlfn.TEXTAFTER(_xlpm.authors,"&amp; "),","))))
)</f>
        <v>etal</v>
      </c>
      <c r="I161" t="str">
        <f>_xlfn.TEXTBEFORE(_xlfn.TEXTAFTER(A161, "("), ")")</f>
        <v>1981</v>
      </c>
      <c r="J161" t="str">
        <f>_xlfn.LET(
_xlpm.doi,IF(C161&lt;&gt;"",C161,_xlfn.TEXTAFTER(A161,"https://doi.org/")),
SUBSTITUTE(
SUBSTITUTE(
SUBSTITUTE(
SUBSTITUTE(
_xlpm.doi,
"/","%2F"),
":","%3A"),
"&lt;","%3C"),
"&gt;","%3E")
)</f>
        <v>10.1159%2F000155963</v>
      </c>
      <c r="K161" t="str">
        <f>TRIM(_xlfn.TEXTJOIN("_",FALSE,F161,(SUBSTITUTE(SUBSTITUTE(D161," ",""), "_", ""))))</f>
        <v>Stephan_etal_1981_TableXI</v>
      </c>
      <c r="L161" t="str">
        <f>J161 &amp; "_" &amp; SUBSTITUTE(SUBSTITUTE(SUBSTITUTE(D161,CHAR(160),"")," ",""),"_","")</f>
        <v>10.1159%2F000155963_TableXI</v>
      </c>
      <c r="M161" t="str">
        <f t="array" ref="M161">IFERROR(INDEX(FileList!$A$1:$A$100,MATCH(TRUE,EXACT(L161,_xlfn.TEXTBEFORE(FileList!$A$1:$A$100,".tsv")),0)),"notfound")</f>
        <v>notfound</v>
      </c>
      <c r="N161" s="2" t="s">
        <v>824</v>
      </c>
      <c r="P161" s="2"/>
      <c r="V161" s="2" t="s">
        <v>40</v>
      </c>
      <c r="Y161" s="2" t="s">
        <v>80</v>
      </c>
      <c r="Z161" s="2" t="s">
        <v>80</v>
      </c>
      <c r="AF161" s="2" t="s">
        <v>70</v>
      </c>
      <c r="AG161" s="2" t="s">
        <v>93</v>
      </c>
      <c r="AI161" s="2" t="s">
        <v>584</v>
      </c>
      <c r="AJ161" s="2" t="s">
        <v>82</v>
      </c>
      <c r="AK161" s="2" t="s">
        <v>61</v>
      </c>
      <c r="AL161" s="2" t="s">
        <v>61</v>
      </c>
      <c r="AM161" s="2" t="s">
        <v>73</v>
      </c>
    </row>
    <row r="162">
      <c r="A162" s="2" t="s">
        <v>583</v>
      </c>
      <c r="D162" s="2" t="s">
        <v>814</v>
      </c>
      <c r="E162" t="str">
        <f>RIGHT(A162,1)</f>
        <v>3</v>
      </c>
      <c r="F162" t="str">
        <f>G162 &amp; IF(H162&lt;&gt;"", "_" &amp; H162, "_") &amp; IF(I162&lt;&gt;"", "_" &amp; I162, "_") &amp; IF(B162&lt;&gt;"", "_" &amp; B162, "")</f>
        <v>Stephan_etal_1981</v>
      </c>
      <c r="G162" t="str">
        <f>SUBSTITUTE(SUBSTITUTE(_xlfn.TEXTBEFORE(A162,","), "-", ""), " ", "")</f>
        <v>Stephan</v>
      </c>
      <c r="H162" t="str">
        <f>_xlfn.LET(
_xlpm.authors,_xlfn.TEXTBEFORE(A162," ("&amp;I162&amp;")"),
_xlpm.hasAmp,ISNUMBER(SEARCH("&amp;",_xlpm.authors)),
_xlpm.commasBeforeAmp,IF(_xlpm.hasAmp,LEN(_xlfn.TEXTBEFORE(_xlpm.authors,"&amp;"))-LEN(SUBSTITUTE(_xlfn.TEXTBEFORE(_xlpm.authors,"&amp;"),",","")),0),
IF(NOT(_xlpm.hasAmp),"",IF(_xlpm.commasBeforeAmp&gt;2,"etal",TRIM(_xlfn.TEXTBEFORE(_xlfn.TEXTAFTER(_xlpm.authors,"&amp; "),","))))
)</f>
        <v>etal</v>
      </c>
      <c r="I162" t="str">
        <f>_xlfn.TEXTBEFORE(_xlfn.TEXTAFTER(A162, "("), ")")</f>
        <v>1981</v>
      </c>
      <c r="J162" t="str">
        <f>_xlfn.LET(
_xlpm.doi,IF(C162&lt;&gt;"",C162,_xlfn.TEXTAFTER(A162,"https://doi.org/")),
SUBSTITUTE(
SUBSTITUTE(
SUBSTITUTE(
SUBSTITUTE(
_xlpm.doi,
"/","%2F"),
":","%3A"),
"&lt;","%3C"),
"&gt;","%3E")
)</f>
        <v>10.1159%2F000155963</v>
      </c>
      <c r="K162" t="str">
        <f>TRIM(_xlfn.TEXTJOIN("_",FALSE,F162,(SUBSTITUTE(SUBSTITUTE(D162," ",""), "_", ""))))</f>
        <v>Stephan_etal_1981_TableXII</v>
      </c>
      <c r="L162" t="str">
        <f>J162 &amp; "_" &amp; SUBSTITUTE(SUBSTITUTE(SUBSTITUTE(D162,CHAR(160),"")," ",""),"_","")</f>
        <v>10.1159%2F000155963_TableXII</v>
      </c>
      <c r="M162" t="str">
        <f t="array" ref="M162">IFERROR(INDEX(FileList!$A$1:$A$100,MATCH(TRUE,EXACT(L162,_xlfn.TEXTBEFORE(FileList!$A$1:$A$100,".tsv")),0)),"notfound")</f>
        <v>notfound</v>
      </c>
      <c r="N162" s="2" t="s">
        <v>823</v>
      </c>
      <c r="P162" s="2"/>
      <c r="V162" s="2" t="s">
        <v>40</v>
      </c>
      <c r="Y162" s="2" t="s">
        <v>80</v>
      </c>
      <c r="Z162" s="2" t="s">
        <v>80</v>
      </c>
      <c r="AF162" s="2" t="s">
        <v>70</v>
      </c>
      <c r="AG162" s="2" t="s">
        <v>93</v>
      </c>
      <c r="AI162" s="2" t="s">
        <v>584</v>
      </c>
      <c r="AJ162" s="2" t="s">
        <v>82</v>
      </c>
      <c r="AK162" s="2" t="s">
        <v>61</v>
      </c>
      <c r="AL162" s="2" t="s">
        <v>61</v>
      </c>
      <c r="AM162" s="2" t="s">
        <v>73</v>
      </c>
    </row>
    <row r="163">
      <c r="A163" s="2" t="s">
        <v>583</v>
      </c>
      <c r="D163" s="2" t="s">
        <v>815</v>
      </c>
      <c r="E163" t="str">
        <f>RIGHT(A163,1)</f>
        <v>3</v>
      </c>
      <c r="F163" t="str">
        <f>G163 &amp; IF(H163&lt;&gt;"", "_" &amp; H163, "_") &amp; IF(I163&lt;&gt;"", "_" &amp; I163, "_") &amp; IF(B163&lt;&gt;"", "_" &amp; B163, "")</f>
        <v>Stephan_etal_1981</v>
      </c>
      <c r="G163" t="str">
        <f>SUBSTITUTE(SUBSTITUTE(_xlfn.TEXTBEFORE(A163,","), "-", ""), " ", "")</f>
        <v>Stephan</v>
      </c>
      <c r="H163" t="str">
        <f>_xlfn.LET(
_xlpm.authors,_xlfn.TEXTBEFORE(A163," ("&amp;I163&amp;")"),
_xlpm.hasAmp,ISNUMBER(SEARCH("&amp;",_xlpm.authors)),
_xlpm.commasBeforeAmp,IF(_xlpm.hasAmp,LEN(_xlfn.TEXTBEFORE(_xlpm.authors,"&amp;"))-LEN(SUBSTITUTE(_xlfn.TEXTBEFORE(_xlpm.authors,"&amp;"),",","")),0),
IF(NOT(_xlpm.hasAmp),"",IF(_xlpm.commasBeforeAmp&gt;2,"etal",TRIM(_xlfn.TEXTBEFORE(_xlfn.TEXTAFTER(_xlpm.authors,"&amp; "),","))))
)</f>
        <v>etal</v>
      </c>
      <c r="I163" t="str">
        <f>_xlfn.TEXTBEFORE(_xlfn.TEXTAFTER(A163, "("), ")")</f>
        <v>1981</v>
      </c>
      <c r="J163" t="str">
        <f>_xlfn.LET(
_xlpm.doi,IF(C163&lt;&gt;"",C163,_xlfn.TEXTAFTER(A163,"https://doi.org/")),
SUBSTITUTE(
SUBSTITUTE(
SUBSTITUTE(
SUBSTITUTE(
_xlpm.doi,
"/","%2F"),
":","%3A"),
"&lt;","%3C"),
"&gt;","%3E")
)</f>
        <v>10.1159%2F000155963</v>
      </c>
      <c r="K163" t="str">
        <f>TRIM(_xlfn.TEXTJOIN("_",FALSE,F163,(SUBSTITUTE(SUBSTITUTE(D163," ",""), "_", ""))))</f>
        <v>Stephan_etal_1981_TableXIII</v>
      </c>
      <c r="L163" t="str">
        <f>J163 &amp; "_" &amp; SUBSTITUTE(SUBSTITUTE(SUBSTITUTE(D163,CHAR(160),"")," ",""),"_","")</f>
        <v>10.1159%2F000155963_TableXIII</v>
      </c>
      <c r="M163" t="str">
        <f t="array" ref="M163">IFERROR(INDEX(FileList!$A$1:$A$100,MATCH(TRUE,EXACT(L163,_xlfn.TEXTBEFORE(FileList!$A$1:$A$100,".tsv")),0)),"notfound")</f>
        <v>notfound</v>
      </c>
      <c r="N163" s="2" t="s">
        <v>822</v>
      </c>
      <c r="P163" s="2"/>
      <c r="V163" s="2" t="s">
        <v>40</v>
      </c>
      <c r="Y163" s="2" t="s">
        <v>80</v>
      </c>
      <c r="Z163" s="2" t="s">
        <v>80</v>
      </c>
      <c r="AF163" s="2" t="s">
        <v>70</v>
      </c>
      <c r="AG163" s="2" t="s">
        <v>93</v>
      </c>
      <c r="AI163" s="2" t="s">
        <v>584</v>
      </c>
      <c r="AJ163" s="2" t="s">
        <v>82</v>
      </c>
      <c r="AK163" s="2" t="s">
        <v>61</v>
      </c>
      <c r="AL163" s="2" t="s">
        <v>61</v>
      </c>
      <c r="AM163" s="2" t="s">
        <v>73</v>
      </c>
    </row>
    <row r="164">
      <c r="A164" s="2" t="s">
        <v>583</v>
      </c>
      <c r="D164" s="2" t="s">
        <v>816</v>
      </c>
      <c r="E164" t="str">
        <f>RIGHT(A164,1)</f>
        <v>3</v>
      </c>
      <c r="F164" t="str">
        <f>G164 &amp; IF(H164&lt;&gt;"", "_" &amp; H164, "_") &amp; IF(I164&lt;&gt;"", "_" &amp; I164, "_") &amp; IF(B164&lt;&gt;"", "_" &amp; B164, "")</f>
        <v>Stephan_etal_1981</v>
      </c>
      <c r="G164" t="str">
        <f>SUBSTITUTE(SUBSTITUTE(_xlfn.TEXTBEFORE(A164,","), "-", ""), " ", "")</f>
        <v>Stephan</v>
      </c>
      <c r="H164" t="str">
        <f>_xlfn.LET(
_xlpm.authors,_xlfn.TEXTBEFORE(A164," ("&amp;I164&amp;")"),
_xlpm.hasAmp,ISNUMBER(SEARCH("&amp;",_xlpm.authors)),
_xlpm.commasBeforeAmp,IF(_xlpm.hasAmp,LEN(_xlfn.TEXTBEFORE(_xlpm.authors,"&amp;"))-LEN(SUBSTITUTE(_xlfn.TEXTBEFORE(_xlpm.authors,"&amp;"),",","")),0),
IF(NOT(_xlpm.hasAmp),"",IF(_xlpm.commasBeforeAmp&gt;2,"etal",TRIM(_xlfn.TEXTBEFORE(_xlfn.TEXTAFTER(_xlpm.authors,"&amp; "),","))))
)</f>
        <v>etal</v>
      </c>
      <c r="I164" t="str">
        <f>_xlfn.TEXTBEFORE(_xlfn.TEXTAFTER(A164, "("), ")")</f>
        <v>1981</v>
      </c>
      <c r="J164" t="str">
        <f>_xlfn.LET(
_xlpm.doi,IF(C164&lt;&gt;"",C164,_xlfn.TEXTAFTER(A164,"https://doi.org/")),
SUBSTITUTE(
SUBSTITUTE(
SUBSTITUTE(
SUBSTITUTE(
_xlpm.doi,
"/","%2F"),
":","%3A"),
"&lt;","%3C"),
"&gt;","%3E")
)</f>
        <v>10.1159%2F000155963</v>
      </c>
      <c r="K164" t="str">
        <f>TRIM(_xlfn.TEXTJOIN("_",FALSE,F164,(SUBSTITUTE(SUBSTITUTE(D164," ",""), "_", ""))))</f>
        <v>Stephan_etal_1981_TableXIV</v>
      </c>
      <c r="L164" t="str">
        <f>J164 &amp; "_" &amp; SUBSTITUTE(SUBSTITUTE(SUBSTITUTE(D164,CHAR(160),"")," ",""),"_","")</f>
        <v>10.1159%2F000155963_TableXIV</v>
      </c>
      <c r="M164" t="str">
        <f t="array" ref="M164">IFERROR(INDEX(FileList!$A$1:$A$100,MATCH(TRUE,EXACT(L164,_xlfn.TEXTBEFORE(FileList!$A$1:$A$100,".tsv")),0)),"notfound")</f>
        <v>notfound</v>
      </c>
      <c r="N164" s="2" t="s">
        <v>821</v>
      </c>
      <c r="P164" s="2"/>
      <c r="V164" s="2" t="s">
        <v>40</v>
      </c>
      <c r="Y164" s="2" t="s">
        <v>80</v>
      </c>
      <c r="Z164" s="2" t="s">
        <v>80</v>
      </c>
      <c r="AF164" s="2" t="s">
        <v>70</v>
      </c>
      <c r="AG164" s="2" t="s">
        <v>93</v>
      </c>
      <c r="AI164" s="2" t="s">
        <v>584</v>
      </c>
      <c r="AJ164" s="2" t="s">
        <v>82</v>
      </c>
      <c r="AK164" s="2" t="s">
        <v>61</v>
      </c>
      <c r="AL164" s="2" t="s">
        <v>61</v>
      </c>
      <c r="AM164" s="2" t="s">
        <v>73</v>
      </c>
    </row>
    <row r="165">
      <c r="A165" s="2" t="s">
        <v>583</v>
      </c>
      <c r="D165" s="2" t="s">
        <v>817</v>
      </c>
      <c r="E165" t="str">
        <f>RIGHT(A165,1)</f>
        <v>3</v>
      </c>
      <c r="F165" t="str">
        <f>G165 &amp; IF(H165&lt;&gt;"", "_" &amp; H165, "_") &amp; IF(I165&lt;&gt;"", "_" &amp; I165, "_") &amp; IF(B165&lt;&gt;"", "_" &amp; B165, "")</f>
        <v>Stephan_etal_1981</v>
      </c>
      <c r="G165" t="str">
        <f>SUBSTITUTE(SUBSTITUTE(_xlfn.TEXTBEFORE(A165,","), "-", ""), " ", "")</f>
        <v>Stephan</v>
      </c>
      <c r="H165" t="str">
        <f>_xlfn.LET(
_xlpm.authors,_xlfn.TEXTBEFORE(A165," ("&amp;I165&amp;")"),
_xlpm.hasAmp,ISNUMBER(SEARCH("&amp;",_xlpm.authors)),
_xlpm.commasBeforeAmp,IF(_xlpm.hasAmp,LEN(_xlfn.TEXTBEFORE(_xlpm.authors,"&amp;"))-LEN(SUBSTITUTE(_xlfn.TEXTBEFORE(_xlpm.authors,"&amp;"),",","")),0),
IF(NOT(_xlpm.hasAmp),"",IF(_xlpm.commasBeforeAmp&gt;2,"etal",TRIM(_xlfn.TEXTBEFORE(_xlfn.TEXTAFTER(_xlpm.authors,"&amp; "),","))))
)</f>
        <v>etal</v>
      </c>
      <c r="I165" t="str">
        <f>_xlfn.TEXTBEFORE(_xlfn.TEXTAFTER(A165, "("), ")")</f>
        <v>1981</v>
      </c>
      <c r="J165" t="str">
        <f>_xlfn.LET(
_xlpm.doi,IF(C165&lt;&gt;"",C165,_xlfn.TEXTAFTER(A165,"https://doi.org/")),
SUBSTITUTE(
SUBSTITUTE(
SUBSTITUTE(
SUBSTITUTE(
_xlpm.doi,
"/","%2F"),
":","%3A"),
"&lt;","%3C"),
"&gt;","%3E")
)</f>
        <v>10.1159%2F000155963</v>
      </c>
      <c r="K165" t="str">
        <f>TRIM(_xlfn.TEXTJOIN("_",FALSE,F165,(SUBSTITUTE(SUBSTITUTE(D165," ",""), "_", ""))))</f>
        <v>Stephan_etal_1981_TableXV</v>
      </c>
      <c r="L165" t="str">
        <f>J165 &amp; "_" &amp; SUBSTITUTE(SUBSTITUTE(SUBSTITUTE(D165,CHAR(160),"")," ",""),"_","")</f>
        <v>10.1159%2F000155963_TableXV</v>
      </c>
      <c r="M165" t="str">
        <f t="array" ref="M165">IFERROR(INDEX(FileList!$A$1:$A$100,MATCH(TRUE,EXACT(L165,_xlfn.TEXTBEFORE(FileList!$A$1:$A$100,".tsv")),0)),"notfound")</f>
        <v>notfound</v>
      </c>
      <c r="N165" s="2" t="s">
        <v>820</v>
      </c>
      <c r="P165" s="2"/>
      <c r="V165" s="2" t="s">
        <v>40</v>
      </c>
      <c r="Y165" s="2" t="s">
        <v>80</v>
      </c>
      <c r="Z165" s="2" t="s">
        <v>80</v>
      </c>
      <c r="AF165" s="2" t="s">
        <v>70</v>
      </c>
      <c r="AG165" s="2" t="s">
        <v>93</v>
      </c>
      <c r="AI165" s="2" t="s">
        <v>584</v>
      </c>
      <c r="AJ165" s="2" t="s">
        <v>82</v>
      </c>
      <c r="AK165" s="2" t="s">
        <v>61</v>
      </c>
      <c r="AL165" s="2" t="s">
        <v>61</v>
      </c>
      <c r="AM165" s="2" t="s">
        <v>73</v>
      </c>
    </row>
    <row r="166">
      <c r="A166" s="2" t="s">
        <v>583</v>
      </c>
      <c r="D166" s="2" t="s">
        <v>818</v>
      </c>
      <c r="E166" t="str">
        <f>RIGHT(A166,1)</f>
        <v>3</v>
      </c>
      <c r="F166" t="str">
        <f>G166 &amp; IF(H166&lt;&gt;"", "_" &amp; H166, "_") &amp; IF(I166&lt;&gt;"", "_" &amp; I166, "_") &amp; IF(B166&lt;&gt;"", "_" &amp; B166, "")</f>
        <v>Stephan_etal_1981</v>
      </c>
      <c r="G166" t="str">
        <f>SUBSTITUTE(SUBSTITUTE(_xlfn.TEXTBEFORE(A166,","), "-", ""), " ", "")</f>
        <v>Stephan</v>
      </c>
      <c r="H166" t="str">
        <f>_xlfn.LET(
_xlpm.authors,_xlfn.TEXTBEFORE(A166," ("&amp;I166&amp;")"),
_xlpm.hasAmp,ISNUMBER(SEARCH("&amp;",_xlpm.authors)),
_xlpm.commasBeforeAmp,IF(_xlpm.hasAmp,LEN(_xlfn.TEXTBEFORE(_xlpm.authors,"&amp;"))-LEN(SUBSTITUTE(_xlfn.TEXTBEFORE(_xlpm.authors,"&amp;"),",","")),0),
IF(NOT(_xlpm.hasAmp),"",IF(_xlpm.commasBeforeAmp&gt;2,"etal",TRIM(_xlfn.TEXTBEFORE(_xlfn.TEXTAFTER(_xlpm.authors,"&amp; "),","))))
)</f>
        <v>etal</v>
      </c>
      <c r="I166" t="str">
        <f>_xlfn.TEXTBEFORE(_xlfn.TEXTAFTER(A166, "("), ")")</f>
        <v>1981</v>
      </c>
      <c r="J166" t="str">
        <f>_xlfn.LET(
_xlpm.doi,IF(C166&lt;&gt;"",C166,_xlfn.TEXTAFTER(A166,"https://doi.org/")),
SUBSTITUTE(
SUBSTITUTE(
SUBSTITUTE(
SUBSTITUTE(
_xlpm.doi,
"/","%2F"),
":","%3A"),
"&lt;","%3C"),
"&gt;","%3E")
)</f>
        <v>10.1159%2F000155963</v>
      </c>
      <c r="K166" t="str">
        <f>TRIM(_xlfn.TEXTJOIN("_",FALSE,F166,(SUBSTITUTE(SUBSTITUTE(D166," ",""), "_", ""))))</f>
        <v>Stephan_etal_1981_TableXVI</v>
      </c>
      <c r="L166" t="str">
        <f>J166 &amp; "_" &amp; SUBSTITUTE(SUBSTITUTE(SUBSTITUTE(D166,CHAR(160),"")," ",""),"_","")</f>
        <v>10.1159%2F000155963_TableXVI</v>
      </c>
      <c r="M166" t="str">
        <f t="array" ref="M166">IFERROR(INDEX(FileList!$A$1:$A$100,MATCH(TRUE,EXACT(L166,_xlfn.TEXTBEFORE(FileList!$A$1:$A$100,".tsv")),0)),"notfound")</f>
        <v>notfound</v>
      </c>
      <c r="N166" s="2" t="s">
        <v>819</v>
      </c>
      <c r="P166" s="2"/>
      <c r="V166" s="2" t="s">
        <v>40</v>
      </c>
      <c r="Y166" s="2" t="s">
        <v>80</v>
      </c>
      <c r="Z166" s="2" t="s">
        <v>80</v>
      </c>
      <c r="AF166" s="2" t="s">
        <v>70</v>
      </c>
      <c r="AG166" s="2" t="s">
        <v>93</v>
      </c>
      <c r="AI166" s="2" t="s">
        <v>584</v>
      </c>
      <c r="AJ166" s="2" t="s">
        <v>82</v>
      </c>
      <c r="AK166" s="2" t="s">
        <v>61</v>
      </c>
      <c r="AL166" s="2" t="s">
        <v>61</v>
      </c>
      <c r="AM166" s="2" t="s">
        <v>73</v>
      </c>
    </row>
    <row r="167">
      <c r="A167" s="2" t="s">
        <v>583</v>
      </c>
      <c r="C167" s="7"/>
      <c r="D167" s="2" t="s">
        <v>648</v>
      </c>
      <c r="E167" t="str">
        <f>RIGHT(A167,1)</f>
        <v>3</v>
      </c>
      <c r="F167" t="str">
        <f>G167 &amp; IF(H167&lt;&gt;"", "_" &amp; H167, "_") &amp; IF(I167&lt;&gt;"", "_" &amp; I167, "_") &amp; IF(B167&lt;&gt;"", "_" &amp; B167, "")</f>
        <v>Stephan_etal_1981</v>
      </c>
      <c r="G167" t="str">
        <f>SUBSTITUTE(SUBSTITUTE(_xlfn.TEXTBEFORE(A167,","), "-", ""), " ", "")</f>
        <v>Stephan</v>
      </c>
      <c r="H167" t="str">
        <f>_xlfn.LET(
_xlpm.authors,_xlfn.TEXTBEFORE(A167," ("&amp;I167&amp;")"),
_xlpm.hasAmp,ISNUMBER(SEARCH("&amp;",_xlpm.authors)),
_xlpm.commasBeforeAmp,IF(_xlpm.hasAmp,LEN(_xlfn.TEXTBEFORE(_xlpm.authors,"&amp;"))-LEN(SUBSTITUTE(_xlfn.TEXTBEFORE(_xlpm.authors,"&amp;"),",","")),0),
IF(NOT(_xlpm.hasAmp),"",IF(_xlpm.commasBeforeAmp&gt;2,"etal",TRIM(_xlfn.TEXTBEFORE(_xlfn.TEXTAFTER(_xlpm.authors,"&amp; "),","))))
)</f>
        <v>etal</v>
      </c>
      <c r="I167" t="str">
        <f>_xlfn.TEXTBEFORE(_xlfn.TEXTAFTER(A167, "("), ")")</f>
        <v>1981</v>
      </c>
      <c r="J167" t="str">
        <f>_xlfn.LET(
_xlpm.doi,IF(C167&lt;&gt;"",C167,_xlfn.TEXTAFTER(A167,"https://doi.org/")),
SUBSTITUTE(
SUBSTITUTE(
SUBSTITUTE(
SUBSTITUTE(
_xlpm.doi,
"/","%2F"),
":","%3A"),
"&lt;","%3C"),
"&gt;","%3E")
)</f>
        <v>10.1159%2F000155963</v>
      </c>
      <c r="K167" t="str">
        <f>TRIM(_xlfn.TEXTJOIN("_",FALSE,F167,(SUBSTITUTE(SUBSTITUTE(D167," ",""), "_", ""))))</f>
        <v>Stephan_etal_1981_TablesI-VI</v>
      </c>
      <c r="L167" t="str">
        <f>J167 &amp; "_" &amp; SUBSTITUTE(SUBSTITUTE(SUBSTITUTE(D167,CHAR(160),"")," ",""),"_","")</f>
        <v>10.1159%2F000155963_TablesI-VI</v>
      </c>
      <c r="M167" t="str">
        <f t="array" ref="M167">IFERROR(INDEX(FileList!$A$1:$A$100,MATCH(TRUE,EXACT(L167,_xlfn.TEXTBEFORE(FileList!$A$1:$A$100,".tsv")),0)),"notfound")</f>
        <v>10.1159%2F000155963_TablesI-VI.tsv</v>
      </c>
      <c r="N167" s="2"/>
      <c r="O167" t="s">
        <v>646</v>
      </c>
      <c r="P167" s="2" t="s">
        <v>48</v>
      </c>
      <c r="V167" s="2" t="s">
        <v>40</v>
      </c>
      <c r="Y167" s="2" t="s">
        <v>80</v>
      </c>
      <c r="Z167" s="2" t="s">
        <v>80</v>
      </c>
      <c r="AF167" s="2" t="s">
        <v>70</v>
      </c>
      <c r="AG167" s="2" t="s">
        <v>93</v>
      </c>
      <c r="AI167" s="3" t="s">
        <v>584</v>
      </c>
      <c r="AJ167" s="3" t="s">
        <v>82</v>
      </c>
      <c r="AK167" s="3" t="s">
        <v>61</v>
      </c>
      <c r="AL167" s="2" t="s">
        <v>61</v>
      </c>
      <c r="AM167" s="2" t="s">
        <v>73</v>
      </c>
    </row>
    <row r="168">
      <c r="A168" s="2" t="s">
        <v>585</v>
      </c>
      <c r="D168" s="2" t="s">
        <v>586</v>
      </c>
      <c r="E168" t="str">
        <f>RIGHT(A168,1)</f>
        <v>8</v>
      </c>
      <c r="F168" t="str">
        <f>G168 &amp; IF(H168&lt;&gt;"", "_" &amp; H168, "_") &amp; IF(I168&lt;&gt;"", "_" &amp; I168, "_") &amp; IF(B168&lt;&gt;"", "_" &amp; B168, "")</f>
        <v>Stimpson_etal_2015</v>
      </c>
      <c r="G168" t="str">
        <f>SUBSTITUTE(SUBSTITUTE(_xlfn.TEXTBEFORE(A168,","), "-", ""), " ", "")</f>
        <v>Stimpson</v>
      </c>
      <c r="H168" t="str">
        <f>_xlfn.LET(
_xlpm.authors,_xlfn.TEXTBEFORE(A168," ("&amp;I168&amp;")"),
_xlpm.hasAmp,ISNUMBER(SEARCH("&amp;",_xlpm.authors)),
_xlpm.commasBeforeAmp,IF(_xlpm.hasAmp,LEN(_xlfn.TEXTBEFORE(_xlpm.authors,"&amp;"))-LEN(SUBSTITUTE(_xlfn.TEXTBEFORE(_xlpm.authors,"&amp;"),",","")),0),
IF(NOT(_xlpm.hasAmp),"",IF(_xlpm.commasBeforeAmp&gt;2,"etal",TRIM(_xlfn.TEXTBEFORE(_xlfn.TEXTAFTER(_xlpm.authors,"&amp; "),","))))
)</f>
        <v>etal</v>
      </c>
      <c r="I168" t="str">
        <f>_xlfn.TEXTBEFORE(_xlfn.TEXTAFTER(A168, "("), ")")</f>
        <v>2015</v>
      </c>
      <c r="J168" t="str">
        <f>_xlfn.LET(
_xlpm.doi,IF(C168&lt;&gt;"",C168,_xlfn.TEXTAFTER(A168,"https://doi.org/")),
SUBSTITUTE(
SUBSTITUTE(
SUBSTITUTE(
SUBSTITUTE(
_xlpm.doi,
"/","%2F"),
":","%3A"),
"&lt;","%3C"),
"&gt;","%3E")
)</f>
        <v>10.1093%2Fscan%2Fnsv128</v>
      </c>
      <c r="K168" t="str">
        <f>TRIM(_xlfn.TEXTJOIN("_",FALSE,F168,(SUBSTITUTE(SUBSTITUTE(D168," ",""), "_", ""))))</f>
        <v>Stimpson_etal_2015_TableS1</v>
      </c>
      <c r="L168" t="str">
        <f>J168 &amp; "_" &amp; SUBSTITUTE(SUBSTITUTE(SUBSTITUTE(D168,CHAR(160),"")," ",""),"_","")</f>
        <v>10.1093%2Fscan%2Fnsv128_TableS1</v>
      </c>
      <c r="M168" t="str">
        <f t="array" ref="M168">IFERROR(INDEX(FileList!$A$1:$A$100,MATCH(TRUE,EXACT(L168,_xlfn.TEXTBEFORE(FileList!$A$1:$A$100,".tsv")),0)),"notfound")</f>
        <v>10.1093%2Fscan%2Fnsv128_TableS1.tsv</v>
      </c>
      <c r="N168" s="2" t="s">
        <v>586</v>
      </c>
      <c r="P168" s="2" t="s">
        <v>48</v>
      </c>
      <c r="V168" s="2" t="s">
        <v>40</v>
      </c>
      <c r="Y168" s="2" t="s">
        <v>587</v>
      </c>
      <c r="Z168" s="2" t="s">
        <v>587</v>
      </c>
      <c r="AF168" s="2" t="s">
        <v>70</v>
      </c>
      <c r="AG168" s="2" t="s">
        <v>93</v>
      </c>
      <c r="AL168" s="2" t="s">
        <v>61</v>
      </c>
      <c r="AM168" s="2" t="s">
        <v>73</v>
      </c>
    </row>
    <row r="169">
      <c r="A169" s="2" t="s">
        <v>585</v>
      </c>
      <c r="D169" s="2" t="s">
        <v>588</v>
      </c>
      <c r="E169" t="str">
        <f>RIGHT(A169,1)</f>
        <v>8</v>
      </c>
      <c r="F169" t="str">
        <f>G169 &amp; IF(H169&lt;&gt;"", "_" &amp; H169, "_") &amp; IF(I169&lt;&gt;"", "_" &amp; I169, "_") &amp; IF(B169&lt;&gt;"", "_" &amp; B169, "")</f>
        <v>Stimpson_etal_2015</v>
      </c>
      <c r="G169" t="str">
        <f>SUBSTITUTE(SUBSTITUTE(_xlfn.TEXTBEFORE(A169,","), "-", ""), " ", "")</f>
        <v>Stimpson</v>
      </c>
      <c r="H169" t="str">
        <f>_xlfn.LET(
_xlpm.authors,_xlfn.TEXTBEFORE(A169," ("&amp;I169&amp;")"),
_xlpm.hasAmp,ISNUMBER(SEARCH("&amp;",_xlpm.authors)),
_xlpm.commasBeforeAmp,IF(_xlpm.hasAmp,LEN(_xlfn.TEXTBEFORE(_xlpm.authors,"&amp;"))-LEN(SUBSTITUTE(_xlfn.TEXTBEFORE(_xlpm.authors,"&amp;"),",","")),0),
IF(NOT(_xlpm.hasAmp),"",IF(_xlpm.commasBeforeAmp&gt;2,"etal",TRIM(_xlfn.TEXTBEFORE(_xlfn.TEXTAFTER(_xlpm.authors,"&amp; "),","))))
)</f>
        <v>etal</v>
      </c>
      <c r="I169" t="str">
        <f>_xlfn.TEXTBEFORE(_xlfn.TEXTAFTER(A169, "("), ")")</f>
        <v>2015</v>
      </c>
      <c r="J169" t="str">
        <f>_xlfn.LET(
_xlpm.doi,IF(C169&lt;&gt;"",C169,_xlfn.TEXTAFTER(A169,"https://doi.org/")),
SUBSTITUTE(
SUBSTITUTE(
SUBSTITUTE(
SUBSTITUTE(
_xlpm.doi,
"/","%2F"),
":","%3A"),
"&lt;","%3C"),
"&gt;","%3E")
)</f>
        <v>10.1093%2Fscan%2Fnsv128</v>
      </c>
      <c r="K169" t="str">
        <f>TRIM(_xlfn.TEXTJOIN("_",FALSE,F169,(SUBSTITUTE(SUBSTITUTE(D169," ",""), "_", ""))))</f>
        <v>Stimpson_etal_2015_TableS2</v>
      </c>
      <c r="L169" t="str">
        <f>J169 &amp; "_" &amp; SUBSTITUTE(SUBSTITUTE(SUBSTITUTE(D169,CHAR(160),"")," ",""),"_","")</f>
        <v>10.1093%2Fscan%2Fnsv128_TableS2</v>
      </c>
      <c r="M169" t="str">
        <f t="array" ref="M169">IFERROR(INDEX(FileList!$A$1:$A$100,MATCH(TRUE,EXACT(L169,_xlfn.TEXTBEFORE(FileList!$A$1:$A$100,".tsv")),0)),"notfound")</f>
        <v>10.1093%2Fscan%2Fnsv128_TableS2.tsv</v>
      </c>
      <c r="N169" s="2" t="s">
        <v>588</v>
      </c>
      <c r="P169" s="2" t="s">
        <v>48</v>
      </c>
      <c r="V169" s="2" t="s">
        <v>40</v>
      </c>
      <c r="Y169" s="2" t="s">
        <v>587</v>
      </c>
      <c r="Z169" s="2" t="s">
        <v>587</v>
      </c>
      <c r="AF169" s="2" t="s">
        <v>70</v>
      </c>
      <c r="AG169" s="2" t="s">
        <v>93</v>
      </c>
      <c r="AL169" s="2" t="s">
        <v>61</v>
      </c>
      <c r="AM169" s="2" t="s">
        <v>73</v>
      </c>
    </row>
    <row r="170">
      <c r="A170" s="2" t="s">
        <v>589</v>
      </c>
      <c r="D170" s="2" t="s">
        <v>78</v>
      </c>
      <c r="E170" t="str">
        <f>RIGHT(A170,1)</f>
        <v>2</v>
      </c>
      <c r="F170" t="str">
        <f>G170 &amp; IF(H170&lt;&gt;"", "_" &amp; H170, "_") &amp; IF(I170&lt;&gt;"", "_" &amp; I170, "_") &amp; IF(B170&lt;&gt;"", "_" &amp; B170, "")</f>
        <v>Turner_etal_2016</v>
      </c>
      <c r="G170" t="str">
        <f>SUBSTITUTE(SUBSTITUTE(_xlfn.TEXTBEFORE(A170,","), "-", ""), " ", "")</f>
        <v>Turner</v>
      </c>
      <c r="H170" t="str">
        <f>_xlfn.LET(
_xlpm.authors,_xlfn.TEXTBEFORE(A170," ("&amp;I170&amp;")"),
_xlpm.hasAmp,ISNUMBER(SEARCH("&amp;",_xlpm.authors)),
_xlpm.commasBeforeAmp,IF(_xlpm.hasAmp,LEN(_xlfn.TEXTBEFORE(_xlpm.authors,"&amp;"))-LEN(SUBSTITUTE(_xlfn.TEXTBEFORE(_xlpm.authors,"&amp;"),",","")),0),
IF(NOT(_xlpm.hasAmp),"",IF(_xlpm.commasBeforeAmp&gt;2,"etal",TRIM(_xlfn.TEXTBEFORE(_xlfn.TEXTAFTER(_xlpm.authors,"&amp; "),","))))
)</f>
        <v>etal</v>
      </c>
      <c r="I170" t="str">
        <f>_xlfn.TEXTBEFORE(_xlfn.TEXTAFTER(A170, "("), ")")</f>
        <v>2016</v>
      </c>
      <c r="J170" t="str">
        <f>_xlfn.LET(
_xlpm.doi,IF(C170&lt;&gt;"",C170,_xlfn.TEXTAFTER(A170,"https://doi.org/")),
SUBSTITUTE(
SUBSTITUTE(
SUBSTITUTE(
SUBSTITUTE(
_xlpm.doi,
"/","%2F"),
":","%3A"),
"&lt;","%3C"),
"&gt;","%3E")
)</f>
        <v>10.1159%2F000446762</v>
      </c>
      <c r="K170" t="str">
        <f>TRIM(_xlfn.TEXTJOIN("_",FALSE,F170,(SUBSTITUTE(SUBSTITUTE(D170," ",""), "_", ""))))</f>
        <v>Turner_etal_2016_Table1</v>
      </c>
      <c r="L170" t="str">
        <f>J170 &amp; "_" &amp; SUBSTITUTE(SUBSTITUTE(SUBSTITUTE(D170,CHAR(160),"")," ",""),"_","")</f>
        <v>10.1159%2F000446762_Table1</v>
      </c>
      <c r="M170" t="str">
        <f t="array" ref="M170">IFERROR(INDEX(FileList!$A$1:$A$100,MATCH(TRUE,EXACT(L170,_xlfn.TEXTBEFORE(FileList!$A$1:$A$100,".tsv")),0)),"notfound")</f>
        <v>notfound</v>
      </c>
      <c r="N170" s="2" t="s">
        <v>590</v>
      </c>
      <c r="AI170" s="2" t="s">
        <v>591</v>
      </c>
      <c r="AJ170" s="2" t="s">
        <v>118</v>
      </c>
      <c r="AL170" s="2" t="s">
        <v>61</v>
      </c>
      <c r="AM170" s="2" t="s">
        <v>105</v>
      </c>
    </row>
    <row r="171">
      <c r="A171" s="2" t="s">
        <v>671</v>
      </c>
      <c r="C171" t="s">
        <v>672</v>
      </c>
      <c r="D171" s="2" t="s">
        <v>669</v>
      </c>
      <c r="E171" t="str">
        <f>RIGHT(A171,1)</f>
        <v>.</v>
      </c>
      <c r="F171" t="str">
        <f>G171 &amp; IF(H171&lt;&gt;"", "_" &amp; H171, "_") &amp; IF(I171&lt;&gt;"", "_" &amp; I171, "_") &amp; IF(B171&lt;&gt;"", "_" &amp; B171, "")</f>
        <v>Weaver__2001</v>
      </c>
      <c r="G171" t="str">
        <f>SUBSTITUTE(SUBSTITUTE(_xlfn.TEXTBEFORE(A171,","), "-", ""), " ", "")</f>
        <v>Weaver</v>
      </c>
      <c r="H171" t="str">
        <f>_xlfn.LET(
_xlpm.authors,_xlfn.TEXTBEFORE(A171," ("&amp;I171&amp;")"),
_xlpm.hasAmp,ISNUMBER(SEARCH("&amp;",_xlpm.authors)),
_xlpm.commasBeforeAmp,IF(_xlpm.hasAmp,LEN(_xlfn.TEXTBEFORE(_xlpm.authors,"&amp;"))-LEN(SUBSTITUTE(_xlfn.TEXTBEFORE(_xlpm.authors,"&amp;"),",","")),0),
IF(NOT(_xlpm.hasAmp),"",IF(_xlpm.commasBeforeAmp&gt;2,"etal",TRIM(_xlfn.TEXTBEFORE(_xlfn.TEXTAFTER(_xlpm.authors,"&amp; "),","))))
)</f>
      </c>
      <c r="I171" t="str">
        <f>_xlfn.TEXTBEFORE(_xlfn.TEXTAFTER(A171, "("), ")")</f>
        <v>2001</v>
      </c>
      <c r="J171" t="str">
        <f>_xlfn.LET(
_xlpm.doi,IF(C171&lt;&gt;"",C171,_xlfn.TEXTAFTER(A171,"https://doi.org/")),
SUBSTITUTE(
SUBSTITUTE(
SUBSTITUTE(
SUBSTITUTE(
_xlpm.doi,
"/","%2F"),
":","%3A"),
"&lt;","%3C"),
"&gt;","%3E")
)</f>
        <v>UMI%3A3017523</v>
      </c>
      <c r="K171" t="str">
        <f>TRIM(_xlfn.TEXTJOIN("_",FALSE,F171,(SUBSTITUTE(SUBSTITUTE(D171," ",""), "_", ""))))</f>
        <v>Weaver__2001_NotesforTableA-15</v>
      </c>
      <c r="L171" t="str">
        <f>J171 &amp; "_" &amp; SUBSTITUTE(SUBSTITUTE(SUBSTITUTE(D171,CHAR(160),"")," ",""),"_","")</f>
        <v>UMI%3A3017523_NotesforTableA-15</v>
      </c>
      <c r="M171" t="str">
        <f t="array" ref="M171">IFERROR(INDEX(FileList!$A$1:$A$100,MATCH(TRUE,EXACT(L171,_xlfn.TEXTBEFORE(FileList!$A$1:$A$100,".tsv")),0)),"notfound")</f>
        <v>notfound</v>
      </c>
      <c r="N171" s="3" t="s">
        <v>669</v>
      </c>
      <c r="AI171" s="2"/>
      <c r="AJ171" s="2"/>
      <c r="AL171" s="2"/>
      <c r="AM171" s="2"/>
    </row>
    <row r="172">
      <c r="A172" s="2" t="s">
        <v>671</v>
      </c>
      <c r="C172" t="s">
        <v>672</v>
      </c>
      <c r="D172" s="2" t="s">
        <v>670</v>
      </c>
      <c r="E172" t="str">
        <f>RIGHT(A172,1)</f>
        <v>.</v>
      </c>
      <c r="F172" t="str">
        <f>G172 &amp; IF(H172&lt;&gt;"", "_" &amp; H172, "_") &amp; IF(I172&lt;&gt;"", "_" &amp; I172, "_") &amp; IF(B172&lt;&gt;"", "_" &amp; B172, "")</f>
        <v>Weaver__2001</v>
      </c>
      <c r="G172" t="str">
        <f>SUBSTITUTE(SUBSTITUTE(_xlfn.TEXTBEFORE(A172,","), "-", ""), " ", "")</f>
        <v>Weaver</v>
      </c>
      <c r="H172" t="str">
        <f>_xlfn.LET(
_xlpm.authors,_xlfn.TEXTBEFORE(A172," ("&amp;I172&amp;")"),
_xlpm.hasAmp,ISNUMBER(SEARCH("&amp;",_xlpm.authors)),
_xlpm.commasBeforeAmp,IF(_xlpm.hasAmp,LEN(_xlfn.TEXTBEFORE(_xlpm.authors,"&amp;"))-LEN(SUBSTITUTE(_xlfn.TEXTBEFORE(_xlpm.authors,"&amp;"),",","")),0),
IF(NOT(_xlpm.hasAmp),"",IF(_xlpm.commasBeforeAmp&gt;2,"etal",TRIM(_xlfn.TEXTBEFORE(_xlfn.TEXTAFTER(_xlpm.authors,"&amp; "),","))))
)</f>
      </c>
      <c r="I172" t="str">
        <f>_xlfn.TEXTBEFORE(_xlfn.TEXTAFTER(A172, "("), ")")</f>
        <v>2001</v>
      </c>
      <c r="J172" t="str">
        <f>_xlfn.LET(
_xlpm.doi,IF(C172&lt;&gt;"",C172,_xlfn.TEXTAFTER(A172,"https://doi.org/")),
SUBSTITUTE(
SUBSTITUTE(
SUBSTITUTE(
SUBSTITUTE(
_xlpm.doi,
"/","%2F"),
":","%3A"),
"&lt;","%3C"),
"&gt;","%3E")
)</f>
        <v>UMI%3A3017523</v>
      </c>
      <c r="K172" t="str">
        <f>TRIM(_xlfn.TEXTJOIN("_",FALSE,F172,(SUBSTITUTE(SUBSTITUTE(D172," ",""), "_", ""))))</f>
        <v>Weaver__2001_TableA-15</v>
      </c>
      <c r="L172" t="str">
        <f>J172 &amp; "_" &amp; SUBSTITUTE(SUBSTITUTE(SUBSTITUTE(D172,CHAR(160),"")," ",""),"_","")</f>
        <v>UMI%3A3017523_TableA-15</v>
      </c>
      <c r="M172" t="str">
        <f t="array" ref="M172">IFERROR(INDEX(FileList!$A$1:$A$100,MATCH(TRUE,EXACT(L172,_xlfn.TEXTBEFORE(FileList!$A$1:$A$100,".tsv")),0)),"notfound")</f>
        <v>notfound</v>
      </c>
      <c r="N172" s="3" t="s">
        <v>668</v>
      </c>
      <c r="AI172" s="2"/>
      <c r="AJ172" s="2"/>
      <c r="AL172" s="2"/>
      <c r="AM172" s="2"/>
    </row>
    <row r="173">
      <c r="A173" s="2" t="s">
        <v>592</v>
      </c>
      <c r="D173" s="2" t="s">
        <v>593</v>
      </c>
      <c r="E173" t="str">
        <f>RIGHT(A173,1)</f>
        <v>1</v>
      </c>
      <c r="F173" t="str">
        <f>G173 &amp; IF(H173&lt;&gt;"", "_" &amp; H173, "_") &amp; IF(I173&lt;&gt;"", "_" &amp; I173, "_") &amp; IF(B173&lt;&gt;"", "_" &amp; B173, "")</f>
        <v>Wilman_etal_2014</v>
      </c>
      <c r="G173" t="str">
        <f>SUBSTITUTE(SUBSTITUTE(_xlfn.TEXTBEFORE(A173,","), "-", ""), " ", "")</f>
        <v>Wilman</v>
      </c>
      <c r="H173" t="str">
        <f>_xlfn.LET(
_xlpm.authors,_xlfn.TEXTBEFORE(A173," ("&amp;I173&amp;")"),
_xlpm.hasAmp,ISNUMBER(SEARCH("&amp;",_xlpm.authors)),
_xlpm.commasBeforeAmp,IF(_xlpm.hasAmp,LEN(_xlfn.TEXTBEFORE(_xlpm.authors,"&amp;"))-LEN(SUBSTITUTE(_xlfn.TEXTBEFORE(_xlpm.authors,"&amp;"),",","")),0),
IF(NOT(_xlpm.hasAmp),"",IF(_xlpm.commasBeforeAmp&gt;2,"etal",TRIM(_xlfn.TEXTBEFORE(_xlfn.TEXTAFTER(_xlpm.authors,"&amp; "),","))))
)</f>
        <v>etal</v>
      </c>
      <c r="I173" t="str">
        <f>_xlfn.TEXTBEFORE(_xlfn.TEXTAFTER(A173, "("), ")")</f>
        <v>2014</v>
      </c>
      <c r="J173" t="str">
        <f>_xlfn.LET(
_xlpm.doi,IF(C173&lt;&gt;"",C173,_xlfn.TEXTAFTER(A173,"https://doi.org/")),
SUBSTITUTE(
SUBSTITUTE(
SUBSTITUTE(
SUBSTITUTE(
_xlpm.doi,
"/","%2F"),
":","%3A"),
"&lt;","%3C"),
"&gt;","%3E")
)</f>
        <v>10.1890%2F13-1917.1</v>
      </c>
      <c r="K173" t="str">
        <f>TRIM(_xlfn.TEXTJOIN("_",FALSE,F173,(SUBSTITUTE(SUBSTITUTE(D173," ",""), "_", ""))))</f>
        <v>Wilman_etal_2014_MamFuncDat.txt</v>
      </c>
      <c r="L173" t="str">
        <f>J173 &amp; "_" &amp; SUBSTITUTE(SUBSTITUTE(SUBSTITUTE(D173,CHAR(160),"")," ",""),"_","")</f>
        <v>10.1890%2F13-1917.1_MamFuncDat.txt</v>
      </c>
      <c r="M173" t="str">
        <f t="array" ref="M173">IFERROR(INDEX(FileList!$A$1:$A$100,MATCH(TRUE,EXACT(L173,_xlfn.TEXTBEFORE(FileList!$A$1:$A$100,".tsv")),0)),"notfound")</f>
        <v>notfound</v>
      </c>
      <c r="AI173" s="2" t="s">
        <v>594</v>
      </c>
      <c r="AJ173" s="2" t="s">
        <v>118</v>
      </c>
      <c r="AL173" s="2" t="s">
        <v>119</v>
      </c>
      <c r="AM173" s="2" t="s">
        <v>595</v>
      </c>
    </row>
    <row r="174">
      <c r="A174" s="2" t="s">
        <v>596</v>
      </c>
      <c r="D174" s="2" t="s">
        <v>597</v>
      </c>
      <c r="E174" t="str">
        <f>RIGHT(A174,1)</f>
        <v>7</v>
      </c>
      <c r="F174" t="str">
        <f>G174 &amp; IF(H174&lt;&gt;"", "_" &amp; H174, "_") &amp; IF(I174&lt;&gt;"", "_" &amp; I174, "_") &amp; IF(B174&lt;&gt;"", "_" &amp; B174, "")</f>
        <v>Wimberly_etal_2021</v>
      </c>
      <c r="G174" t="str">
        <f>SUBSTITUTE(SUBSTITUTE(_xlfn.TEXTBEFORE(A174,","), "-", ""), " ", "")</f>
        <v>Wimberly</v>
      </c>
      <c r="H174" t="str">
        <f>_xlfn.LET(
_xlpm.authors,_xlfn.TEXTBEFORE(A174," ("&amp;I174&amp;")"),
_xlpm.hasAmp,ISNUMBER(SEARCH("&amp;",_xlpm.authors)),
_xlpm.commasBeforeAmp,IF(_xlpm.hasAmp,LEN(_xlfn.TEXTBEFORE(_xlpm.authors,"&amp;"))-LEN(SUBSTITUTE(_xlfn.TEXTBEFORE(_xlpm.authors,"&amp;"),",","")),0),
IF(NOT(_xlpm.hasAmp),"",IF(_xlpm.commasBeforeAmp&gt;2,"etal",TRIM(_xlfn.TEXTBEFORE(_xlfn.TEXTAFTER(_xlpm.authors,"&amp; "),","))))
)</f>
        <v>etal</v>
      </c>
      <c r="I174" t="str">
        <f>_xlfn.TEXTBEFORE(_xlfn.TEXTAFTER(A174, "("), ")")</f>
        <v>2021</v>
      </c>
      <c r="J174" t="str">
        <f>_xlfn.LET(
_xlpm.doi,IF(C174&lt;&gt;"",C174,_xlfn.TEXTAFTER(A174,"https://doi.org/")),
SUBSTITUTE(
SUBSTITUTE(
SUBSTITUTE(
SUBSTITUTE(
_xlpm.doi,
"/","%2F"),
":","%3A"),
"&lt;","%3C"),
"&gt;","%3E")
)</f>
        <v>10.1098%2Frspb.2021.0937</v>
      </c>
      <c r="K174" t="str">
        <f>TRIM(_xlfn.TEXTJOIN("_",FALSE,F174,(SUBSTITUTE(SUBSTITUTE(D174," ",""), "_", ""))))</f>
        <v>Wimberly_etal_2021_mammalgait.txt</v>
      </c>
      <c r="L174" t="str">
        <f>J174 &amp; "_" &amp; SUBSTITUTE(SUBSTITUTE(SUBSTITUTE(D174,CHAR(160),"")," ",""),"_","")</f>
        <v>10.1098%2Frspb.2021.0937_mammalgait.txt</v>
      </c>
      <c r="M174" t="str">
        <f t="array" ref="M174">IFERROR(INDEX(FileList!$A$1:$A$100,MATCH(TRUE,EXACT(L174,_xlfn.TEXTBEFORE(FileList!$A$1:$A$100,".tsv")),0)),"notfound")</f>
        <v>notfound</v>
      </c>
      <c r="P174" s="2" t="s">
        <v>312</v>
      </c>
      <c r="AJ174" s="2" t="s">
        <v>41</v>
      </c>
      <c r="AL174" s="2" t="s">
        <v>41</v>
      </c>
      <c r="AM174" s="2" t="s">
        <v>41</v>
      </c>
    </row>
    <row r="175">
      <c r="A175" s="2" t="s">
        <v>598</v>
      </c>
      <c r="D175" s="2" t="s">
        <v>599</v>
      </c>
      <c r="E175" t="str">
        <f>RIGHT(A175,1)</f>
        <v>5</v>
      </c>
      <c r="F175" t="str">
        <f>G175 &amp; IF(H175&lt;&gt;"", "_" &amp; H175, "_") &amp; IF(I175&lt;&gt;"", "_" &amp; I175, "_") &amp; IF(B175&lt;&gt;"", "_" &amp; B175, "")</f>
        <v>Winkler_Bryant_2021</v>
      </c>
      <c r="G175" t="str">
        <f>SUBSTITUTE(SUBSTITUTE(_xlfn.TEXTBEFORE(A175,","), "-", ""), " ", "")</f>
        <v>Winkler</v>
      </c>
      <c r="H175" t="str">
        <f>_xlfn.LET(
_xlpm.authors,_xlfn.TEXTBEFORE(A175," ("&amp;I175&amp;")"),
_xlpm.hasAmp,ISNUMBER(SEARCH("&amp;",_xlpm.authors)),
_xlpm.commasBeforeAmp,IF(_xlpm.hasAmp,LEN(_xlfn.TEXTBEFORE(_xlpm.authors,"&amp;"))-LEN(SUBSTITUTE(_xlfn.TEXTBEFORE(_xlpm.authors,"&amp;"),",","")),0),
IF(NOT(_xlpm.hasAmp),"",IF(_xlpm.commasBeforeAmp&gt;2,"etal",TRIM(_xlfn.TEXTBEFORE(_xlfn.TEXTAFTER(_xlpm.authors,"&amp; "),","))))
)</f>
        <v>Bryant</v>
      </c>
      <c r="I175" t="str">
        <f>_xlfn.TEXTBEFORE(_xlfn.TEXTAFTER(A175, "("), ")")</f>
        <v>2021</v>
      </c>
      <c r="J175" t="str">
        <f>_xlfn.LET(
_xlpm.doi,IF(C175&lt;&gt;"",C175,_xlfn.TEXTAFTER(A175,"https://doi.org/")),
SUBSTITUTE(
SUBSTITUTE(
SUBSTITUTE(
SUBSTITUTE(
_xlpm.doi,
"/","%2F"),
":","%3A"),
"&lt;","%3C"),
"&gt;","%3E")
)</f>
        <v>10.1080%2F09524622.2021.1905065</v>
      </c>
      <c r="K175" t="str">
        <f>TRIM(_xlfn.TEXTJOIN("_",FALSE,F175,(SUBSTITUTE(SUBSTITUTE(D175," ",""), "_", ""))))</f>
        <v>Winkler_Bryant_2021_Figure1</v>
      </c>
      <c r="L175" t="str">
        <f>J175 &amp; "_" &amp; SUBSTITUTE(SUBSTITUTE(SUBSTITUTE(D175,CHAR(160),"")," ",""),"_","")</f>
        <v>10.1080%2F09524622.2021.1905065_Figure1</v>
      </c>
      <c r="M175" t="str">
        <f t="array" ref="M175">IFERROR(INDEX(FileList!$A$1:$A$100,MATCH(TRUE,EXACT(L175,_xlfn.TEXTBEFORE(FileList!$A$1:$A$100,".tsv")),0)),"notfound")</f>
        <v>notfound</v>
      </c>
      <c r="P175" s="2" t="s">
        <v>312</v>
      </c>
      <c r="Q175" s="2" t="s">
        <v>178</v>
      </c>
      <c r="T175" s="2" t="str">
        <f>IF(S175="N", R175, "write file name")</f>
        <v>write file name</v>
      </c>
      <c r="U175" s="2" t="s">
        <v>53</v>
      </c>
      <c r="V175" s="2" t="s">
        <v>600</v>
      </c>
      <c r="AH175" s="2" t="s">
        <v>116</v>
      </c>
      <c r="AI175" s="2" t="s">
        <v>601</v>
      </c>
      <c r="AJ175" s="2" t="s">
        <v>118</v>
      </c>
      <c r="AL175" s="2" t="s">
        <v>119</v>
      </c>
      <c r="AM175" s="2" t="s">
        <v>602</v>
      </c>
    </row>
    <row r="176">
      <c r="A176" s="2" t="s">
        <v>603</v>
      </c>
      <c r="D176" s="2" t="s">
        <v>78</v>
      </c>
      <c r="E176" t="str">
        <f>RIGHT(A176,1)</f>
        <v>0</v>
      </c>
      <c r="F176" t="str">
        <f>G176 &amp; IF(H176&lt;&gt;"", "_" &amp; H176, "_") &amp; IF(I176&lt;&gt;"", "_" &amp; I176, "_") &amp; IF(B176&lt;&gt;"", "_" &amp; B176, "")</f>
        <v>Young_etal_2013</v>
      </c>
      <c r="G176" t="str">
        <f>SUBSTITUTE(SUBSTITUTE(_xlfn.TEXTBEFORE(A176,","), "-", ""), " ", "")</f>
        <v>Young</v>
      </c>
      <c r="H176" t="str">
        <f>_xlfn.LET(
_xlpm.authors,_xlfn.TEXTBEFORE(A176," ("&amp;I176&amp;")"),
_xlpm.hasAmp,ISNUMBER(SEARCH("&amp;",_xlpm.authors)),
_xlpm.commasBeforeAmp,IF(_xlpm.hasAmp,LEN(_xlfn.TEXTBEFORE(_xlpm.authors,"&amp;"))-LEN(SUBSTITUTE(_xlfn.TEXTBEFORE(_xlpm.authors,"&amp;"),",","")),0),
IF(NOT(_xlpm.hasAmp),"",IF(_xlpm.commasBeforeAmp&gt;2,"etal",TRIM(_xlfn.TEXTBEFORE(_xlfn.TEXTAFTER(_xlpm.authors,"&amp; "),","))))
)</f>
        <v>etal</v>
      </c>
      <c r="I176" t="str">
        <f>_xlfn.TEXTBEFORE(_xlfn.TEXTAFTER(A176, "("), ")")</f>
        <v>2013</v>
      </c>
      <c r="J176" t="str">
        <f>_xlfn.LET(
_xlpm.doi,IF(C176&lt;&gt;"",C176,_xlfn.TEXTAFTER(A176,"https://doi.org/")),
SUBSTITUTE(
SUBSTITUTE(
SUBSTITUTE(
SUBSTITUTE(
_xlpm.doi,
"/","%2F"),
":","%3A"),
"&lt;","%3C"),
"&gt;","%3E")
)</f>
        <v>10.3389%2Ffncir.2013.00030</v>
      </c>
      <c r="K176" t="str">
        <f>TRIM(_xlfn.TEXTJOIN("_",FALSE,F176,(SUBSTITUTE(SUBSTITUTE(D176," ",""), "_", ""))))</f>
        <v>Young_etal_2013_Table1</v>
      </c>
      <c r="L176" t="str">
        <f>J176 &amp; "_" &amp; SUBSTITUTE(SUBSTITUTE(SUBSTITUTE(D176,CHAR(160),"")," ",""),"_","")</f>
        <v>10.3389%2Ffncir.2013.00030_Table1</v>
      </c>
      <c r="M176" t="str">
        <f t="array" ref="M176">IFERROR(INDEX(FileList!$A$1:$A$100,MATCH(TRUE,EXACT(L176,_xlfn.TEXTBEFORE(FileList!$A$1:$A$100,".tsv")),0)),"notfound")</f>
        <v>notfound</v>
      </c>
      <c r="P176" s="2" t="s">
        <v>485</v>
      </c>
      <c r="Q176" s="2" t="s">
        <v>178</v>
      </c>
      <c r="T176" s="2" t="str">
        <f>IF(S176="N", R176, "write file name")</f>
        <v>write file name</v>
      </c>
      <c r="U176" s="2" t="s">
        <v>53</v>
      </c>
      <c r="V176" s="2" t="s">
        <v>40</v>
      </c>
      <c r="AH176" s="2" t="s">
        <v>155</v>
      </c>
      <c r="AI176" s="2" t="s">
        <v>604</v>
      </c>
      <c r="AJ176" s="2" t="s">
        <v>99</v>
      </c>
      <c r="AK176" s="2" t="s">
        <v>61</v>
      </c>
      <c r="AL176" s="2" t="s">
        <v>61</v>
      </c>
      <c r="AM176" s="2" t="s">
        <v>605</v>
      </c>
    </row>
    <row r="177">
      <c r="A177" s="2" t="s">
        <v>606</v>
      </c>
      <c r="D177" s="2" t="s">
        <v>78</v>
      </c>
      <c r="E177" t="str">
        <f>RIGHT(A177,1)</f>
        <v>0</v>
      </c>
      <c r="F177" t="str">
        <f>G177 &amp; IF(H177&lt;&gt;"", "_" &amp; H177, "_") &amp; IF(I177&lt;&gt;"", "_" &amp; I177, "_") &amp; IF(B177&lt;&gt;"", "_" &amp; B177, "")</f>
        <v>Young_etal_2013</v>
      </c>
      <c r="G177" t="str">
        <f>SUBSTITUTE(SUBSTITUTE(_xlfn.TEXTBEFORE(A177,","), "-", ""), " ", "")</f>
        <v>Young</v>
      </c>
      <c r="H177" t="str">
        <f>_xlfn.LET(
_xlpm.authors,_xlfn.TEXTBEFORE(A177," ("&amp;I177&amp;")"),
_xlpm.hasAmp,ISNUMBER(SEARCH("&amp;",_xlpm.authors)),
_xlpm.commasBeforeAmp,IF(_xlpm.hasAmp,LEN(_xlfn.TEXTBEFORE(_xlpm.authors,"&amp;"))-LEN(SUBSTITUTE(_xlfn.TEXTBEFORE(_xlpm.authors,"&amp;"),",","")),0),
IF(NOT(_xlpm.hasAmp),"",IF(_xlpm.commasBeforeAmp&gt;2,"etal",TRIM(_xlfn.TEXTBEFORE(_xlfn.TEXTAFTER(_xlpm.authors,"&amp; "),","))))
)</f>
        <v>etal</v>
      </c>
      <c r="I177" t="str">
        <f>_xlfn.TEXTBEFORE(_xlfn.TEXTAFTER(A177, "("), ")")</f>
        <v>2013</v>
      </c>
      <c r="J177" t="str">
        <f>_xlfn.LET(
_xlpm.doi,IF(C177&lt;&gt;"",C177,_xlfn.TEXTAFTER(A177,"https://doi.org/")),
SUBSTITUTE(
SUBSTITUTE(
SUBSTITUTE(
SUBSTITUTE(
_xlpm.doi,
"/","%2F"),
":","%3A"),
"&lt;","%3C"),
"&gt;","%3E")
)</f>
        <v>10.1073%2Fpnas.1318894110</v>
      </c>
      <c r="K177" t="str">
        <f>TRIM(_xlfn.TEXTJOIN("_",FALSE,F177,(SUBSTITUTE(SUBSTITUTE(D177," ",""), "_", ""))))</f>
        <v>Young_etal_2013_Table1</v>
      </c>
      <c r="L177" t="str">
        <f>J177 &amp; "_" &amp; SUBSTITUTE(SUBSTITUTE(SUBSTITUTE(D177,CHAR(160),"")," ",""),"_","")</f>
        <v>10.1073%2Fpnas.1318894110_Table1</v>
      </c>
      <c r="M177" t="str">
        <f t="array" ref="M177">IFERROR(INDEX(FileList!$A$1:$A$100,MATCH(TRUE,EXACT(L177,_xlfn.TEXTBEFORE(FileList!$A$1:$A$100,".tsv")),0)),"notfound")</f>
        <v>notfound</v>
      </c>
      <c r="N177" s="2" t="s">
        <v>607</v>
      </c>
      <c r="V177" s="2" t="s">
        <v>40</v>
      </c>
      <c r="Y177" s="2" t="s">
        <v>199</v>
      </c>
      <c r="AG177" s="2" t="s">
        <v>57</v>
      </c>
      <c r="AI177" s="2" t="s">
        <v>608</v>
      </c>
      <c r="AJ177" s="2" t="s">
        <v>609</v>
      </c>
      <c r="AK177" s="2" t="s">
        <v>61</v>
      </c>
      <c r="AL177" s="2" t="s">
        <v>61</v>
      </c>
      <c r="AM177" s="2" t="s">
        <v>610</v>
      </c>
    </row>
    <row r="178">
      <c r="A178" s="2" t="s">
        <v>611</v>
      </c>
      <c r="C178" s="2" t="s">
        <v>612</v>
      </c>
      <c r="D178" s="2" t="s">
        <v>613</v>
      </c>
      <c r="E178" t="str">
        <f>RIGHT(A178,1)</f>
        <v>s</v>
      </c>
      <c r="F178" t="str">
        <f>G178 &amp; IF(H178&lt;&gt;"", "_" &amp; H178, "_") &amp; IF(I178&lt;&gt;"", "_" &amp; I178, "_") &amp; IF(B178&lt;&gt;"", "_" &amp; B178, "")</f>
        <v>Zilles_Rehkämper_1988</v>
      </c>
      <c r="G178" t="str">
        <f>SUBSTITUTE(SUBSTITUTE(_xlfn.TEXTBEFORE(A178,","), "-", ""), " ", "")</f>
        <v>Zilles</v>
      </c>
      <c r="H178" t="str">
        <f>_xlfn.LET(
_xlpm.authors,_xlfn.TEXTBEFORE(A178," ("&amp;I178&amp;")"),
_xlpm.hasAmp,ISNUMBER(SEARCH("&amp;",_xlpm.authors)),
_xlpm.commasBeforeAmp,IF(_xlpm.hasAmp,LEN(_xlfn.TEXTBEFORE(_xlpm.authors,"&amp;"))-LEN(SUBSTITUTE(_xlfn.TEXTBEFORE(_xlpm.authors,"&amp;"),",","")),0),
IF(NOT(_xlpm.hasAmp),"",IF(_xlpm.commasBeforeAmp&gt;2,"etal",TRIM(_xlfn.TEXTBEFORE(_xlfn.TEXTAFTER(_xlpm.authors,"&amp; "),","))))
)</f>
        <v>Rehkämper</v>
      </c>
      <c r="I178" t="str">
        <f>_xlfn.TEXTBEFORE(_xlfn.TEXTAFTER(A178, "("), ")")</f>
        <v>1988</v>
      </c>
      <c r="J178" t="str">
        <f>_xlfn.LET(
_xlpm.doi,IF(C178&lt;&gt;"",C178,_xlfn.TEXTAFTER(A178,"https://doi.org/")),
SUBSTITUTE(
SUBSTITUTE(
SUBSTITUTE(
SUBSTITUTE(
_xlpm.doi,
"/","%2F"),
":","%3A"),
"&lt;","%3C"),
"&gt;","%3E")
)</f>
        <v>ISBN%3A9780195043716</v>
      </c>
      <c r="K178" t="str">
        <f>TRIM(_xlfn.TEXTJOIN("_",FALSE,F178,(SUBSTITUTE(SUBSTITUTE(D178," ",""), "_", ""))))</f>
        <v>Zilles_Rehkämper_1988_Table12-2</v>
      </c>
      <c r="L178" t="str">
        <f>J178 &amp; "_" &amp; SUBSTITUTE(SUBSTITUTE(SUBSTITUTE(D178,CHAR(160),"")," ",""),"_","")</f>
        <v>ISBN%3A9780195043716_Table12-2</v>
      </c>
      <c r="M178" t="str">
        <f t="array" ref="M178">IFERROR(INDEX(FileList!$A$1:$A$100,MATCH(TRUE,EXACT(L178,_xlfn.TEXTBEFORE(FileList!$A$1:$A$100,".tsv")),0)),"notfound")</f>
        <v>ISBN%3A9780195043716_Table12-2.tsv</v>
      </c>
      <c r="N178" s="2" t="s">
        <v>614</v>
      </c>
      <c r="Y178" s="2" t="s">
        <v>80</v>
      </c>
      <c r="Z178" s="2" t="s">
        <v>481</v>
      </c>
      <c r="AF178" s="2" t="s">
        <v>70</v>
      </c>
      <c r="AG178" s="2" t="s">
        <v>93</v>
      </c>
      <c r="AI178" s="2" t="s">
        <v>615</v>
      </c>
      <c r="AJ178" s="2" t="s">
        <v>616</v>
      </c>
      <c r="AL178" s="2" t="s">
        <v>61</v>
      </c>
      <c r="AM178" s="2" t="s">
        <v>73</v>
      </c>
    </row>
    <row r="179">
      <c r="A179" s="2" t="s">
        <v>617</v>
      </c>
      <c r="D179" s="2" t="s">
        <v>618</v>
      </c>
      <c r="E179" t="str">
        <f>RIGHT(A179,1)</f>
        <v>6</v>
      </c>
      <c r="F179" t="str">
        <f>G179 &amp; IF(H179&lt;&gt;"", "_" &amp; H179, "_") &amp; IF(I179&lt;&gt;"", "_" &amp; I179, "_") &amp; IF(B179&lt;&gt;"", "_" &amp; B179, "")</f>
        <v>Zilles_etal_2013</v>
      </c>
      <c r="G179" t="str">
        <f>SUBSTITUTE(SUBSTITUTE(_xlfn.TEXTBEFORE(A179,","), "-", ""), " ", "")</f>
        <v>Zilles</v>
      </c>
      <c r="H179" t="str">
        <f>_xlfn.LET(
_xlpm.authors,_xlfn.TEXTBEFORE(A179," ("&amp;I179&amp;")"),
_xlpm.hasAmp,ISNUMBER(SEARCH("&amp;",_xlpm.authors)),
_xlpm.commasBeforeAmp,IF(_xlpm.hasAmp,LEN(_xlfn.TEXTBEFORE(_xlpm.authors,"&amp;"))-LEN(SUBSTITUTE(_xlfn.TEXTBEFORE(_xlpm.authors,"&amp;"),",","")),0),
IF(NOT(_xlpm.hasAmp),"",IF(_xlpm.commasBeforeAmp&gt;2,"etal",TRIM(_xlfn.TEXTBEFORE(_xlfn.TEXTAFTER(_xlpm.authors,"&amp; "),","))))
)</f>
        <v>etal</v>
      </c>
      <c r="I179" t="str">
        <f>_xlfn.TEXTBEFORE(_xlfn.TEXTAFTER(A179, "("), ")")</f>
        <v>2013</v>
      </c>
      <c r="J179" t="str">
        <f>_xlfn.LET(
_xlpm.doi,IF(C179&lt;&gt;"",C179,_xlfn.TEXTAFTER(A179,"https://doi.org/")),
SUBSTITUTE(
SUBSTITUTE(
SUBSTITUTE(
SUBSTITUTE(
_xlpm.doi,
"/","%2F"),
":","%3A"),
"&lt;","%3C"),
"&gt;","%3E")
)</f>
        <v>10.1016%2Fj.tins.2013.01.006</v>
      </c>
      <c r="K179" t="str">
        <f>TRIM(_xlfn.TEXTJOIN("_",FALSE,F179,(SUBSTITUTE(SUBSTITUTE(D179," ",""), "_", ""))))</f>
        <v>Zilles_etal_2013_Table1</v>
      </c>
      <c r="L179" t="str">
        <f>J179 &amp; "_" &amp; SUBSTITUTE(SUBSTITUTE(SUBSTITUTE(D179,CHAR(160),"")," ",""),"_","")</f>
        <v>10.1016%2Fj.tins.2013.01.006_Table1</v>
      </c>
      <c r="M179" t="str">
        <f t="array" ref="M179">IFERROR(INDEX(FileList!$A$1:$A$100,MATCH(TRUE,EXACT(L179,_xlfn.TEXTBEFORE(FileList!$A$1:$A$100,".tsv")),0)),"notfound")</f>
        <v>notfound</v>
      </c>
      <c r="N179" s="2" t="s">
        <v>619</v>
      </c>
      <c r="V179" s="2" t="s">
        <v>40</v>
      </c>
      <c r="Y179" s="2" t="s">
        <v>69</v>
      </c>
      <c r="AG179" s="2" t="s">
        <v>41</v>
      </c>
      <c r="AI179" s="2" t="s">
        <v>620</v>
      </c>
      <c r="AJ179" s="2" t="s">
        <v>621</v>
      </c>
      <c r="AK179" s="2" t="s">
        <v>61</v>
      </c>
      <c r="AL179" s="2" t="s">
        <v>119</v>
      </c>
      <c r="AM179" s="2" t="s">
        <v>622</v>
      </c>
    </row>
  </sheetData>
  <hyperlinks>
    <hyperlink ref="X31" r:id="rId1h"/>
    <hyperlink ref="X32" r:id="rId2h" display="https://elifesciences.org/download/aHR0cHM6Ly9jZG4uZWxpZmVzY2llbmNlcy5vcmcvYXJ0aWNsZXMvNzc4NzUvZWxpZmUtNzc4NzUtdjEucGRmP2Nhbm9uaWNhbFVyaT1odHRwczovL2VsaWZlc2NpZW5jZXMub3JnL2FydGljbGVzLzc3ODc1/elife-77875-v1.pdf?_hash=NStjcL9fTlmy3AQDwSiM0YgMVB3UYjO8nDg0UbwN5gM%3D"/>
    <hyperlink ref="X35" r:id="rId3h"/>
    <hyperlink ref="X47" r:id="rId4h"/>
    <hyperlink ref="X51" r:id="rId5h"/>
    <hyperlink ref="X59" r:id="rId6h"/>
    <hyperlink ref="X60" r:id="rId7h"/>
    <hyperlink ref="X62" r:id="rId8h"/>
    <hyperlink ref="X63" r:id="rId9h"/>
    <hyperlink ref="X64" r:id="rId10h"/>
    <hyperlink ref="X65" r:id="rId11h"/>
    <hyperlink ref="X66" r:id="rId12h"/>
    <hyperlink ref="X67" r:id="rId13h"/>
    <hyperlink ref="X70" r:id="rId14h"/>
    <hyperlink ref="X92" r:id="rId15h"/>
    <hyperlink ref="X105" r:id="rId16h"/>
    <hyperlink ref="X106" r:id="rId17h"/>
    <hyperlink ref="X114" r:id="rId18h"/>
    <hyperlink ref="X121" r:id="rId19h"/>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830</v>
      </c>
    </row>
    <row r="2">
      <c r="A2" t="s">
        <v>831</v>
      </c>
    </row>
    <row r="3">
      <c r="A3" t="s">
        <v>832</v>
      </c>
    </row>
    <row r="4">
      <c r="A4" t="s">
        <v>833</v>
      </c>
    </row>
    <row r="5">
      <c r="A5" t="s">
        <v>834</v>
      </c>
    </row>
    <row r="6">
      <c r="A6" t="s">
        <v>835</v>
      </c>
    </row>
    <row r="7">
      <c r="A7" t="s">
        <v>836</v>
      </c>
    </row>
    <row r="8">
      <c r="A8" t="s">
        <v>837</v>
      </c>
    </row>
    <row r="9">
      <c r="A9" t="s">
        <v>838</v>
      </c>
    </row>
    <row r="10">
      <c r="A10" t="s">
        <v>839</v>
      </c>
    </row>
    <row r="11">
      <c r="A11" t="s">
        <v>840</v>
      </c>
    </row>
    <row r="12">
      <c r="A12" t="s">
        <v>841</v>
      </c>
    </row>
    <row r="13">
      <c r="A13" t="s">
        <v>842</v>
      </c>
    </row>
    <row r="14">
      <c r="A14" t="s">
        <v>843</v>
      </c>
    </row>
    <row r="15">
      <c r="A15" t="s">
        <v>844</v>
      </c>
    </row>
    <row r="16">
      <c r="A16" t="s">
        <v>845</v>
      </c>
    </row>
    <row r="17">
      <c r="A17" t="s">
        <v>846</v>
      </c>
    </row>
    <row r="18">
      <c r="A18" t="s">
        <v>847</v>
      </c>
    </row>
    <row r="19">
      <c r="A19" t="s">
        <v>848</v>
      </c>
    </row>
    <row r="20">
      <c r="A20" t="s">
        <v>849</v>
      </c>
    </row>
    <row r="21">
      <c r="A21" t="s">
        <v>850</v>
      </c>
    </row>
    <row r="22">
      <c r="A22" t="s">
        <v>851</v>
      </c>
    </row>
    <row r="23">
      <c r="A23" t="s">
        <v>852</v>
      </c>
    </row>
    <row r="24">
      <c r="A24" t="s">
        <v>853</v>
      </c>
    </row>
    <row r="25">
      <c r="A25" t="s">
        <v>854</v>
      </c>
    </row>
    <row r="26">
      <c r="A26" t="s">
        <v>855</v>
      </c>
    </row>
    <row r="27">
      <c r="A27" t="s">
        <v>856</v>
      </c>
    </row>
    <row r="28">
      <c r="A28" t="s">
        <v>857</v>
      </c>
    </row>
    <row r="29">
      <c r="A29" t="s">
        <v>858</v>
      </c>
    </row>
    <row r="30">
      <c r="A30" t="s">
        <v>859</v>
      </c>
    </row>
    <row r="31">
      <c r="A31" t="s">
        <v>860</v>
      </c>
    </row>
    <row r="32">
      <c r="A32" t="s">
        <v>861</v>
      </c>
    </row>
    <row r="33">
      <c r="A33" t="s">
        <v>862</v>
      </c>
    </row>
    <row r="34">
      <c r="A34" t="s">
        <v>863</v>
      </c>
    </row>
    <row r="35">
      <c r="A35" t="s">
        <v>864</v>
      </c>
    </row>
    <row r="36">
      <c r="A36" t="s">
        <v>865</v>
      </c>
    </row>
    <row r="37">
      <c r="A37" t="s">
        <v>866</v>
      </c>
    </row>
    <row r="38">
      <c r="A38" t="s">
        <v>867</v>
      </c>
    </row>
    <row r="39">
      <c r="A39" t="s">
        <v>868</v>
      </c>
    </row>
    <row r="40">
      <c r="A40" t="s">
        <v>869</v>
      </c>
    </row>
    <row r="41">
      <c r="A41" t="s">
        <v>870</v>
      </c>
    </row>
    <row r="42">
      <c r="A42" t="s">
        <v>871</v>
      </c>
    </row>
    <row r="43">
      <c r="A43" t="s">
        <v>872</v>
      </c>
    </row>
    <row r="44">
      <c r="A44" t="s">
        <v>873</v>
      </c>
    </row>
    <row r="45">
      <c r="A45" t="s">
        <v>874</v>
      </c>
    </row>
    <row r="46">
      <c r="A46" t="s">
        <v>875</v>
      </c>
    </row>
    <row r="47">
      <c r="A47" t="s">
        <v>876</v>
      </c>
    </row>
    <row r="48">
      <c r="A48" t="s">
        <v>877</v>
      </c>
    </row>
    <row r="49">
      <c r="A49" t="s">
        <v>878</v>
      </c>
    </row>
    <row r="50">
      <c r="A50" t="s">
        <v>879</v>
      </c>
    </row>
    <row r="51">
      <c r="A51" t="s">
        <v>880</v>
      </c>
    </row>
    <row r="52">
      <c r="A52" t="s">
        <v>881</v>
      </c>
    </row>
    <row r="53">
      <c r="A53" t="s">
        <v>882</v>
      </c>
    </row>
    <row r="54">
      <c r="A54" t="s">
        <v>883</v>
      </c>
    </row>
    <row r="55">
      <c r="A55" t="s">
        <v>884</v>
      </c>
    </row>
    <row r="56">
      <c r="A56" t="s">
        <v>885</v>
      </c>
    </row>
    <row r="57">
      <c r="A57" t="s">
        <v>886</v>
      </c>
    </row>
    <row r="58">
      <c r="A58" t="s">
        <v>887</v>
      </c>
    </row>
    <row r="59">
      <c r="A59" t="s">
        <v>888</v>
      </c>
    </row>
    <row r="60">
      <c r="A60" t="s">
        <v>889</v>
      </c>
    </row>
    <row r="61">
      <c r="A61" t="s">
        <v>890</v>
      </c>
    </row>
    <row r="62">
      <c r="A62" t="s">
        <v>891</v>
      </c>
    </row>
    <row r="63">
      <c r="A63" t="s">
        <v>892</v>
      </c>
    </row>
    <row r="64">
      <c r="A64" t="s">
        <v>893</v>
      </c>
    </row>
    <row r="65">
      <c r="A65" t="s">
        <v>894</v>
      </c>
    </row>
    <row r="66">
      <c r="A66" t="s">
        <v>895</v>
      </c>
    </row>
    <row r="67">
      <c r="A67" t="s">
        <v>896</v>
      </c>
    </row>
    <row r="68">
      <c r="A68" t="s">
        <v>897</v>
      </c>
    </row>
    <row r="69">
      <c r="A69" t="s">
        <v>898</v>
      </c>
    </row>
    <row r="70">
      <c r="A70" t="s">
        <v>899</v>
      </c>
    </row>
    <row r="71">
      <c r="A71" t="s">
        <v>900</v>
      </c>
    </row>
    <row r="72">
      <c r="A72" t="s">
        <v>901</v>
      </c>
    </row>
    <row r="73">
      <c r="A73" t="s">
        <v>902</v>
      </c>
    </row>
    <row r="74">
      <c r="A74" t="s">
        <v>903</v>
      </c>
    </row>
    <row r="75">
      <c r="A75" t="s">
        <v>967</v>
      </c>
    </row>
    <row r="76">
      <c r="A76" t="s">
        <v>904</v>
      </c>
    </row>
    <row r="77">
      <c r="A77" t="s">
        <v>905</v>
      </c>
    </row>
    <row r="78">
      <c r="A78" t="s">
        <v>906</v>
      </c>
    </row>
    <row r="79">
      <c r="A79" t="s">
        <v>907</v>
      </c>
    </row>
    <row r="80">
      <c r="A80" t="s">
        <v>908</v>
      </c>
    </row>
    <row r="81">
      <c r="A81" t="s">
        <v>909</v>
      </c>
    </row>
    <row r="82">
      <c r="A82" t="s">
        <v>910</v>
      </c>
    </row>
    <row r="83">
      <c r="A83" t="s">
        <v>911</v>
      </c>
    </row>
    <row r="84">
      <c r="A84" t="s">
        <v>912</v>
      </c>
    </row>
    <row r="85">
      <c r="A85" t="s">
        <v>913</v>
      </c>
    </row>
    <row r="86">
      <c r="A86" t="s">
        <v>914</v>
      </c>
    </row>
    <row r="87">
      <c r="A87" t="s">
        <v>915</v>
      </c>
    </row>
    <row r="88">
      <c r="A88" t="s">
        <v>916</v>
      </c>
    </row>
    <row r="89">
      <c r="A89" t="s">
        <v>917</v>
      </c>
    </row>
    <row r="90">
      <c r="A90" t="s">
        <v>918</v>
      </c>
    </row>
    <row r="91">
      <c r="A91" t="s">
        <v>919</v>
      </c>
    </row>
    <row r="92">
      <c r="A92" t="s">
        <v>920</v>
      </c>
    </row>
    <row r="93">
      <c r="A93" t="s">
        <v>921</v>
      </c>
    </row>
    <row r="94">
      <c r="A94" t="s">
        <v>922</v>
      </c>
    </row>
    <row r="95">
      <c r="A95" t="s">
        <v>923</v>
      </c>
    </row>
    <row r="96">
      <c r="A96" t="s">
        <v>924</v>
      </c>
    </row>
    <row r="97">
      <c r="A97" t="s">
        <v>925</v>
      </c>
    </row>
    <row r="98">
      <c r="A98" t="s">
        <v>926</v>
      </c>
    </row>
    <row r="99">
      <c r="A99" t="s">
        <v>927</v>
      </c>
    </row>
    <row r="100">
      <c r="A100" t="s">
        <v>928</v>
      </c>
    </row>
    <row r="101">
      <c r="A101" t="s">
        <v>929</v>
      </c>
    </row>
    <row r="102">
      <c r="A102" t="s">
        <v>930</v>
      </c>
    </row>
    <row r="103">
      <c r="A103" t="s">
        <v>931</v>
      </c>
    </row>
    <row r="104">
      <c r="A104" t="s">
        <v>932</v>
      </c>
    </row>
    <row r="105">
      <c r="A105" t="s">
        <v>933</v>
      </c>
    </row>
    <row r="106">
      <c r="A106" t="s">
        <v>934</v>
      </c>
    </row>
    <row r="107">
      <c r="A107" t="s">
        <v>935</v>
      </c>
    </row>
    <row r="108">
      <c r="A108" t="s">
        <v>936</v>
      </c>
    </row>
    <row r="109">
      <c r="A109" t="s">
        <v>937</v>
      </c>
    </row>
    <row r="110">
      <c r="A110" t="s">
        <v>938</v>
      </c>
    </row>
    <row r="111">
      <c r="A111" t="s">
        <v>939</v>
      </c>
    </row>
    <row r="112">
      <c r="A112" t="s">
        <v>940</v>
      </c>
    </row>
    <row r="113">
      <c r="A113" t="s">
        <v>941</v>
      </c>
    </row>
    <row r="114">
      <c r="A114" t="s">
        <v>942</v>
      </c>
    </row>
    <row r="115">
      <c r="A115" t="s">
        <v>943</v>
      </c>
    </row>
    <row r="116">
      <c r="A116" t="s">
        <v>944</v>
      </c>
    </row>
    <row r="117">
      <c r="A117" t="s">
        <v>945</v>
      </c>
    </row>
    <row r="118">
      <c r="A118" t="s">
        <v>946</v>
      </c>
    </row>
    <row r="119">
      <c r="A119" t="s">
        <v>947</v>
      </c>
    </row>
    <row r="120">
      <c r="A120" t="s">
        <v>968</v>
      </c>
    </row>
    <row r="121">
      <c r="A121" t="s">
        <v>948</v>
      </c>
    </row>
    <row r="122">
      <c r="A122" t="s">
        <v>949</v>
      </c>
    </row>
    <row r="123">
      <c r="A123" t="s">
        <v>950</v>
      </c>
    </row>
    <row r="124">
      <c r="A124" t="s">
        <v>951</v>
      </c>
    </row>
    <row r="125">
      <c r="A125" t="s">
        <v>952</v>
      </c>
    </row>
    <row r="126">
      <c r="A126" t="s">
        <v>953</v>
      </c>
    </row>
    <row r="127">
      <c r="A127" t="s">
        <v>954</v>
      </c>
    </row>
    <row r="128">
      <c r="A128" t="s">
        <v>955</v>
      </c>
    </row>
    <row r="129">
      <c r="A129" t="s">
        <v>956</v>
      </c>
    </row>
    <row r="130">
      <c r="A130" t="s">
        <v>957</v>
      </c>
    </row>
    <row r="131">
      <c r="A131" t="s">
        <v>958</v>
      </c>
    </row>
    <row r="132">
      <c r="A132" t="s">
        <v>959</v>
      </c>
    </row>
    <row r="133">
      <c r="A133" t="s">
        <v>960</v>
      </c>
    </row>
    <row r="134">
      <c r="A134" t="s">
        <v>961</v>
      </c>
    </row>
    <row r="135">
      <c r="A135" t="s">
        <v>962</v>
      </c>
    </row>
    <row r="136">
      <c r="A136" t="s">
        <v>963</v>
      </c>
    </row>
    <row r="137">
      <c r="A137" t="s">
        <v>964</v>
      </c>
    </row>
    <row r="138">
      <c r="A138" t="s">
        <v>965</v>
      </c>
    </row>
    <row r="139">
      <c r="A139" t="s">
        <v>966</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0770AF3E-4747-4F16-A648-48A2DF8F58C0}"/>
</file>

<file path=customXml/itemProps2.xml><?xml version="1.0" encoding="utf-8"?>
<ds:datastoreItem xmlns:ds="http://schemas.openxmlformats.org/officeDocument/2006/customXml" ds:itemID="{F2FC3220-BA09-4A43-9AA8-107FE2EB33DA}"/>
</file>

<file path=customXml/itemProps3.xml><?xml version="1.0" encoding="utf-8"?>
<ds:datastoreItem xmlns:ds="http://schemas.openxmlformats.org/officeDocument/2006/customXml" ds:itemID="{3867E276-E072-4FF1-A7D0-90D1AF5BC240}"/>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2026-07-08T13:49:58Z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