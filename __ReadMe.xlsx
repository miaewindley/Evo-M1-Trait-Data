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6040" yWindow="-3380" windowWidth="34560" windowHeight="20260" tabRatio="600" firstSheet="0" activeTab="0" autoFilterDateGrouping="1"/>
  </bookViews>
  <sheets>
    <sheet xmlns:r="http://schemas.openxmlformats.org/officeDocument/2006/relationships" name="Sheet1" sheetId="1" state="visible" r:id="rId1"/>
    <sheet xmlns:r="http://schemas.openxmlformats.org/officeDocument/2006/relationships" name="Pipeline" sheetId="2" state="visible" r:id="rId2"/>
    <sheet xmlns:r="http://schemas.openxmlformats.org/officeDocument/2006/relationships" name="Conflicts" sheetId="3" state="visible" r:id="rId3"/>
    <sheet xmlns:r="http://schemas.openxmlformats.org/officeDocument/2006/relationships" name="FileList" sheetId="4" state="visible" r:id="rId4"/>
  </sheets>
  <definedNames/>
  <calcPr calcId="191029" fullCalcOnLoad="1"/>
</workbook>
</file>

<file path=xl/styles.xml><?xml version="1.0" encoding="utf-8"?>
<styleSheet xmlns="http://schemas.openxmlformats.org/spreadsheetml/2006/main">
  <numFmts count="0"/>
  <fonts count="6">
    <font>
      <name val="Calibri"/>
      <family val="2"/>
      <color theme="1"/>
      <sz val="12"/>
      <scheme val="minor"/>
    </font>
    <font>
      <name val="Calibri"/>
      <family val="2"/>
      <color rgb="FF3F3F76"/>
      <sz val="12"/>
    </font>
    <font>
      <name val="Calibri"/>
      <family val="2"/>
      <b val="1"/>
      <color theme="1"/>
      <sz val="12"/>
    </font>
    <font>
      <name val="Calibri"/>
      <family val="2"/>
      <b val="1"/>
      <color rgb="FF3F3F76"/>
      <sz val="12"/>
    </font>
    <font>
      <name val="Calibri"/>
      <family val="2"/>
      <color theme="1"/>
      <sz val="12"/>
    </font>
    <font>
      <name val="Calibri"/>
      <family val="2"/>
      <i val="1"/>
      <color theme="1"/>
      <sz val="12"/>
    </font>
  </fonts>
  <fills count="3">
    <fill>
      <patternFill/>
    </fill>
    <fill>
      <patternFill patternType="gray125"/>
    </fill>
    <fill>
      <patternFill patternType="solid">
        <fgColor rgb="FFFFCC99"/>
      </patternFill>
    </fill>
  </fills>
  <borders count="3">
    <border>
      <left/>
      <right/>
      <top/>
      <bottom/>
      <diagonal/>
    </border>
    <border>
      <left style="thin">
        <color rgb="FF7F7F7F"/>
      </left>
      <right style="thin">
        <color rgb="FF7F7F7F"/>
      </right>
      <top/>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12">
    <xf numFmtId="0" fontId="0" fillId="0" borderId="0" pivotButton="0" quotePrefix="0" xfId="0"/>
    <xf numFmtId="0" fontId="1" fillId="2" borderId="1" pivotButton="0" quotePrefix="0" xfId="0"/>
    <xf numFmtId="0" fontId="1" fillId="2" borderId="2" applyAlignment="1" pivotButton="0" quotePrefix="0" xfId="0">
      <alignment wrapText="1"/>
    </xf>
    <xf numFmtId="0" fontId="2" fillId="0" borderId="0" pivotButton="0" quotePrefix="0" xfId="0"/>
    <xf numFmtId="0" fontId="1" fillId="2" borderId="2" pivotButton="0" quotePrefix="0" xfId="0"/>
    <xf numFmtId="0" fontId="3" fillId="2" borderId="2" pivotButton="0" quotePrefix="0" xfId="0"/>
    <xf numFmtId="0" fontId="1" fillId="2" borderId="0" pivotButton="0" quotePrefix="0" xfId="0"/>
    <xf numFmtId="49" fontId="1" fillId="2" borderId="2" pivotButton="0" quotePrefix="0" xfId="0"/>
    <xf numFmtId="0" fontId="1" fillId="2" borderId="2" applyAlignment="1" pivotButton="0" quotePrefix="0" xfId="0">
      <alignment horizontal="left"/>
    </xf>
    <xf numFmtId="0" fontId="4" fillId="0" borderId="0" applyAlignment="1" pivotButton="0" quotePrefix="0" xfId="0">
      <alignment wrapText="1"/>
    </xf>
    <xf numFmtId="0" fontId="4" fillId="0" borderId="0" pivotButton="0" quotePrefix="0" xfId="0"/>
    <xf numFmtId="0" fontId="5"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customXml" Target="../customXml/item1.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theme" Target="theme/theme1.xml"/><Relationship Id="rId5" Type="http://schemas.openxmlformats.org/officeDocument/2006/relationships/styles" Target="styles.xml"/><Relationship Id="rId4" Type="http://schemas.openxmlformats.org/officeDocument/2006/relationships/worksheet" Target="/xl/worksheets/sheet4.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cdn.elifesciences.org/articles/77875/elife-77875-supp3-v1.xlsx" TargetMode="External" Id="rId1"/><Relationship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 Id="rId2"/><Relationship Type="http://schemas.openxmlformats.org/officeDocument/2006/relationships/hyperlink" Target="https://static-content.springer.com/esm/art%3A10.1038%2Fs41467-020-14356-3/MediaObjects/41467_2020_14356_MOESM6_ESM.xlsx" TargetMode="External" Id="rId3"/><Relationship Type="http://schemas.openxmlformats.org/officeDocument/2006/relationships/hyperlink" Target="https://ndownloader.figstatic.com/files/7428211" TargetMode="External" Id="rId4"/><Relationship Type="http://schemas.openxmlformats.org/officeDocument/2006/relationships/hyperlink" Target="https://www.researchgate.net/publication/299027052_Developmental_constraints_on_or_developmental_structure_in_brain_evolution" TargetMode="External" Id="rId5"/><Relationship Type="http://schemas.openxmlformats.org/officeDocument/2006/relationships/hyperlink" Target="https://www.pnas.org/doi/suppl/10.1073/pnas.0905777106/suppl_file/0905777106si.pdf" TargetMode="External" Id="rId6"/><Relationship Type="http://schemas.openxmlformats.org/officeDocument/2006/relationships/hyperlink" Target="https://www.pnas.org/doi/suppl/10.1073/pnas.0905777106/suppl_file/0905777106si.pdf" TargetMode="External" Id="rId7"/><Relationship Type="http://schemas.openxmlformats.org/officeDocument/2006/relationships/hyperlink" Target="https://karger.com/bbe/article-pdf/86/3-4/145/2264694/000437413.pdf" TargetMode="External" Id="rId8"/><Relationship Type="http://schemas.openxmlformats.org/officeDocument/2006/relationships/hyperlink" Target="https://karger.com/bbe/article-pdf/86/3-4/145/2264694/000437413.pdf" TargetMode="External" Id="rId9"/><Relationship Type="http://schemas.openxmlformats.org/officeDocument/2006/relationships/hyperlink" Target="https://karger.com/bbe/article-pdf/86/3-4/145/2264694/000437413.pdf" TargetMode="External" Id="rId10"/><Relationship Type="http://schemas.openxmlformats.org/officeDocument/2006/relationships/hyperlink" Target="https://karger.com/bbe/article-pdf/86/3-4/145/2264694/000437413.pdf" TargetMode="External" Id="rId11"/><Relationship Type="http://schemas.openxmlformats.org/officeDocument/2006/relationships/hyperlink" Target="https://karger.com/bbe/article-pdf/86/3-4/145/2264694/000437413.pdf" TargetMode="External" Id="rId12"/><Relationship Type="http://schemas.openxmlformats.org/officeDocument/2006/relationships/hyperlink" Target="https://karger.com/bbe/article-pdf/86/3-4/145/2264694/000437413.pdf" TargetMode="External" Id="rId13"/><Relationship Type="http://schemas.openxmlformats.org/officeDocument/2006/relationships/hyperlink" Target="https://karger.com/bbe/article-pdf/86/3-4/145/2264694/000437413.pdf" TargetMode="External" Id="rId14"/><Relationship Type="http://schemas.openxmlformats.org/officeDocument/2006/relationships/hyperlink" Target="https://doi.org/10.3389/fnana.2017.00118" TargetMode="External" Id="rId15"/><Relationship Type="http://schemas.openxmlformats.org/officeDocument/2006/relationships/hyperlink" Target="https://static-content.springer.com/esm/art%3A10.1038%2Fs41598-018-26062-8/MediaObjects/41598_2018_26062_MOESM1_ESM.docx" TargetMode="External" Id="rId16"/><Relationship Type="http://schemas.openxmlformats.org/officeDocument/2006/relationships/hyperlink" Target="https://static-content.springer.com/esm/art%3A10.1038%2Fs41598-018-26062-8/MediaObjects/41598_2018_26062_MOESM1_ESM.docx" TargetMode="External" Id="rId17"/><Relationship Type="http://schemas.openxmlformats.org/officeDocument/2006/relationships/hyperlink" Target="https://github.com/ManyPrimates/mp1_short_term_memory/raw/master/data/species_predictors.xlsx" TargetMode="External" Id="rId18"/><Relationship Type="http://schemas.openxmlformats.org/officeDocument/2006/relationships/hyperlink" Target="https://figshare.com/ndownloader/files/9479092" TargetMode="External" Id="rId19"/></Relationships>
</file>

<file path=xl/worksheets/sheet1.xml><?xml version="1.0" encoding="utf-8"?>
<worksheet xmlns="http://schemas.openxmlformats.org/spreadsheetml/2006/main">
  <sheetPr>
    <outlinePr summaryBelow="1" summaryRight="1"/>
    <pageSetUpPr/>
  </sheetPr>
  <dimension ref="A1:AH105"/>
  <sheetViews>
    <sheetView tabSelected="1" zoomScale="93" zoomScaleNormal="93" workbookViewId="0">
      <pane xSplit="2" ySplit="1" topLeftCell="C2" activePane="bottomRight" state="frozen"/>
      <selection pane="topRight" activeCell="B1" sqref="B1"/>
      <selection pane="bottomLeft" activeCell="A2" sqref="A2"/>
      <selection pane="bottomRight" activeCell="N1" sqref="N1"/>
    </sheetView>
  </sheetViews>
  <sheetFormatPr baseColWidth="10" defaultRowHeight="16"/>
  <cols>
    <col width="21" customWidth="1" min="1" max="1"/>
    <col width="5.5" customWidth="1" min="2" max="2"/>
    <col width="12.33203125" customWidth="1" min="3" max="3"/>
    <col width="7.1640625" customWidth="1" min="4" max="4"/>
    <col width="2" customWidth="1" min="5" max="5"/>
    <col width="23.6640625" customWidth="1" min="6" max="6"/>
    <col width="16.83203125" customWidth="1" min="7" max="7"/>
    <col width="7.33203125" customWidth="1" min="8" max="8"/>
    <col width="2.6640625" customWidth="1" min="9" max="9"/>
    <col width="22.6640625" customWidth="1" min="10" max="10"/>
    <col width="22.5" customWidth="1" min="11" max="11"/>
    <col width="46.5" customWidth="1" min="12" max="12"/>
    <col width="21.5" customWidth="1" min="13" max="13"/>
    <col width="15.33203125" customWidth="1" min="14" max="14"/>
    <col width="24" customWidth="1" min="15" max="15"/>
    <col width="10" customWidth="1" min="16" max="16"/>
    <col width="14.1640625" customWidth="1" min="17" max="20"/>
    <col width="13.83203125" customWidth="1" min="21" max="21"/>
    <col width="12.6640625" customWidth="1" min="22" max="22"/>
    <col width="22.1640625" customWidth="1" min="23" max="23"/>
    <col width="14.33203125" customWidth="1" min="24" max="24"/>
    <col width="39.5" customWidth="1" min="25" max="25"/>
    <col width="11.1640625" customWidth="1" min="26" max="26"/>
    <col width="5" customWidth="1" min="27" max="27"/>
    <col width="7.5" customWidth="1" min="28" max="28"/>
    <col width="10.6640625" customWidth="1" min="29" max="29"/>
    <col width="10.83203125" customWidth="1" min="30" max="30"/>
    <col width="11" customWidth="1" min="31" max="31"/>
    <col width="10.83203125" customWidth="1" min="32" max="35"/>
  </cols>
  <sheetData>
    <row r="1" ht="16" customHeight="1">
      <c r="A1" s="5" t="inlineStr">
        <is>
          <t>Citation (APA 7th-Annotated)</t>
        </is>
      </c>
      <c r="B1" s="5" t="inlineStr">
        <is>
          <t>sequence</t>
        </is>
      </c>
      <c r="C1" s="5" t="inlineStr">
        <is>
          <t xml:space="preserve">DOI if different from article or doi Alt </t>
        </is>
      </c>
      <c r="D1" s="5" t="inlineStr">
        <is>
          <t>Item number</t>
        </is>
      </c>
      <c r="E1" s="3" t="inlineStr">
        <is>
          <t>end</t>
        </is>
      </c>
      <c r="F1" s="3" t="inlineStr">
        <is>
          <t>Publication name</t>
        </is>
      </c>
      <c r="G1" s="3" t="inlineStr">
        <is>
          <t>1st Author</t>
        </is>
      </c>
      <c r="H1" s="3" t="inlineStr">
        <is>
          <t>other author(s)</t>
        </is>
      </c>
      <c r="I1" s="3" t="inlineStr">
        <is>
          <t>year</t>
        </is>
      </c>
      <c r="J1" s="3" t="inlineStr">
        <is>
          <t>DOI (or Alt)</t>
        </is>
      </c>
      <c r="K1" s="3" t="inlineStr">
        <is>
          <t>Item name</t>
        </is>
      </c>
      <c r="L1" s="3" t="inlineStr">
        <is>
          <t>Item encoded</t>
        </is>
      </c>
      <c r="M1" s="3" t="inlineStr">
        <is>
          <t>Item in directory FileList</t>
        </is>
      </c>
      <c r="N1" s="5" t="inlineStr">
        <is>
          <t>Item full original title</t>
        </is>
      </c>
      <c r="O1" s="5" t="inlineStr">
        <is>
          <t>Note: related Item(s) included in folder</t>
        </is>
      </c>
      <c r="P1" s="5" t="inlineStr">
        <is>
          <t>Progress stage</t>
        </is>
      </c>
      <c r="Q1" s="5" t="inlineStr">
        <is>
          <t>Online Database</t>
        </is>
      </c>
      <c r="R1" s="5" t="inlineStr">
        <is>
          <t>Snapshot</t>
        </is>
      </c>
      <c r="S1" s="5" t="inlineStr">
        <is>
          <t>Adjustment made</t>
        </is>
      </c>
      <c r="T1" s="5" t="inlineStr">
        <is>
          <t>Data readable file, can use this</t>
        </is>
      </c>
      <c r="U1" s="5" t="inlineStr">
        <is>
          <t>Source Type</t>
        </is>
      </c>
      <c r="V1" s="5" t="inlineStr">
        <is>
          <t>Source format</t>
        </is>
      </c>
      <c r="W1" s="5" t="inlineStr">
        <is>
          <t>Source URL direct access</t>
        </is>
      </c>
      <c r="X1" s="5" t="inlineStr">
        <is>
          <t>Source URL link</t>
        </is>
      </c>
      <c r="Y1" s="5" t="inlineStr">
        <is>
          <t>Main Trait(s)</t>
        </is>
      </c>
      <c r="Z1" s="5" t="inlineStr">
        <is>
          <t>Source type</t>
        </is>
      </c>
      <c r="AA1" s="5" t="inlineStr">
        <is>
          <t>Team</t>
        </is>
      </c>
      <c r="AB1" s="5" t="inlineStr">
        <is>
          <t>Method</t>
        </is>
      </c>
      <c r="AC1" s="5" t="inlineStr">
        <is>
          <t>Possible Traits</t>
        </is>
      </c>
      <c r="AD1" s="5" t="inlineStr">
        <is>
          <t>Note</t>
        </is>
      </c>
      <c r="AE1" s="5" t="inlineStr">
        <is>
          <t>Subcategory</t>
        </is>
      </c>
      <c r="AF1" s="5" t="inlineStr">
        <is>
          <t>Flags pre-addressed</t>
        </is>
      </c>
      <c r="AG1" s="5" t="inlineStr">
        <is>
          <t>Flags possible</t>
        </is>
      </c>
      <c r="AH1" s="5" t="inlineStr">
        <is>
          <t>Flags active (skips)</t>
        </is>
      </c>
    </row>
    <row r="2" ht="16" customHeight="1">
      <c r="A2" s="4" t="inlineStr">
        <is>
          <t>Andelin, A. K., Olavarria, J. F., Fine, I., Taber, E. N., Schwartz, D., Kroenke, C. D., &amp; Stevens, A. A. (2019). The Effect of Onset Age of Visual Deprivation on Visual Cortex Surface Area Across-Species. Cereb Cortex, 29(10), 4321-4333. https://doi.org/10.1093/cercor/bhy315</t>
        </is>
      </c>
      <c r="D2" s="4" t="inlineStr">
        <is>
          <t>Table 4</t>
        </is>
      </c>
      <c r="E2">
        <f>RIGHT(A2,1)</f>
        <v/>
      </c>
      <c r="F2">
        <f>G2 &amp; IF(H2&lt;&gt;"", "_" &amp; H2, "_") &amp; IF(I2&lt;&gt;"", "_" &amp; I2, "_") &amp; IF(B2&lt;&gt;"", "_" &amp; B2, "")</f>
        <v/>
      </c>
      <c r="G2">
        <f>SUBSTITUTE(SUBSTITUTE(_xlfn.TEXTBEFORE(A2,","), "-", ""), " ", "")</f>
        <v/>
      </c>
      <c r="H2">
        <f>IF(ISNUMBER(FIND("&amp;", A2)),
    IF(LEN(A2)-LEN(SUBSTITUTE(A2, ",", ""))&gt;=6, "etal", MID(A2, SEARCH("&amp; ", A2)+2, SEARCH(",", A2, SEARCH("&amp; ", A2)+2) - SEARCH("&amp; ", A2)-2)),
    ""
)</f>
        <v/>
      </c>
      <c r="I2">
        <f>_xlfn.TEXTBEFORE(_xlfn.TEXTAFTER(A2, "("), ")")</f>
        <v/>
      </c>
      <c r="J2">
        <f>IF(C2&lt;&gt;"", C2, IF(C2="", _xlfn.TEXTAFTER(A2,"https://doi.org/"), C2))</f>
        <v/>
      </c>
      <c r="K2">
        <f>TRIM(_xlfn.TEXTJOIN("_",FALSE,F2,(SUBSTITUTE(SUBSTITUTE(D2," ",""), "_", ""))))</f>
        <v/>
      </c>
      <c r="L2">
        <f>IF(ISBLANK(C2),TRIM(SUBSTITUTE(SUBSTITUTE(SUBSTITUTE(_xlfn.TEXTJOIN("_", FALSE, J2, SUBSTITUTE(D2,"_", "")), "/", "%2F"), ":", "%3A"), " ", "")),TRIM(SUBSTITUTE(SUBSTITUTE(SUBSTITUTE(_xlfn.TEXTJOIN("_", FALSE, C2, SUBSTITUTE(D2,"_", "")), "/", "%2F"), ":", "%3A"), " ", "")))</f>
        <v/>
      </c>
      <c r="M2">
        <f t="array" ref="M2">IFERROR(INDEX(FileList!$A$1:$A$100, MATCH(L2, _xlfn.TEXTBEFORE(FileList!$A$1:$A$100, ".tsv"), 0)), "notfound")</f>
        <v/>
      </c>
      <c r="V2" s="4" t="inlineStr">
        <is>
          <t>table</t>
        </is>
      </c>
      <c r="Y2" s="4" t="n"/>
      <c r="Z2" s="4" t="n"/>
    </row>
    <row r="3" ht="16" customHeight="1">
      <c r="A3" s="4" t="inlineStr">
        <is>
          <t>Avelino-de-Souza, K., Patzke, N., Karlsson, K. A. E., Manger, P. R., &amp; Herculano-Houzel, S. (2025). Cellular Composition of the Brain of a Northern Minke Whale. J Comp Neurol, 533(9), e70089. https://doi.org/10.1002/cne.70089</t>
        </is>
      </c>
      <c r="D3" s="4" t="inlineStr">
        <is>
          <t>TABLE 1</t>
        </is>
      </c>
      <c r="E3">
        <f>RIGHT(A3,1)</f>
        <v/>
      </c>
      <c r="F3">
        <f>G3 &amp; IF(H3&lt;&gt;"", "_" &amp; H3, "_") &amp; IF(I3&lt;&gt;"", "_" &amp; I3, "_") &amp; IF(B3&lt;&gt;"", "_" &amp; B3, "")</f>
        <v/>
      </c>
      <c r="G3">
        <f>SUBSTITUTE(SUBSTITUTE(_xlfn.TEXTBEFORE(A3,","), "-", ""), " ", "")</f>
        <v/>
      </c>
      <c r="H3">
        <f>IF(ISNUMBER(FIND("&amp;", A3)),
IF(LEN(A3)-LEN(SUBSTITUTE(A3, ",", ""))&gt;=6, "etal", MID(A3, SEARCH("&amp; ", A3)+2, SEARCH(",", A3, SEARCH("&amp; ", A3)+2) - SEARCH("&amp; ", A3)-2)),
""
)</f>
        <v/>
      </c>
      <c r="I3">
        <f>_xlfn.TEXTBEFORE(_xlfn.TEXTAFTER(A3, "("), ")")</f>
        <v/>
      </c>
      <c r="J3">
        <f>IF(C3&lt;&gt;"", C3, IF(C3="", _xlfn.TEXTAFTER(A3,"https://doi.org/"), C3))</f>
        <v/>
      </c>
      <c r="K3">
        <f>TRIM(_xlfn.TEXTJOIN("_",FALSE,F3,(SUBSTITUTE(SUBSTITUTE(D3," ",""), "_", ""))))</f>
        <v/>
      </c>
      <c r="L3">
        <f>IF(ISBLANK(C3),TRIM(SUBSTITUTE(SUBSTITUTE(SUBSTITUTE(_xlfn.TEXTJOIN("_", FALSE, J3, SUBSTITUTE(D3,"_", "")), "/", "%2F"), ":", "%3A"), " ", "")),TRIM(SUBSTITUTE(SUBSTITUTE(SUBSTITUTE(_xlfn.TEXTJOIN("_", FALSE, C3, SUBSTITUTE(D3,"_", "")), "/", "%2F"), ":", "%3A"), " ", "")))</f>
        <v/>
      </c>
      <c r="M3">
        <f t="array" ref="M3">IFERROR(INDEX(FileList!$A$1:$A$100, MATCH(L3, _xlfn.TEXTBEFORE(FileList!$A$1:$A$100, ".tsv"), 0)), "notfound")</f>
        <v/>
      </c>
      <c r="N3" s="4" t="inlineStr">
        <is>
          <t>Table 1. Cellular composition of the brain of a Northern minke whale (Balaenoptera acutorostrata)</t>
        </is>
      </c>
      <c r="P3" s="4" t="inlineStr">
        <is>
          <t>FINISHED</t>
        </is>
      </c>
      <c r="Q3" s="4" t="inlineStr">
        <is>
          <t>added</t>
        </is>
      </c>
      <c r="R3" s="4" t="inlineStr">
        <is>
          <t>AvelinodeSouza_etal_2025_TABLE1_snapshot.csv</t>
        </is>
      </c>
      <c r="S3" s="4" t="inlineStr">
        <is>
          <t>Y</t>
        </is>
      </c>
      <c r="T3" s="4" t="inlineStr">
        <is>
          <t>AvelinodeSouza_etal_2025_TABLE1.csv</t>
        </is>
      </c>
      <c r="U3" s="4" t="inlineStr">
        <is>
          <t>pdf</t>
        </is>
      </c>
      <c r="V3" s="4" t="inlineStr">
        <is>
          <t>table</t>
        </is>
      </c>
      <c r="W3" s="4" t="inlineStr">
        <is>
          <t>https://onlinelibrary.wiley.com/doi/10.1002/cne.70089</t>
        </is>
      </c>
      <c r="X3" s="4" t="inlineStr">
        <is>
          <t>https://doi.org/10.1002/cne.70089</t>
        </is>
      </c>
      <c r="Y3" s="4" t="inlineStr">
        <is>
          <t>neuron number</t>
        </is>
      </c>
      <c r="Z3" s="4" t="inlineStr">
        <is>
          <t>primary</t>
        </is>
      </c>
      <c r="AA3" s="4" t="inlineStr">
        <is>
          <t>HH</t>
        </is>
      </c>
      <c r="AB3" s="4" t="inlineStr">
        <is>
          <t>HH</t>
        </is>
      </c>
      <c r="AE3" s="4" t="inlineStr">
        <is>
          <t>placental mammals</t>
        </is>
      </c>
    </row>
    <row r="4" ht="16" customHeight="1">
      <c r="A4" s="4" t="inlineStr">
        <is>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is>
      </c>
      <c r="D4" s="4" t="inlineStr">
        <is>
          <t>data_figshare.xlsx</t>
        </is>
      </c>
      <c r="E4">
        <f>RIGHT(A4,1)</f>
        <v/>
      </c>
      <c r="F4">
        <f>G4 &amp; IF(H4&lt;&gt;"", "_" &amp; H4, "_") &amp; IF(I4&lt;&gt;"", "_" &amp; I4, "_") &amp; IF(B4&lt;&gt;"", "_" &amp; B4, "")</f>
        <v/>
      </c>
      <c r="G4">
        <f>SUBSTITUTE(SUBSTITUTE(_xlfn.TEXTBEFORE(A4,","), "-", ""), " ", "")</f>
        <v/>
      </c>
      <c r="H4">
        <f>IF(ISNUMBER(FIND("&amp;", A4)),
IF(LEN(A4)-LEN(SUBSTITUTE(A4, ",", ""))&gt;=6, "etal", MID(A4, SEARCH("&amp; ", A4)+2, SEARCH(",", A4, SEARCH("&amp; ", A4)+2) - SEARCH("&amp; ", A4)-2)),
""
)</f>
        <v/>
      </c>
      <c r="I4">
        <f>_xlfn.TEXTBEFORE(_xlfn.TEXTAFTER(A4, "("), ")")</f>
        <v/>
      </c>
      <c r="J4">
        <f>IF(C4&lt;&gt;"", C4, IF(C4="", _xlfn.TEXTAFTER(A4,"https://doi.org/"), C4))</f>
        <v/>
      </c>
      <c r="K4">
        <f>TRIM(_xlfn.TEXTJOIN("_",FALSE,F4,(SUBSTITUTE(SUBSTITUTE(D4," ",""), "_", ""))))</f>
        <v/>
      </c>
      <c r="L4">
        <f>IF(ISBLANK(C4),TRIM(SUBSTITUTE(SUBSTITUTE(SUBSTITUTE(_xlfn.TEXTJOIN("_", FALSE, J4, SUBSTITUTE(D4,"_", "")), "/", "%2F"), ":", "%3A"), " ", "")),TRIM(SUBSTITUTE(SUBSTITUTE(SUBSTITUTE(_xlfn.TEXTJOIN("_", FALSE, C4, SUBSTITUTE(D4,"_", "")), "/", "%2F"), ":", "%3A"), " ", "")))</f>
        <v/>
      </c>
      <c r="M4">
        <f t="array" ref="M4">IFERROR(INDEX(FileList!$A$1:$A$100, MATCH(L4, _xlfn.TEXTBEFORE(FileList!$A$1:$A$100, ".tsv"), 0)), "notfound")</f>
        <v/>
      </c>
      <c r="V4" s="4" t="n"/>
      <c r="Y4" s="6" t="n"/>
      <c r="Z4" s="4" t="n"/>
    </row>
    <row r="5" ht="16" customHeight="1">
      <c r="A5" s="4" t="inlineStr">
        <is>
          <t>Baron, G., Frahm, H. D., Bhatnagar, K. P., &amp; Stephan, H. (1983). Comparison of brain structure volumes in Insectivora and Primates. III. Main olfactory bulb (MOB). J Hirnforsch, 24(5), 551-568. https://www.ncbi.nlm.nih.gov/pubmed/6663055</t>
        </is>
      </c>
      <c r="C5" t="inlineStr">
        <is>
          <t>PMID:6663055</t>
        </is>
      </c>
      <c r="D5" s="4" t="inlineStr">
        <is>
          <t>Table1</t>
        </is>
      </c>
      <c r="E5">
        <f>RIGHT(A5,1)</f>
        <v/>
      </c>
      <c r="F5">
        <f>G5 &amp; IF(H5&lt;&gt;"", "_" &amp; H5, "_") &amp; IF(I5&lt;&gt;"", "_" &amp; I5, "_") &amp; IF(B5&lt;&gt;"", "_" &amp; B5, "")</f>
        <v/>
      </c>
      <c r="G5">
        <f>SUBSTITUTE(SUBSTITUTE(_xlfn.TEXTBEFORE(A5,","), "-", ""), " ", "")</f>
        <v/>
      </c>
      <c r="H5">
        <f>IF(ISNUMBER(FIND("&amp;", A5)),
IF(LEN(A5)-LEN(SUBSTITUTE(A5, ",", ""))&gt;=6, "etal", MID(A5, SEARCH("&amp; ", A5)+2, SEARCH(",", A5, SEARCH("&amp; ", A5)+2) - SEARCH("&amp; ", A5)-2)),
""
)</f>
        <v/>
      </c>
      <c r="I5">
        <f>_xlfn.TEXTBEFORE(_xlfn.TEXTAFTER(A5, "("), ")")</f>
        <v/>
      </c>
      <c r="J5">
        <f>IF(C5&lt;&gt;"", C5, IF(C5="", _xlfn.TEXTAFTER(A5,"https://doi.org/"), C5))</f>
        <v/>
      </c>
      <c r="K5">
        <f>TRIM(_xlfn.TEXTJOIN("_",FALSE,F5,(SUBSTITUTE(SUBSTITUTE(D5," ",""), "_", ""))))</f>
        <v/>
      </c>
      <c r="L5" t="inlineStr">
        <is>
          <t>PMID%3A6663055_Table1</t>
        </is>
      </c>
      <c r="M5">
        <f t="array" ref="M5">IFERROR(INDEX(FileList!$A$1:$A$100, MATCH(L5, _xlfn.TEXTBEFORE(FileList!$A$1:$A$100, ".tsv"), 0)), "notfound")</f>
        <v/>
      </c>
      <c r="V5" s="4" t="inlineStr">
        <is>
          <t>table</t>
        </is>
      </c>
      <c r="W5" s="4" t="inlineStr">
        <is>
          <t>NO - not digitized</t>
        </is>
      </c>
      <c r="Z5" s="4" t="inlineStr">
        <is>
          <t>primary</t>
        </is>
      </c>
      <c r="AB5" t="inlineStr">
        <is>
          <t>Stephan</t>
        </is>
      </c>
    </row>
    <row r="6" ht="16" customHeight="1">
      <c r="A6" s="4" t="inlineStr">
        <is>
          <t>Baron, G., Stephan, H., &amp; Frahm, H. D. (1987). Comparison of brain structure volumes in Insectivora and Primates. VI. Paleocortical components. J Hirnforsch, 28(4), 463-477. http://www.ncbi.nlm.nih.gov/pubmed/3116076</t>
        </is>
      </c>
      <c r="C6" t="inlineStr">
        <is>
          <t>PMID:3116076</t>
        </is>
      </c>
      <c r="D6" s="4" t="inlineStr">
        <is>
          <t>Table1</t>
        </is>
      </c>
      <c r="E6">
        <f>RIGHT(A6,1)</f>
        <v/>
      </c>
      <c r="F6">
        <f>G6 &amp; IF(H6&lt;&gt;"", "_" &amp; H6, "_") &amp; IF(I6&lt;&gt;"", "_" &amp; I6, "_") &amp; IF(B6&lt;&gt;"", "_" &amp; B6, "")</f>
        <v/>
      </c>
      <c r="G6">
        <f>SUBSTITUTE(SUBSTITUTE(_xlfn.TEXTBEFORE(A6,","), "-", ""), " ", "")</f>
        <v/>
      </c>
      <c r="H6">
        <f>IF(ISNUMBER(FIND("&amp;", A6)),
IF(LEN(A6)-LEN(SUBSTITUTE(A6, ",", ""))&gt;=6, "etal", MID(A6, SEARCH("&amp; ", A6)+2, SEARCH(",", A6, SEARCH("&amp; ", A6)+2) - SEARCH("&amp; ", A6)-2)),
""
)</f>
        <v/>
      </c>
      <c r="I6">
        <f>_xlfn.TEXTBEFORE(_xlfn.TEXTAFTER(A6, "("), ")")</f>
        <v/>
      </c>
      <c r="J6">
        <f>IF(C6&lt;&gt;"", C6, IF(C6="", _xlfn.TEXTAFTER(A6,"https://doi.org/"), C6))</f>
        <v/>
      </c>
      <c r="K6">
        <f>TRIM(_xlfn.TEXTJOIN("_",FALSE,F6,(SUBSTITUTE(SUBSTITUTE(D6," ",""), "_", ""))))</f>
        <v/>
      </c>
      <c r="L6" t="inlineStr">
        <is>
          <t>PMID%3A3116076_Table1</t>
        </is>
      </c>
      <c r="M6">
        <f t="array" ref="M6">IFERROR(INDEX(FileList!$A$1:$A$100, MATCH(L6, _xlfn.TEXTBEFORE(FileList!$A$1:$A$100, ".tsv"), 0)), "notfound")</f>
        <v/>
      </c>
      <c r="V6" s="4" t="inlineStr">
        <is>
          <t>table</t>
        </is>
      </c>
      <c r="W6" s="4" t="inlineStr">
        <is>
          <t>NO - not digitized</t>
        </is>
      </c>
      <c r="Z6" s="4" t="inlineStr">
        <is>
          <t>primary</t>
        </is>
      </c>
      <c r="AB6" t="inlineStr">
        <is>
          <t>Stephan</t>
        </is>
      </c>
    </row>
    <row r="7" ht="16" customHeight="1">
      <c r="A7" s="4" t="inlineStr">
        <is>
          <t>Brodmann, K. (1913). Neue Forschungsergebnisse der Großhirnrindenanatomie mit besonderer Berücksichtigung anthropologischer Fragen. Verhandlungen der Gesellschaft Deutscher Naturforscher und Ärzte, 85(1), 200-240</t>
        </is>
      </c>
      <c r="C7" s="4" t="inlineStr">
        <is>
          <t>10.0000/placeholder</t>
        </is>
      </c>
      <c r="D7" s="4" t="inlineStr">
        <is>
          <t>Tabelle 1</t>
        </is>
      </c>
      <c r="E7">
        <f>RIGHT(A7,1)</f>
        <v/>
      </c>
      <c r="F7">
        <f>G7 &amp; IF(H7&lt;&gt;"", "_" &amp; H7, "_") &amp; IF(I7&lt;&gt;"", "_" &amp; I7, "_") &amp; IF(B7&lt;&gt;"", "_" &amp; B7, "")</f>
        <v/>
      </c>
      <c r="G7">
        <f>SUBSTITUTE(SUBSTITUTE(_xlfn.TEXTBEFORE(A7,","), "-", ""), " ", "")</f>
        <v/>
      </c>
      <c r="H7">
        <f>IF(ISNUMBER(FIND("&amp;", A7)),
IF(LEN(A7)-LEN(SUBSTITUTE(A7, ",", ""))&gt;=6, "etal", MID(A7, SEARCH("&amp; ", A7)+2, SEARCH(",", A7, SEARCH("&amp; ", A7)+2) - SEARCH("&amp; ", A7)-2)),
""
)</f>
        <v/>
      </c>
      <c r="I7">
        <f>_xlfn.TEXTBEFORE(_xlfn.TEXTAFTER(A7, "("), ")")</f>
        <v/>
      </c>
      <c r="J7">
        <f>IF(C7&lt;&gt;"", C7, IF(C7="", _xlfn.TEXTAFTER(A7,"https://doi.org/"), C7))</f>
        <v/>
      </c>
      <c r="K7">
        <f>TRIM(_xlfn.TEXTJOIN("_",FALSE,F7,(SUBSTITUTE(SUBSTITUTE(D7," ",""), "_", ""))))</f>
        <v/>
      </c>
      <c r="L7">
        <f>IF(ISBLANK(C7),TRIM(SUBSTITUTE(SUBSTITUTE(SUBSTITUTE(_xlfn.TEXTJOIN("_", FALSE, J7, SUBSTITUTE(D7,"_", "")), "/", "%2F"), ":", "%3A"), " ", "")),TRIM(SUBSTITUTE(SUBSTITUTE(SUBSTITUTE(_xlfn.TEXTJOIN("_", FALSE, C7, SUBSTITUTE(D7,"_", "")), "/", "%2F"), ":", "%3A"), " ", "")))</f>
        <v/>
      </c>
      <c r="M7">
        <f t="array" ref="M7">IFERROR(INDEX(FileList!$A$1:$A$100, MATCH(L7, _xlfn.TEXTBEFORE(FileList!$A$1:$A$100, ".tsv"), 0)), "notfound")</f>
        <v/>
      </c>
    </row>
    <row r="8" ht="17" customHeight="1">
      <c r="A8" s="4" t="inlineStr">
        <is>
          <t>Burger, J. R., George, M. A., Leadbetter, C., &amp; Shaikh, F. (2019). The allometry of brain size in mammals. J Mammal, 100(2), 276-283. https://doi.org/10.1093/jmammal/gyz043</t>
        </is>
      </c>
      <c r="D8" s="4" t="inlineStr">
        <is>
          <t>Supplementary Data SD1</t>
        </is>
      </c>
      <c r="E8">
        <f>RIGHT(A8,1)</f>
        <v/>
      </c>
      <c r="F8">
        <f>G8 &amp; IF(H8&lt;&gt;"", "_" &amp; H8, "_") &amp; IF(I8&lt;&gt;"", "_" &amp; I8, "_") &amp; IF(B8&lt;&gt;"", "_" &amp; B8, "")</f>
        <v/>
      </c>
      <c r="G8">
        <f>SUBSTITUTE(SUBSTITUTE(_xlfn.TEXTBEFORE(A8,","), "-", ""), " ", "")</f>
        <v/>
      </c>
      <c r="H8">
        <f>IF(ISNUMBER(FIND("&amp;", A8)),
IF(LEN(A8)-LEN(SUBSTITUTE(A8, ",", ""))&gt;=6, "etal", MID(A8, SEARCH("&amp; ", A8)+2, SEARCH(",", A8, SEARCH("&amp; ", A8)+2) - SEARCH("&amp; ", A8)-2)),
""
)</f>
        <v/>
      </c>
      <c r="I8">
        <f>_xlfn.TEXTBEFORE(_xlfn.TEXTAFTER(A8, "("), ")")</f>
        <v/>
      </c>
      <c r="J8">
        <f>IF(C8&lt;&gt;"", C8, IF(C8="", _xlfn.TEXTAFTER(A8,"https://doi.org/"), C8))</f>
        <v/>
      </c>
      <c r="K8">
        <f>TRIM(_xlfn.TEXTJOIN("_",FALSE,F8,(SUBSTITUTE(SUBSTITUTE(D8," ",""), "_", ""))))</f>
        <v/>
      </c>
      <c r="L8">
        <f>IF(ISBLANK(C8),TRIM(SUBSTITUTE(SUBSTITUTE(SUBSTITUTE(_xlfn.TEXTJOIN("_", FALSE, J8, SUBSTITUTE(D8,"_", "")), "/", "%2F"), ":", "%3A"), " ", "")),TRIM(SUBSTITUTE(SUBSTITUTE(SUBSTITUTE(_xlfn.TEXTJOIN("_", FALSE, C8, SUBSTITUTE(D8,"_", "")), "/", "%2F"), ":", "%3A"), " ", "")))</f>
        <v/>
      </c>
      <c r="M8">
        <f t="array" ref="M8">IFERROR(INDEX(FileList!$A$1:$A$100, MATCH(L8, _xlfn.TEXTBEFORE(FileList!$A$1:$A$100, ".tsv"), 0)), "notfound")</f>
        <v/>
      </c>
      <c r="O8" s="4" t="inlineStr">
        <is>
          <t>Supplementary Data SD2</t>
        </is>
      </c>
      <c r="P8" s="4" t="inlineStr">
        <is>
          <t>FINISHED</t>
        </is>
      </c>
      <c r="Q8" s="4" t="inlineStr">
        <is>
          <t>already there</t>
        </is>
      </c>
      <c r="R8" s="4" t="inlineStr">
        <is>
          <t>gyz043_suppl_Supplement_Data.csv</t>
        </is>
      </c>
      <c r="S8" s="4" t="inlineStr">
        <is>
          <t>N</t>
        </is>
      </c>
      <c r="T8" s="4">
        <f>IF(S8="N", R8, "write file name")</f>
        <v/>
      </c>
      <c r="U8" s="4" t="inlineStr">
        <is>
          <t>zipped csv</t>
        </is>
      </c>
      <c r="V8" s="4" t="inlineStr">
        <is>
          <t>table</t>
        </is>
      </c>
      <c r="W8" s="4" t="inlineStr">
        <is>
          <t>NO - the article link did not work in R, and goes to a zip</t>
        </is>
      </c>
      <c r="Y8" s="4" t="inlineStr">
        <is>
          <t>Brain and body size</t>
        </is>
      </c>
      <c r="Z8" s="4" t="inlineStr">
        <is>
          <t>secondary</t>
        </is>
      </c>
      <c r="AD8" s="4" t="inlineStr">
        <is>
          <t>derived relative brain size data are problematic</t>
        </is>
      </c>
      <c r="AE8" s="4" t="inlineStr">
        <is>
          <t>mammals</t>
        </is>
      </c>
    </row>
    <row r="9" ht="17" customHeight="1">
      <c r="A9" s="4" t="inlineStr">
        <is>
          <t>Burish, M. J., Peebles, J. K., Baldwin, M. K., Tavares, L., Kaas, J. H., &amp; Herculano-Houzel, S. (2010). Cellular scaling rules for primate spinal cords. Brain Behav Evol, 76(1), 45-59. https://doi.org/10.1159/000319019</t>
        </is>
      </c>
      <c r="D9" s="4" t="inlineStr">
        <is>
          <t>Supplementary Table 1</t>
        </is>
      </c>
      <c r="E9">
        <f>RIGHT(A9,1)</f>
        <v/>
      </c>
      <c r="F9">
        <f>G9 &amp; IF(H9&lt;&gt;"", "_" &amp; H9, "_") &amp; IF(I9&lt;&gt;"", "_" &amp; I9, "_") &amp; IF(B9&lt;&gt;"", "_" &amp; B9, "")</f>
        <v/>
      </c>
      <c r="G9">
        <f>SUBSTITUTE(SUBSTITUTE(_xlfn.TEXTBEFORE(A9,","), "-", ""), " ", "")</f>
        <v/>
      </c>
      <c r="H9">
        <f>IF(ISNUMBER(FIND("&amp;", A9)),
IF(LEN(A9)-LEN(SUBSTITUTE(A9, ",", ""))&gt;=6, "etal", MID(A9, SEARCH("&amp; ", A9)+2, SEARCH(",", A9, SEARCH("&amp; ", A9)+2) - SEARCH("&amp; ", A9)-2)),
""
)</f>
        <v/>
      </c>
      <c r="I9">
        <f>_xlfn.TEXTBEFORE(_xlfn.TEXTAFTER(A9, "("), ")")</f>
        <v/>
      </c>
      <c r="J9">
        <f>IF(C9&lt;&gt;"", C9, IF(C9="", _xlfn.TEXTAFTER(A9,"https://doi.org/"), C9))</f>
        <v/>
      </c>
      <c r="K9">
        <f>TRIM(_xlfn.TEXTJOIN("_",FALSE,F9,(SUBSTITUTE(SUBSTITUTE(D9," ",""), "_", ""))))</f>
        <v/>
      </c>
      <c r="L9">
        <f>IF(ISBLANK(C9),TRIM(SUBSTITUTE(SUBSTITUTE(SUBSTITUTE(_xlfn.TEXTJOIN("_", FALSE, J9, SUBSTITUTE(D9,"_", "")), "/", "%2F"), ":", "%3A"), " ", "")),TRIM(SUBSTITUTE(SUBSTITUTE(SUBSTITUTE(_xlfn.TEXTJOIN("_", FALSE, C9, SUBSTITUTE(D9,"_", "")), "/", "%2F"), ":", "%3A"), " ", "")))</f>
        <v/>
      </c>
      <c r="M9">
        <f t="array" ref="M9">IFERROR(INDEX(FileList!$A$1:$A$100, MATCH(L9, _xlfn.TEXTBEFORE(FileList!$A$1:$A$100, ".tsv"), 0)), "notfound")</f>
        <v/>
      </c>
      <c r="N9" s="4" t="inlineStr">
        <is>
          <t>Supplementary Table 1: Dataset of individual spinal cord measurements</t>
        </is>
      </c>
      <c r="P9" s="4" t="inlineStr">
        <is>
          <t>Species - binomials need to be added</t>
        </is>
      </c>
      <c r="R9" s="4" t="inlineStr">
        <is>
          <t>Burish_etal_2010_SupplementaryTable1_snapshot.csv</t>
        </is>
      </c>
      <c r="Z9" s="4" t="inlineStr">
        <is>
          <t>primary (individual)</t>
        </is>
      </c>
      <c r="AC9" s="4" t="inlineStr">
        <is>
          <t>number spinal cord neurons</t>
        </is>
      </c>
      <c r="AE9" s="4" t="inlineStr">
        <is>
          <t>primates and tree shrew</t>
        </is>
      </c>
    </row>
    <row r="10" ht="16" customHeight="1">
      <c r="A10" s="4" t="inlineStr">
        <is>
          <t>Burish, M. J., Peebles, J. K., Baldwin, M. K., Tavares, L., Kaas, J. H., &amp; Herculano-Houzel, S. (2010). Cellular scaling rules for primate spinal cords. Brain Behav Evol, 76(1), 45-59. https://doi.org/10.1159/000319019</t>
        </is>
      </c>
      <c r="D10" s="4" t="inlineStr">
        <is>
          <t>Table 1</t>
        </is>
      </c>
      <c r="E10">
        <f>RIGHT(A10,1)</f>
        <v/>
      </c>
      <c r="F10">
        <f>G10 &amp; IF(H10&lt;&gt;"", "_" &amp; H10, "_") &amp; IF(I10&lt;&gt;"", "_" &amp; I10, "_") &amp; IF(B10&lt;&gt;"", "_" &amp; B10, "")</f>
        <v/>
      </c>
      <c r="G10">
        <f>SUBSTITUTE(SUBSTITUTE(_xlfn.TEXTBEFORE(A10,","), "-", ""), " ", "")</f>
        <v/>
      </c>
      <c r="H10">
        <f>IF(ISNUMBER(FIND("&amp;", A10)),
IF(LEN(A10)-LEN(SUBSTITUTE(A10, ",", ""))&gt;=6, "etal", MID(A10, SEARCH("&amp; ", A10)+2, SEARCH(",", A10, SEARCH("&amp; ", A10)+2) - SEARCH("&amp; ", A10)-2)),
""
)</f>
        <v/>
      </c>
      <c r="I10">
        <f>_xlfn.TEXTBEFORE(_xlfn.TEXTAFTER(A10, "("), ")")</f>
        <v/>
      </c>
      <c r="J10">
        <f>IF(C10&lt;&gt;"", C10, IF(C10="", _xlfn.TEXTAFTER(A10,"https://doi.org/"), C10))</f>
        <v/>
      </c>
      <c r="K10">
        <f>TRIM(_xlfn.TEXTJOIN("_",FALSE,F10,(SUBSTITUTE(SUBSTITUTE(D10," ",""), "_", ""))))</f>
        <v/>
      </c>
      <c r="L10">
        <f>IF(ISBLANK(C10),TRIM(SUBSTITUTE(SUBSTITUTE(SUBSTITUTE(_xlfn.TEXTJOIN("_", FALSE, J10, SUBSTITUTE(D10,"_", "")), "/", "%2F"), ":", "%3A"), " ", "")),TRIM(SUBSTITUTE(SUBSTITUTE(SUBSTITUTE(_xlfn.TEXTJOIN("_", FALSE, C10, SUBSTITUTE(D10,"_", "")), "/", "%2F"), ":", "%3A"), " ", "")))</f>
        <v/>
      </c>
      <c r="M10">
        <f t="array" ref="M10">IFERROR(INDEX(FileList!$A$1:$A$100, MATCH(L10, _xlfn.TEXTBEFORE(FileList!$A$1:$A$100, ".tsv"), 0)), "notfound")</f>
        <v/>
      </c>
      <c r="N10" s="4" t="inlineStr">
        <is>
          <t>Table 1. Cellular composition of the spinal cord</t>
        </is>
      </c>
      <c r="P10" s="4" t="inlineStr">
        <is>
          <t>FINISHED</t>
        </is>
      </c>
      <c r="Q10" s="4" t="inlineStr">
        <is>
          <t>added</t>
        </is>
      </c>
      <c r="R10" s="4" t="inlineStr">
        <is>
          <t>Burish_etal_2010_Table1_snapshot.csv</t>
        </is>
      </c>
      <c r="T10" s="4" t="inlineStr">
        <is>
          <t>Burish_etal_2010_Table1.csv</t>
        </is>
      </c>
      <c r="U10" s="4" t="inlineStr">
        <is>
          <t>pdf</t>
        </is>
      </c>
      <c r="V10" s="4" t="inlineStr">
        <is>
          <t>table</t>
        </is>
      </c>
      <c r="X10" s="4" t="inlineStr">
        <is>
          <t>https://doi.org/10.1159/000319019</t>
        </is>
      </c>
      <c r="Z10" s="4" t="inlineStr">
        <is>
          <t>primary (averages)</t>
        </is>
      </c>
      <c r="AC10" s="4" t="inlineStr">
        <is>
          <t>number spinal cord neurons</t>
        </is>
      </c>
      <c r="AE10" s="4" t="inlineStr">
        <is>
          <t>primates and tree shrew</t>
        </is>
      </c>
    </row>
    <row r="11" ht="16" customHeight="1">
      <c r="A11" s="4" t="inlineStr">
        <is>
          <t>Caspar, K. R., Pallasdies, F., Mader, L., Sartorelli, H., &amp; Begall, S. (2022). The evolution and biological correlates of hand preferences in anthropoid primates. Elife, 11, e77875. https://doi.org/10.7554/eLife.77875</t>
        </is>
      </c>
      <c r="D11" s="4" t="inlineStr">
        <is>
          <t>Supplementary file 3</t>
        </is>
      </c>
      <c r="E11">
        <f>RIGHT(A11,1)</f>
        <v/>
      </c>
      <c r="F11">
        <f>G11 &amp; IF(H11&lt;&gt;"", "_" &amp; H11, "_") &amp; IF(I11&lt;&gt;"", "_" &amp; I11, "_") &amp; IF(B11&lt;&gt;"", "_" &amp; B11, "")</f>
        <v/>
      </c>
      <c r="G11">
        <f>SUBSTITUTE(SUBSTITUTE(_xlfn.TEXTBEFORE(A11,","), "-", ""), " ", "")</f>
        <v/>
      </c>
      <c r="H11">
        <f>IF(ISNUMBER(FIND("&amp;", A11)),
IF(LEN(A11)-LEN(SUBSTITUTE(A11, ",", ""))&gt;=6, "etal", MID(A11, SEARCH("&amp; ", A11)+2, SEARCH(",", A11, SEARCH("&amp; ", A11)+2) - SEARCH("&amp; ", A11)-2)),
""
)</f>
        <v/>
      </c>
      <c r="I11">
        <f>_xlfn.TEXTBEFORE(_xlfn.TEXTAFTER(A11, "("), ")")</f>
        <v/>
      </c>
      <c r="J11">
        <f>IF(C11&lt;&gt;"", C11, IF(C11="", _xlfn.TEXTAFTER(A11,"https://doi.org/"), C11))</f>
        <v/>
      </c>
      <c r="K11">
        <f>TRIM(_xlfn.TEXTJOIN("_",FALSE,F11,(SUBSTITUTE(SUBSTITUTE(D11," ",""), "_", ""))))</f>
        <v/>
      </c>
      <c r="L11">
        <f>IF(ISBLANK(C11),TRIM(SUBSTITUTE(SUBSTITUTE(SUBSTITUTE(_xlfn.TEXTJOIN("_", FALSE, J11, SUBSTITUTE(D11,"_", "")), "/", "%2F"), ":", "%3A"), " ", "")),TRIM(SUBSTITUTE(SUBSTITUTE(SUBSTITUTE(_xlfn.TEXTJOIN("_", FALSE, C11, SUBSTITUTE(D11,"_", "")), "/", "%2F"), ":", "%3A"), " ", "")))</f>
        <v/>
      </c>
      <c r="M11">
        <f t="array" ref="M11">IFERROR(INDEX(FileList!$A$1:$A$100, MATCH(L11, _xlfn.TEXTBEFORE(FileList!$A$1:$A$100, ".tsv"), 0)), "notfound")</f>
        <v/>
      </c>
      <c r="N11" s="4" t="inlineStr">
        <is>
          <t>part 2: ecological table</t>
        </is>
      </c>
      <c r="P11" s="4" t="inlineStr">
        <is>
          <t>FINISHED</t>
        </is>
      </c>
      <c r="Q11" s="4" t="inlineStr">
        <is>
          <t>added</t>
        </is>
      </c>
      <c r="R11" s="4" t="inlineStr">
        <is>
          <t>elife-77875-supp3-v1.xlsx</t>
        </is>
      </c>
      <c r="S11" s="4" t="inlineStr">
        <is>
          <t>N</t>
        </is>
      </c>
      <c r="T11" s="4">
        <f>IF(S11="N", R11, "write file name")</f>
        <v/>
      </c>
      <c r="U11" s="4" t="inlineStr">
        <is>
          <t>xlsx</t>
        </is>
      </c>
      <c r="V11" s="4" t="inlineStr">
        <is>
          <t>table</t>
        </is>
      </c>
      <c r="W11" s="4" t="inlineStr">
        <is>
          <t>YES - download link</t>
        </is>
      </c>
      <c r="X11" s="4" t="inlineStr">
        <is>
          <t>https://cdn.elifesciences.org/articles/77875/elife-77875-supp3-v1.xlsx</t>
        </is>
      </c>
      <c r="Y11" s="4" t="inlineStr">
        <is>
          <t>Habitual Tool Use, Ecology, Female brain size</t>
        </is>
      </c>
      <c r="Z11" s="4" t="inlineStr">
        <is>
          <t>secondary</t>
        </is>
      </c>
      <c r="AE11" s="4" t="inlineStr">
        <is>
          <t>primates</t>
        </is>
      </c>
    </row>
    <row r="12" ht="16" customHeight="1">
      <c r="A12" s="4" t="inlineStr">
        <is>
          <t>Caspar, K. R., Pallasdies, F., Mader, L., Sartorelli, H., &amp; Begall, S. (2022). The evolution and biological correlates of hand preferences in anthropoid primates. Elife, 11, e77875. https://doi.org/10.7554/eLife.77875</t>
        </is>
      </c>
      <c r="D12" s="4" t="inlineStr">
        <is>
          <t>Table 1</t>
        </is>
      </c>
      <c r="E12">
        <f>RIGHT(A12,1)</f>
        <v/>
      </c>
      <c r="F12">
        <f>G12 &amp; IF(H12&lt;&gt;"", "_" &amp; H12, "_") &amp; IF(I12&lt;&gt;"", "_" &amp; I12, "_") &amp; IF(B12&lt;&gt;"", "_" &amp; B12, "")</f>
        <v/>
      </c>
      <c r="G12">
        <f>SUBSTITUTE(SUBSTITUTE(_xlfn.TEXTBEFORE(A12,","), "-", ""), " ", "")</f>
        <v/>
      </c>
      <c r="H12">
        <f>IF(ISNUMBER(FIND("&amp;", A12)),
IF(LEN(A12)-LEN(SUBSTITUTE(A12, ",", ""))&gt;=6, "etal", MID(A12, SEARCH("&amp; ", A12)+2, SEARCH(",", A12, SEARCH("&amp; ", A12)+2) - SEARCH("&amp; ", A12)-2)),
""
)</f>
        <v/>
      </c>
      <c r="I12">
        <f>_xlfn.TEXTBEFORE(_xlfn.TEXTAFTER(A12, "("), ")")</f>
        <v/>
      </c>
      <c r="J12">
        <f>IF(C12&lt;&gt;"", C12, IF(C12="", _xlfn.TEXTAFTER(A12,"https://doi.org/"), C12))</f>
        <v/>
      </c>
      <c r="K12">
        <f>TRIM(_xlfn.TEXTJOIN("_",FALSE,F12,(SUBSTITUTE(SUBSTITUTE(D12," ",""), "_", ""))))</f>
        <v/>
      </c>
      <c r="L12">
        <f>IF(ISBLANK(C12),TRIM(SUBSTITUTE(SUBSTITUTE(SUBSTITUTE(_xlfn.TEXTJOIN("_", FALSE, J12, SUBSTITUTE(D12,"_", "")), "/", "%2F"), ":", "%3A"), " ", "")),TRIM(SUBSTITUTE(SUBSTITUTE(SUBSTITUTE(_xlfn.TEXTJOIN("_", FALSE, C12, SUBSTITUTE(D12,"_", "")), "/", "%2F"), ":", "%3A"), " ", "")))</f>
        <v/>
      </c>
      <c r="M12">
        <f t="array" ref="M12">IFERROR(INDEX(FileList!$A$1:$A$100, MATCH(L12, _xlfn.TEXTBEFORE(FileList!$A$1:$A$100, ".tsv"), 0)), "notfound")</f>
        <v/>
      </c>
      <c r="N12" s="4" t="inlineStr">
        <is>
          <t>part 1: handedness summary table</t>
        </is>
      </c>
      <c r="P12" s="4" t="inlineStr">
        <is>
          <t>FINISHED</t>
        </is>
      </c>
      <c r="Q12" s="4" t="inlineStr">
        <is>
          <t>added</t>
        </is>
      </c>
      <c r="R12" s="4" t="inlineStr">
        <is>
          <t>Caspar_etal_2022_Table1_snapshot.xlsx</t>
        </is>
      </c>
      <c r="S12" s="4" t="inlineStr">
        <is>
          <t>Y</t>
        </is>
      </c>
      <c r="T12" s="4" t="inlineStr">
        <is>
          <t>Caspar_etal_2022_Table1.csv</t>
        </is>
      </c>
      <c r="U12" s="4" t="inlineStr">
        <is>
          <t>pdf</t>
        </is>
      </c>
      <c r="V12" s="4" t="inlineStr">
        <is>
          <t>table</t>
        </is>
      </c>
      <c r="W12" s="4" t="inlineStr">
        <is>
          <t>YES - but formatting issues</t>
        </is>
      </c>
      <c r="X12" s="4" t="inlineStr">
        <is>
          <t>https://elifesciences.org/download/aHR0cHM6Ly9jZG4uZWxpZmVzY2llbmNlcy5vcmcvYXJ0aWNsZXMvNzc4NzUvZWxpZmUtNzc4NzUtdjEucGRmP2Nhbm9uaWNhbFVyaT1odHRwczovL2VsaWZlc2NpZW5jZXMub3JnL2FydGljbGVzLzc3ODc1/elife-77875-v1.pdf?_hash=NStjcL9fTlmy3AQDwSiM0YgMVB3UYjO8nDg0UbwN5gM%3D</t>
        </is>
      </c>
      <c r="Y12" s="4" t="inlineStr">
        <is>
          <t>Handedness derived data</t>
        </is>
      </c>
      <c r="Z12" s="4" t="inlineStr">
        <is>
          <t>derived from primary</t>
        </is>
      </c>
      <c r="AD12" s="4" t="inlineStr">
        <is>
          <t>perhaps useful to get raw data as well?</t>
        </is>
      </c>
      <c r="AE12" s="4" t="inlineStr">
        <is>
          <t>primates</t>
        </is>
      </c>
    </row>
    <row r="13" ht="16" customHeight="1">
      <c r="A13" s="4" t="inlineStr">
        <is>
          <t>Changizi, M. A. (2001). Principles underlying mammalian neocortical scaling. Biol Cybern, 84(3), 207-215. https://doi.org/10.1007/s004220000205</t>
        </is>
      </c>
      <c r="D13" s="4" t="inlineStr">
        <is>
          <t>Figure 3</t>
        </is>
      </c>
      <c r="E13">
        <f>RIGHT(A13,1)</f>
        <v/>
      </c>
      <c r="F13">
        <f>G13 &amp; IF(H13&lt;&gt;"", "_" &amp; H13, "_") &amp; IF(I13&lt;&gt;"", "_" &amp; I13, "_") &amp; IF(B13&lt;&gt;"", "_" &amp; B13, "")</f>
        <v/>
      </c>
      <c r="G13">
        <f>SUBSTITUTE(SUBSTITUTE(_xlfn.TEXTBEFORE(A13,","), "-", ""), " ", "")</f>
        <v/>
      </c>
      <c r="H13">
        <f>IF(ISNUMBER(FIND("&amp;", A13)),
IF(LEN(A13)-LEN(SUBSTITUTE(A13, ",", ""))&gt;=6, "etal", MID(A13, SEARCH("&amp; ", A13)+2, SEARCH(",", A13, SEARCH("&amp; ", A13)+2) - SEARCH("&amp; ", A13)-2)),
""
)</f>
        <v/>
      </c>
      <c r="I13">
        <f>_xlfn.TEXTBEFORE(_xlfn.TEXTAFTER(A13, "("), ")")</f>
        <v/>
      </c>
      <c r="J13">
        <f>IF(C13&lt;&gt;"", C13, IF(C13="", _xlfn.TEXTAFTER(A13,"https://doi.org/"), C13))</f>
        <v/>
      </c>
      <c r="K13">
        <f>TRIM(_xlfn.TEXTJOIN("_",FALSE,F13,(SUBSTITUTE(SUBSTITUTE(D13," ",""), "_", ""))))</f>
        <v/>
      </c>
      <c r="L13">
        <f>IF(ISBLANK(C13),TRIM(SUBSTITUTE(SUBSTITUTE(SUBSTITUTE(_xlfn.TEXTJOIN("_", FALSE, J13, SUBSTITUTE(D13,"_", "")), "/", "%2F"), ":", "%3A"), " ", "")),TRIM(SUBSTITUTE(SUBSTITUTE(SUBSTITUTE(_xlfn.TEXTJOIN("_", FALSE, C13, SUBSTITUTE(D13,"_", "")), "/", "%2F"), ":", "%3A"), " ", "")))</f>
        <v/>
      </c>
      <c r="M13">
        <f t="array" ref="M13">IFERROR(INDEX(FileList!$A$1:$A$100, MATCH(L13, _xlfn.TEXTBEFORE(FileList!$A$1:$A$100, ".tsv"), 0)), "notfound")</f>
        <v/>
      </c>
      <c r="P13" s="4" t="inlineStr">
        <is>
          <t>Species -- wait for Project Kaskan</t>
        </is>
      </c>
      <c r="Q13" s="4" t="inlineStr">
        <is>
          <t>NA</t>
        </is>
      </c>
      <c r="R13" s="4" t="inlineStr">
        <is>
          <t>Changizi__2001_Figure3_snapshot.csv</t>
        </is>
      </c>
      <c r="S13" s="4" t="inlineStr">
        <is>
          <t>Y</t>
        </is>
      </c>
      <c r="T13" s="4" t="inlineStr">
        <is>
          <t>Changizi__2001_Figure3.csv</t>
        </is>
      </c>
      <c r="U13" s="4" t="inlineStr">
        <is>
          <t>pdf</t>
        </is>
      </c>
      <c r="V13" s="4" t="inlineStr">
        <is>
          <t>figure and caption</t>
        </is>
      </c>
      <c r="W13" s="4" t="inlineStr">
        <is>
          <t>NO - paywall</t>
        </is>
      </c>
      <c r="Y13" s="4" t="inlineStr">
        <is>
          <t>number of cortical areas</t>
        </is>
      </c>
      <c r="Z13" s="4" t="inlineStr">
        <is>
          <t>primary (derived from published materials)</t>
        </is>
      </c>
      <c r="AD13" s="4" t="inlineStr">
        <is>
          <t>summary to check more precise areas from ProjectKaskan</t>
        </is>
      </c>
    </row>
    <row r="14" ht="16" customHeight="1">
      <c r="A14" s="4" t="inlineStr">
        <is>
          <t>Chen, Z., &amp; Wiens, J. J. (2020). The origins of acoustic communication in vertebrates. Nature Communications, 11(1), 369. https://doi.org/10.1038/s41467-020-14356-3</t>
        </is>
      </c>
      <c r="D14" s="4" t="inlineStr">
        <is>
          <t>Supplementary Data 3</t>
        </is>
      </c>
      <c r="E14">
        <f>RIGHT(A14,1)</f>
        <v/>
      </c>
      <c r="F14">
        <f>G14 &amp; IF(H14&lt;&gt;"", "_" &amp; H14, "_") &amp; IF(I14&lt;&gt;"", "_" &amp; I14, "_") &amp; IF(B14&lt;&gt;"", "_" &amp; B14, "")</f>
        <v/>
      </c>
      <c r="G14">
        <f>SUBSTITUTE(SUBSTITUTE(_xlfn.TEXTBEFORE(A14,","), "-", ""), " ", "")</f>
        <v/>
      </c>
      <c r="H14">
        <f>IF(ISNUMBER(FIND("&amp;", A14)),
IF(LEN(A14)-LEN(SUBSTITUTE(A14, ",", ""))&gt;=6, "etal", MID(A14, SEARCH("&amp; ", A14)+2, SEARCH(",", A14, SEARCH("&amp; ", A14)+2) - SEARCH("&amp; ", A14)-2)),
""
)</f>
        <v/>
      </c>
      <c r="I14">
        <f>_xlfn.TEXTBEFORE(_xlfn.TEXTAFTER(A14, "("), ")")</f>
        <v/>
      </c>
      <c r="J14">
        <f>IF(C14&lt;&gt;"", C14, IF(C14="", _xlfn.TEXTAFTER(A14,"https://doi.org/"), C14))</f>
        <v/>
      </c>
      <c r="K14">
        <f>TRIM(_xlfn.TEXTJOIN("_",FALSE,F14,(SUBSTITUTE(SUBSTITUTE(D14," ",""), "_", ""))))</f>
        <v/>
      </c>
      <c r="L14">
        <f>IF(ISBLANK(C14),TRIM(SUBSTITUTE(SUBSTITUTE(SUBSTITUTE(_xlfn.TEXTJOIN("_", FALSE, J14, SUBSTITUTE(D14,"_", "")), "/", "%2F"), ":", "%3A"), " ", "")),TRIM(SUBSTITUTE(SUBSTITUTE(SUBSTITUTE(_xlfn.TEXTJOIN("_", FALSE, C14, SUBSTITUTE(D14,"_", "")), "/", "%2F"), ":", "%3A"), " ", "")))</f>
        <v/>
      </c>
      <c r="M14">
        <f t="array" ref="M14">IFERROR(INDEX(FileList!$A$1:$A$100, MATCH(L14, _xlfn.TEXTBEFORE(FileList!$A$1:$A$100, ".tsv"), 0)), "notfound")</f>
        <v/>
      </c>
      <c r="P14" s="4" t="inlineStr">
        <is>
          <t>FINISHED</t>
        </is>
      </c>
      <c r="Q14" s="4" t="inlineStr">
        <is>
          <t>added</t>
        </is>
      </c>
      <c r="R14" s="4" t="inlineStr">
        <is>
          <t>41467_2020_14356_MOESM6_ESM.xlsx</t>
        </is>
      </c>
      <c r="S14" s="4" t="inlineStr">
        <is>
          <t>N</t>
        </is>
      </c>
      <c r="T14" s="4">
        <f>IF(S14="N", R14, "write file name")</f>
        <v/>
      </c>
      <c r="U14" s="4" t="inlineStr">
        <is>
          <t>xlsx</t>
        </is>
      </c>
      <c r="V14" s="4" t="inlineStr">
        <is>
          <t>table</t>
        </is>
      </c>
      <c r="W14" s="4" t="inlineStr">
        <is>
          <t>YES - download link</t>
        </is>
      </c>
      <c r="X14" s="4" t="inlineStr">
        <is>
          <t>https://static-content.springer.com/esm/art%3A10.1038%2Fs41467-020-14356-3/MediaObjects/41467_2020_14356_MOESM6_ESM.xlsx</t>
        </is>
      </c>
      <c r="Y14" s="4" t="inlineStr">
        <is>
          <t>acoustic communication</t>
        </is>
      </c>
      <c r="Z14" s="4" t="inlineStr">
        <is>
          <t>secondary</t>
        </is>
      </c>
      <c r="AC14" s="4" t="inlineStr">
        <is>
          <t>dial activity (Supp 4)</t>
        </is>
      </c>
      <c r="AD14" s="4" t="inlineStr">
        <is>
          <t>maybe delete: not relevent in current dataset, unless for imputations?</t>
        </is>
      </c>
      <c r="AE14" s="4" t="inlineStr">
        <is>
          <t>vertebrates</t>
        </is>
      </c>
    </row>
    <row r="15" ht="16" customHeight="1">
      <c r="A15" s="4" t="inlineStr">
        <is>
          <t>Collins, C. E., Airey, D. C., Young, N. A., Leitch, D. B., &amp; Kaas, J. H. (2010). Neuron densities vary across and within cortical areas in primates. Proc Natl Acad Sci U S A, 107(36), 15927-15932. https://doi.org/10.1073/pnas.1010356107</t>
        </is>
      </c>
      <c r="D15" s="4" t="inlineStr">
        <is>
          <t>Dataset S1</t>
        </is>
      </c>
      <c r="E15">
        <f>RIGHT(A15,1)</f>
        <v/>
      </c>
      <c r="F15">
        <f>G15 &amp; IF(H15&lt;&gt;"", "_" &amp; H15, "_") &amp; IF(I15&lt;&gt;"", "_" &amp; I15, "_") &amp; IF(B15&lt;&gt;"", "_" &amp; B15, "")</f>
        <v/>
      </c>
      <c r="G15">
        <f>SUBSTITUTE(SUBSTITUTE(_xlfn.TEXTBEFORE(A15,","), "-", ""), " ", "")</f>
        <v/>
      </c>
      <c r="H15">
        <f>IF(ISNUMBER(FIND("&amp;", A15)),
IF(LEN(A15)-LEN(SUBSTITUTE(A15, ",", ""))&gt;=6, "etal", MID(A15, SEARCH("&amp; ", A15)+2, SEARCH(",", A15, SEARCH("&amp; ", A15)+2) - SEARCH("&amp; ", A15)-2)),
""
)</f>
        <v/>
      </c>
      <c r="I15">
        <f>_xlfn.TEXTBEFORE(_xlfn.TEXTAFTER(A15, "("), ")")</f>
        <v/>
      </c>
      <c r="J15">
        <f>IF(C15&lt;&gt;"", C15, IF(C15="", _xlfn.TEXTAFTER(A15,"https://doi.org/"), C15))</f>
        <v/>
      </c>
      <c r="K15">
        <f>TRIM(_xlfn.TEXTJOIN("_",FALSE,F15,(SUBSTITUTE(SUBSTITUTE(D15," ",""), "_", ""))))</f>
        <v/>
      </c>
      <c r="L15">
        <f>IF(ISBLANK(C15),TRIM(SUBSTITUTE(SUBSTITUTE(SUBSTITUTE(_xlfn.TEXTJOIN("_", FALSE, J15, SUBSTITUTE(D15,"_", "")), "/", "%2F"), ":", "%3A"), " ", "")),TRIM(SUBSTITUTE(SUBSTITUTE(SUBSTITUTE(_xlfn.TEXTJOIN("_", FALSE, C15, SUBSTITUTE(D15,"_", "")), "/", "%2F"), ":", "%3A"), " ", "")))</f>
        <v/>
      </c>
      <c r="M15">
        <f t="array" ref="M15">IFERROR(INDEX(FileList!$A$1:$A$100, MATCH(L15, _xlfn.TEXTBEFORE(FileList!$A$1:$A$100, ".tsv"), 0)), "notfound")</f>
        <v/>
      </c>
      <c r="Y15" s="4" t="inlineStr">
        <is>
          <t>cortical area surface area, neuron density</t>
        </is>
      </c>
      <c r="Z15" s="4" t="inlineStr">
        <is>
          <t>primary</t>
        </is>
      </c>
    </row>
    <row r="16" ht="16" customHeight="1">
      <c r="A16" s="4" t="inlineStr">
        <is>
          <t>DeCasien, A. R., &amp; Higham, J. P. (2019). Primate mosaic brain evolution reflects selection on sensory and cognitive specialization. Nat Ecol Evol, 3(10), 1483-1493. https://doi.org/10.1038/s41559-019-0969-0</t>
        </is>
      </c>
      <c r="D16" s="4" t="inlineStr">
        <is>
          <t>Supplementary Data 1-Brain Region</t>
        </is>
      </c>
      <c r="E16">
        <f>RIGHT(A16,1)</f>
        <v/>
      </c>
      <c r="F16">
        <f>G16 &amp; IF(H16&lt;&gt;"", "_" &amp; H16, "_") &amp; IF(I16&lt;&gt;"", "_" &amp; I16, "_") &amp; IF(B16&lt;&gt;"", "_" &amp; B16, "")</f>
        <v/>
      </c>
      <c r="G16">
        <f>SUBSTITUTE(SUBSTITUTE(_xlfn.TEXTBEFORE(A16,","), "-", ""), " ", "")</f>
        <v/>
      </c>
      <c r="H16">
        <f>IF(ISNUMBER(FIND("&amp;", A16)),
IF(LEN(A16)-LEN(SUBSTITUTE(A16, ",", ""))&gt;=6, "etal", MID(A16, SEARCH("&amp; ", A16)+2, SEARCH(",", A16, SEARCH("&amp; ", A16)+2) - SEARCH("&amp; ", A16)-2)),
""
)</f>
        <v/>
      </c>
      <c r="I16">
        <f>_xlfn.TEXTBEFORE(_xlfn.TEXTAFTER(A16, "("), ")")</f>
        <v/>
      </c>
      <c r="J16">
        <f>IF(C16&lt;&gt;"", C16, IF(C16="", _xlfn.TEXTAFTER(A16,"https://doi.org/"), C16))</f>
        <v/>
      </c>
      <c r="K16">
        <f>TRIM(_xlfn.TEXTJOIN("_",FALSE,F16,(SUBSTITUTE(SUBSTITUTE(D16," ",""), "_", ""))))</f>
        <v/>
      </c>
      <c r="L16">
        <f>IF(ISBLANK(C16),TRIM(SUBSTITUTE(SUBSTITUTE(SUBSTITUTE(_xlfn.TEXTJOIN("_", FALSE, J16, SUBSTITUTE(D16,"_", "")), "/", "%2F"), ":", "%3A"), " ", "")),TRIM(SUBSTITUTE(SUBSTITUTE(SUBSTITUTE(_xlfn.TEXTJOIN("_", FALSE, C16, SUBSTITUTE(D16,"_", "")), "/", "%2F"), ":", "%3A"), " ", "")))</f>
        <v/>
      </c>
      <c r="M16">
        <f t="array" ref="M16">IFERROR(INDEX(FileList!$A$1:$A$100, MATCH(L16, _xlfn.TEXTBEFORE(FileList!$A$1:$A$100, ".tsv"), 0)), "notfound")</f>
        <v/>
      </c>
      <c r="N16" s="4" t="inlineStr">
        <is>
          <t>Supplementary Data 1 Brain Region Data (mm3)</t>
        </is>
      </c>
      <c r="U16" s="4" t="inlineStr">
        <is>
          <t>xlsx</t>
        </is>
      </c>
      <c r="V16" s="4" t="inlineStr">
        <is>
          <t>table Sheet 1</t>
        </is>
      </c>
      <c r="W16" s="4" t="inlineStr">
        <is>
          <t>YES - download link</t>
        </is>
      </c>
      <c r="X16" s="4" t="inlineStr">
        <is>
          <t>https://www.nature.com/articles/s41559-019-0969-0#Sec13</t>
        </is>
      </c>
      <c r="Y16" s="4" t="inlineStr">
        <is>
          <t>Brain Regions Volumes</t>
        </is>
      </c>
      <c r="Z16" s="4" t="inlineStr">
        <is>
          <t>secondary</t>
        </is>
      </c>
      <c r="AD16" s="4" t="inlineStr">
        <is>
          <t>mostly Stephan and other Ddorf studies</t>
        </is>
      </c>
      <c r="AE16" s="4" t="inlineStr">
        <is>
          <t>primates</t>
        </is>
      </c>
    </row>
    <row r="17" ht="16" customHeight="1">
      <c r="A17" s="4" t="inlineStr">
        <is>
          <t>DeCasien, A. R., &amp; Higham, J. P. (2019). Primate mosaic brain evolution reflects selection on sensory and cognitive specialization. Nat Ecol Evol, 3(10), 1483-1493. https://doi.org/10.1038/s41559-019-0969-0</t>
        </is>
      </c>
      <c r="D17" s="4" t="inlineStr">
        <is>
          <t>Supplementary Data 1-Activity Period</t>
        </is>
      </c>
      <c r="E17">
        <f>RIGHT(A17,1)</f>
        <v/>
      </c>
      <c r="F17">
        <f>G17 &amp; IF(H17&lt;&gt;"", "_" &amp; H17, "_") &amp; IF(I17&lt;&gt;"", "_" &amp; I17, "_") &amp; IF(B17&lt;&gt;"", "_" &amp; B17, "")</f>
        <v/>
      </c>
      <c r="G17">
        <f>SUBSTITUTE(SUBSTITUTE(_xlfn.TEXTBEFORE(A17,","), "-", ""), " ", "")</f>
        <v/>
      </c>
      <c r="H17">
        <f>IF(ISNUMBER(FIND("&amp;", A17)),
    IF(LEN(A17)-LEN(SUBSTITUTE(A17, ",", ""))&gt;=6, "etal", MID(A17, SEARCH("&amp; ", A17)+2, SEARCH(",", A17, SEARCH("&amp; ", A17)+2) - SEARCH("&amp; ", A17)-2)),
    ""
)</f>
        <v/>
      </c>
      <c r="I17">
        <f>_xlfn.TEXTBEFORE(_xlfn.TEXTAFTER(A17, "("), ")")</f>
        <v/>
      </c>
      <c r="J17">
        <f>IF(C17&lt;&gt;"", C17, IF(C17="", _xlfn.TEXTAFTER(A17,"https://doi.org/"), C17))</f>
        <v/>
      </c>
      <c r="K17">
        <f>TRIM(_xlfn.TEXTJOIN("_",FALSE,F17,(SUBSTITUTE(SUBSTITUTE(D18," ",""), "_", ""))))</f>
        <v/>
      </c>
      <c r="L17">
        <f>IF(ISBLANK(C17),TRIM(SUBSTITUTE(SUBSTITUTE(SUBSTITUTE(_xlfn.TEXTJOIN("_", FALSE, J17, SUBSTITUTE(D18,"_", "")), "/", "%2F"), ":", "%3A"), " ", "")),TRIM(SUBSTITUTE(SUBSTITUTE(SUBSTITUTE(_xlfn.TEXTJOIN("_", FALSE, C17, SUBSTITUTE(D18,"_", "")), "/", "%2F"), ":", "%3A"), " ", "")))</f>
        <v/>
      </c>
      <c r="M17">
        <f t="array" ref="M17">IFERROR(INDEX(FileList!$A$1:$A$100, MATCH(L17, _xlfn.TEXTBEFORE(FileList!$A$1:$A$100, ".tsv"), 0)), "notfound")</f>
        <v/>
      </c>
      <c r="N17" s="4" t="inlineStr">
        <is>
          <t>Supplementary Data 1 Brain Region Data (mm3)</t>
        </is>
      </c>
      <c r="U17" s="4" t="inlineStr">
        <is>
          <t>xlsx</t>
        </is>
      </c>
      <c r="V17" s="4" t="inlineStr">
        <is>
          <t>table Sheet 1</t>
        </is>
      </c>
      <c r="W17" s="4" t="inlineStr">
        <is>
          <t>YES - download link</t>
        </is>
      </c>
      <c r="X17" s="4" t="inlineStr">
        <is>
          <t>https://www.nature.com/articles/s41559-019-0969-0#Sec13</t>
        </is>
      </c>
      <c r="Y17" s="4" t="inlineStr">
        <is>
          <t>Activity Period</t>
        </is>
      </c>
      <c r="Z17" s="4" t="inlineStr">
        <is>
          <t>secondary</t>
        </is>
      </c>
      <c r="AE17" s="4" t="inlineStr">
        <is>
          <t>primates</t>
        </is>
      </c>
    </row>
    <row r="18" ht="16" customHeight="1">
      <c r="A18" s="4" t="inlineStr">
        <is>
          <t>DeCasien, A. R., &amp; Higham, J. P. (2019). Primate mosaic brain evolution reflects selection on sensory and cognitive specialization. Nat Ecol Evol, 3(10), 1483-1493. https://doi.org/10.1038/s41559-019-0969-0</t>
        </is>
      </c>
      <c r="D18" s="4" t="inlineStr">
        <is>
          <t>Supplementary Data 1-Diet</t>
        </is>
      </c>
      <c r="E18">
        <f>RIGHT(A18,1)</f>
        <v/>
      </c>
      <c r="F18">
        <f>G18 &amp; IF(H18&lt;&gt;"", "_" &amp; H18, "_") &amp; IF(I18&lt;&gt;"", "_" &amp; I18, "_") &amp; IF(B18&lt;&gt;"", "_" &amp; B18, "")</f>
        <v/>
      </c>
      <c r="G18">
        <f>SUBSTITUTE(SUBSTITUTE(_xlfn.TEXTBEFORE(A18,","), "-", ""), " ", "")</f>
        <v/>
      </c>
      <c r="H18">
        <f>IF(ISNUMBER(FIND("&amp;", A18)),
    IF(LEN(A18)-LEN(SUBSTITUTE(A18, ",", ""))&gt;=6, "etal", MID(A18, SEARCH("&amp; ", A18)+2, SEARCH(",", A18, SEARCH("&amp; ", A18)+2) - SEARCH("&amp; ", A18)-2)),
    ""
)</f>
        <v/>
      </c>
      <c r="I18">
        <f>_xlfn.TEXTBEFORE(_xlfn.TEXTAFTER(A18, "("), ")")</f>
        <v/>
      </c>
      <c r="J18">
        <f>IF(C18&lt;&gt;"", C18, IF(C18="", _xlfn.TEXTAFTER(A18,"https://doi.org/"), C18))</f>
        <v/>
      </c>
      <c r="K18">
        <f>TRIM(_xlfn.TEXTJOIN("_",FALSE,F18,(SUBSTITUTE(SUBSTITUTE(D19," ",""), "_", ""))))</f>
        <v/>
      </c>
      <c r="L18">
        <f>IF(ISBLANK(C18),TRIM(SUBSTITUTE(SUBSTITUTE(SUBSTITUTE(_xlfn.TEXTJOIN("_", FALSE, J18, SUBSTITUTE(D19,"_", "")), "/", "%2F"), ":", "%3A"), " ", "")),TRIM(SUBSTITUTE(SUBSTITUTE(SUBSTITUTE(_xlfn.TEXTJOIN("_", FALSE, C18, SUBSTITUTE(D19,"_", "")), "/", "%2F"), ":", "%3A"), " ", "")))</f>
        <v/>
      </c>
      <c r="M18">
        <f t="array" ref="M18">IFERROR(INDEX(FileList!$A$1:$A$100, MATCH(L18, _xlfn.TEXTBEFORE(FileList!$A$1:$A$100, ".tsv"), 0)), "notfound")</f>
        <v/>
      </c>
      <c r="N18" s="4" t="inlineStr">
        <is>
          <t>Supplementary Data 1 Brain Region Data (mm3)</t>
        </is>
      </c>
      <c r="U18" s="4" t="inlineStr">
        <is>
          <t>xlsx</t>
        </is>
      </c>
      <c r="V18" s="4" t="inlineStr">
        <is>
          <t>table Sheet 1</t>
        </is>
      </c>
      <c r="W18" s="4" t="inlineStr">
        <is>
          <t>YES - download link</t>
        </is>
      </c>
      <c r="X18" s="4" t="inlineStr">
        <is>
          <t>https://www.nature.com/articles/s41559-019-0969-0#Sec13</t>
        </is>
      </c>
      <c r="Y18" s="4" t="inlineStr">
        <is>
          <t>Diet</t>
        </is>
      </c>
      <c r="Z18" s="4" t="inlineStr">
        <is>
          <t>secondary</t>
        </is>
      </c>
      <c r="AE18" s="4" t="inlineStr">
        <is>
          <t>primates</t>
        </is>
      </c>
    </row>
    <row r="19" ht="16" customHeight="1">
      <c r="A19" s="4" t="inlineStr">
        <is>
          <t>DeCasien, A. R., &amp; Higham, J. P. (2019). Primate mosaic brain evolution reflects selection on sensory and cognitive specialization. Nat Ecol Evol, 3(10), 1483-1493. https://doi.org/10.1038/s41559-019-0969-0</t>
        </is>
      </c>
      <c r="D19" s="4" t="inlineStr">
        <is>
          <t>Supplementary Data 1-Social System</t>
        </is>
      </c>
      <c r="E19">
        <f>RIGHT(A19,1)</f>
        <v/>
      </c>
      <c r="F19">
        <f>G19 &amp; IF(H19&lt;&gt;"", "_" &amp; H19, "_") &amp; IF(I19&lt;&gt;"", "_" &amp; I19, "_") &amp; IF(B19&lt;&gt;"", "_" &amp; B19, "")</f>
        <v/>
      </c>
      <c r="G19">
        <f>SUBSTITUTE(SUBSTITUTE(_xlfn.TEXTBEFORE(A19,","), "-", ""), " ", "")</f>
        <v/>
      </c>
      <c r="H19">
        <f>IF(ISNUMBER(FIND("&amp;", A19)),
    IF(LEN(A19)-LEN(SUBSTITUTE(A19, ",", ""))&gt;=6, "etal", MID(A19, SEARCH("&amp; ", A19)+2, SEARCH(",", A19, SEARCH("&amp; ", A19)+2) - SEARCH("&amp; ", A19)-2)),
    ""
)</f>
        <v/>
      </c>
      <c r="I19">
        <f>_xlfn.TEXTBEFORE(_xlfn.TEXTAFTER(A19, "("), ")")</f>
        <v/>
      </c>
      <c r="J19">
        <f>IF(C19&lt;&gt;"", C19, IF(C19="", _xlfn.TEXTAFTER(A19,"https://doi.org/"), C19))</f>
        <v/>
      </c>
      <c r="K19">
        <f>TRIM(_xlfn.TEXTJOIN("_",FALSE,F19,(SUBSTITUTE(SUBSTITUTE(D19," ",""), "_", ""))))</f>
        <v/>
      </c>
      <c r="L19">
        <f>IF(ISBLANK(C19),TRIM(SUBSTITUTE(SUBSTITUTE(SUBSTITUTE(_xlfn.TEXTJOIN("_", FALSE, J19, SUBSTITUTE(D19,"_", "")), "/", "%2F"), ":", "%3A"), " ", "")),TRIM(SUBSTITUTE(SUBSTITUTE(SUBSTITUTE(_xlfn.TEXTJOIN("_", FALSE, C19, SUBSTITUTE(D19,"_", "")), "/", "%2F"), ":", "%3A"), " ", "")))</f>
        <v/>
      </c>
      <c r="M19">
        <f t="array" ref="M19">IFERROR(INDEX(FileList!$A$1:$A$100, MATCH(L19, _xlfn.TEXTBEFORE(FileList!$A$1:$A$100, ".tsv"), 0)), "notfound")</f>
        <v/>
      </c>
      <c r="N19" s="4" t="inlineStr">
        <is>
          <t>Supplementary Data 1 Brain Region Data (mm3)</t>
        </is>
      </c>
      <c r="U19" s="4" t="inlineStr">
        <is>
          <t>xlsx</t>
        </is>
      </c>
      <c r="V19" s="4" t="inlineStr">
        <is>
          <t>table Sheet 1</t>
        </is>
      </c>
      <c r="W19" s="4" t="inlineStr">
        <is>
          <t>YES - download link</t>
        </is>
      </c>
      <c r="X19" s="4" t="inlineStr">
        <is>
          <t>https://www.nature.com/articles/s41559-019-0969-0#Sec13</t>
        </is>
      </c>
      <c r="Y19" s="4" t="inlineStr">
        <is>
          <t>Social System</t>
        </is>
      </c>
      <c r="Z19" s="4" t="inlineStr">
        <is>
          <t>secondary</t>
        </is>
      </c>
      <c r="AE19" s="4" t="inlineStr">
        <is>
          <t>primates</t>
        </is>
      </c>
    </row>
    <row r="20" ht="16" customHeight="1">
      <c r="A20" s="4" t="inlineStr">
        <is>
          <t>Dos Santos, S. E., Porfirio, J., da Cunha, F. B., Manger, P. R., Tavares, W., Pessoa, L., Raghanti, M. A., Sherwood, C. C., &amp; Herculano-Houzel, S. (2017). Cellular Scaling Rules for the Brains of Marsupials: Not as "Primitive" as Expected. Brain Behav Evol. https://doi.org/10.1159/000452856</t>
        </is>
      </c>
      <c r="D20" s="4" t="inlineStr">
        <is>
          <t>Table S1</t>
        </is>
      </c>
      <c r="E20">
        <f>RIGHT(A20,1)</f>
        <v/>
      </c>
      <c r="F20">
        <f>G20 &amp; IF(H20&lt;&gt;"", "_" &amp; H20, "_") &amp; IF(I20&lt;&gt;"", "_" &amp; I20, "_") &amp; IF(B20&lt;&gt;"", "_" &amp; B20, "")</f>
        <v/>
      </c>
      <c r="G20">
        <f>SUBSTITUTE(SUBSTITUTE(_xlfn.TEXTBEFORE(A20,","), "-", ""), " ", "")</f>
        <v/>
      </c>
      <c r="H20">
        <f>IF(ISNUMBER(FIND("&amp;", A20)),
IF(LEN(A20)-LEN(SUBSTITUTE(A20, ",", ""))&gt;=6, "etal", MID(A20, SEARCH("&amp; ", A20)+2, SEARCH(",", A20, SEARCH("&amp; ", A20)+2) - SEARCH("&amp; ", A20)-2)),
""
)</f>
        <v/>
      </c>
      <c r="I20">
        <f>_xlfn.TEXTBEFORE(_xlfn.TEXTAFTER(A20, "("), ")")</f>
        <v/>
      </c>
      <c r="J20">
        <f>IF(C20&lt;&gt;"", C20, IF(C20="", _xlfn.TEXTAFTER(A20,"https://doi.org/"), C20))</f>
        <v/>
      </c>
      <c r="K20">
        <f>TRIM(_xlfn.TEXTJOIN("_",FALSE,F20,(SUBSTITUTE(SUBSTITUTE(D20," ",""), "_", ""))))</f>
        <v/>
      </c>
      <c r="L20">
        <f>IF(ISBLANK(C20),TRIM(SUBSTITUTE(SUBSTITUTE(SUBSTITUTE(_xlfn.TEXTJOIN("_", FALSE, J20, SUBSTITUTE(D20,"_", "")), "/", "%2F"), ":", "%3A"), " ", "")),TRIM(SUBSTITUTE(SUBSTITUTE(SUBSTITUTE(_xlfn.TEXTJOIN("_", FALSE, C20, SUBSTITUTE(D20,"_", "")), "/", "%2F"), ":", "%3A"), " ", "")))</f>
        <v/>
      </c>
      <c r="M20">
        <f t="array" ref="M20">IFERROR(INDEX(FileList!$A$1:$A$100, MATCH(L20, _xlfn.TEXTBEFORE(FileList!$A$1:$A$100, ".tsv"), 0)), "notfound")</f>
        <v/>
      </c>
      <c r="O20" s="4" t="inlineStr">
        <is>
          <t>ERRATUM !</t>
        </is>
      </c>
      <c r="P20" s="4" t="inlineStr">
        <is>
          <t>FINISHED</t>
        </is>
      </c>
      <c r="Q20" s="4" t="inlineStr">
        <is>
          <t>added</t>
        </is>
      </c>
      <c r="R20" s="4" t="inlineStr">
        <is>
          <t>DosSantos_etal_2017_TableS1_snapshot.csv</t>
        </is>
      </c>
      <c r="S20" s="4" t="inlineStr">
        <is>
          <t>Y</t>
        </is>
      </c>
      <c r="T20" s="4" t="inlineStr">
        <is>
          <t>DosSantos_etal_2017_TableS1.csv</t>
        </is>
      </c>
      <c r="U20" s="4" t="inlineStr">
        <is>
          <t>doc, erratum (on pdf)</t>
        </is>
      </c>
      <c r="V20" s="4" t="inlineStr">
        <is>
          <t>table, erratum</t>
        </is>
      </c>
      <c r="W20" s="4" t="inlineStr">
        <is>
          <t>YES - download link</t>
        </is>
      </c>
      <c r="X20" s="4" t="inlineStr">
        <is>
          <t>https://ndownloader.figstatic.com/files/7428211</t>
        </is>
      </c>
      <c r="Y20" s="4" t="inlineStr">
        <is>
          <t>Cell numbers, region size</t>
        </is>
      </c>
      <c r="Z20" s="4" t="inlineStr">
        <is>
          <t>primary</t>
        </is>
      </c>
      <c r="AA20" s="4" t="inlineStr">
        <is>
          <t>HH</t>
        </is>
      </c>
      <c r="AB20" s="4" t="inlineStr">
        <is>
          <t>HH</t>
        </is>
      </c>
      <c r="AE20" s="4" t="inlineStr">
        <is>
          <t>marsupials</t>
        </is>
      </c>
      <c r="AF20" s="4" t="inlineStr">
        <is>
          <t>erratum</t>
        </is>
      </c>
    </row>
    <row r="21" ht="16" customHeight="1">
      <c r="A21" s="4"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D21" s="4" t="inlineStr">
        <is>
          <t>Table 1</t>
        </is>
      </c>
      <c r="E21">
        <f>RIGHT(A21,1)</f>
        <v/>
      </c>
      <c r="F21">
        <f>G21 &amp; IF(H21&lt;&gt;"", "_" &amp; H21, "_") &amp; IF(I21&lt;&gt;"", "_" &amp; I21, "_") &amp; IF(B21&lt;&gt;"", "_" &amp; B21, "")</f>
        <v/>
      </c>
      <c r="G21">
        <f>SUBSTITUTE(SUBSTITUTE(_xlfn.TEXTBEFORE(A21,","), "-", ""), " ", "")</f>
        <v/>
      </c>
      <c r="H21">
        <f>IF(ISNUMBER(FIND("&amp;", A21)),
IF(LEN(A21)-LEN(SUBSTITUTE(A21, ",", ""))&gt;=6, "etal", MID(A21, SEARCH("&amp; ", A21)+2, SEARCH(",", A21, SEARCH("&amp; ", A21)+2) - SEARCH("&amp; ", A21)-2)),
""
)</f>
        <v/>
      </c>
      <c r="I21">
        <f>_xlfn.TEXTBEFORE(_xlfn.TEXTAFTER(A21, "("), ")")</f>
        <v/>
      </c>
      <c r="J21">
        <f>IF(C21&lt;&gt;"", C21, IF(C21="", _xlfn.TEXTAFTER(A21,"https://doi.org/"), C21))</f>
        <v/>
      </c>
      <c r="K21">
        <f>TRIM(_xlfn.TEXTJOIN("_",FALSE,F21,(SUBSTITUTE(SUBSTITUTE(D21," ",""), "_", ""))))</f>
        <v/>
      </c>
      <c r="L21">
        <f>IF(ISBLANK(C21),TRIM(SUBSTITUTE(SUBSTITUTE(SUBSTITUTE(_xlfn.TEXTJOIN("_", FALSE, J21, SUBSTITUTE(D21,"_", "")), "/", "%2F"), ":", "%3A"), " ", "")),TRIM(SUBSTITUTE(SUBSTITUTE(SUBSTITUTE(_xlfn.TEXTJOIN("_", FALSE, C21, SUBSTITUTE(D21,"_", "")), "/", "%2F"), ":", "%3A"), " ", "")))</f>
        <v/>
      </c>
      <c r="M21">
        <f t="array" ref="M21">IFERROR(INDEX(FileList!$A$1:$A$100, MATCH(L21, _xlfn.TEXTBEFORE(FileList!$A$1:$A$100, ".tsv"), 0)), "notfound")</f>
        <v/>
      </c>
      <c r="P21" s="4" t="inlineStr">
        <is>
          <t>FINISHED</t>
        </is>
      </c>
      <c r="Q21" s="4" t="inlineStr">
        <is>
          <t>added</t>
        </is>
      </c>
      <c r="R21" s="7" t="inlineStr">
        <is>
          <t>DosSantos_etal_2020_Table1_snapshot.csv</t>
        </is>
      </c>
      <c r="S21" s="4" t="inlineStr">
        <is>
          <t>Y</t>
        </is>
      </c>
      <c r="T21" s="4" t="inlineStr">
        <is>
          <t>DosSantos_etal_2020_Table1.csv</t>
        </is>
      </c>
      <c r="U21" s="4" t="inlineStr">
        <is>
          <t>pdf online</t>
        </is>
      </c>
      <c r="V21" s="4" t="inlineStr">
        <is>
          <t>table</t>
        </is>
      </c>
      <c r="Y21" s="4" t="inlineStr">
        <is>
          <t>Cell numbers, region size</t>
        </is>
      </c>
      <c r="Z21" s="4" t="inlineStr">
        <is>
          <t>primary; secondary (compiled team data)</t>
        </is>
      </c>
      <c r="AA21" s="4" t="inlineStr">
        <is>
          <t>HH</t>
        </is>
      </c>
      <c r="AB21" s="4" t="inlineStr">
        <is>
          <t>HH</t>
        </is>
      </c>
      <c r="AE21" s="4" t="inlineStr">
        <is>
          <t>microglia</t>
        </is>
      </c>
    </row>
    <row r="22" ht="16" customHeight="1">
      <c r="A22" s="4" t="inlineStr">
        <is>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is>
      </c>
      <c r="D22" s="4" t="inlineStr">
        <is>
          <t>unpublished</t>
        </is>
      </c>
      <c r="E22">
        <f>RIGHT(A22,1)</f>
        <v/>
      </c>
      <c r="F22">
        <f>G22 &amp; IF(H22&lt;&gt;"", "_" &amp; H22, "_") &amp; IF(I22&lt;&gt;"", "_" &amp; I22, "_") &amp; IF(B22&lt;&gt;"", "_" &amp; B22, "")</f>
        <v/>
      </c>
      <c r="G22">
        <f>SUBSTITUTE(SUBSTITUTE(_xlfn.TEXTBEFORE(A22,","), "-", ""), " ", "")</f>
        <v/>
      </c>
      <c r="H22">
        <f>IF(ISNUMBER(FIND("&amp;", A22)),
    IF(LEN(A22)-LEN(SUBSTITUTE(A22, ",", ""))&gt;=6, "etal", MID(A22, SEARCH("&amp; ", A22)+2, SEARCH(",", A22, SEARCH("&amp; ", A22)+2) - SEARCH("&amp; ", A22)-2)),
    ""
)</f>
        <v/>
      </c>
      <c r="I22">
        <f>_xlfn.TEXTBEFORE(_xlfn.TEXTAFTER(A22, "("), ")")</f>
        <v/>
      </c>
      <c r="J22">
        <f>IF(C22&lt;&gt;"", C22, IF(C22="", _xlfn.TEXTAFTER(A22,"https://doi.org/"), C22))</f>
        <v/>
      </c>
      <c r="K22">
        <f>TRIM(_xlfn.TEXTJOIN("_",FALSE,F22,(SUBSTITUTE(SUBSTITUTE(D22," ",""), "_", ""))))</f>
        <v/>
      </c>
      <c r="L22">
        <f>IF(ISBLANK(C22),TRIM(SUBSTITUTE(SUBSTITUTE(SUBSTITUTE(_xlfn.TEXTJOIN("_", FALSE, J22, SUBSTITUTE(D22,"_", "")), "/", "%2F"), ":", "%3A"), " ", "")),TRIM(SUBSTITUTE(SUBSTITUTE(SUBSTITUTE(_xlfn.TEXTJOIN("_", FALSE, C22, SUBSTITUTE(D22,"_", "")), "/", "%2F"), ":", "%3A"), " ", "")))</f>
        <v/>
      </c>
      <c r="M22">
        <f t="array" ref="M22">IFERROR(INDEX(FileList!$A$1:$A$100, MATCH(L22, _xlfn.TEXTBEFORE(FileList!$A$1:$A$100, ".tsv"), 0)), "notfound")</f>
        <v/>
      </c>
      <c r="P22" s="4" t="inlineStr">
        <is>
          <t>FINISHED</t>
        </is>
      </c>
      <c r="Q22" s="4" t="inlineStr">
        <is>
          <t>added</t>
        </is>
      </c>
      <c r="R22" s="7" t="inlineStr">
        <is>
          <t>DosSantos_etal_2020_Table1_snapshot.csv</t>
        </is>
      </c>
      <c r="S22" s="4" t="inlineStr">
        <is>
          <t>Y</t>
        </is>
      </c>
      <c r="T22" s="4" t="inlineStr">
        <is>
          <t>DosSantos_etal_2020_Table1.csv</t>
        </is>
      </c>
      <c r="U22" s="4" t="inlineStr">
        <is>
          <t>pdf online</t>
        </is>
      </c>
      <c r="V22" s="4" t="inlineStr">
        <is>
          <t>table</t>
        </is>
      </c>
      <c r="X22" s="4" t="inlineStr">
        <is>
          <t>https://doi.org/10.1523/JNEUROSCI.2339-19.2020</t>
        </is>
      </c>
      <c r="Y22" s="4" t="inlineStr">
        <is>
          <t>Cell numbers, region size</t>
        </is>
      </c>
      <c r="Z22" s="4" t="inlineStr">
        <is>
          <t>primary; secondary (compiled team data)</t>
        </is>
      </c>
      <c r="AA22" s="4" t="inlineStr">
        <is>
          <t>HH</t>
        </is>
      </c>
      <c r="AB22" s="4" t="inlineStr">
        <is>
          <t>HH</t>
        </is>
      </c>
      <c r="AE22" s="4" t="inlineStr">
        <is>
          <t>microglia</t>
        </is>
      </c>
    </row>
    <row r="23" ht="16" customHeight="1">
      <c r="A23" s="8" t="inlineStr">
        <is>
          <t>Eagleman, D. M., &amp; Vaughn, D. A. (2021). The Defensive Activation Theory: REM Sleep as a Mechanism to Prevent Takeover of the Visual Cortex [Hypothesis and Theory]. Front Neurosci, 15(598), 632853. https://doi.org/10.3389/fnins.2021.632853</t>
        </is>
      </c>
      <c r="D23" s="4" t="inlineStr">
        <is>
          <t>TABLE 1</t>
        </is>
      </c>
      <c r="E23">
        <f>RIGHT(A23,1)</f>
        <v/>
      </c>
      <c r="F23">
        <f>G23 &amp; IF(H23&lt;&gt;"", "_" &amp; H23, "_") &amp; IF(I23&lt;&gt;"", "_" &amp; I23, "_") &amp; IF(B23&lt;&gt;"", "_" &amp; B23, "")</f>
        <v/>
      </c>
      <c r="G23">
        <f>SUBSTITUTE(SUBSTITUTE(_xlfn.TEXTBEFORE(A23,","), "-", ""), " ", "")</f>
        <v/>
      </c>
      <c r="H23">
        <f>IF(ISNUMBER(FIND("&amp;", A23)),
    IF(LEN(A23)-LEN(SUBSTITUTE(A23, ",", ""))&gt;=6, "etal", MID(A23, SEARCH("&amp; ", A23)+2, SEARCH(",", A23, SEARCH("&amp; ", A23)+2) - SEARCH("&amp; ", A23)-2)),
    ""
)</f>
        <v/>
      </c>
      <c r="I23">
        <f>_xlfn.TEXTBEFORE(_xlfn.TEXTAFTER(A23, "("), ")")</f>
        <v/>
      </c>
      <c r="J23">
        <f>IF(C23&lt;&gt;"", C23, IF(C23="", _xlfn.TEXTAFTER(A23,"https://doi.org/"), C23))</f>
        <v/>
      </c>
      <c r="K23">
        <f>TRIM(_xlfn.TEXTJOIN("_",FALSE,F23,(SUBSTITUTE(SUBSTITUTE(D23," ",""), "_", ""))))</f>
        <v/>
      </c>
      <c r="L23">
        <f>IF(ISBLANK(C23),TRIM(SUBSTITUTE(SUBSTITUTE(SUBSTITUTE(_xlfn.TEXTJOIN("_", FALSE, J23, SUBSTITUTE(D23,"_", "")), "/", "%2F"), ":", "%3A"), " ", "")),TRIM(SUBSTITUTE(SUBSTITUTE(SUBSTITUTE(_xlfn.TEXTJOIN("_", FALSE, C23, SUBSTITUTE(D23,"_", "")), "/", "%2F"), ":", "%3A"), " ", "")))</f>
        <v/>
      </c>
      <c r="M23">
        <f t="array" ref="M23">IFERROR(INDEX(FileList!$A$1:$A$100, MATCH(L23, _xlfn.TEXTBEFORE(FileList!$A$1:$A$100, ".tsv"), 0)), "notfound")</f>
        <v/>
      </c>
      <c r="N23" s="4" t="inlineStr">
        <is>
          <t>TABLE 1 | Three behavioral correlates of plasticity and the proportion of REM (versus non-REM) sleep in 25 primate species.</t>
        </is>
      </c>
      <c r="R23" s="7" t="n"/>
      <c r="U23" s="4" t="inlineStr">
        <is>
          <t>pdf</t>
        </is>
      </c>
      <c r="Y23" s="1" t="inlineStr">
        <is>
          <t>proportion REM and developmental milestones</t>
        </is>
      </c>
      <c r="Z23" s="4" t="inlineStr">
        <is>
          <t>secondary</t>
        </is>
      </c>
    </row>
    <row r="24" ht="16" customHeight="1">
      <c r="A24" s="4" t="inlineStr">
        <is>
          <t>Falcone, C., Wolf-Ochoa, M., Amina, S., Hong, T., Vakilzadeh, G., Hopkins, W. D., Hof, P. R., Sherwood, C. C., Manger, P. R., Noctor, S. C., &amp; Martinez-Cerdeno, V. (2019). Cortical interlaminar astrocytes across the therian mammal radiation. J Comp Neurol, 527(10), 1654-1674. https://doi.org/10.1002/cne.24605</t>
        </is>
      </c>
      <c r="D24" s="4" t="inlineStr">
        <is>
          <t>TABLE 1</t>
        </is>
      </c>
      <c r="E24">
        <f>RIGHT(A24,1)</f>
        <v/>
      </c>
      <c r="F24">
        <f>G24 &amp; IF(H24&lt;&gt;"", "_" &amp; H24, "_") &amp; IF(I24&lt;&gt;"", "_" &amp; I24, "_") &amp; IF(B24&lt;&gt;"", "_" &amp; B24, "")</f>
        <v/>
      </c>
      <c r="G24">
        <f>SUBSTITUTE(SUBSTITUTE(_xlfn.TEXTBEFORE(A24,","), "-", ""), " ", "")</f>
        <v/>
      </c>
      <c r="H24">
        <f>IF(ISNUMBER(FIND("&amp;", A24)),
IF(LEN(A24)-LEN(SUBSTITUTE(A24, ",", ""))&gt;=6, "etal", MID(A24, SEARCH("&amp; ", A24)+2, SEARCH(",", A24, SEARCH("&amp; ", A24)+2) - SEARCH("&amp; ", A24)-2)),
""
)</f>
        <v/>
      </c>
      <c r="I24">
        <f>_xlfn.TEXTBEFORE(_xlfn.TEXTAFTER(A24, "("), ")")</f>
        <v/>
      </c>
      <c r="J24">
        <f>IF(C24&lt;&gt;"", C24, IF(C24="", _xlfn.TEXTAFTER(A24,"https://doi.org/"), C24))</f>
        <v/>
      </c>
      <c r="K24">
        <f>TRIM(_xlfn.TEXTJOIN("_",FALSE,F24,(SUBSTITUTE(SUBSTITUTE(D24," ",""), "_", ""))))</f>
        <v/>
      </c>
      <c r="L24">
        <f>IF(ISBLANK(C24),TRIM(SUBSTITUTE(SUBSTITUTE(SUBSTITUTE(_xlfn.TEXTJOIN("_", FALSE, J24, SUBSTITUTE(D24,"_", "")), "/", "%2F"), ":", "%3A"), " ", "")),TRIM(SUBSTITUTE(SUBSTITUTE(SUBSTITUTE(_xlfn.TEXTJOIN("_", FALSE, C24, SUBSTITUTE(D24,"_", "")), "/", "%2F"), ":", "%3A"), " ", "")))</f>
        <v/>
      </c>
      <c r="M24">
        <f t="array" ref="M24">IFERROR(INDEX(FileList!$A$1:$A$100, MATCH(L24, _xlfn.TEXTBEFORE(FileList!$A$1:$A$100, ".tsv"), 0)), "notfound")</f>
        <v/>
      </c>
      <c r="N24" s="4" t="inlineStr">
        <is>
          <t>TABLE 1 Pial and subpial ILA presence in mammalian species analyzed. Highlighted in red are the species where proper subpial ILA are present</t>
        </is>
      </c>
      <c r="R24" s="7" t="n"/>
      <c r="U24" s="4" t="inlineStr">
        <is>
          <t>pdf</t>
        </is>
      </c>
      <c r="Z24" s="4" t="inlineStr">
        <is>
          <t>primary</t>
        </is>
      </c>
    </row>
    <row r="25" ht="16" customHeight="1">
      <c r="A25" s="4" t="inlineStr">
        <is>
          <t>Falcone, C., Wolf-Ochoa, M., Amina, S., Hong, T., Vakilzadeh, G., Hopkins, W. D., Hof, P. R., Sherwood, C. C., Manger, P. R., Noctor, S. C., &amp; Martinez-Cerdeno, V. (2019). Cortical interlaminar astrocytes across the therian mammal radiation. J Comp Neurol, 527(10), 1654-1674. https://doi.org/10.1002/cne.24605</t>
        </is>
      </c>
      <c r="D25" s="4" t="inlineStr">
        <is>
          <t>TABLE 2</t>
        </is>
      </c>
      <c r="E25">
        <f>RIGHT(A25,1)</f>
        <v/>
      </c>
      <c r="F25">
        <f>G25 &amp; IF(H25&lt;&gt;"", "_" &amp; H25, "_") &amp; IF(I25&lt;&gt;"", "_" &amp; I25, "_") &amp; IF(B25&lt;&gt;"", "_" &amp; B25, "")</f>
        <v/>
      </c>
      <c r="G25">
        <f>SUBSTITUTE(SUBSTITUTE(_xlfn.TEXTBEFORE(A25,","), "-", ""), " ", "")</f>
        <v/>
      </c>
      <c r="H25">
        <f>IF(ISNUMBER(FIND("&amp;", A25)),
    IF(LEN(A25)-LEN(SUBSTITUTE(A25, ",", ""))&gt;=6, "etal", MID(A25, SEARCH("&amp; ", A25)+2, SEARCH(",", A25, SEARCH("&amp; ", A25)+2) - SEARCH("&amp; ", A25)-2)),
    ""
)</f>
        <v/>
      </c>
      <c r="I25">
        <f>_xlfn.TEXTBEFORE(_xlfn.TEXTAFTER(A25, "("), ")")</f>
        <v/>
      </c>
      <c r="J25">
        <f>IF(C25&lt;&gt;"", C25, IF(C25="", _xlfn.TEXTAFTER(A25,"https://doi.org/"), C25))</f>
        <v/>
      </c>
      <c r="K25">
        <f>TRIM(_xlfn.TEXTJOIN("_",FALSE,F25,(SUBSTITUTE(SUBSTITUTE(D25," ",""), "_", ""))))</f>
        <v/>
      </c>
      <c r="L25">
        <f>IF(ISBLANK(C25),TRIM(SUBSTITUTE(SUBSTITUTE(SUBSTITUTE(_xlfn.TEXTJOIN("_", FALSE, J25, SUBSTITUTE(D25,"_", "")), "/", "%2F"), ":", "%3A"), " ", "")),TRIM(SUBSTITUTE(SUBSTITUTE(SUBSTITUTE(_xlfn.TEXTJOIN("_", FALSE, C25, SUBSTITUTE(D25,"_", "")), "/", "%2F"), ":", "%3A"), " ", "")))</f>
        <v/>
      </c>
      <c r="M25">
        <f t="array" ref="M25">IFERROR(INDEX(FileList!$A$1:$A$100, MATCH(L25, _xlfn.TEXTBEFORE(FileList!$A$1:$A$100, ".tsv"), 0)), "notfound")</f>
        <v/>
      </c>
      <c r="N25" s="4" t="inlineStr">
        <is>
          <t>TABLE 2 ILA linear density, number of primary processes, number of total processes, total length, and complexity, of mammalian species analyzed</t>
        </is>
      </c>
      <c r="R25" s="7" t="n"/>
      <c r="U25" s="4" t="inlineStr">
        <is>
          <t>pdf</t>
        </is>
      </c>
      <c r="Z25" s="4" t="inlineStr">
        <is>
          <t>primary</t>
        </is>
      </c>
    </row>
    <row r="26" ht="16" customHeight="1">
      <c r="A26" s="4" t="inlineStr">
        <is>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is>
      </c>
      <c r="D26" s="4" t="inlineStr">
        <is>
          <t>Table 6.1</t>
        </is>
      </c>
      <c r="E26">
        <f>RIGHT(A26,1)</f>
        <v/>
      </c>
      <c r="F26">
        <f>G26 &amp; IF(H26&lt;&gt;"", "_" &amp; H26, "_") &amp; IF(I26&lt;&gt;"", "_" &amp; I26, "_") &amp; IF(B26&lt;&gt;"", "_" &amp; B26, "")</f>
        <v/>
      </c>
      <c r="G26">
        <f>SUBSTITUTE(SUBSTITUTE(_xlfn.TEXTBEFORE(A26,","), "-", ""), " ", "")</f>
        <v/>
      </c>
      <c r="H26">
        <f>IF(ISNUMBER(FIND("&amp;", A26)),
IF(LEN(A26)-LEN(SUBSTITUTE(A26, ",", ""))&gt;=6, "etal", MID(A26, SEARCH("&amp; ", A26)+2, SEARCH(",", A26, SEARCH("&amp; ", A26)+2) - SEARCH("&amp; ", A26)-2)),
""
)</f>
        <v/>
      </c>
      <c r="I26">
        <f>_xlfn.TEXTBEFORE(_xlfn.TEXTAFTER(A26, "("), ")")</f>
        <v/>
      </c>
      <c r="J26">
        <f>IF(C26&lt;&gt;"", C26, IF(C26="", _xlfn.TEXTAFTER(A26,"https://doi.org/"), C26))</f>
        <v/>
      </c>
      <c r="K26">
        <f>TRIM(_xlfn.TEXTJOIN("_",FALSE,F26,(SUBSTITUTE(SUBSTITUTE(D26," ",""), "_", ""))))</f>
        <v/>
      </c>
      <c r="L26">
        <f>IF(ISBLANK(C26),TRIM(SUBSTITUTE(SUBSTITUTE(SUBSTITUTE(_xlfn.TEXTJOIN("_", FALSE, J26, SUBSTITUTE(D26,"_", "")), "/", "%2F"), ":", "%3A"), " ", "")),TRIM(SUBSTITUTE(SUBSTITUTE(SUBSTITUTE(_xlfn.TEXTJOIN("_", FALSE, C26, SUBSTITUTE(D26,"_", "")), "/", "%2F"), ":", "%3A"), " ", "")))</f>
        <v/>
      </c>
      <c r="M26">
        <f t="array" ref="M26">IFERROR(INDEX(FileList!$A$1:$A$100, MATCH(L26, _xlfn.TEXTBEFORE(FileList!$A$1:$A$100, ".tsv"), 0)), "notfound")</f>
        <v/>
      </c>
      <c r="N26" s="2" t="n"/>
      <c r="P26" s="4" t="inlineStr">
        <is>
          <t>Species -- wait for Project Kaskan</t>
        </is>
      </c>
      <c r="Q26" s="4" t="inlineStr">
        <is>
          <t>NA</t>
        </is>
      </c>
      <c r="R26" s="4" t="inlineStr">
        <is>
          <t>Finlay_etal_2006_Table6.1_snapshot.xlsx</t>
        </is>
      </c>
      <c r="S26" s="4" t="inlineStr">
        <is>
          <t>Y</t>
        </is>
      </c>
      <c r="T26" s="4" t="inlineStr">
        <is>
          <t>Finlay_etal_2006_Table6.1.csv</t>
        </is>
      </c>
      <c r="U26" s="4" t="inlineStr">
        <is>
          <t>pdf</t>
        </is>
      </c>
      <c r="V26" s="4" t="inlineStr">
        <is>
          <t>table</t>
        </is>
      </c>
      <c r="W26" s="4" t="inlineStr">
        <is>
          <t>YES - but formatting issues</t>
        </is>
      </c>
      <c r="X26" s="4" t="inlineStr">
        <is>
          <t>https://www.researchgate.net/publication/299027052_Developmental_constraints_on_or_developmental_structure_in_brain_evolution</t>
        </is>
      </c>
      <c r="Y26" s="4" t="inlineStr">
        <is>
          <t>cerebral cortex surface area and number of areas (broadly defined)</t>
        </is>
      </c>
      <c r="Z26" s="4" t="inlineStr">
        <is>
          <t>primary (derived from published materials)</t>
        </is>
      </c>
      <c r="AD26" s="4" t="inlineStr">
        <is>
          <t>summary to check more precise areas from ProjectKaskan</t>
        </is>
      </c>
      <c r="AE26" s="4" t="inlineStr">
        <is>
          <t>mammals</t>
        </is>
      </c>
    </row>
    <row r="27" ht="16" customHeight="1">
      <c r="A27" s="4" t="inlineStr">
        <is>
          <t>Fu, Y., Rusznak, Z., Herculano-Houzel, S., Watson, C., &amp; Paxinos, G. (2013). Cellular composition characterizing postnatal development and maturation of the mouse brain and spinal cord. Brain Struct Funct, 218(5), 1337-1354. https://doi.org/10.1007/s00429-012-0462-x</t>
        </is>
      </c>
      <c r="D27" s="4" t="inlineStr">
        <is>
          <t>Table 1</t>
        </is>
      </c>
      <c r="E27">
        <f>RIGHT(A27,1)</f>
        <v/>
      </c>
      <c r="F27">
        <f>G27 &amp; IF(H27&lt;&gt;"", "_" &amp; H27, "_") &amp; IF(I27&lt;&gt;"", "_" &amp; I27, "_") &amp; IF(B27&lt;&gt;"", "_" &amp; B27, "")</f>
        <v/>
      </c>
      <c r="G27">
        <f>SUBSTITUTE(SUBSTITUTE(_xlfn.TEXTBEFORE(A27,","), "-", ""), " ", "")</f>
        <v/>
      </c>
      <c r="H27">
        <f>IF(ISNUMBER(FIND("&amp;", A27)),
IF(LEN(A27)-LEN(SUBSTITUTE(A27, ",", ""))&gt;=6, "etal", MID(A27, SEARCH("&amp; ", A27)+2, SEARCH(",", A27, SEARCH("&amp; ", A27)+2) - SEARCH("&amp; ", A27)-2)),
""
)</f>
        <v/>
      </c>
      <c r="I27">
        <f>_xlfn.TEXTBEFORE(_xlfn.TEXTAFTER(A27, "("), ")")</f>
        <v/>
      </c>
      <c r="J27">
        <f>IF(C27&lt;&gt;"", C27, IF(C27="", _xlfn.TEXTAFTER(A27,"https://doi.org/"), C27))</f>
        <v/>
      </c>
      <c r="K27">
        <f>TRIM(_xlfn.TEXTJOIN("_",FALSE,F27,(SUBSTITUTE(SUBSTITUTE(D27," ",""), "_", ""))))</f>
        <v/>
      </c>
      <c r="L27">
        <f>IF(ISBLANK(C27),TRIM(SUBSTITUTE(SUBSTITUTE(SUBSTITUTE(_xlfn.TEXTJOIN("_", FALSE, J27, SUBSTITUTE(D27,"_", "")), "/", "%2F"), ":", "%3A"), " ", "")),TRIM(SUBSTITUTE(SUBSTITUTE(SUBSTITUTE(_xlfn.TEXTJOIN("_", FALSE, C27, SUBSTITUTE(D27,"_", "")), "/", "%2F"), ":", "%3A"), " ", "")))</f>
        <v/>
      </c>
      <c r="M27">
        <f t="array" ref="M27">IFERROR(INDEX(FileList!$A$1:$A$100, MATCH(L27, _xlfn.TEXTBEFORE(FileList!$A$1:$A$100, ".tsv"), 0)), "notfound")</f>
        <v/>
      </c>
      <c r="N27" s="4" t="inlineStr">
        <is>
          <t>Table 1 Age-dependent changes affecting the mouse central nervous system and pituitary</t>
        </is>
      </c>
      <c r="P27" s="4" t="inlineStr">
        <is>
          <t>NOT STARTED</t>
        </is>
      </c>
      <c r="Z27" s="4" t="inlineStr">
        <is>
          <t>mouse (developmental)</t>
        </is>
      </c>
      <c r="AC27" s="4" t="inlineStr">
        <is>
          <t>number spinal cord neurons</t>
        </is>
      </c>
    </row>
    <row r="28" ht="15" customHeight="1">
      <c r="A28" s="4" t="inlineStr">
        <is>
          <t>Garwicz, M., Christensson, M., &amp; Psouni, E. (2009). A unifying model for timing of walking onset in humans and other mammals. Proc Natl Acad Sci U S A, 106(51), 21889-21893. https://doi.org/10.1073/pnas.0905777106</t>
        </is>
      </c>
      <c r="D28" s="4" t="inlineStr">
        <is>
          <t>Table S1</t>
        </is>
      </c>
      <c r="E28">
        <f>RIGHT(A28,1)</f>
        <v/>
      </c>
      <c r="F28">
        <f>G28 &amp; IF(H28&lt;&gt;"", "_" &amp; H28, "_") &amp; IF(I28&lt;&gt;"", "_" &amp; I28, "_") &amp; IF(B28&lt;&gt;"", "_" &amp; B28, "")</f>
        <v/>
      </c>
      <c r="G28">
        <f>SUBSTITUTE(SUBSTITUTE(_xlfn.TEXTBEFORE(A28,","), "-", ""), " ", "")</f>
        <v/>
      </c>
      <c r="H28">
        <f>IF(ISNUMBER(FIND("&amp;", A28)),
IF(LEN(A28)-LEN(SUBSTITUTE(A28, ",", ""))&gt;=6, "etal", MID(A28, SEARCH("&amp; ", A28)+2, SEARCH(",", A28, SEARCH("&amp; ", A28)+2) - SEARCH("&amp; ", A28)-2)),
""
)</f>
        <v/>
      </c>
      <c r="I28">
        <f>_xlfn.TEXTBEFORE(_xlfn.TEXTAFTER(A28, "("), ")")</f>
        <v/>
      </c>
      <c r="J28">
        <f>IF(C28&lt;&gt;"", C28, IF(C28="", _xlfn.TEXTAFTER(A28,"https://doi.org/"), C28))</f>
        <v/>
      </c>
      <c r="K28">
        <f>TRIM(_xlfn.TEXTJOIN("_",FALSE,F28,(SUBSTITUTE(SUBSTITUTE(D28," ",""), "_", ""))))</f>
        <v/>
      </c>
      <c r="L28">
        <f>IF(ISBLANK(C28),TRIM(SUBSTITUTE(SUBSTITUTE(SUBSTITUTE(_xlfn.TEXTJOIN("_", FALSE, J28, SUBSTITUTE(D28,"_", "")), "/", "%2F"), ":", "%3A"), " ", "")),TRIM(SUBSTITUTE(SUBSTITUTE(SUBSTITUTE(_xlfn.TEXTJOIN("_", FALSE, C28, SUBSTITUTE(D28,"_", "")), "/", "%2F"), ":", "%3A"), " ", "")))</f>
        <v/>
      </c>
      <c r="M28">
        <f t="array" ref="M28">IFERROR(INDEX(FileList!$A$1:$A$100, MATCH(L28, _xlfn.TEXTBEFORE(FileList!$A$1:$A$100, ".tsv"), 0)), "notfound")</f>
        <v/>
      </c>
      <c r="N28" s="4" t="inlineStr">
        <is>
          <t>Table S1. Taxonomy of species included in the sample</t>
        </is>
      </c>
      <c r="U28" s="4" t="inlineStr">
        <is>
          <t>pdf</t>
        </is>
      </c>
      <c r="W28" s="4" t="inlineStr">
        <is>
          <t>YES - download link</t>
        </is>
      </c>
      <c r="X28" s="4" t="inlineStr">
        <is>
          <t>https://www.pnas.org/doi/suppl/10.1073/pnas.0905777106/suppl_file/0905777106si.pdf</t>
        </is>
      </c>
    </row>
    <row r="29" ht="16" customHeight="1">
      <c r="A29" s="4" t="inlineStr">
        <is>
          <t>Garwicz, M., Christensson, M., &amp; Psouni, E. (2009). A unifying model for timing of walking onset in humans and other mammals. Proc Natl Acad Sci U S A, 106(51), 21889-21893. https://doi.org/10.1073/pnas.0905777106</t>
        </is>
      </c>
      <c r="D29" s="4" t="inlineStr">
        <is>
          <t>Table S2</t>
        </is>
      </c>
      <c r="E29">
        <f>RIGHT(A29,1)</f>
        <v/>
      </c>
      <c r="F29">
        <f>G29 &amp; IF(H29&lt;&gt;"", "_" &amp; H29, "_") &amp; IF(I29&lt;&gt;"", "_" &amp; I29, "_") &amp; IF(B29&lt;&gt;"", "_" &amp; B29, "")</f>
        <v/>
      </c>
      <c r="G29">
        <f>SUBSTITUTE(SUBSTITUTE(_xlfn.TEXTBEFORE(A29,","), "-", ""), " ", "")</f>
        <v/>
      </c>
      <c r="H29">
        <f>IF(ISNUMBER(FIND("&amp;", A29)),
IF(LEN(A29)-LEN(SUBSTITUTE(A29, ",", ""))&gt;=6, "etal", MID(A29, SEARCH("&amp; ", A29)+2, SEARCH(",", A29, SEARCH("&amp; ", A29)+2) - SEARCH("&amp; ", A29)-2)),
""
)</f>
        <v/>
      </c>
      <c r="I29">
        <f>_xlfn.TEXTBEFORE(_xlfn.TEXTAFTER(A29, "("), ")")</f>
        <v/>
      </c>
      <c r="J29">
        <f>IF(C29&lt;&gt;"", C29, IF(C29="", _xlfn.TEXTAFTER(A29,"https://doi.org/"), C29))</f>
        <v/>
      </c>
      <c r="K29">
        <f>TRIM(_xlfn.TEXTJOIN("_",FALSE,F29,(SUBSTITUTE(SUBSTITUTE(D29," ",""), "_", ""))))</f>
        <v/>
      </c>
      <c r="L29">
        <f>IF(ISBLANK(C29),TRIM(SUBSTITUTE(SUBSTITUTE(SUBSTITUTE(_xlfn.TEXTJOIN("_", FALSE, J29, SUBSTITUTE(D29,"_", "")), "/", "%2F"), ":", "%3A"), " ", "")),TRIM(SUBSTITUTE(SUBSTITUTE(SUBSTITUTE(_xlfn.TEXTJOIN("_", FALSE, C29, SUBSTITUTE(D29,"_", "")), "/", "%2F"), ":", "%3A"), " ", "")))</f>
        <v/>
      </c>
      <c r="M29">
        <f t="array" ref="M29">IFERROR(INDEX(FileList!$A$1:$A$100, MATCH(L29, _xlfn.TEXTBEFORE(FileList!$A$1:$A$100, ".tsv"), 0)), "notfound")</f>
        <v/>
      </c>
      <c r="N29" s="4" t="inlineStr">
        <is>
          <t>Table S2. Database for multiple-regression model</t>
        </is>
      </c>
      <c r="U29" s="4" t="inlineStr">
        <is>
          <t>pdf</t>
        </is>
      </c>
      <c r="W29" s="4" t="inlineStr">
        <is>
          <t>YES - download link</t>
        </is>
      </c>
      <c r="X29" s="4" t="inlineStr">
        <is>
          <t>https://www.pnas.org/doi/suppl/10.1073/pnas.0905777106/suppl_file/0905777106si.pdf</t>
        </is>
      </c>
    </row>
    <row r="30" ht="16" customHeight="1">
      <c r="A30" s="4" t="inlineStr">
        <is>
          <t>Genoud, M., Isler, K., &amp; Martin, R. D. (2018). Comparative analyses of basal rate of metabolism in mammals: data selection does matter. Biol Rev Camb Philos Soc, 93(1), 404-438. https://doi.org/10.1111/brv.12350</t>
        </is>
      </c>
      <c r="D30" s="4" t="inlineStr">
        <is>
          <t>Table S2</t>
        </is>
      </c>
      <c r="E30">
        <f>RIGHT(A30,1)</f>
        <v/>
      </c>
      <c r="F30">
        <f>G30 &amp; IF(H30&lt;&gt;"", "_" &amp; H30, "_") &amp; IF(I30&lt;&gt;"", "_" &amp; I30, "_") &amp; IF(B30&lt;&gt;"", "_" &amp; B30, "")</f>
        <v/>
      </c>
      <c r="G30">
        <f>SUBSTITUTE(SUBSTITUTE(_xlfn.TEXTBEFORE(A30,","), "-", ""), " ", "")</f>
        <v/>
      </c>
      <c r="H30">
        <f>IF(ISNUMBER(FIND("&amp;", A30)),
IF(LEN(A30)-LEN(SUBSTITUTE(A30, ",", ""))&gt;=6, "etal", MID(A30, SEARCH("&amp; ", A30)+2, SEARCH(",", A30, SEARCH("&amp; ", A30)+2) - SEARCH("&amp; ", A30)-2)),
""
)</f>
        <v/>
      </c>
      <c r="I30">
        <f>_xlfn.TEXTBEFORE(_xlfn.TEXTAFTER(A30, "("), ")")</f>
        <v/>
      </c>
      <c r="J30">
        <f>IF(C30&lt;&gt;"", C30, IF(C30="", _xlfn.TEXTAFTER(A30,"https://doi.org/"), C30))</f>
        <v/>
      </c>
      <c r="K30">
        <f>TRIM(_xlfn.TEXTJOIN("_",FALSE,F30,(SUBSTITUTE(SUBSTITUTE(D30," ",""), "_", ""))))</f>
        <v/>
      </c>
      <c r="L30">
        <f>IF(ISBLANK(C30),TRIM(SUBSTITUTE(SUBSTITUTE(SUBSTITUTE(_xlfn.TEXTJOIN("_", FALSE, J30, SUBSTITUTE(D30,"_", "")), "/", "%2F"), ":", "%3A"), " ", "")),TRIM(SUBSTITUTE(SUBSTITUTE(SUBSTITUTE(_xlfn.TEXTJOIN("_", FALSE, C30, SUBSTITUTE(D30,"_", "")), "/", "%2F"), ":", "%3A"), " ", "")))</f>
        <v/>
      </c>
      <c r="M30">
        <f t="array" ref="M30">IFERROR(INDEX(FileList!$A$1:$A$100, MATCH(L30, _xlfn.TEXTBEFORE(FileList!$A$1:$A$100, ".tsv"), 0)), "notfound")</f>
        <v/>
      </c>
      <c r="N30" s="4" t="inlineStr">
        <is>
          <t>Table S2. Basal metabolic rate (BMR) database.</t>
        </is>
      </c>
      <c r="P30" s="4" t="inlineStr">
        <is>
          <t>NOT STARTED</t>
        </is>
      </c>
      <c r="AC30" s="4" t="inlineStr">
        <is>
          <t>BMR</t>
        </is>
      </c>
    </row>
    <row r="31" ht="16" customHeight="1">
      <c r="A31" s="4" t="inlineStr">
        <is>
          <t>Granatosky, M. C. (2018). A Review of locomotor diversity in mammals with analyses exploring the influence of substrate use, body mass and intermembral index in primates. Journal of Zoology, 306(4), 207-216. https://doi.org/10.1111/jzo.12608</t>
        </is>
      </c>
      <c r="D31" s="4" t="inlineStr">
        <is>
          <t>Table S1</t>
        </is>
      </c>
      <c r="E31">
        <f>RIGHT(A31,1)</f>
        <v/>
      </c>
      <c r="F31">
        <f>G31 &amp; IF(H31&lt;&gt;"", "_" &amp; H31, "_") &amp; IF(I31&lt;&gt;"", "_" &amp; I31, "_") &amp; IF(B31&lt;&gt;"", "_" &amp; B31, "")</f>
        <v/>
      </c>
      <c r="G31">
        <f>SUBSTITUTE(SUBSTITUTE(_xlfn.TEXTBEFORE(A31,","), "-", ""), " ", "")</f>
        <v/>
      </c>
      <c r="H31">
        <f>IF(ISNUMBER(FIND("&amp;", A31)),
IF(LEN(A31)-LEN(SUBSTITUTE(A31, ",", ""))&gt;=6, "etal", MID(A31, SEARCH("&amp; ", A31)+2, SEARCH(",", A31, SEARCH("&amp; ", A31)+2) - SEARCH("&amp; ", A31)-2)),
""
)</f>
        <v/>
      </c>
      <c r="I31">
        <f>_xlfn.TEXTBEFORE(_xlfn.TEXTAFTER(A31, "("), ")")</f>
        <v/>
      </c>
      <c r="J31">
        <f>IF(C31&lt;&gt;"", C31, IF(C31="", _xlfn.TEXTAFTER(A31,"https://doi.org/"), C31))</f>
        <v/>
      </c>
      <c r="K31">
        <f>TRIM(_xlfn.TEXTJOIN("_",FALSE,F31,(SUBSTITUTE(SUBSTITUTE(D31," ",""), "_", ""))))</f>
        <v/>
      </c>
      <c r="L31">
        <f>IF(ISBLANK(C31),TRIM(SUBSTITUTE(SUBSTITUTE(SUBSTITUTE(_xlfn.TEXTJOIN("_", FALSE, J31, SUBSTITUTE(D31,"_", "")), "/", "%2F"), ":", "%3A"), " ", "")),TRIM(SUBSTITUTE(SUBSTITUTE(SUBSTITUTE(_xlfn.TEXTJOIN("_", FALSE, C31, SUBSTITUTE(D31,"_", "")), "/", "%2F"), ":", "%3A"), " ", "")))</f>
        <v/>
      </c>
      <c r="M31">
        <f t="array" ref="M31">IFERROR(INDEX(FileList!$A$1:$A$100, MATCH(L31, _xlfn.TEXTBEFORE(FileList!$A$1:$A$100, ".tsv"), 0)), "notfound")</f>
        <v/>
      </c>
      <c r="N31" s="4" t="inlineStr">
        <is>
          <t>Table S1. Locomotor profiles for the species used in this
study.</t>
        </is>
      </c>
      <c r="P31" s="4" t="inlineStr">
        <is>
          <t>NOT STARTED</t>
        </is>
      </c>
      <c r="X31" t="inlineStr">
        <is>
          <t>https://karger.com/bbe/article-pdf/86/3-4/145/2264694/000437413.pdf</t>
        </is>
      </c>
    </row>
    <row r="32" ht="16" customHeight="1">
      <c r="A32" s="4" t="inlineStr">
        <is>
          <t>Haarlem, C. S., Hynes, C., Jackson, A. L., Mitchell, K. J., O'Connell, R. G., &amp; Healy, K. (2026). Pace of ecology drives the tempo of visual perception across the animal kingdom. Nat Ecol Evol. https://doi.org/10.1038/s41559-026-02994-7</t>
        </is>
      </c>
      <c r="D32" s="4" t="n"/>
      <c r="E32">
        <f>RIGHT(A32,1)</f>
        <v/>
      </c>
      <c r="F32">
        <f>G32 &amp; IF(H32&lt;&gt;"", "_" &amp; H32, "_") &amp; IF(I32&lt;&gt;"", "_" &amp; I32, "_") &amp; IF(B32&lt;&gt;"", "_" &amp; B32, "")</f>
        <v/>
      </c>
      <c r="G32">
        <f>SUBSTITUTE(SUBSTITUTE(_xlfn.TEXTBEFORE(A32,","), "-", ""), " ", "")</f>
        <v/>
      </c>
      <c r="H32">
        <f>IF(ISNUMBER(FIND("&amp;", A32)),
    IF(LEN(A32)-LEN(SUBSTITUTE(A32, ",", ""))&gt;=6, "etal", MID(A32, SEARCH("&amp; ", A32)+2, SEARCH(",", A32, SEARCH("&amp; ", A32)+2) - SEARCH("&amp; ", A32)-2)),
    ""
)</f>
        <v/>
      </c>
      <c r="I32">
        <f>_xlfn.TEXTBEFORE(_xlfn.TEXTAFTER(A32, "("), ")")</f>
        <v/>
      </c>
      <c r="J32">
        <f>IF(C32&lt;&gt;"", C32, IF(C32="", _xlfn.TEXTAFTER(A32,"https://doi.org/"), C32))</f>
        <v/>
      </c>
      <c r="K32">
        <f>TRIM(_xlfn.TEXTJOIN("_",FALSE,F32,(SUBSTITUTE(SUBSTITUTE(D32," ",""), "_", ""))))</f>
        <v/>
      </c>
      <c r="L32">
        <f>IF(ISBLANK(C32),TRIM(SUBSTITUTE(SUBSTITUTE(SUBSTITUTE(_xlfn.TEXTJOIN("_", FALSE, J32, SUBSTITUTE(D32,"_", "")), "/", "%2F"), ":", "%3A"), " ", "")),TRIM(SUBSTITUTE(SUBSTITUTE(SUBSTITUTE(_xlfn.TEXTJOIN("_", FALSE, C32, SUBSTITUTE(D32,"_", "")), "/", "%2F"), ":", "%3A"), " ", "")))</f>
        <v/>
      </c>
      <c r="M32">
        <f t="array" ref="M32">IFERROR(INDEX(FileList!$A$1:$A$100, MATCH(L32, _xlfn.TEXTBEFORE(FileList!$A$1:$A$100, ".tsv"), 0)), "notfound")</f>
        <v/>
      </c>
      <c r="N32" s="6" t="n"/>
      <c r="P32" s="4" t="n"/>
      <c r="X32" t="inlineStr">
        <is>
          <t>https://karger.com/bbe/article-pdf/86/3-4/145/2264694/000437413.pdf</t>
        </is>
      </c>
    </row>
    <row r="33" ht="16" customHeight="1">
      <c r="A33" s="4" t="inlineStr">
        <is>
          <t>Heffner, R., &amp; Masterton, B. (1975). Variation in form of the pyramidal tract and its relationship to digital dexterity. Brain Behav Evol, 12(3), 161-200. https://doi.org/10.1159/000124401</t>
        </is>
      </c>
      <c r="D33" s="4" t="inlineStr">
        <is>
          <t>Table I</t>
        </is>
      </c>
      <c r="E33">
        <f>RIGHT(A33,1)</f>
        <v/>
      </c>
      <c r="F33">
        <f>G33 &amp; IF(H33&lt;&gt;"", "_" &amp; H33, "_") &amp; IF(I33&lt;&gt;"", "_" &amp; I33, "_") &amp; IF(B33&lt;&gt;"", "_" &amp; B33, "")</f>
        <v/>
      </c>
      <c r="G33">
        <f>SUBSTITUTE(SUBSTITUTE(_xlfn.TEXTBEFORE(A33,","), "-", ""), " ", "")</f>
        <v/>
      </c>
      <c r="H33">
        <f>IF(ISNUMBER(FIND("&amp;", A33)),
IF(LEN(A33)-LEN(SUBSTITUTE(A33, ",", ""))&gt;=6, "etal", MID(A33, SEARCH("&amp; ", A33)+2, SEARCH(",", A33, SEARCH("&amp; ", A33)+2) - SEARCH("&amp; ", A33)-2)),
""
)</f>
        <v/>
      </c>
      <c r="I33">
        <f>_xlfn.TEXTBEFORE(_xlfn.TEXTAFTER(A33, "("), ")")</f>
        <v/>
      </c>
      <c r="J33">
        <f>IF(C33&lt;&gt;"", C33, IF(C33="", _xlfn.TEXTAFTER(A33,"https://doi.org/"), C33))</f>
        <v/>
      </c>
      <c r="K33">
        <f>TRIM(_xlfn.TEXTJOIN("_",FALSE,F33,(SUBSTITUTE(SUBSTITUTE(D33," ",""), "_", ""))))</f>
        <v/>
      </c>
      <c r="L33">
        <f>IF(ISBLANK(C33),TRIM(SUBSTITUTE(SUBSTITUTE(SUBSTITUTE(_xlfn.TEXTJOIN("_", FALSE, J33, SUBSTITUTE(D33,"_", "")), "/", "%2F"), ":", "%3A"), " ", "")),TRIM(SUBSTITUTE(SUBSTITUTE(SUBSTITUTE(_xlfn.TEXTJOIN("_", FALSE, C33, SUBSTITUTE(D33,"_", "")), "/", "%2F"), ":", "%3A"), " ", "")))</f>
        <v/>
      </c>
      <c r="M33">
        <f t="array" ref="M33">IFERROR(INDEX(FileList!$A$1:$A$100, MATCH(L33, _xlfn.TEXTBEFORE(FileList!$A$1:$A$100, ".tsv"), 0)), "notfound")</f>
        <v/>
      </c>
      <c r="P33" s="4" t="inlineStr">
        <is>
          <t>FINISHED</t>
        </is>
      </c>
      <c r="Q33" s="4" t="inlineStr">
        <is>
          <t>added</t>
        </is>
      </c>
      <c r="R33" s="4" t="inlineStr">
        <is>
          <t>Heffner_Masterton_1975_TableI_snapshot.xlsx</t>
        </is>
      </c>
      <c r="S33" s="4" t="inlineStr">
        <is>
          <t>Y</t>
        </is>
      </c>
      <c r="T33" s="4" t="inlineStr">
        <is>
          <t>Heffner_Masterton_1975_TableI.csv</t>
        </is>
      </c>
      <c r="U33" s="4" t="inlineStr">
        <is>
          <t>pdf</t>
        </is>
      </c>
      <c r="V33" s="4" t="inlineStr">
        <is>
          <t>table</t>
        </is>
      </c>
      <c r="W33" s="4" t="inlineStr">
        <is>
          <t>NO - paywall</t>
        </is>
      </c>
      <c r="X33" t="inlineStr">
        <is>
          <t>https://karger.com/bbe/article-pdf/86/3-4/145/2264694/000437413.pdf</t>
        </is>
      </c>
      <c r="Y33" s="4" t="inlineStr">
        <is>
          <t>digital dexterity</t>
        </is>
      </c>
      <c r="Z33" s="4" t="inlineStr">
        <is>
          <t>mostly secondary</t>
        </is>
      </c>
      <c r="AC33" s="4" t="inlineStr">
        <is>
          <t>area of pyramidal tract; deepest lamina</t>
        </is>
      </c>
      <c r="AE33" s="4" t="inlineStr">
        <is>
          <t>mammals</t>
        </is>
      </c>
    </row>
    <row r="34" ht="16" customHeight="1">
      <c r="A34" s="4" t="inlineStr">
        <is>
          <t>Heffner, R. S., &amp; Masterton, R. B. (1983). The role of the corticospinal tract in the evolution of human digital dexterity. Brain Behav Evol, 23(3-4), 165-183. https://doi.org/10.1159/000121494</t>
        </is>
      </c>
      <c r="D34" s="4" t="inlineStr">
        <is>
          <t>Table I</t>
        </is>
      </c>
      <c r="E34">
        <f>RIGHT(A34,1)</f>
        <v/>
      </c>
      <c r="F34">
        <f>G34 &amp; IF(H34&lt;&gt;"", "_" &amp; H34, "_") &amp; IF(I34&lt;&gt;"", "_" &amp; I34, "_") &amp; IF(B34&lt;&gt;"", "_" &amp; B34, "")</f>
        <v/>
      </c>
      <c r="G34">
        <f>SUBSTITUTE(SUBSTITUTE(_xlfn.TEXTBEFORE(A34,","), "-", ""), " ", "")</f>
        <v/>
      </c>
      <c r="H34">
        <f>IF(ISNUMBER(FIND("&amp;", A34)),
IF(LEN(A34)-LEN(SUBSTITUTE(A34, ",", ""))&gt;=6, "etal", MID(A34, SEARCH("&amp; ", A34)+2, SEARCH(",", A34, SEARCH("&amp; ", A34)+2) - SEARCH("&amp; ", A34)-2)),
""
)</f>
        <v/>
      </c>
      <c r="I34">
        <f>_xlfn.TEXTBEFORE(_xlfn.TEXTAFTER(A34, "("), ")")</f>
        <v/>
      </c>
      <c r="J34">
        <f>IF(C34&lt;&gt;"", C34, IF(C34="", _xlfn.TEXTAFTER(A34,"https://doi.org/"), C34))</f>
        <v/>
      </c>
      <c r="K34">
        <f>TRIM(_xlfn.TEXTJOIN("_",FALSE,F34,(SUBSTITUTE(SUBSTITUTE(D34," ",""), "_", ""))))</f>
        <v/>
      </c>
      <c r="L34">
        <f>IF(ISBLANK(C34),TRIM(SUBSTITUTE(SUBSTITUTE(SUBSTITUTE(_xlfn.TEXTJOIN("_", FALSE, J34, SUBSTITUTE(D34,"_", "")), "/", "%2F"), ":", "%3A"), " ", "")),TRIM(SUBSTITUTE(SUBSTITUTE(SUBSTITUTE(_xlfn.TEXTJOIN("_", FALSE, C34, SUBSTITUTE(D34,"_", "")), "/", "%2F"), ":", "%3A"), " ", "")))</f>
        <v/>
      </c>
      <c r="M34">
        <f t="array" ref="M34">IFERROR(INDEX(FileList!$A$1:$A$100, MATCH(L34, _xlfn.TEXTBEFORE(FileList!$A$1:$A$100, ".tsv"), 0)), "notfound")</f>
        <v/>
      </c>
      <c r="P34" s="4" t="inlineStr">
        <is>
          <t>NOT STARTED</t>
        </is>
      </c>
      <c r="Q34" s="4" t="inlineStr">
        <is>
          <t>NA</t>
        </is>
      </c>
      <c r="R34" s="7" t="n"/>
      <c r="T34" s="4">
        <f>IF(S34="N", R34, "write file name")</f>
        <v/>
      </c>
      <c r="U34" s="4" t="inlineStr">
        <is>
          <t>pdf</t>
        </is>
      </c>
      <c r="V34" s="4" t="inlineStr">
        <is>
          <t>table</t>
        </is>
      </c>
      <c r="W34" s="4" t="inlineStr">
        <is>
          <t>NO - paywall</t>
        </is>
      </c>
      <c r="X34" t="inlineStr">
        <is>
          <t>https://karger.com/bbe/article-pdf/86/3-4/145/2264694/000437413.pdf</t>
        </is>
      </c>
      <c r="Y34" s="4" t="inlineStr">
        <is>
          <t>digital dexterity</t>
        </is>
      </c>
      <c r="AE34" s="4" t="inlineStr">
        <is>
          <t>mammals</t>
        </is>
      </c>
      <c r="AG34" s="4" t="inlineStr">
        <is>
          <t>compare to 1975</t>
        </is>
      </c>
    </row>
    <row r="35" ht="16" customHeight="1">
      <c r="A35" s="4" t="inlineStr">
        <is>
          <t>Heiss, W. D., Habedank, B., Klein, J. C., Herholz, K., Wienhard, K., Lenox, M., &amp; Nutt, R. (2004). Metabolic rates in small brain nuclei determined by high-resolution PET. J Nucl Med, 45(11), 1811-1815. https://www.ncbi.nlm.nih.gov/pubmed/15534048</t>
        </is>
      </c>
      <c r="C35" s="4" t="inlineStr">
        <is>
          <t>PMID:15534048</t>
        </is>
      </c>
      <c r="D35" s="4" t="inlineStr">
        <is>
          <t>TABLE 1</t>
        </is>
      </c>
      <c r="E35">
        <f>RIGHT(A35,1)</f>
        <v/>
      </c>
      <c r="F35">
        <f>G35 &amp; IF(H35&lt;&gt;"", "_" &amp; H35, "_") &amp; IF(I35&lt;&gt;"", "_" &amp; I35, "_") &amp; IF(B35&lt;&gt;"", "_" &amp; B35, "")</f>
        <v/>
      </c>
      <c r="G35">
        <f>SUBSTITUTE(SUBSTITUTE(_xlfn.TEXTBEFORE(A35,","), "-", ""), " ", "")</f>
        <v/>
      </c>
      <c r="H35">
        <f>IF(ISNUMBER(FIND("&amp;", A35)),
    IF(LEN(A35)-LEN(SUBSTITUTE(A35, ",", ""))&gt;=6, "etal", MID(A35, SEARCH("&amp; ", A35)+2, SEARCH(",", A35, SEARCH("&amp; ", A35)+2) - SEARCH("&amp; ", A35)-2)),
    ""
)</f>
        <v/>
      </c>
      <c r="I35">
        <f>_xlfn.TEXTBEFORE(_xlfn.TEXTAFTER(A35, "("), ")")</f>
        <v/>
      </c>
      <c r="J35">
        <f>IF(C35&lt;&gt;"", C35, IF(C35="", _xlfn.TEXTAFTER(A35,"https://doi.org/"), C35))</f>
        <v/>
      </c>
      <c r="K35">
        <f>TRIM(_xlfn.TEXTJOIN("_",FALSE,F35,(SUBSTITUTE(SUBSTITUTE(D35," ",""), "_", ""))))</f>
        <v/>
      </c>
      <c r="L35">
        <f>IF(ISBLANK(C35),TRIM(SUBSTITUTE(SUBSTITUTE(SUBSTITUTE(_xlfn.TEXTJOIN("_", FALSE, J35, SUBSTITUTE(D35,"_", "")), "/", "%2F"), ":", "%3A"), " ", "")),TRIM(SUBSTITUTE(SUBSTITUTE(SUBSTITUTE(_xlfn.TEXTJOIN("_", FALSE, C35, SUBSTITUTE(D35,"_", "")), "/", "%2F"), ":", "%3A"), " ", "")))</f>
        <v/>
      </c>
      <c r="M35">
        <f t="array" ref="M35">IFERROR(INDEX(FileList!$A$1:$A$100, MATCH(L35, _xlfn.TEXTBEFORE(FileList!$A$1:$A$100, ".tsv"), 0)), "notfound")</f>
        <v/>
      </c>
      <c r="N35" s="6" t="inlineStr">
        <is>
          <t>TABLE 1 rCMRGlc Values</t>
        </is>
      </c>
      <c r="P35" s="4" t="n"/>
      <c r="Q35" s="4" t="n"/>
      <c r="R35" s="7" t="n"/>
      <c r="T35" s="4" t="n"/>
      <c r="U35" s="4" t="n"/>
      <c r="V35" s="4" t="n"/>
      <c r="W35" s="6" t="n"/>
      <c r="X35" t="inlineStr">
        <is>
          <t>https://karger.com/bbe/article-pdf/86/3-4/145/2264694/000437413.pdf</t>
        </is>
      </c>
      <c r="Y35" s="4" t="inlineStr">
        <is>
          <t>regional cerebral metabolic rates for glucose</t>
        </is>
      </c>
      <c r="AE35" s="4" t="n"/>
      <c r="AG35" s="6" t="n"/>
    </row>
    <row r="36" ht="16" customHeight="1">
      <c r="A36" s="4" t="inlineStr">
        <is>
          <t>Heldstab, S. A., Kosonen, Z. K., Koski, S. E., Burkart, J. M., van Schaik, C. P., &amp; Isler, K. (2016). Manipulation complexity in primates coevolved with brain size and terrestriality. Sci Rep, 6, 24528. https://doi.org/10.1038/srep24528</t>
        </is>
      </c>
      <c r="D36" s="4" t="inlineStr">
        <is>
          <t>Table S1</t>
        </is>
      </c>
      <c r="E36">
        <f>RIGHT(A36,1)</f>
        <v/>
      </c>
      <c r="F36">
        <f>G36 &amp; IF(H36&lt;&gt;"", "_" &amp; H36, "_") &amp; IF(I36&lt;&gt;"", "_" &amp; I36, "_") &amp; IF(B36&lt;&gt;"", "_" &amp; B36, "")</f>
        <v/>
      </c>
      <c r="G36">
        <f>SUBSTITUTE(SUBSTITUTE(_xlfn.TEXTBEFORE(A36,","), "-", ""), " ", "")</f>
        <v/>
      </c>
      <c r="H36">
        <f>IF(ISNUMBER(FIND("&amp;", A36)),
IF(LEN(A36)-LEN(SUBSTITUTE(A36, ",", ""))&gt;=6, "etal", MID(A36, SEARCH("&amp; ", A36)+2, SEARCH(",", A36, SEARCH("&amp; ", A36)+2) - SEARCH("&amp; ", A36)-2)),
""
)</f>
        <v/>
      </c>
      <c r="I36">
        <f>_xlfn.TEXTBEFORE(_xlfn.TEXTAFTER(A36, "("), ")")</f>
        <v/>
      </c>
      <c r="J36">
        <f>IF(C36&lt;&gt;"", C36, IF(C36="", _xlfn.TEXTAFTER(A36,"https://doi.org/"), C36))</f>
        <v/>
      </c>
      <c r="K36">
        <f>TRIM(_xlfn.TEXTJOIN("_",FALSE,F36,(SUBSTITUTE(SUBSTITUTE(D36," ",""), "_", ""))))</f>
        <v/>
      </c>
      <c r="L36">
        <f>IF(ISBLANK(C36),TRIM(SUBSTITUTE(SUBSTITUTE(SUBSTITUTE(_xlfn.TEXTJOIN("_", FALSE, J36, SUBSTITUTE(D36,"_", "")), "/", "%2F"), ":", "%3A"), " ", "")),TRIM(SUBSTITUTE(SUBSTITUTE(SUBSTITUTE(_xlfn.TEXTJOIN("_", FALSE, C36, SUBSTITUTE(D36,"_", "")), "/", "%2F"), ":", "%3A"), " ", "")))</f>
        <v/>
      </c>
      <c r="M36">
        <f t="array" ref="M36">IFERROR(INDEX(FileList!$A$1:$A$100, MATCH(L36, _xlfn.TEXTBEFORE(FileList!$A$1:$A$100, ".tsv"), 0)), "notfound")</f>
        <v/>
      </c>
      <c r="P36" s="4" t="inlineStr">
        <is>
          <t>NOT STARTED</t>
        </is>
      </c>
      <c r="Q36" s="4" t="inlineStr">
        <is>
          <t>NA</t>
        </is>
      </c>
      <c r="R36" s="7" t="n"/>
      <c r="T36" s="4">
        <f>IF(S36="N", R36, "write file name")</f>
        <v/>
      </c>
      <c r="U36" s="4" t="inlineStr">
        <is>
          <t>pdf</t>
        </is>
      </c>
      <c r="V36" s="4" t="inlineStr">
        <is>
          <t>table</t>
        </is>
      </c>
      <c r="X36" t="inlineStr">
        <is>
          <t>https://karger.com/bbe/article-pdf/86/3-4/145/2264694/000437413.pdf</t>
        </is>
      </c>
      <c r="Y36" s="4" t="inlineStr">
        <is>
          <t>manipulation complexity</t>
        </is>
      </c>
      <c r="AE36" s="4" t="inlineStr">
        <is>
          <t>primates</t>
        </is>
      </c>
    </row>
    <row r="37" ht="16" customHeight="1">
      <c r="A37" s="4" t="inlineStr">
        <is>
          <t>Herculano-Houzel, S. (2015). Decreasing sleep requirement with increasing numbers of neurons as a driver for bigger brains and bodies in mammalian evolution. Proc Biol Sci, 282(1816), 20151853. https://doi.org/10.1098/rspb.2015.1853</t>
        </is>
      </c>
      <c r="D37" s="4" t="inlineStr">
        <is>
          <t>Table 1</t>
        </is>
      </c>
      <c r="E37">
        <f>RIGHT(A37,1)</f>
        <v/>
      </c>
      <c r="F37">
        <f>G37 &amp; IF(H37&lt;&gt;"", "_" &amp; H37, "_") &amp; IF(I37&lt;&gt;"", "_" &amp; I37, "_") &amp; IF(B37&lt;&gt;"", "_" &amp; B37, "")</f>
        <v/>
      </c>
      <c r="G37">
        <f>SUBSTITUTE(SUBSTITUTE(_xlfn.TEXTBEFORE(A37,","), "-", ""), " ", "")</f>
        <v/>
      </c>
      <c r="H37">
        <f>IF(ISNUMBER(FIND("&amp;", A37)),
IF(LEN(A37)-LEN(SUBSTITUTE(A37, ",", ""))&gt;=6, "etal", MID(A37, SEARCH("&amp; ", A37)+2, SEARCH(",", A37, SEARCH("&amp; ", A37)+2) - SEARCH("&amp; ", A37)-2)),
""
)</f>
        <v/>
      </c>
      <c r="I37">
        <f>_xlfn.TEXTBEFORE(_xlfn.TEXTAFTER(A37, "("), ")")</f>
        <v/>
      </c>
      <c r="J37">
        <f>IF(C37&lt;&gt;"", C37, IF(C37="", _xlfn.TEXTAFTER(A37,"https://doi.org/"), C37))</f>
        <v/>
      </c>
      <c r="K37">
        <f>TRIM(_xlfn.TEXTJOIN("_",FALSE,F37,(SUBSTITUTE(SUBSTITUTE(D37," ",""), "_", ""))))</f>
        <v/>
      </c>
      <c r="L37">
        <f>IF(ISBLANK(C37),TRIM(SUBSTITUTE(SUBSTITUTE(SUBSTITUTE(_xlfn.TEXTJOIN("_", FALSE, J37, SUBSTITUTE(D37,"_", "")), "/", "%2F"), ":", "%3A"), " ", "")),TRIM(SUBSTITUTE(SUBSTITUTE(SUBSTITUTE(_xlfn.TEXTJOIN("_", FALSE, C37, SUBSTITUTE(D37,"_", "")), "/", "%2F"), ":", "%3A"), " ", "")))</f>
        <v/>
      </c>
      <c r="M37">
        <f t="array" ref="M37">IFERROR(INDEX(FileList!$A$1:$A$100, MATCH(L37, _xlfn.TEXTBEFORE(FileList!$A$1:$A$100, ".tsv"), 0)), "notfound")</f>
        <v/>
      </c>
      <c r="N37" s="4" t="n"/>
      <c r="R37" s="7" t="n"/>
      <c r="U37" s="6" t="inlineStr">
        <is>
          <t>pdf</t>
        </is>
      </c>
      <c r="V37" s="6" t="inlineStr">
        <is>
          <t>table</t>
        </is>
      </c>
      <c r="Y37" s="6" t="n"/>
      <c r="Z37" s="6" t="n"/>
    </row>
    <row r="38" ht="16" customHeight="1">
      <c r="A38" s="4" t="inlineStr">
        <is>
          <t>Herculano-Houzel, S. (2015). Decreasing sleep requirement with increasing numbers of neurons as a driver for bigger brains and bodies in mammalian evolution. Proc Biol Sci, 282(1816), 20151853. https://doi.org/10.1098/rspb.2015.1853</t>
        </is>
      </c>
      <c r="D38" s="4" t="inlineStr">
        <is>
          <t>Table 2</t>
        </is>
      </c>
      <c r="E38">
        <f>RIGHT(A38,1)</f>
        <v/>
      </c>
      <c r="F38">
        <f>G38 &amp; IF(H38&lt;&gt;"", "_" &amp; H38, "_") &amp; IF(I38&lt;&gt;"", "_" &amp; I38, "_") &amp; IF(B38&lt;&gt;"", "_" &amp; B38, "")</f>
        <v/>
      </c>
      <c r="G38">
        <f>SUBSTITUTE(SUBSTITUTE(_xlfn.TEXTBEFORE(A38,","), "-", ""), " ", "")</f>
        <v/>
      </c>
      <c r="H38">
        <f>IF(ISNUMBER(FIND("&amp;", A38)),
    IF(LEN(A38)-LEN(SUBSTITUTE(A38, ",", ""))&gt;=6, "etal", MID(A38, SEARCH("&amp; ", A38)+2, SEARCH(",", A38, SEARCH("&amp; ", A38)+2) - SEARCH("&amp; ", A38)-2)),
    ""
)</f>
        <v/>
      </c>
      <c r="I38">
        <f>_xlfn.TEXTBEFORE(_xlfn.TEXTAFTER(A38, "("), ")")</f>
        <v/>
      </c>
      <c r="J38">
        <f>IF(C38&lt;&gt;"", C38, IF(C38="", _xlfn.TEXTAFTER(A38,"https://doi.org/"), C38))</f>
        <v/>
      </c>
      <c r="K38">
        <f>TRIM(_xlfn.TEXTJOIN("_",FALSE,F38,(SUBSTITUTE(SUBSTITUTE(D38," ",""), "_", ""))))</f>
        <v/>
      </c>
      <c r="L38">
        <f>IF(ISBLANK(C38),TRIM(SUBSTITUTE(SUBSTITUTE(SUBSTITUTE(_xlfn.TEXTJOIN("_", FALSE, J38, SUBSTITUTE(D38,"_", "")), "/", "%2F"), ":", "%3A"), " ", "")),TRIM(SUBSTITUTE(SUBSTITUTE(SUBSTITUTE(_xlfn.TEXTJOIN("_", FALSE, C38, SUBSTITUTE(D38,"_", "")), "/", "%2F"), ":", "%3A"), " ", "")))</f>
        <v/>
      </c>
      <c r="M38">
        <f t="array" ref="M38">IFERROR(INDEX(FileList!$A$1:$A$100, MATCH(L38, _xlfn.TEXTBEFORE(FileList!$A$1:$A$100, ".tsv"), 0)), "notfound")</f>
        <v/>
      </c>
      <c r="N38" s="4" t="inlineStr">
        <is>
          <t>Table 2. Dataset on the ontogeny of sleep and cellular composition of the rat brain used in this study.</t>
        </is>
      </c>
      <c r="R38" s="7" t="n"/>
      <c r="U38" s="6" t="inlineStr">
        <is>
          <t>pdf</t>
        </is>
      </c>
      <c r="V38" s="6" t="inlineStr">
        <is>
          <t>table</t>
        </is>
      </c>
      <c r="Y38" s="6" t="inlineStr">
        <is>
          <t>Per cent of hours asleep and brain size and composition</t>
        </is>
      </c>
      <c r="Z38" s="6" t="inlineStr">
        <is>
          <t>secondary</t>
        </is>
      </c>
    </row>
    <row r="39" ht="16" customHeight="1">
      <c r="A39" s="4" t="inlineStr">
        <is>
          <t>Herculano-Houzel, S., Watson, C., &amp; Paxinos, G. (2013). Distribution of neurons in functional areas of the mouse cerebral cortex reveals quantitatively different cortical zones. Front Neuroanat, 7, 35. https://doi.org/10.3389/fnana.2013.00035</t>
        </is>
      </c>
      <c r="D39" s="4" t="inlineStr">
        <is>
          <t>Figure 2 Top Left</t>
        </is>
      </c>
      <c r="E39">
        <f>RIGHT(A39,1)</f>
        <v/>
      </c>
      <c r="F39">
        <f>G39 &amp; IF(H39&lt;&gt;"", "_" &amp; H39, "_") &amp; IF(I39&lt;&gt;"", "_" &amp; I39, "_") &amp; IF(B39&lt;&gt;"", "_" &amp; B39, "")</f>
        <v/>
      </c>
      <c r="G39">
        <f>SUBSTITUTE(SUBSTITUTE(_xlfn.TEXTBEFORE(A39,","), "-", ""), " ", "")</f>
        <v/>
      </c>
      <c r="H39">
        <f>IF(ISNUMBER(FIND("&amp;", A39)),
IF(LEN(A39)-LEN(SUBSTITUTE(A39, ",", ""))&gt;=6, "etal", MID(A39, SEARCH("&amp; ", A39)+2, SEARCH(",", A39, SEARCH("&amp; ", A39)+2) - SEARCH("&amp; ", A39)-2)),
""
)</f>
        <v/>
      </c>
      <c r="I39">
        <f>_xlfn.TEXTBEFORE(_xlfn.TEXTAFTER(A39, "("), ")")</f>
        <v/>
      </c>
      <c r="J39">
        <f>IF(C39&lt;&gt;"", C39, IF(C39="", _xlfn.TEXTAFTER(A39,"https://doi.org/"), C39))</f>
        <v/>
      </c>
      <c r="K39">
        <f>TRIM(_xlfn.TEXTJOIN("_",FALSE,F39,(SUBSTITUTE(SUBSTITUTE(D39," ",""), "_", ""))))</f>
        <v/>
      </c>
      <c r="L39">
        <f>IF(ISBLANK(C39),TRIM(SUBSTITUTE(SUBSTITUTE(SUBSTITUTE(_xlfn.TEXTJOIN("_", FALSE, J39, SUBSTITUTE(D39,"_", "")), "/", "%2F"), ":", "%3A"), " ", "")),TRIM(SUBSTITUTE(SUBSTITUTE(SUBSTITUTE(_xlfn.TEXTJOIN("_", FALSE, C39, SUBSTITUTE(D39,"_", "")), "/", "%2F"), ":", "%3A"), " ", "")))</f>
        <v/>
      </c>
      <c r="M39">
        <f t="array" ref="M39">IFERROR(INDEX(FileList!$A$1:$A$100, MATCH(L39, _xlfn.TEXTBEFORE(FileList!$A$1:$A$100, ".tsv"), 0)), "notfound")</f>
        <v/>
      </c>
      <c r="Q39" s="4" t="inlineStr">
        <is>
          <t>already there</t>
        </is>
      </c>
    </row>
    <row r="40" ht="19" customHeight="1">
      <c r="A40" s="4" t="inlineStr">
        <is>
          <t>Herculano-Houzel, S., Watson, C., &amp; Paxinos, G. (2013). Distribution of neurons in functional areas of the mouse cerebral cortex reveals quantitatively different cortical zones. Front Neuroanat, 7, 35. https://doi.org/10.3389/fnana.2013.00035</t>
        </is>
      </c>
      <c r="D40" s="4" t="inlineStr">
        <is>
          <t>Table 1-a</t>
        </is>
      </c>
      <c r="E40">
        <f>RIGHT(A40,1)</f>
        <v/>
      </c>
      <c r="F40">
        <f>G40 &amp; IF(H40&lt;&gt;"", "_" &amp; H40, "_") &amp; IF(I40&lt;&gt;"", "_" &amp; I40, "_") &amp; IF(B40&lt;&gt;"", "_" &amp; B40, "")</f>
        <v/>
      </c>
      <c r="G40">
        <f>SUBSTITUTE(SUBSTITUTE(_xlfn.TEXTBEFORE(A40,","), "-", ""), " ", "")</f>
        <v/>
      </c>
      <c r="H40">
        <f>IF(ISNUMBER(FIND("&amp;", A40)),
IF(LEN(A40)-LEN(SUBSTITUTE(A40, ",", ""))&gt;=6, "etal", MID(A40, SEARCH("&amp; ", A40)+2, SEARCH(",", A40, SEARCH("&amp; ", A40)+2) - SEARCH("&amp; ", A40)-2)),
""
)</f>
        <v/>
      </c>
      <c r="I40">
        <f>_xlfn.TEXTBEFORE(_xlfn.TEXTAFTER(A40, "("), ")")</f>
        <v/>
      </c>
      <c r="J40">
        <f>IF(C40&lt;&gt;"", C40, IF(C40="", _xlfn.TEXTAFTER(A40,"https://doi.org/"), C40))</f>
        <v/>
      </c>
      <c r="K40">
        <f>TRIM(_xlfn.TEXTJOIN("_",FALSE,F40,(SUBSTITUTE(SUBSTITUTE(D40," ",""), "_", ""))))</f>
        <v/>
      </c>
      <c r="L40">
        <f>IF(ISBLANK(C40),TRIM(SUBSTITUTE(SUBSTITUTE(SUBSTITUTE(_xlfn.TEXTJOIN("_", FALSE, J40, SUBSTITUTE(D40,"_", "")), "/", "%2F"), ":", "%3A"), " ", "")),TRIM(SUBSTITUTE(SUBSTITUTE(SUBSTITUTE(_xlfn.TEXTJOIN("_", FALSE, C40, SUBSTITUTE(D40,"_", "")), "/", "%2F"), ":", "%3A"), " ", "")))</f>
        <v/>
      </c>
      <c r="M40">
        <f t="array" ref="M40">IFERROR(INDEX(FileList!$A$1:$A$100, MATCH(L40, _xlfn.TEXTBEFORE(FileList!$A$1:$A$100, ".tsv"), 0)), "notfound")</f>
        <v/>
      </c>
      <c r="Q40" s="4" t="inlineStr">
        <is>
          <t>already there</t>
        </is>
      </c>
    </row>
    <row r="41" ht="17" customHeight="1">
      <c r="A41" s="4" t="inlineStr">
        <is>
          <t>Herculano-Houzel, S., Watson, C., &amp; Paxinos, G. (2013). Distribution of neurons in functional areas of the mouse cerebral cortex reveals quantitatively different cortical zones. Front Neuroanat, 7, 35. https://doi.org/10.3389/fnana.2013.00035</t>
        </is>
      </c>
      <c r="D41" s="4" t="inlineStr">
        <is>
          <t>Table 1-b</t>
        </is>
      </c>
      <c r="E41">
        <f>RIGHT(A41,1)</f>
        <v/>
      </c>
      <c r="F41">
        <f>G41 &amp; IF(H41&lt;&gt;"", "_" &amp; H41, "_") &amp; IF(I41&lt;&gt;"", "_" &amp; I41, "_") &amp; IF(B41&lt;&gt;"", "_" &amp; B41, "")</f>
        <v/>
      </c>
      <c r="G41">
        <f>SUBSTITUTE(SUBSTITUTE(_xlfn.TEXTBEFORE(A41,","), "-", ""), " ", "")</f>
        <v/>
      </c>
      <c r="H41">
        <f>IF(ISNUMBER(FIND("&amp;", A41)),
IF(LEN(A41)-LEN(SUBSTITUTE(A41, ",", ""))&gt;=6, "etal", MID(A41, SEARCH("&amp; ", A41)+2, SEARCH(",", A41, SEARCH("&amp; ", A41)+2) - SEARCH("&amp; ", A41)-2)),
""
)</f>
        <v/>
      </c>
      <c r="I41">
        <f>_xlfn.TEXTBEFORE(_xlfn.TEXTAFTER(A41, "("), ")")</f>
        <v/>
      </c>
      <c r="J41">
        <f>IF(C41&lt;&gt;"", C41, IF(C41="", _xlfn.TEXTAFTER(A41,"https://doi.org/"), C41))</f>
        <v/>
      </c>
      <c r="K41">
        <f>TRIM(_xlfn.TEXTJOIN("_",FALSE,F41,(SUBSTITUTE(SUBSTITUTE(D41," ",""), "_", ""))))</f>
        <v/>
      </c>
      <c r="L41">
        <f>IF(ISBLANK(C41),TRIM(SUBSTITUTE(SUBSTITUTE(SUBSTITUTE(_xlfn.TEXTJOIN("_", FALSE, J41, SUBSTITUTE(D41,"_", "")), "/", "%2F"), ":", "%3A"), " ", "")),TRIM(SUBSTITUTE(SUBSTITUTE(SUBSTITUTE(_xlfn.TEXTJOIN("_", FALSE, C41, SUBSTITUTE(D41,"_", "")), "/", "%2F"), ":", "%3A"), " ", "")))</f>
        <v/>
      </c>
      <c r="M41">
        <f t="array" ref="M41">IFERROR(INDEX(FileList!$A$1:$A$100, MATCH(L41, _xlfn.TEXTBEFORE(FileList!$A$1:$A$100, ".tsv"), 0)), "notfound")</f>
        <v/>
      </c>
      <c r="Q41" s="4" t="inlineStr">
        <is>
          <t>already there</t>
        </is>
      </c>
    </row>
    <row r="42" ht="17" customHeight="1">
      <c r="A42" s="4"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42" s="4" t="inlineStr">
        <is>
          <t>Table 1</t>
        </is>
      </c>
      <c r="E42">
        <f>RIGHT(A42,1)</f>
        <v/>
      </c>
      <c r="F42">
        <f>G42 &amp; IF(H42&lt;&gt;"", "_" &amp; H42, "_") &amp; IF(I42&lt;&gt;"", "_" &amp; I42, "_") &amp; IF(B42&lt;&gt;"", "_" &amp; B42, "")</f>
        <v/>
      </c>
      <c r="G42">
        <f>SUBSTITUTE(SUBSTITUTE(_xlfn.TEXTBEFORE(A42,","), "-", ""), " ", "")</f>
        <v/>
      </c>
      <c r="H42">
        <f>IF(ISNUMBER(FIND("&amp;", A42)),
IF(LEN(A42)-LEN(SUBSTITUTE(A42, ",", ""))&gt;=6, "etal", MID(A42, SEARCH("&amp; ", A42)+2, SEARCH(",", A42, SEARCH("&amp; ", A42)+2) - SEARCH("&amp; ", A42)-2)),
""
)</f>
        <v/>
      </c>
      <c r="I42">
        <f>_xlfn.TEXTBEFORE(_xlfn.TEXTAFTER(A42, "("), ")")</f>
        <v/>
      </c>
      <c r="J42">
        <f>IF(C42&lt;&gt;"", C42, IF(C42="", _xlfn.TEXTAFTER(A42,"https://doi.org/"), C42))</f>
        <v/>
      </c>
      <c r="K42">
        <f>TRIM(_xlfn.TEXTJOIN("_",FALSE,F42,(SUBSTITUTE(SUBSTITUTE(D42," ",""), "_", ""))))</f>
        <v/>
      </c>
      <c r="L42">
        <f>IF(ISBLANK(C42),TRIM(SUBSTITUTE(SUBSTITUTE(SUBSTITUTE(_xlfn.TEXTJOIN("_", FALSE, J42, SUBSTITUTE(D42,"_", "")), "/", "%2F"), ":", "%3A"), " ", "")),TRIM(SUBSTITUTE(SUBSTITUTE(SUBSTITUTE(_xlfn.TEXTJOIN("_", FALSE, C42, SUBSTITUTE(D42,"_", "")), "/", "%2F"), ":", "%3A"), " ", "")))</f>
        <v/>
      </c>
      <c r="M42">
        <f t="array" ref="M42">IFERROR(INDEX(FileList!$A$1:$A$100, MATCH(L42, _xlfn.TEXTBEFORE(FileList!$A$1:$A$100, ".tsv"), 0)), "notfound")</f>
        <v/>
      </c>
      <c r="N42" s="4" t="inlineStr">
        <is>
          <t>Table 1. Cerebral cortex</t>
        </is>
      </c>
      <c r="P42" s="4" t="inlineStr">
        <is>
          <t>FINISHED</t>
        </is>
      </c>
      <c r="Q42" s="4" t="inlineStr">
        <is>
          <t>added</t>
        </is>
      </c>
      <c r="R42" s="7" t="inlineStr">
        <is>
          <t>HerculanoHouzel_etal_2015_Table1_snapshot.xlsx</t>
        </is>
      </c>
      <c r="S42" s="4" t="inlineStr">
        <is>
          <t>Y</t>
        </is>
      </c>
      <c r="T42" s="4" t="inlineStr">
        <is>
          <t>HerculanoHouzel_etal_2015_Table1.csv</t>
        </is>
      </c>
      <c r="U42" s="4" t="inlineStr">
        <is>
          <t>pdf</t>
        </is>
      </c>
      <c r="V42" s="4" t="inlineStr">
        <is>
          <t>table</t>
        </is>
      </c>
      <c r="W42" s="4" t="inlineStr">
        <is>
          <t>YES - but formatting issues</t>
        </is>
      </c>
      <c r="X42" s="4" t="inlineStr">
        <is>
          <t>https://karger.com/bbe/article-pdf/86/3-4/145/2264694/000437413.pdf</t>
        </is>
      </c>
      <c r="Y42" s="4" t="inlineStr">
        <is>
          <t>Cell numbers, region size</t>
        </is>
      </c>
      <c r="AA42" s="4" t="inlineStr">
        <is>
          <t>HH</t>
        </is>
      </c>
      <c r="AB42" s="4" t="inlineStr">
        <is>
          <t>HH</t>
        </is>
      </c>
      <c r="AE42" s="4" t="inlineStr">
        <is>
          <t>placental mammals</t>
        </is>
      </c>
    </row>
    <row r="43" ht="17" customHeight="1">
      <c r="A43" s="4"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43" s="4" t="inlineStr">
        <is>
          <t>Table 2</t>
        </is>
      </c>
      <c r="E43">
        <f>RIGHT(A43,1)</f>
        <v/>
      </c>
      <c r="F43">
        <f>G43 &amp; IF(H43&lt;&gt;"", "_" &amp; H43, "_") &amp; IF(I43&lt;&gt;"", "_" &amp; I43, "_") &amp; IF(B43&lt;&gt;"", "_" &amp; B43, "")</f>
        <v/>
      </c>
      <c r="G43">
        <f>SUBSTITUTE(SUBSTITUTE(_xlfn.TEXTBEFORE(A43,","), "-", ""), " ", "")</f>
        <v/>
      </c>
      <c r="H43">
        <f>IF(ISNUMBER(FIND("&amp;", A43)),
IF(LEN(A43)-LEN(SUBSTITUTE(A43, ",", ""))&gt;=6, "etal", MID(A43, SEARCH("&amp; ", A43)+2, SEARCH(",", A43, SEARCH("&amp; ", A43)+2) - SEARCH("&amp; ", A43)-2)),
""
)</f>
        <v/>
      </c>
      <c r="I43">
        <f>_xlfn.TEXTBEFORE(_xlfn.TEXTAFTER(A43, "("), ")")</f>
        <v/>
      </c>
      <c r="J43">
        <f>IF(C43&lt;&gt;"", C43, IF(C43="", _xlfn.TEXTAFTER(A43,"https://doi.org/"), C43))</f>
        <v/>
      </c>
      <c r="K43">
        <f>TRIM(_xlfn.TEXTJOIN("_",FALSE,F43,(SUBSTITUTE(SUBSTITUTE(D43," ",""), "_", ""))))</f>
        <v/>
      </c>
      <c r="L43">
        <f>IF(ISBLANK(C43),TRIM(SUBSTITUTE(SUBSTITUTE(SUBSTITUTE(_xlfn.TEXTJOIN("_", FALSE, J43, SUBSTITUTE(D43,"_", "")), "/", "%2F"), ":", "%3A"), " ", "")),TRIM(SUBSTITUTE(SUBSTITUTE(SUBSTITUTE(_xlfn.TEXTJOIN("_", FALSE, C43, SUBSTITUTE(D43,"_", "")), "/", "%2F"), ":", "%3A"), " ", "")))</f>
        <v/>
      </c>
      <c r="M43">
        <f t="array" ref="M43">IFERROR(INDEX(FileList!$A$1:$A$100, MATCH(L43, _xlfn.TEXTBEFORE(FileList!$A$1:$A$100, ".tsv"), 0)), "notfound")</f>
        <v/>
      </c>
      <c r="N43" s="4" t="inlineStr">
        <is>
          <t>Table 2. Cerebellum</t>
        </is>
      </c>
      <c r="P43" s="4" t="inlineStr">
        <is>
          <t>FINISHED</t>
        </is>
      </c>
      <c r="Q43" s="4" t="inlineStr">
        <is>
          <t>added</t>
        </is>
      </c>
      <c r="R43" s="7" t="inlineStr">
        <is>
          <t>HerculanoHouzel_etal_2015_Table2_snapshot.xlsx</t>
        </is>
      </c>
      <c r="S43" s="4" t="inlineStr">
        <is>
          <t>Y</t>
        </is>
      </c>
      <c r="T43" s="4" t="inlineStr">
        <is>
          <t>HerculanoHouzel_etal_2015_Table2.csv</t>
        </is>
      </c>
      <c r="U43" s="4" t="inlineStr">
        <is>
          <t>pdf</t>
        </is>
      </c>
      <c r="V43" s="4" t="inlineStr">
        <is>
          <t>table</t>
        </is>
      </c>
      <c r="W43" s="4" t="inlineStr">
        <is>
          <t>YES - but formatting issues</t>
        </is>
      </c>
      <c r="X43" s="4" t="inlineStr">
        <is>
          <t>https://karger.com/bbe/article-pdf/86/3-4/145/2264694/000437413.pdf</t>
        </is>
      </c>
      <c r="Y43" s="4" t="inlineStr">
        <is>
          <t>Cell numbers, region size</t>
        </is>
      </c>
      <c r="AA43" s="4" t="inlineStr">
        <is>
          <t>HH</t>
        </is>
      </c>
      <c r="AB43" s="4" t="inlineStr">
        <is>
          <t>HH</t>
        </is>
      </c>
      <c r="AE43" s="4" t="inlineStr">
        <is>
          <t>placental mammals</t>
        </is>
      </c>
    </row>
    <row r="44" ht="17" customHeight="1">
      <c r="A44" s="4"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44" s="4" t="inlineStr">
        <is>
          <t>Table 3</t>
        </is>
      </c>
      <c r="E44">
        <f>RIGHT(A44,1)</f>
        <v/>
      </c>
      <c r="F44">
        <f>G44 &amp; IF(H44&lt;&gt;"", "_" &amp; H44, "_") &amp; IF(I44&lt;&gt;"", "_" &amp; I44, "_") &amp; IF(B44&lt;&gt;"", "_" &amp; B44, "")</f>
        <v/>
      </c>
      <c r="G44">
        <f>SUBSTITUTE(SUBSTITUTE(_xlfn.TEXTBEFORE(A44,","), "-", ""), " ", "")</f>
        <v/>
      </c>
      <c r="H44">
        <f>IF(ISNUMBER(FIND("&amp;", A44)),
IF(LEN(A44)-LEN(SUBSTITUTE(A44, ",", ""))&gt;=6, "etal", MID(A44, SEARCH("&amp; ", A44)+2, SEARCH(",", A44, SEARCH("&amp; ", A44)+2) - SEARCH("&amp; ", A44)-2)),
""
)</f>
        <v/>
      </c>
      <c r="I44">
        <f>_xlfn.TEXTBEFORE(_xlfn.TEXTAFTER(A44, "("), ")")</f>
        <v/>
      </c>
      <c r="J44">
        <f>IF(C44&lt;&gt;"", C44, IF(C44="", _xlfn.TEXTAFTER(A44,"https://doi.org/"), C44))</f>
        <v/>
      </c>
      <c r="K44">
        <f>TRIM(_xlfn.TEXTJOIN("_",FALSE,F44,(SUBSTITUTE(SUBSTITUTE(D44," ",""), "_", ""))))</f>
        <v/>
      </c>
      <c r="L44">
        <f>IF(ISBLANK(C44),TRIM(SUBSTITUTE(SUBSTITUTE(SUBSTITUTE(_xlfn.TEXTJOIN("_", FALSE, J44, SUBSTITUTE(D44,"_", "")), "/", "%2F"), ":", "%3A"), " ", "")),TRIM(SUBSTITUTE(SUBSTITUTE(SUBSTITUTE(_xlfn.TEXTJOIN("_", FALSE, C44, SUBSTITUTE(D44,"_", "")), "/", "%2F"), ":", "%3A"), " ", "")))</f>
        <v/>
      </c>
      <c r="M44">
        <f t="array" ref="M44">IFERROR(INDEX(FileList!$A$1:$A$100, MATCH(L44, _xlfn.TEXTBEFORE(FileList!$A$1:$A$100, ".tsv"), 0)), "notfound")</f>
        <v/>
      </c>
      <c r="N44" s="4" t="inlineStr">
        <is>
          <t>Table 3. RoB</t>
        </is>
      </c>
      <c r="P44" s="4" t="inlineStr">
        <is>
          <t>FINISHED</t>
        </is>
      </c>
      <c r="Q44" s="4" t="inlineStr">
        <is>
          <t>added</t>
        </is>
      </c>
      <c r="R44" s="7" t="inlineStr">
        <is>
          <t>HerculanoHouzel_etal_2015_Table3_snapshot.xlsx</t>
        </is>
      </c>
      <c r="S44" s="4" t="inlineStr">
        <is>
          <t>Y</t>
        </is>
      </c>
      <c r="T44" s="4" t="inlineStr">
        <is>
          <t>HerculanoHouzel_etal_2015_Table3.csv</t>
        </is>
      </c>
      <c r="U44" s="4" t="inlineStr">
        <is>
          <t>pdf</t>
        </is>
      </c>
      <c r="V44" s="4" t="inlineStr">
        <is>
          <t>table</t>
        </is>
      </c>
      <c r="W44" s="4" t="inlineStr">
        <is>
          <t>YES - but formatting issues</t>
        </is>
      </c>
      <c r="X44" s="4" t="inlineStr">
        <is>
          <t>https://karger.com/bbe/article-pdf/86/3-4/145/2264694/000437413.pdf</t>
        </is>
      </c>
      <c r="Y44" s="4" t="inlineStr">
        <is>
          <t>Cell numbers, region size</t>
        </is>
      </c>
      <c r="AA44" s="4" t="inlineStr">
        <is>
          <t>HH</t>
        </is>
      </c>
      <c r="AB44" s="4" t="inlineStr">
        <is>
          <t>HH</t>
        </is>
      </c>
      <c r="AE44" s="4" t="inlineStr">
        <is>
          <t>placental mammals</t>
        </is>
      </c>
    </row>
    <row r="45" ht="16" customHeight="1">
      <c r="A45" s="4"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45" s="4" t="inlineStr">
        <is>
          <t>Table 4</t>
        </is>
      </c>
      <c r="E45">
        <f>RIGHT(A45,1)</f>
        <v/>
      </c>
      <c r="F45">
        <f>G45 &amp; IF(H45&lt;&gt;"", "_" &amp; H45, "_") &amp; IF(I45&lt;&gt;"", "_" &amp; I45, "_") &amp; IF(B45&lt;&gt;"", "_" &amp; B45, "")</f>
        <v/>
      </c>
      <c r="G45">
        <f>SUBSTITUTE(SUBSTITUTE(_xlfn.TEXTBEFORE(A45,","), "-", ""), " ", "")</f>
        <v/>
      </c>
      <c r="H45">
        <f>IF(ISNUMBER(FIND("&amp;", A45)),
IF(LEN(A45)-LEN(SUBSTITUTE(A45, ",", ""))&gt;=6, "etal", MID(A45, SEARCH("&amp; ", A45)+2, SEARCH(",", A45, SEARCH("&amp; ", A45)+2) - SEARCH("&amp; ", A45)-2)),
""
)</f>
        <v/>
      </c>
      <c r="I45">
        <f>_xlfn.TEXTBEFORE(_xlfn.TEXTAFTER(A45, "("), ")")</f>
        <v/>
      </c>
      <c r="J45">
        <f>IF(C45&lt;&gt;"", C45, IF(C45="", _xlfn.TEXTAFTER(A45,"https://doi.org/"), C45))</f>
        <v/>
      </c>
      <c r="K45">
        <f>TRIM(_xlfn.TEXTJOIN("_",FALSE,F45,(SUBSTITUTE(SUBSTITUTE(D45," ",""), "_", ""))))</f>
        <v/>
      </c>
      <c r="L45">
        <f>IF(ISBLANK(C45),TRIM(SUBSTITUTE(SUBSTITUTE(SUBSTITUTE(_xlfn.TEXTJOIN("_", FALSE, J45, SUBSTITUTE(D45,"_", "")), "/", "%2F"), ":", "%3A"), " ", "")),TRIM(SUBSTITUTE(SUBSTITUTE(SUBSTITUTE(_xlfn.TEXTJOIN("_", FALSE, C45, SUBSTITUTE(D45,"_", "")), "/", "%2F"), ":", "%3A"), " ", "")))</f>
        <v/>
      </c>
      <c r="M45">
        <f t="array" ref="M45">IFERROR(INDEX(FileList!$A$1:$A$100, MATCH(L45, _xlfn.TEXTBEFORE(FileList!$A$1:$A$100, ".tsv"), 0)), "notfound")</f>
        <v/>
      </c>
      <c r="N45" s="4" t="inlineStr">
        <is>
          <t>Table 4. Olfactory bulb</t>
        </is>
      </c>
      <c r="P45" s="4" t="inlineStr">
        <is>
          <t>FINISHED</t>
        </is>
      </c>
      <c r="Q45" s="4" t="inlineStr">
        <is>
          <t>added</t>
        </is>
      </c>
      <c r="R45" s="7" t="inlineStr">
        <is>
          <t>HerculanoHouzel_etal_2015_Table4_snapshot.xlsx</t>
        </is>
      </c>
      <c r="S45" s="4" t="inlineStr">
        <is>
          <t>Y</t>
        </is>
      </c>
      <c r="T45" s="4" t="inlineStr">
        <is>
          <t>HerculanoHouzel_etal_2015_Table4.csv</t>
        </is>
      </c>
      <c r="U45" s="4" t="inlineStr">
        <is>
          <t>pdf</t>
        </is>
      </c>
      <c r="V45" s="4" t="inlineStr">
        <is>
          <t>table</t>
        </is>
      </c>
      <c r="W45" s="4" t="inlineStr">
        <is>
          <t>YES - but formatting issues</t>
        </is>
      </c>
      <c r="X45" s="4" t="inlineStr">
        <is>
          <t>https://karger.com/bbe/article-pdf/86/3-4/145/2264694/000437413.pdf</t>
        </is>
      </c>
      <c r="Y45" s="4" t="inlineStr">
        <is>
          <t>Cell numbers, region size</t>
        </is>
      </c>
      <c r="AA45" s="4" t="inlineStr">
        <is>
          <t>HH</t>
        </is>
      </c>
      <c r="AB45" s="4" t="inlineStr">
        <is>
          <t>HH</t>
        </is>
      </c>
      <c r="AE45" s="4" t="inlineStr">
        <is>
          <t>placental mammals</t>
        </is>
      </c>
    </row>
    <row r="46" ht="16" customHeight="1">
      <c r="A46" s="4" t="inlineStr">
        <is>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is>
      </c>
      <c r="D46" s="4" t="inlineStr">
        <is>
          <t>Table 5</t>
        </is>
      </c>
      <c r="E46">
        <f>RIGHT(A46,1)</f>
        <v/>
      </c>
      <c r="F46">
        <f>G46 &amp; IF(H46&lt;&gt;"", "_" &amp; H46, "_") &amp; IF(I46&lt;&gt;"", "_" &amp; I46, "_") &amp; IF(B46&lt;&gt;"", "_" &amp; B46, "")</f>
        <v/>
      </c>
      <c r="G46">
        <f>SUBSTITUTE(SUBSTITUTE(_xlfn.TEXTBEFORE(A46,","), "-", ""), " ", "")</f>
        <v/>
      </c>
      <c r="H46">
        <f>IF(ISNUMBER(FIND("&amp;", A46)),
IF(LEN(A46)-LEN(SUBSTITUTE(A46, ",", ""))&gt;=6, "etal", MID(A46, SEARCH("&amp; ", A46)+2, SEARCH(",", A46, SEARCH("&amp; ", A46)+2) - SEARCH("&amp; ", A46)-2)),
""
)</f>
        <v/>
      </c>
      <c r="I46">
        <f>_xlfn.TEXTBEFORE(_xlfn.TEXTAFTER(A46, "("), ")")</f>
        <v/>
      </c>
      <c r="J46">
        <f>IF(C46&lt;&gt;"", C46, IF(C46="", _xlfn.TEXTAFTER(A46,"https://doi.org/"), C46))</f>
        <v/>
      </c>
      <c r="K46">
        <f>TRIM(_xlfn.TEXTJOIN("_",FALSE,F46,(SUBSTITUTE(SUBSTITUTE(D46," ",""), "_", ""))))</f>
        <v/>
      </c>
      <c r="L46">
        <f>IF(ISBLANK(C46),TRIM(SUBSTITUTE(SUBSTITUTE(SUBSTITUTE(_xlfn.TEXTJOIN("_", FALSE, J46, SUBSTITUTE(D46,"_", "")), "/", "%2F"), ":", "%3A"), " ", "")),TRIM(SUBSTITUTE(SUBSTITUTE(SUBSTITUTE(_xlfn.TEXTJOIN("_", FALSE, C46, SUBSTITUTE(D46,"_", "")), "/", "%2F"), ":", "%3A"), " ", "")))</f>
        <v/>
      </c>
      <c r="M46">
        <f t="array" ref="M46">IFERROR(INDEX(FileList!$A$1:$A$100, MATCH(L46, _xlfn.TEXTBEFORE(FileList!$A$1:$A$100, ".tsv"), 0)), "notfound")</f>
        <v/>
      </c>
      <c r="N46" s="4" t="inlineStr">
        <is>
          <t>Table 5. Whole brain</t>
        </is>
      </c>
      <c r="P46" s="4" t="inlineStr">
        <is>
          <t>FINISHED</t>
        </is>
      </c>
      <c r="Q46" s="4" t="inlineStr">
        <is>
          <t>added</t>
        </is>
      </c>
      <c r="R46" s="7" t="inlineStr">
        <is>
          <t>HerculanoHouzel_etal_2015_Table5_snapshot.xlsx</t>
        </is>
      </c>
      <c r="S46" s="4" t="inlineStr">
        <is>
          <t>Y</t>
        </is>
      </c>
      <c r="T46" s="4" t="inlineStr">
        <is>
          <t>HerculanoHouzel_etal_2015_Table5.csv</t>
        </is>
      </c>
      <c r="U46" s="4" t="inlineStr">
        <is>
          <t>pdf</t>
        </is>
      </c>
      <c r="V46" s="4" t="inlineStr">
        <is>
          <t>table</t>
        </is>
      </c>
      <c r="W46" s="4" t="inlineStr">
        <is>
          <t>YES - but formatting issues</t>
        </is>
      </c>
      <c r="X46" s="4" t="inlineStr">
        <is>
          <t>https://karger.com/bbe/article-pdf/86/3-4/145/2264694/000437413.pdf</t>
        </is>
      </c>
      <c r="Y46" s="4" t="inlineStr">
        <is>
          <t>Cell numbers, region size</t>
        </is>
      </c>
      <c r="AA46" s="4" t="inlineStr">
        <is>
          <t>HH</t>
        </is>
      </c>
      <c r="AB46" s="4" t="inlineStr">
        <is>
          <t>HH</t>
        </is>
      </c>
      <c r="AE46" s="4" t="inlineStr">
        <is>
          <t>placental mammals</t>
        </is>
      </c>
    </row>
    <row r="47" ht="16" customHeight="1">
      <c r="A47" s="4"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D47" s="4" t="inlineStr">
        <is>
          <t>TABLE 1</t>
        </is>
      </c>
      <c r="E47">
        <f>RIGHT(A47,1)</f>
        <v/>
      </c>
      <c r="F47">
        <f>G47 &amp; IF(H47&lt;&gt;"", "_" &amp; H47, "_") &amp; IF(I47&lt;&gt;"", "_" &amp; I47, "_") &amp; IF(B47&lt;&gt;"", "_" &amp; B47, "")</f>
        <v/>
      </c>
      <c r="G47">
        <f>SUBSTITUTE(SUBSTITUTE(_xlfn.TEXTBEFORE(A47,","), "-", ""), " ", "")</f>
        <v/>
      </c>
      <c r="H47">
        <f>IF(ISNUMBER(FIND("&amp;", A47)),
IF(LEN(A47)-LEN(SUBSTITUTE(A47, ",", ""))&gt;=6, "etal", MID(A47, SEARCH("&amp; ", A47)+2, SEARCH(",", A47, SEARCH("&amp; ", A47)+2) - SEARCH("&amp; ", A47)-2)),
""
)</f>
        <v/>
      </c>
      <c r="I47">
        <f>_xlfn.TEXTBEFORE(_xlfn.TEXTAFTER(A47, "("), ")")</f>
        <v/>
      </c>
      <c r="J47">
        <f>IF(C47&lt;&gt;"", C47, IF(C47="", _xlfn.TEXTAFTER(A47,"https://doi.org/"), C47))</f>
        <v/>
      </c>
      <c r="K47">
        <f>TRIM(_xlfn.TEXTJOIN("_",FALSE,F47,(SUBSTITUTE(SUBSTITUTE(D47," ",""), "_", ""))))</f>
        <v/>
      </c>
      <c r="L47">
        <f>IF(ISBLANK(C47),TRIM(SUBSTITUTE(SUBSTITUTE(SUBSTITUTE(_xlfn.TEXTJOIN("_", FALSE, J47, SUBSTITUTE(D47,"_", "")), "/", "%2F"), ":", "%3A"), " ", "")),TRIM(SUBSTITUTE(SUBSTITUTE(SUBSTITUTE(_xlfn.TEXTJOIN("_", FALSE, C47, SUBSTITUTE(D47,"_", "")), "/", "%2F"), ":", "%3A"), " ", "")))</f>
        <v/>
      </c>
      <c r="M47">
        <f t="array" ref="M47">IFERROR(INDEX(FileList!$A$1:$A$100, MATCH(L47, _xlfn.TEXTBEFORE(FileList!$A$1:$A$100, ".tsv"), 0)), "notfound")</f>
        <v/>
      </c>
      <c r="N47" s="4" t="inlineStr">
        <is>
          <t>TABLE 1 Dataset</t>
        </is>
      </c>
      <c r="P47" s="4" t="inlineStr">
        <is>
          <t>FINISHED</t>
        </is>
      </c>
      <c r="Q47" s="4" t="inlineStr">
        <is>
          <t>added</t>
        </is>
      </c>
      <c r="R47" s="7" t="inlineStr">
        <is>
          <t>HerculanoHouzel_etal_2020_TABLE1_snapshot.csv</t>
        </is>
      </c>
      <c r="S47" s="4" t="inlineStr">
        <is>
          <t>Y</t>
        </is>
      </c>
      <c r="T47" s="4" t="inlineStr">
        <is>
          <t>HerculanoHouzel_etal_2020_Table1.csv</t>
        </is>
      </c>
      <c r="U47" s="4" t="inlineStr">
        <is>
          <t>pdf</t>
        </is>
      </c>
      <c r="V47" s="4" t="inlineStr">
        <is>
          <t>table</t>
        </is>
      </c>
      <c r="W47" s="4" t="inlineStr">
        <is>
          <t>NO - paywall</t>
        </is>
      </c>
      <c r="X47" s="4" t="inlineStr">
        <is>
          <t>https://doi.org/10.1002/cne.24985</t>
        </is>
      </c>
      <c r="Y47" s="4" t="inlineStr">
        <is>
          <t>region size</t>
        </is>
      </c>
      <c r="AA47" s="4" t="inlineStr">
        <is>
          <t>HH</t>
        </is>
      </c>
      <c r="AB47" s="4" t="inlineStr">
        <is>
          <t>HH</t>
        </is>
      </c>
      <c r="AE47" s="4" t="inlineStr">
        <is>
          <t>bats</t>
        </is>
      </c>
    </row>
    <row r="48" ht="16" customHeight="1">
      <c r="A48" s="4" t="inlineStr">
        <is>
          <t>Herculano-Houzel, S., da Cunha, F. B., Reed, J. L., Kaswera-Kyamakya, C., Gillissen, E., &amp; Manger, P. R. (2020). Microchiropterans have a diminutive cerebral cortex, not an enlarged cerebellum, compared to megachiropterans and other mammals. J Comp Neurol, 528(17), 2978-2993. https://doi.org/10.1002/cne.24985</t>
        </is>
      </c>
      <c r="D48" s="4" t="inlineStr">
        <is>
          <t>TABLE 2</t>
        </is>
      </c>
      <c r="E48">
        <f>RIGHT(A48,1)</f>
        <v/>
      </c>
      <c r="F48">
        <f>G48 &amp; IF(H48&lt;&gt;"", "_" &amp; H48, "_") &amp; IF(I48&lt;&gt;"", "_" &amp; I48, "_") &amp; IF(B48&lt;&gt;"", "_" &amp; B48, "")</f>
        <v/>
      </c>
      <c r="G48">
        <f>SUBSTITUTE(SUBSTITUTE(_xlfn.TEXTBEFORE(A48,","), "-", ""), " ", "")</f>
        <v/>
      </c>
      <c r="H48">
        <f>IF(ISNUMBER(FIND("&amp;", A48)),
IF(LEN(A48)-LEN(SUBSTITUTE(A48, ",", ""))&gt;=6, "etal", MID(A48, SEARCH("&amp; ", A48)+2, SEARCH(",", A48, SEARCH("&amp; ", A48)+2) - SEARCH("&amp; ", A48)-2)),
""
)</f>
        <v/>
      </c>
      <c r="I48">
        <f>_xlfn.TEXTBEFORE(_xlfn.TEXTAFTER(A48, "("), ")")</f>
        <v/>
      </c>
      <c r="J48">
        <f>IF(C48&lt;&gt;"", C48, IF(C48="", _xlfn.TEXTAFTER(A48,"https://doi.org/"), C48))</f>
        <v/>
      </c>
      <c r="K48">
        <f>TRIM(_xlfn.TEXTJOIN("_",FALSE,F48,(SUBSTITUTE(SUBSTITUTE(D48," ",""), "_", ""))))</f>
        <v/>
      </c>
      <c r="L48">
        <f>IF(ISBLANK(C48),TRIM(SUBSTITUTE(SUBSTITUTE(SUBSTITUTE(_xlfn.TEXTJOIN("_", FALSE, J48, SUBSTITUTE(D48,"_", "")), "/", "%2F"), ":", "%3A"), " ", "")),TRIM(SUBSTITUTE(SUBSTITUTE(SUBSTITUTE(_xlfn.TEXTJOIN("_", FALSE, C48, SUBSTITUTE(D48,"_", "")), "/", "%2F"), ":", "%3A"), " ", "")))</f>
        <v/>
      </c>
      <c r="M48">
        <f t="array" ref="M48">IFERROR(INDEX(FileList!$A$1:$A$100, MATCH(L48, _xlfn.TEXTBEFORE(FileList!$A$1:$A$100, ".tsv"), 0)), "notfound")</f>
        <v/>
      </c>
      <c r="N48" s="4" t="inlineStr">
        <is>
          <t>TABLE 2 Numbers of neurons and neuronal density (neurons/mg)</t>
        </is>
      </c>
      <c r="P48" s="4" t="inlineStr">
        <is>
          <t>FINISHED</t>
        </is>
      </c>
      <c r="Q48" s="4" t="inlineStr">
        <is>
          <t>added</t>
        </is>
      </c>
      <c r="R48" s="7" t="inlineStr">
        <is>
          <t>HerculanoHouzel_etal_2020_TABLE2_snapshot.csv</t>
        </is>
      </c>
      <c r="S48" s="4" t="inlineStr">
        <is>
          <t>Y</t>
        </is>
      </c>
      <c r="T48" s="4" t="inlineStr">
        <is>
          <t>HerculanoHouzel_etal_2020_Table2.csv</t>
        </is>
      </c>
      <c r="U48" s="4" t="inlineStr">
        <is>
          <t>pdf</t>
        </is>
      </c>
      <c r="V48" s="4" t="inlineStr">
        <is>
          <t>table</t>
        </is>
      </c>
      <c r="W48" s="4" t="inlineStr">
        <is>
          <t>NO - paywall</t>
        </is>
      </c>
      <c r="X48" s="4" t="inlineStr">
        <is>
          <t>https://doi.org/10.1002/cne.24985</t>
        </is>
      </c>
      <c r="Y48" s="4" t="inlineStr">
        <is>
          <t>Cell numbers</t>
        </is>
      </c>
      <c r="AA48" s="4" t="inlineStr">
        <is>
          <t>HH</t>
        </is>
      </c>
      <c r="AB48" s="4" t="inlineStr">
        <is>
          <t>HH</t>
        </is>
      </c>
      <c r="AE48" s="4" t="inlineStr">
        <is>
          <t>bats</t>
        </is>
      </c>
    </row>
    <row r="49" ht="16" customHeight="1">
      <c r="A49" s="4" t="inlineStr">
        <is>
          <t>Isler, K., Christopher Kirk, E., Miller, J. M. A., Albrecht, G. A., Gelvin, B. R., &amp; Martin, R. D. (2008). Endocranial volumes of primate species: scaling analyses using a comprehensive and reliable data set. J Hum Evol, 55(6), 967. https://doi.org/10.1016/j.jhevol.2008.08.004</t>
        </is>
      </c>
      <c r="D49" s="4" t="inlineStr">
        <is>
          <t>Table 2</t>
        </is>
      </c>
      <c r="E49">
        <f>RIGHT(A49,1)</f>
        <v/>
      </c>
      <c r="F49">
        <f>G49 &amp; IF(H49&lt;&gt;"", "_" &amp; H49, "_") &amp; IF(I49&lt;&gt;"", "_" &amp; I49, "_") &amp; IF(B49&lt;&gt;"", "_" &amp; B49, "")</f>
        <v/>
      </c>
      <c r="G49">
        <f>SUBSTITUTE(SUBSTITUTE(_xlfn.TEXTBEFORE(A49,","), "-", ""), " ", "")</f>
        <v/>
      </c>
      <c r="H49">
        <f>IF(ISNUMBER(FIND("&amp;", A49)),
IF(LEN(A49)-LEN(SUBSTITUTE(A49, ",", ""))&gt;=6, "etal", MID(A49, SEARCH("&amp; ", A49)+2, SEARCH(",", A49, SEARCH("&amp; ", A49)+2) - SEARCH("&amp; ", A49)-2)),
""
)</f>
        <v/>
      </c>
      <c r="I49">
        <f>_xlfn.TEXTBEFORE(_xlfn.TEXTAFTER(A49, "("), ")")</f>
        <v/>
      </c>
      <c r="J49">
        <f>IF(C49&lt;&gt;"", C49, IF(C49="", _xlfn.TEXTAFTER(A49,"https://doi.org/"), C49))</f>
        <v/>
      </c>
      <c r="K49">
        <f>TRIM(_xlfn.TEXTJOIN("_",FALSE,F49,(SUBSTITUTE(SUBSTITUTE(D49," ",""), "_", ""))))</f>
        <v/>
      </c>
      <c r="L49">
        <f>IF(ISBLANK(C49),TRIM(SUBSTITUTE(SUBSTITUTE(SUBSTITUTE(_xlfn.TEXTJOIN("_", FALSE, J49, SUBSTITUTE(D49,"_", "")), "/", "%2F"), ":", "%3A"), " ", "")),TRIM(SUBSTITUTE(SUBSTITUTE(SUBSTITUTE(_xlfn.TEXTJOIN("_", FALSE, C49, SUBSTITUTE(D49,"_", "")), "/", "%2F"), ":", "%3A"), " ", "")))</f>
        <v/>
      </c>
      <c r="M49">
        <f t="array" ref="M49">IFERROR(INDEX(FileList!$A$1:$A$100, MATCH(L49, _xlfn.TEXTBEFORE(FileList!$A$1:$A$100, ".tsv"), 0)), "notfound")</f>
        <v/>
      </c>
      <c r="Q49" s="4" t="inlineStr">
        <is>
          <t>already there</t>
        </is>
      </c>
    </row>
    <row r="50" ht="16" customHeight="1">
      <c r="A50" s="4" t="inlineStr">
        <is>
          <t>Isler, K., Christopher Kirk, E., Miller, J. M. A., Albrecht, G. A., Gelvin, B. R., &amp; Martin, R. D. (2008). Endocranial volumes of primate species: scaling analyses using a comprehensive and reliable data set. J Hum Evol, 55(6), 967. https://doi.org/10.1016/j.jhevol.2008.08.004</t>
        </is>
      </c>
      <c r="D50" s="4" t="inlineStr">
        <is>
          <t>Table 7</t>
        </is>
      </c>
      <c r="E50">
        <f>RIGHT(A50,1)</f>
        <v/>
      </c>
      <c r="F50">
        <f>G50 &amp; IF(H50&lt;&gt;"", "_" &amp; H50, "_") &amp; IF(I50&lt;&gt;"", "_" &amp; I50, "_") &amp; IF(B50&lt;&gt;"", "_" &amp; B50, "")</f>
        <v/>
      </c>
      <c r="G50">
        <f>SUBSTITUTE(SUBSTITUTE(_xlfn.TEXTBEFORE(A50,","), "-", ""), " ", "")</f>
        <v/>
      </c>
      <c r="H50">
        <f>IF(ISNUMBER(FIND("&amp;", A50)),
IF(LEN(A50)-LEN(SUBSTITUTE(A50, ",", ""))&gt;=6, "etal", MID(A50, SEARCH("&amp; ", A50)+2, SEARCH(",", A50, SEARCH("&amp; ", A50)+2) - SEARCH("&amp; ", A50)-2)),
""
)</f>
        <v/>
      </c>
      <c r="I50">
        <f>_xlfn.TEXTBEFORE(_xlfn.TEXTAFTER(A50, "("), ")")</f>
        <v/>
      </c>
      <c r="J50">
        <f>IF(C50&lt;&gt;"", C50, IF(C50="", _xlfn.TEXTAFTER(A50,"https://doi.org/"), C50))</f>
        <v/>
      </c>
      <c r="K50">
        <f>TRIM(_xlfn.TEXTJOIN("_",FALSE,F50,(SUBSTITUTE(SUBSTITUTE(D50," ",""), "_", ""))))</f>
        <v/>
      </c>
      <c r="L50">
        <f>IF(ISBLANK(C50),TRIM(SUBSTITUTE(SUBSTITUTE(SUBSTITUTE(_xlfn.TEXTJOIN("_", FALSE, J50, SUBSTITUTE(D50,"_", "")), "/", "%2F"), ":", "%3A"), " ", "")),TRIM(SUBSTITUTE(SUBSTITUTE(SUBSTITUTE(_xlfn.TEXTJOIN("_", FALSE, C50, SUBSTITUTE(D50,"_", "")), "/", "%2F"), ":", "%3A"), " ", "")))</f>
        <v/>
      </c>
      <c r="M50">
        <f t="array" ref="M50">IFERROR(INDEX(FileList!$A$1:$A$100, MATCH(L50, _xlfn.TEXTBEFORE(FileList!$A$1:$A$100, ".tsv"), 0)), "notfound")</f>
        <v/>
      </c>
      <c r="Q50" s="4" t="inlineStr">
        <is>
          <t>already there</t>
        </is>
      </c>
    </row>
    <row r="51" ht="16" customHeight="1">
      <c r="A51" s="4" t="inlineStr">
        <is>
          <t>Isler, K., Christopher Kirk, E., Miller, J. M. A., Albrecht, G. A., Gelvin, B. R., &amp; Martin, R. D. (2008). Endocranial volumes of primate species: scaling analyses using a comprehensive and reliable data set. J Hum Evol, 55(6), 967. https://doi.org/10.1016/j.jhevol.2008.08.004</t>
        </is>
      </c>
      <c r="D51" s="4" t="inlineStr">
        <is>
          <t>Table S1</t>
        </is>
      </c>
      <c r="E51">
        <f>RIGHT(A51,1)</f>
        <v/>
      </c>
      <c r="F51">
        <f>G51 &amp; IF(H51&lt;&gt;"", "_" &amp; H51, "_") &amp; IF(I51&lt;&gt;"", "_" &amp; I51, "_") &amp; IF(B51&lt;&gt;"", "_" &amp; B51, "")</f>
        <v/>
      </c>
      <c r="G51">
        <f>SUBSTITUTE(SUBSTITUTE(_xlfn.TEXTBEFORE(A51,","), "-", ""), " ", "")</f>
        <v/>
      </c>
      <c r="H51">
        <f>IF(ISNUMBER(FIND("&amp;", A51)),
    IF(LEN(A51)-LEN(SUBSTITUTE(A51, ",", ""))&gt;=6, "etal", MID(A51, SEARCH("&amp; ", A51)+2, SEARCH(",", A51, SEARCH("&amp; ", A51)+2) - SEARCH("&amp; ", A51)-2)),
    ""
)</f>
        <v/>
      </c>
      <c r="I51">
        <f>_xlfn.TEXTBEFORE(_xlfn.TEXTAFTER(A51, "("), ")")</f>
        <v/>
      </c>
      <c r="J51">
        <f>IF(C51&lt;&gt;"", C51, IF(C51="", _xlfn.TEXTAFTER(A51,"https://doi.org/"), C51))</f>
        <v/>
      </c>
      <c r="K51">
        <f>TRIM(_xlfn.TEXTJOIN("_",FALSE,F51,(SUBSTITUTE(SUBSTITUTE(D51," ",""), "_", ""))))</f>
        <v/>
      </c>
      <c r="L51">
        <f>IF(ISBLANK(C51),TRIM(SUBSTITUTE(SUBSTITUTE(SUBSTITUTE(_xlfn.TEXTJOIN("_", FALSE, J51, SUBSTITUTE(D51,"_", "")), "/", "%2F"), ":", "%3A"), " ", "")),TRIM(SUBSTITUTE(SUBSTITUTE(SUBSTITUTE(_xlfn.TEXTJOIN("_", FALSE, C51, SUBSTITUTE(D51,"_", "")), "/", "%2F"), ":", "%3A"), " ", "")))</f>
        <v/>
      </c>
      <c r="M51">
        <f t="array" ref="M51">IFERROR(INDEX(FileList!$A$1:$A$100, MATCH(L51, _xlfn.TEXTBEFORE(FileList!$A$1:$A$100, ".tsv"), 0)), "notfound")</f>
        <v/>
      </c>
      <c r="Q51" s="4" t="inlineStr">
        <is>
          <t>already there</t>
        </is>
      </c>
    </row>
    <row r="52" ht="16" customHeight="1">
      <c r="A52" s="4" t="inlineStr">
        <is>
          <t>Isler, K., Christopher Kirk, E., Miller, J. M. A., Albrecht, G. A., Gelvin, B. R., &amp; Martin, R. D. (2008). Endocranial volumes of primate species: scaling analyses using a comprehensive and reliable data set. J Hum Evol, 55(6), 967. https://doi.org/10.1016/j.jhevol.2008.08.004</t>
        </is>
      </c>
      <c r="D52" s="4" t="inlineStr">
        <is>
          <t>Table S2</t>
        </is>
      </c>
      <c r="E52">
        <f>RIGHT(A52,1)</f>
        <v/>
      </c>
      <c r="F52">
        <f>G52 &amp; IF(H52&lt;&gt;"", "_" &amp; H52, "_") &amp; IF(I52&lt;&gt;"", "_" &amp; I52, "_") &amp; IF(B52&lt;&gt;"", "_" &amp; B52, "")</f>
        <v/>
      </c>
      <c r="G52">
        <f>SUBSTITUTE(SUBSTITUTE(_xlfn.TEXTBEFORE(A52,","), "-", ""), " ", "")</f>
        <v/>
      </c>
      <c r="H52">
        <f>IF(ISNUMBER(FIND("&amp;", A52)),
IF(LEN(A52)-LEN(SUBSTITUTE(A52, ",", ""))&gt;=6, "etal", MID(A52, SEARCH("&amp; ", A52)+2, SEARCH(",", A52, SEARCH("&amp; ", A52)+2) - SEARCH("&amp; ", A52)-2)),
""
)</f>
        <v/>
      </c>
      <c r="I52">
        <f>_xlfn.TEXTBEFORE(_xlfn.TEXTAFTER(A52, "("), ")")</f>
        <v/>
      </c>
      <c r="J52">
        <f>IF(C52&lt;&gt;"", C52, IF(C52="", _xlfn.TEXTAFTER(A52,"https://doi.org/"), C52))</f>
        <v/>
      </c>
      <c r="K52">
        <f>TRIM(_xlfn.TEXTJOIN("_",FALSE,F52,(SUBSTITUTE(SUBSTITUTE(D52," ",""), "_", ""))))</f>
        <v/>
      </c>
      <c r="L52">
        <f>IF(ISBLANK(C52),TRIM(SUBSTITUTE(SUBSTITUTE(SUBSTITUTE(_xlfn.TEXTJOIN("_", FALSE, J52, SUBSTITUTE(D52,"_", "")), "/", "%2F"), ":", "%3A"), " ", "")),TRIM(SUBSTITUTE(SUBSTITUTE(SUBSTITUTE(_xlfn.TEXTJOIN("_", FALSE, C52, SUBSTITUTE(D52,"_", "")), "/", "%2F"), ":", "%3A"), " ", "")))</f>
        <v/>
      </c>
      <c r="M52">
        <f t="array" ref="M52">IFERROR(INDEX(FileList!$A$1:$A$100, MATCH(L52, _xlfn.TEXTBEFORE(FileList!$A$1:$A$100, ".tsv"), 0)), "notfound")</f>
        <v/>
      </c>
      <c r="Q52" s="4" t="inlineStr">
        <is>
          <t>already there</t>
        </is>
      </c>
    </row>
    <row r="53" ht="16" customHeight="1">
      <c r="A53" s="4" t="inlineStr">
        <is>
          <t>Isler, K., Christopher Kirk, E., Miller, J. M. A., Albrecht, G. A., Gelvin, B. R., &amp; Martin, R. D. (2008). Endocranial volumes of primate species: scaling analyses using a comprehensive and reliable data set. J Hum Evol, 55(6), 967. https://doi.org/10.1016/j.jhevol.2008.08.004</t>
        </is>
      </c>
      <c r="D53" s="4" t="inlineStr">
        <is>
          <t>Table S3</t>
        </is>
      </c>
      <c r="E53">
        <f>RIGHT(A53,1)</f>
        <v/>
      </c>
      <c r="F53">
        <f>G53 &amp; IF(H53&lt;&gt;"", "_" &amp; H53, "_") &amp; IF(I53&lt;&gt;"", "_" &amp; I53, "_") &amp; IF(B53&lt;&gt;"", "_" &amp; B53, "")</f>
        <v/>
      </c>
      <c r="G53">
        <f>SUBSTITUTE(SUBSTITUTE(_xlfn.TEXTBEFORE(A53,","), "-", ""), " ", "")</f>
        <v/>
      </c>
      <c r="H53">
        <f>IF(ISNUMBER(FIND("&amp;", A53)),
IF(LEN(A53)-LEN(SUBSTITUTE(A53, ",", ""))&gt;=6, "etal", MID(A53, SEARCH("&amp; ", A53)+2, SEARCH(",", A53, SEARCH("&amp; ", A53)+2) - SEARCH("&amp; ", A53)-2)),
""
)</f>
        <v/>
      </c>
      <c r="I53">
        <f>_xlfn.TEXTBEFORE(_xlfn.TEXTAFTER(A53, "("), ")")</f>
        <v/>
      </c>
      <c r="J53">
        <f>IF(C53&lt;&gt;"", C53, IF(C53="", _xlfn.TEXTAFTER(A53,"https://doi.org/"), C53))</f>
        <v/>
      </c>
      <c r="K53">
        <f>TRIM(_xlfn.TEXTJOIN("_",FALSE,F53,(SUBSTITUTE(SUBSTITUTE(D53," ",""), "_", ""))))</f>
        <v/>
      </c>
      <c r="L53">
        <f>IF(ISBLANK(C53),TRIM(SUBSTITUTE(SUBSTITUTE(SUBSTITUTE(_xlfn.TEXTJOIN("_", FALSE, J53, SUBSTITUTE(D53,"_", "")), "/", "%2F"), ":", "%3A"), " ", "")),TRIM(SUBSTITUTE(SUBSTITUTE(SUBSTITUTE(_xlfn.TEXTJOIN("_", FALSE, C53, SUBSTITUTE(D53,"_", "")), "/", "%2F"), ":", "%3A"), " ", "")))</f>
        <v/>
      </c>
      <c r="M53">
        <f t="array" ref="M53">IFERROR(INDEX(FileList!$A$1:$A$100, MATCH(L53, _xlfn.TEXTBEFORE(FileList!$A$1:$A$100, ".tsv"), 0)), "notfound")</f>
        <v/>
      </c>
      <c r="Q53" s="4" t="inlineStr">
        <is>
          <t>already there</t>
        </is>
      </c>
    </row>
    <row r="54" ht="16" customHeight="1">
      <c r="A54" s="4" t="inlineStr">
        <is>
          <t>Isler, K., Christopher Kirk, E., Miller, J. M. A., Albrecht, G. A., Gelvin, B. R., &amp; Martin, R. D. (2008). Endocranial volumes of primate species: scaling analyses using a comprehensive and reliable data set. J Hum Evol, 55(6), 967. https://doi.org/10.1016/j.jhevol.2008.08.004</t>
        </is>
      </c>
      <c r="D54" s="4" t="inlineStr">
        <is>
          <t>Tree.nex</t>
        </is>
      </c>
      <c r="E54">
        <f>RIGHT(A54,1)</f>
        <v/>
      </c>
      <c r="F54">
        <f>G54 &amp; IF(H54&lt;&gt;"", "_" &amp; H54, "_") &amp; IF(I54&lt;&gt;"", "_" &amp; I54, "_") &amp; IF(B54&lt;&gt;"", "_" &amp; B54, "")</f>
        <v/>
      </c>
      <c r="G54">
        <f>SUBSTITUTE(SUBSTITUTE(_xlfn.TEXTBEFORE(A54,","), "-", ""), " ", "")</f>
        <v/>
      </c>
      <c r="H54">
        <f>IF(ISNUMBER(FIND("&amp;", A54)),
IF(LEN(A54)-LEN(SUBSTITUTE(A54, ",", ""))&gt;=6, "etal", MID(A54, SEARCH("&amp; ", A54)+2, SEARCH(",", A54, SEARCH("&amp; ", A54)+2) - SEARCH("&amp; ", A54)-2)),
""
)</f>
        <v/>
      </c>
      <c r="I54">
        <f>_xlfn.TEXTBEFORE(_xlfn.TEXTAFTER(A54, "("), ")")</f>
        <v/>
      </c>
      <c r="J54">
        <f>IF(C54&lt;&gt;"", C54, IF(C54="", _xlfn.TEXTAFTER(A54,"https://doi.org/"), C54))</f>
        <v/>
      </c>
      <c r="K54">
        <f>TRIM(_xlfn.TEXTJOIN("_",FALSE,F54,(SUBSTITUTE(SUBSTITUTE(D54," ",""), "_", ""))))</f>
        <v/>
      </c>
      <c r="L54">
        <f>IF(ISBLANK(C54),TRIM(SUBSTITUTE(SUBSTITUTE(SUBSTITUTE(_xlfn.TEXTJOIN("_", FALSE, J54, SUBSTITUTE(D54,"_", "")), "/", "%2F"), ":", "%3A"), " ", "")),TRIM(SUBSTITUTE(SUBSTITUTE(SUBSTITUTE(_xlfn.TEXTJOIN("_", FALSE, C54, SUBSTITUTE(D54,"_", "")), "/", "%2F"), ":", "%3A"), " ", "")))</f>
        <v/>
      </c>
      <c r="M54">
        <f t="array" ref="M54">IFERROR(INDEX(FileList!$A$1:$A$100, MATCH(L54, _xlfn.TEXTBEFORE(FileList!$A$1:$A$100, ".tsv"), 0)), "notfound")</f>
        <v/>
      </c>
      <c r="Q54" s="4" t="inlineStr">
        <is>
          <t>already there</t>
        </is>
      </c>
    </row>
    <row r="55" ht="16" customHeight="1">
      <c r="A55" s="4"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D55" s="4" t="inlineStr">
        <is>
          <t>References</t>
        </is>
      </c>
      <c r="E55">
        <f>RIGHT(A55,1)</f>
        <v/>
      </c>
      <c r="F55">
        <f>G55 &amp; IF(H55&lt;&gt;"", "_" &amp; H55, "_") &amp; IF(I55&lt;&gt;"", "_" &amp; I55, "_") &amp; IF(B55&lt;&gt;"", "_" &amp; B55, "")</f>
        <v/>
      </c>
      <c r="G55">
        <f>SUBSTITUTE(SUBSTITUTE(_xlfn.TEXTBEFORE(A55,","), "-", ""), " ", "")</f>
        <v/>
      </c>
      <c r="H55">
        <f>IF(ISNUMBER(FIND("&amp;", A55)),
IF(LEN(A55)-LEN(SUBSTITUTE(A55, ",", ""))&gt;=6, "etal", MID(A55, SEARCH("&amp; ", A55)+2, SEARCH(",", A55, SEARCH("&amp; ", A55)+2) - SEARCH("&amp; ", A55)-2)),
""
)</f>
        <v/>
      </c>
      <c r="I55">
        <f>_xlfn.TEXTBEFORE(_xlfn.TEXTAFTER(A55, "("), ")")</f>
        <v/>
      </c>
      <c r="J55">
        <f>IF(C55&lt;&gt;"", C55, IF(C55="", _xlfn.TEXTAFTER(A55,"https://doi.org/"), C55))</f>
        <v/>
      </c>
      <c r="K55">
        <f>TRIM(_xlfn.TEXTJOIN("_",FALSE,F55,(SUBSTITUTE(SUBSTITUTE(D55," ",""), "_", ""))))</f>
        <v/>
      </c>
      <c r="L55">
        <f>IF(ISBLANK(C55),TRIM(SUBSTITUTE(SUBSTITUTE(SUBSTITUTE(_xlfn.TEXTJOIN("_", FALSE, J55, SUBSTITUTE(D55,"_", "")), "/", "%2F"), ":", "%3A"), " ", "")),TRIM(SUBSTITUTE(SUBSTITUTE(SUBSTITUTE(_xlfn.TEXTJOIN("_", FALSE, C55, SUBSTITUTE(D55,"_", "")), "/", "%2F"), ":", "%3A"), " ", "")))</f>
        <v/>
      </c>
      <c r="M55">
        <f t="array" ref="M55">IFERROR(INDEX(FileList!$A$1:$A$100, MATCH(L55, _xlfn.TEXTBEFORE(FileList!$A$1:$A$100, ".tsv"), 0)), "notfound")</f>
        <v/>
      </c>
      <c r="N55" s="4" t="inlineStr">
        <is>
          <t>References</t>
        </is>
      </c>
      <c r="P55" s="4" t="inlineStr">
        <is>
          <t>NOT STARTED</t>
        </is>
      </c>
      <c r="V55" s="4" t="inlineStr">
        <is>
          <t>reference list</t>
        </is>
      </c>
      <c r="W55" s="4" t="inlineStr">
        <is>
          <t>NO - paywall</t>
        </is>
      </c>
    </row>
    <row r="56" ht="16" customHeight="1">
      <c r="A56" s="4" t="inlineStr">
        <is>
          <t>Iwaniuk, A. N., Pellis, S. M., &amp; Whishaw, I. Q. (1999). Is digital dexterity really related to corticospinal projections?: a re-analysis of the Heffner and Masterton data set using modern comparative statistics. Behav Brain Res, 101(2), 173-187. https://doi.org/10.1016/s0166-4328(98)00151-x</t>
        </is>
      </c>
      <c r="D56" s="4" t="inlineStr">
        <is>
          <t>Table 1</t>
        </is>
      </c>
      <c r="E56">
        <f>RIGHT(A56,1)</f>
        <v/>
      </c>
      <c r="F56">
        <f>G56 &amp; IF(H56&lt;&gt;"", "_" &amp; H56, "_") &amp; IF(I56&lt;&gt;"", "_" &amp; I56, "_") &amp; IF(B56&lt;&gt;"", "_" &amp; B56, "")</f>
        <v/>
      </c>
      <c r="G56">
        <f>SUBSTITUTE(SUBSTITUTE(_xlfn.TEXTBEFORE(A56,","), "-", ""), " ", "")</f>
        <v/>
      </c>
      <c r="H56">
        <f>IF(ISNUMBER(FIND("&amp;", A56)),
IF(LEN(A56)-LEN(SUBSTITUTE(A56, ",", ""))&gt;=6, "etal", MID(A56, SEARCH("&amp; ", A56)+2, SEARCH(",", A56, SEARCH("&amp; ", A56)+2) - SEARCH("&amp; ", A56)-2)),
""
)</f>
        <v/>
      </c>
      <c r="I56">
        <f>_xlfn.TEXTBEFORE(_xlfn.TEXTAFTER(A56, "("), ")")</f>
        <v/>
      </c>
      <c r="J56">
        <f>IF(C56&lt;&gt;"", C56, IF(C56="", _xlfn.TEXTAFTER(A56,"https://doi.org/"), C56))</f>
        <v/>
      </c>
      <c r="K56">
        <f>TRIM(_xlfn.TEXTJOIN("_",FALSE,F56,(SUBSTITUTE(SUBSTITUTE(D56," ",""), "_", ""))))</f>
        <v/>
      </c>
      <c r="L56">
        <f>IF(ISBLANK(C56),TRIM(SUBSTITUTE(SUBSTITUTE(SUBSTITUTE(_xlfn.TEXTJOIN("_", FALSE, J56, SUBSTITUTE(D56,"_", "")), "/", "%2F"), ":", "%3A"), " ", "")),TRIM(SUBSTITUTE(SUBSTITUTE(SUBSTITUTE(_xlfn.TEXTJOIN("_", FALSE, C56, SUBSTITUTE(D56,"_", "")), "/", "%2F"), ":", "%3A"), " ", "")))</f>
        <v/>
      </c>
      <c r="M56">
        <f t="array" ref="M56">IFERROR(INDEX(FileList!$A$1:$A$100, MATCH(L56, _xlfn.TEXTBEFORE(FileList!$A$1:$A$100, ".tsv"), 0)), "notfound")</f>
        <v/>
      </c>
      <c r="N56" s="4" t="inlineStr">
        <is>
          <t>Table 1 The anatomical and behavioural traits used the comparative analysis</t>
        </is>
      </c>
      <c r="P56" s="4" t="inlineStr">
        <is>
          <t>NOT STARTED</t>
        </is>
      </c>
      <c r="V56" s="4" t="inlineStr">
        <is>
          <t>table</t>
        </is>
      </c>
      <c r="W56" s="4" t="inlineStr">
        <is>
          <t>NO - paywall</t>
        </is>
      </c>
    </row>
    <row r="57" ht="16" customHeight="1">
      <c r="A57" s="4" t="inlineStr">
        <is>
          <t>Iwaniuk, A. N., Nelson, J. E., &amp; Pellis, S. M. (2001). Do big-brained animals play more? Comparative analyses of play and relative brain size in mammals. J Comp Psychol, 115(1), 29-41. https://doi.org/10.1037/0735-7036.115.1.29</t>
        </is>
      </c>
      <c r="D57" s="4" t="inlineStr">
        <is>
          <t>Table 1</t>
        </is>
      </c>
      <c r="E57">
        <f>RIGHT(A57,1)</f>
        <v/>
      </c>
      <c r="F57">
        <f>G57 &amp; IF(H57&lt;&gt;"", "_" &amp; H57, "_") &amp; IF(I57&lt;&gt;"", "_" &amp; I57, "_") &amp; IF(B57&lt;&gt;"", "_" &amp; B57, "")</f>
        <v/>
      </c>
      <c r="G57">
        <f>SUBSTITUTE(SUBSTITUTE(_xlfn.TEXTBEFORE(A57,","), "-", ""), " ", "")</f>
        <v/>
      </c>
      <c r="H57">
        <f>IF(ISNUMBER(FIND("&amp;", A57)),
IF(LEN(A57)-LEN(SUBSTITUTE(A57, ",", ""))&gt;=6, "etal", MID(A57, SEARCH("&amp; ", A57)+2, SEARCH(",", A57, SEARCH("&amp; ", A57)+2) - SEARCH("&amp; ", A57)-2)),
""
)</f>
        <v/>
      </c>
      <c r="I57">
        <f>_xlfn.TEXTBEFORE(_xlfn.TEXTAFTER(A57, "("), ")")</f>
        <v/>
      </c>
      <c r="J57">
        <f>IF(C57&lt;&gt;"", C57, IF(C57="", _xlfn.TEXTAFTER(A57,"https://doi.org/"), C57))</f>
        <v/>
      </c>
      <c r="K57">
        <f>TRIM(_xlfn.TEXTJOIN("_",FALSE,F57,(SUBSTITUTE(SUBSTITUTE(D57," ",""), "_", ""))))</f>
        <v/>
      </c>
      <c r="L57">
        <f>IF(ISBLANK(C57),TRIM(SUBSTITUTE(SUBSTITUTE(SUBSTITUTE(_xlfn.TEXTJOIN("_", FALSE, J57, SUBSTITUTE(D57,"_", "")), "/", "%2F"), ":", "%3A"), " ", "")),TRIM(SUBSTITUTE(SUBSTITUTE(SUBSTITUTE(_xlfn.TEXTJOIN("_", FALSE, C57, SUBSTITUTE(D57,"_", "")), "/", "%2F"), ":", "%3A"), " ", "")))</f>
        <v/>
      </c>
      <c r="M57">
        <f t="array" ref="M57">IFERROR(INDEX(FileList!$A$1:$A$100, MATCH(L57, _xlfn.TEXTBEFORE(FileList!$A$1:$A$100, ".tsv"), 0)), "notfound")</f>
        <v/>
      </c>
      <c r="N57" s="4" t="inlineStr">
        <is>
          <t>Table 1 Encephalization Quotients (EQs) and Play Scores for 15 Mammalian Orders</t>
        </is>
      </c>
      <c r="P57" s="4" t="inlineStr">
        <is>
          <t>only manually added M1 species; do all species and record steps</t>
        </is>
      </c>
      <c r="Q57" s="4" t="inlineStr">
        <is>
          <t>NA</t>
        </is>
      </c>
      <c r="R57" s="7" t="n"/>
      <c r="T57" s="4">
        <f>IF(S57="N", R57, "write file name")</f>
        <v/>
      </c>
      <c r="U57" s="4" t="inlineStr">
        <is>
          <t>pdf</t>
        </is>
      </c>
      <c r="V57" s="4" t="inlineStr">
        <is>
          <t>table</t>
        </is>
      </c>
      <c r="Y57" s="4" t="inlineStr">
        <is>
          <t>play</t>
        </is>
      </c>
      <c r="AE57" s="4" t="inlineStr">
        <is>
          <t>mammal clades</t>
        </is>
      </c>
    </row>
    <row r="58" ht="16" customHeight="1">
      <c r="A58" s="4" t="inlineStr">
        <is>
          <t>Iwaniuk, A. N., Nelson, J. E., &amp; Pellis, S. M. (2001). Do big-brained animals play more? Comparative analyses of play and relative brain size in mammals. J Comp Psychol, 115(1), 29-41. https://doi.org/10.1037/0735-7036.115.1.29</t>
        </is>
      </c>
      <c r="D58" s="4" t="inlineStr">
        <is>
          <t>Table 2</t>
        </is>
      </c>
      <c r="E58">
        <f>RIGHT(A58,1)</f>
        <v/>
      </c>
      <c r="F58">
        <f>G58 &amp; IF(H58&lt;&gt;"", "_" &amp; H58, "_") &amp; IF(I58&lt;&gt;"", "_" &amp; I58, "_") &amp; IF(B58&lt;&gt;"", "_" &amp; B58, "")</f>
        <v/>
      </c>
      <c r="G58">
        <f>SUBSTITUTE(SUBSTITUTE(_xlfn.TEXTBEFORE(A58,","), "-", ""), " ", "")</f>
        <v/>
      </c>
      <c r="H58">
        <f>IF(ISNUMBER(FIND("&amp;", A58)),
IF(LEN(A58)-LEN(SUBSTITUTE(A58, ",", ""))&gt;=6, "etal", MID(A58, SEARCH("&amp; ", A58)+2, SEARCH(",", A58, SEARCH("&amp; ", A58)+2) - SEARCH("&amp; ", A58)-2)),
""
)</f>
        <v/>
      </c>
      <c r="I58">
        <f>_xlfn.TEXTBEFORE(_xlfn.TEXTAFTER(A58, "("), ")")</f>
        <v/>
      </c>
      <c r="J58">
        <f>IF(C58&lt;&gt;"", C58, IF(C58="", _xlfn.TEXTAFTER(A58,"https://doi.org/"), C58))</f>
        <v/>
      </c>
      <c r="K58">
        <f>TRIM(_xlfn.TEXTJOIN("_",FALSE,F58,(SUBSTITUTE(SUBSTITUTE(D58," ",""), "_", ""))))</f>
        <v/>
      </c>
      <c r="L58">
        <f>IF(ISBLANK(C58),TRIM(SUBSTITUTE(SUBSTITUTE(SUBSTITUTE(_xlfn.TEXTJOIN("_", FALSE, J58, SUBSTITUTE(D58,"_", "")), "/", "%2F"), ":", "%3A"), " ", "")),TRIM(SUBSTITUTE(SUBSTITUTE(SUBSTITUTE(_xlfn.TEXTJOIN("_", FALSE, C58, SUBSTITUTE(D58,"_", "")), "/", "%2F"), ":", "%3A"), " ", "")))</f>
        <v/>
      </c>
      <c r="M58">
        <f t="array" ref="M58">IFERROR(INDEX(FileList!$A$1:$A$100, MATCH(L58, _xlfn.TEXTBEFORE(FileList!$A$1:$A$100, ".tsv"), 0)), "notfound")</f>
        <v/>
      </c>
      <c r="N58" s="4" t="inlineStr">
        <is>
          <t>Table 2 The Five Play Scores and Relative Brain Sizes for the Species of Muroid Rodents Examined</t>
        </is>
      </c>
      <c r="P58" s="4" t="inlineStr">
        <is>
          <t>only manually added M1 species; do all species and record steps</t>
        </is>
      </c>
      <c r="Q58" s="4" t="inlineStr">
        <is>
          <t>NA</t>
        </is>
      </c>
      <c r="R58" s="7" t="n"/>
      <c r="T58" s="4">
        <f>IF(S58="N", R58, "write file name")</f>
        <v/>
      </c>
      <c r="U58" s="4" t="inlineStr">
        <is>
          <t>pdf</t>
        </is>
      </c>
      <c r="V58" s="4" t="inlineStr">
        <is>
          <t>table</t>
        </is>
      </c>
      <c r="Y58" s="4" t="inlineStr">
        <is>
          <t>play</t>
        </is>
      </c>
      <c r="AE58" s="4" t="inlineStr">
        <is>
          <t>mammal clades</t>
        </is>
      </c>
    </row>
    <row r="59" ht="16" customHeight="1">
      <c r="A59" s="4" t="inlineStr">
        <is>
          <t>Iwaniuk, A. N., Nelson, J. E., &amp; Pellis, S. M. (2001). Do big-brained animals play more? Comparative analyses of play and relative brain size in mammals. J Comp Psychol, 115(1), 29-41. https://doi.org/10.1037/0735-7036.115.1.29</t>
        </is>
      </c>
      <c r="D59" s="4" t="inlineStr">
        <is>
          <t>Table 3</t>
        </is>
      </c>
      <c r="E59">
        <f>RIGHT(A59,1)</f>
        <v/>
      </c>
      <c r="F59">
        <f>G59 &amp; IF(H59&lt;&gt;"", "_" &amp; H59, "_") &amp; IF(I59&lt;&gt;"", "_" &amp; I59, "_") &amp; IF(B59&lt;&gt;"", "_" &amp; B59, "")</f>
        <v/>
      </c>
      <c r="G59">
        <f>SUBSTITUTE(SUBSTITUTE(_xlfn.TEXTBEFORE(A59,","), "-", ""), " ", "")</f>
        <v/>
      </c>
      <c r="H59">
        <f>IF(ISNUMBER(FIND("&amp;", A59)),
IF(LEN(A59)-LEN(SUBSTITUTE(A59, ",", ""))&gt;=6, "etal", MID(A59, SEARCH("&amp; ", A59)+2, SEARCH(",", A59, SEARCH("&amp; ", A59)+2) - SEARCH("&amp; ", A59)-2)),
""
)</f>
        <v/>
      </c>
      <c r="I59">
        <f>_xlfn.TEXTBEFORE(_xlfn.TEXTAFTER(A59, "("), ")")</f>
        <v/>
      </c>
      <c r="J59">
        <f>IF(C59&lt;&gt;"", C59, IF(C59="", _xlfn.TEXTAFTER(A59,"https://doi.org/"), C59))</f>
        <v/>
      </c>
      <c r="K59">
        <f>TRIM(_xlfn.TEXTJOIN("_",FALSE,F59,(SUBSTITUTE(SUBSTITUTE(D59," ",""), "_", ""))))</f>
        <v/>
      </c>
      <c r="L59">
        <f>IF(ISBLANK(C59),TRIM(SUBSTITUTE(SUBSTITUTE(SUBSTITUTE(_xlfn.TEXTJOIN("_", FALSE, J59, SUBSTITUTE(D59,"_", "")), "/", "%2F"), ":", "%3A"), " ", "")),TRIM(SUBSTITUTE(SUBSTITUTE(SUBSTITUTE(_xlfn.TEXTJOIN("_", FALSE, C59, SUBSTITUTE(D59,"_", "")), "/", "%2F"), ":", "%3A"), " ", "")))</f>
        <v/>
      </c>
      <c r="M59">
        <f t="array" ref="M59">IFERROR(INDEX(FileList!$A$1:$A$100, MATCH(L59, _xlfn.TEXTBEFORE(FileList!$A$1:$A$100, ".tsv"), 0)), "notfound")</f>
        <v/>
      </c>
      <c r="N59" s="4" t="inlineStr">
        <is>
          <t>Table 3 The Play Scores and Relative Brain ( EQ) and Neocortex Sizes for the Marsupials Examined</t>
        </is>
      </c>
      <c r="P59" s="4" t="inlineStr">
        <is>
          <t>only manually added M1 species; do all species and record steps</t>
        </is>
      </c>
      <c r="Q59" s="4" t="inlineStr">
        <is>
          <t>NA</t>
        </is>
      </c>
      <c r="R59" s="7" t="n"/>
      <c r="T59" s="4">
        <f>IF(S59="N", R59, "write file name")</f>
        <v/>
      </c>
      <c r="U59" s="4" t="inlineStr">
        <is>
          <t>pdf</t>
        </is>
      </c>
      <c r="V59" s="4" t="inlineStr">
        <is>
          <t>table</t>
        </is>
      </c>
      <c r="Y59" s="4" t="inlineStr">
        <is>
          <t>play</t>
        </is>
      </c>
      <c r="AE59" s="4" t="inlineStr">
        <is>
          <t>mammal clades</t>
        </is>
      </c>
    </row>
    <row r="60" ht="16" customHeight="1">
      <c r="A60" s="4" t="inlineStr">
        <is>
          <t>Iwaniuk, A. N., Nelson, J. E., &amp; Pellis, S. M. (2001). Do big-brained animals play more? Comparative analyses of play and relative brain size in mammals. J Comp Psychol, 115(1), 29-41. https://doi.org/10.1037/0735-7036.115.1.29</t>
        </is>
      </c>
      <c r="D60" s="4" t="inlineStr">
        <is>
          <t>Table 4</t>
        </is>
      </c>
      <c r="E60">
        <f>RIGHT(A60,1)</f>
        <v/>
      </c>
      <c r="F60">
        <f>G60 &amp; IF(H60&lt;&gt;"", "_" &amp; H60, "_") &amp; IF(I60&lt;&gt;"", "_" &amp; I60, "_") &amp; IF(B60&lt;&gt;"", "_" &amp; B60, "")</f>
        <v/>
      </c>
      <c r="G60">
        <f>SUBSTITUTE(SUBSTITUTE(_xlfn.TEXTBEFORE(A60,","), "-", ""), " ", "")</f>
        <v/>
      </c>
      <c r="H60">
        <f>IF(ISNUMBER(FIND("&amp;", A60)),
IF(LEN(A60)-LEN(SUBSTITUTE(A60, ",", ""))&gt;=6, "etal", MID(A60, SEARCH("&amp; ", A60)+2, SEARCH(",", A60, SEARCH("&amp; ", A60)+2) - SEARCH("&amp; ", A60)-2)),
""
)</f>
        <v/>
      </c>
      <c r="I60">
        <f>_xlfn.TEXTBEFORE(_xlfn.TEXTAFTER(A60, "("), ")")</f>
        <v/>
      </c>
      <c r="J60">
        <f>IF(C60&lt;&gt;"", C60, IF(C60="", _xlfn.TEXTAFTER(A60,"https://doi.org/"), C60))</f>
        <v/>
      </c>
      <c r="K60">
        <f>TRIM(_xlfn.TEXTJOIN("_",FALSE,F60,(SUBSTITUTE(SUBSTITUTE(D60," ",""), "_", ""))))</f>
        <v/>
      </c>
      <c r="L60">
        <f>IF(ISBLANK(C60),TRIM(SUBSTITUTE(SUBSTITUTE(SUBSTITUTE(_xlfn.TEXTJOIN("_", FALSE, J60, SUBSTITUTE(D60,"_", "")), "/", "%2F"), ":", "%3A"), " ", "")),TRIM(SUBSTITUTE(SUBSTITUTE(SUBSTITUTE(_xlfn.TEXTJOIN("_", FALSE, C60, SUBSTITUTE(D60,"_", "")), "/", "%2F"), ":", "%3A"), " ", "")))</f>
        <v/>
      </c>
      <c r="M60">
        <f t="array" ref="M60">IFERROR(INDEX(FileList!$A$1:$A$100, MATCH(L60, _xlfn.TEXTBEFORE(FileList!$A$1:$A$100, ".tsv"), 0)), "notfound")</f>
        <v/>
      </c>
      <c r="N60" s="4" t="inlineStr">
        <is>
          <t>Table 4 Play Scores and Relative Brain and Neocortex Sizes for the Primates Examined</t>
        </is>
      </c>
      <c r="P60" s="4" t="inlineStr">
        <is>
          <t>only manually added M1 species; do all species and record steps</t>
        </is>
      </c>
      <c r="Q60" s="4" t="inlineStr">
        <is>
          <t>NA</t>
        </is>
      </c>
      <c r="R60" s="7" t="n"/>
      <c r="T60" s="4">
        <f>IF(S60="N", R60, "write file name")</f>
        <v/>
      </c>
      <c r="U60" s="4" t="inlineStr">
        <is>
          <t>pdf</t>
        </is>
      </c>
      <c r="V60" s="4" t="inlineStr">
        <is>
          <t>table</t>
        </is>
      </c>
      <c r="Y60" s="4" t="inlineStr">
        <is>
          <t>play</t>
        </is>
      </c>
      <c r="AE60" s="4" t="inlineStr">
        <is>
          <t>mammal clades</t>
        </is>
      </c>
    </row>
    <row r="61" ht="16" customHeight="1">
      <c r="A61" s="4" t="inlineStr">
        <is>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is>
      </c>
      <c r="D61" s="4" t="inlineStr">
        <is>
          <t>Table 1</t>
        </is>
      </c>
      <c r="E61">
        <f>RIGHT(A61,1)</f>
        <v/>
      </c>
      <c r="F61">
        <f>G61 &amp; IF(H61&lt;&gt;"", "_" &amp; H61, "_") &amp; IF(I61&lt;&gt;"", "_" &amp; I61, "_") &amp; IF(B61&lt;&gt;"", "_" &amp; B61, "")</f>
        <v/>
      </c>
      <c r="G61">
        <f>SUBSTITUTE(SUBSTITUTE(_xlfn.TEXTBEFORE(A61,","), "-", ""), " ", "")</f>
        <v/>
      </c>
      <c r="H61">
        <f>IF(ISNUMBER(FIND("&amp;", A61)),
IF(LEN(A61)-LEN(SUBSTITUTE(A61, ",", ""))&gt;=6, "etal", MID(A61, SEARCH("&amp; ", A61)+2, SEARCH(",", A61, SEARCH("&amp; ", A61)+2) - SEARCH("&amp; ", A61)-2)),
""
)</f>
        <v/>
      </c>
      <c r="I61">
        <f>_xlfn.TEXTBEFORE(_xlfn.TEXTAFTER(A61, "("), ")")</f>
        <v/>
      </c>
      <c r="J61">
        <f>IF(C61&lt;&gt;"", C61, IF(C61="", _xlfn.TEXTAFTER(A61,"https://doi.org/"), C61))</f>
        <v/>
      </c>
      <c r="K61">
        <f>TRIM(_xlfn.TEXTJOIN("_",FALSE,F61,(SUBSTITUTE(SUBSTITUTE(D61," ",""), "_", ""))))</f>
        <v/>
      </c>
      <c r="L61">
        <f>IF(ISBLANK(C61),TRIM(SUBSTITUTE(SUBSTITUTE(SUBSTITUTE(_xlfn.TEXTJOIN("_", FALSE, J61, SUBSTITUTE(D61,"_", "")), "/", "%2F"), ":", "%3A"), " ", "")),TRIM(SUBSTITUTE(SUBSTITUTE(SUBSTITUTE(_xlfn.TEXTJOIN("_", FALSE, C61, SUBSTITUTE(D61,"_", "")), "/", "%2F"), ":", "%3A"), " ", "")))</f>
        <v/>
      </c>
      <c r="M61">
        <f t="array" ref="M61">IFERROR(INDEX(FileList!$A$1:$A$100, MATCH(L61, _xlfn.TEXTBEFORE(FileList!$A$1:$A$100, ".tsv"), 0)), "notfound")</f>
        <v/>
      </c>
      <c r="N61" s="4" t="inlineStr">
        <is>
          <t>TABLE 1 | Summary of the cellular composition of the major brain structures of eight carnivoran species.</t>
        </is>
      </c>
      <c r="P61" s="4" t="inlineStr">
        <is>
          <t>FINISHED</t>
        </is>
      </c>
      <c r="Q61" s="4" t="inlineStr">
        <is>
          <t>added</t>
        </is>
      </c>
      <c r="R61" s="7" t="inlineStr">
        <is>
          <t>JardimMesseder_etal_2017_Table1_snapshot.csv</t>
        </is>
      </c>
      <c r="S61" s="4" t="inlineStr">
        <is>
          <t>Y</t>
        </is>
      </c>
      <c r="T61" s="4" t="inlineStr">
        <is>
          <t>JardimMesseder_etal_2017_Table1.csv</t>
        </is>
      </c>
      <c r="U61" s="4" t="inlineStr">
        <is>
          <t>pdf</t>
        </is>
      </c>
      <c r="V61" s="4" t="inlineStr">
        <is>
          <t>table</t>
        </is>
      </c>
      <c r="W61" s="4" t="inlineStr">
        <is>
          <t>YES - but formatting issues</t>
        </is>
      </c>
      <c r="X61" s="4" t="inlineStr">
        <is>
          <t>https://doi.org/10.3389/fnana.2017.00118</t>
        </is>
      </c>
      <c r="Y61" s="4" t="inlineStr">
        <is>
          <t>Cell numbers, region size</t>
        </is>
      </c>
      <c r="Z61" s="4" t="inlineStr">
        <is>
          <t>primary</t>
        </is>
      </c>
      <c r="AA61" s="4" t="inlineStr">
        <is>
          <t>HH</t>
        </is>
      </c>
      <c r="AB61" s="4" t="inlineStr">
        <is>
          <t>HH</t>
        </is>
      </c>
      <c r="AE61" s="4" t="inlineStr">
        <is>
          <t>companion animals</t>
        </is>
      </c>
    </row>
    <row r="62" ht="16" customHeight="1">
      <c r="A62" s="4" t="inlineStr">
        <is>
          <t>Johansen, A., Beliveau, V., Colliander, E., Raval, N. R., Dam, V. H., Gillings, N., Aznar, S., Svarer, C., Plaven-Sigray, P., &amp; Knudsen, G. M. (2024). An In Vivo High-Resolution Human Brain Atlas of Synaptic Density. J Neurosci, 44(33). https://doi.org/10.1523/JNEUROSCI.1750-23.2024</t>
        </is>
      </c>
      <c r="D62" s="4" t="inlineStr">
        <is>
          <t>Table 2</t>
        </is>
      </c>
      <c r="E62">
        <f>RIGHT(A62,1)</f>
        <v/>
      </c>
      <c r="F62">
        <f>G62 &amp; IF(H62&lt;&gt;"", "_" &amp; H62, "_") &amp; IF(I62&lt;&gt;"", "_" &amp; I62, "_") &amp; IF(B62&lt;&gt;"", "_" &amp; B62, "")</f>
        <v/>
      </c>
      <c r="G62">
        <f>SUBSTITUTE(SUBSTITUTE(_xlfn.TEXTBEFORE(A62,","), "-", ""), " ", "")</f>
        <v/>
      </c>
      <c r="H62">
        <f>IF(ISNUMBER(FIND("&amp;", A62)),
    IF(LEN(A62)-LEN(SUBSTITUTE(A62, ",", ""))&gt;=6, "etal", MID(A62, SEARCH("&amp; ", A62)+2, SEARCH(",", A62, SEARCH("&amp; ", A62)+2) - SEARCH("&amp; ", A62)-2)),
    ""
)</f>
        <v/>
      </c>
      <c r="I62">
        <f>_xlfn.TEXTBEFORE(_xlfn.TEXTAFTER(A62, "("), ")")</f>
        <v/>
      </c>
      <c r="J62">
        <f>IF(C62&lt;&gt;"", C62, IF(C62="", _xlfn.TEXTAFTER(A62,"https://doi.org/"), C62))</f>
        <v/>
      </c>
      <c r="K62">
        <f>TRIM(_xlfn.TEXTJOIN("_",FALSE,F62,(SUBSTITUTE(SUBSTITUTE(D62," ",""), "_", ""))))</f>
        <v/>
      </c>
      <c r="L62">
        <f>IF(ISBLANK(C62),TRIM(SUBSTITUTE(SUBSTITUTE(SUBSTITUTE(_xlfn.TEXTJOIN("_", FALSE, J62, SUBSTITUTE(D62,"_", "")), "/", "%2F"), ":", "%3A"), " ", "")),TRIM(SUBSTITUTE(SUBSTITUTE(SUBSTITUTE(_xlfn.TEXTJOIN("_", FALSE, C62, SUBSTITUTE(D62,"_", "")), "/", "%2F"), ":", "%3A"), " ", "")))</f>
        <v/>
      </c>
      <c r="M62">
        <f t="array" ref="M62">IFERROR(INDEX(FileList!$A$1:$A$100, MATCH(L62, _xlfn.TEXTBEFORE(FileList!$A$1:$A$100, ".tsv"), 0)), "notfound")</f>
        <v/>
      </c>
      <c r="N62" s="4" t="inlineStr">
        <is>
          <t>Table 2. Summary of SV2A Bmax (pmol/mL) in individual regions in the left and right hemisphere and for a weighted average (total)</t>
        </is>
      </c>
      <c r="P62" s="6" t="n"/>
      <c r="Q62" s="6" t="n"/>
      <c r="R62" s="7" t="n"/>
      <c r="S62" s="6" t="n"/>
      <c r="T62" s="6" t="n"/>
      <c r="U62" s="4" t="n"/>
      <c r="V62" s="4" t="n"/>
      <c r="W62" s="4" t="n"/>
      <c r="X62" s="6" t="n"/>
      <c r="Y62" s="4" t="inlineStr">
        <is>
          <t>the synaptic marker Synaptic Vesicle glycoprotein 2A (SV2A)</t>
        </is>
      </c>
      <c r="Z62" s="4" t="n"/>
      <c r="AA62" s="6" t="n"/>
      <c r="AB62" s="6" t="n"/>
      <c r="AE62" s="6" t="n"/>
    </row>
    <row r="63" ht="16" customHeight="1">
      <c r="A63" s="4" t="inlineStr">
        <is>
          <t>Karl, M. T., Kim, Y. D., Rajendran, K., Manger, P. R., &amp; Sherwood, C. C. (2024). Invariance of Mitochondria and Synapses in the Primary Visual Cortex of Mammals Provides Insight Into Energetics and Function. J Comp Neurol, 532(9), e25669. https://doi.org/10.1002/cne.25669</t>
        </is>
      </c>
      <c r="D63" s="4" t="inlineStr">
        <is>
          <t>TABLE 1</t>
        </is>
      </c>
      <c r="E63">
        <f>RIGHT(A63,1)</f>
        <v/>
      </c>
      <c r="F63">
        <f>G63 &amp; IF(H63&lt;&gt;"", "_" &amp; H63, "_") &amp; IF(I63&lt;&gt;"", "_" &amp; I63, "_") &amp; IF(B63&lt;&gt;"", "_" &amp; B63, "")</f>
        <v/>
      </c>
      <c r="G63">
        <f>SUBSTITUTE(SUBSTITUTE(_xlfn.TEXTBEFORE(A63,","), "-", ""), " ", "")</f>
        <v/>
      </c>
      <c r="H63">
        <f>IF(ISNUMBER(FIND("&amp;", A63)),
IF(LEN(A63)-LEN(SUBSTITUTE(A63, ",", ""))&gt;=6, "etal", MID(A63, SEARCH("&amp; ", A63)+2, SEARCH(",", A63, SEARCH("&amp; ", A63)+2) - SEARCH("&amp; ", A63)-2)),
""
)</f>
        <v/>
      </c>
      <c r="I63">
        <f>_xlfn.TEXTBEFORE(_xlfn.TEXTAFTER(A63, "("), ")")</f>
        <v/>
      </c>
      <c r="J63">
        <f>IF(C63&lt;&gt;"", C63, IF(C63="", _xlfn.TEXTAFTER(A63,"https://doi.org/"), C63))</f>
        <v/>
      </c>
      <c r="K63">
        <f>TRIM(_xlfn.TEXTJOIN("_",FALSE,F63,(SUBSTITUTE(SUBSTITUTE(D63," ",""), "_", ""))))</f>
        <v/>
      </c>
      <c r="L63">
        <f>IF(ISBLANK(C63),TRIM(SUBSTITUTE(SUBSTITUTE(SUBSTITUTE(_xlfn.TEXTJOIN("_", FALSE, J63, SUBSTITUTE(D63,"_", "")), "/", "%2F"), ":", "%3A"), " ", "")),TRIM(SUBSTITUTE(SUBSTITUTE(SUBSTITUTE(_xlfn.TEXTJOIN("_", FALSE, C63, SUBSTITUTE(D63,"_", "")), "/", "%2F"), ":", "%3A"), " ", "")))</f>
        <v/>
      </c>
      <c r="M63">
        <f t="array" ref="M63">IFERROR(INDEX(FileList!$A$1:$A$100, MATCH(L63, _xlfn.TEXTBEFORE(FileList!$A$1:$A$100, ".tsv"), 0)), "notfound")</f>
        <v/>
      </c>
      <c r="N63" s="4" t="inlineStr">
        <is>
          <t>TABLE 1 Dataset used in this study.</t>
        </is>
      </c>
      <c r="R63" s="7" t="n"/>
      <c r="U63" s="4" t="inlineStr">
        <is>
          <t>pdf</t>
        </is>
      </c>
      <c r="V63" s="4" t="inlineStr">
        <is>
          <t>table</t>
        </is>
      </c>
      <c r="W63" s="4" t="inlineStr">
        <is>
          <t>NO - paywall</t>
        </is>
      </c>
      <c r="Y63" s="4" t="inlineStr">
        <is>
          <t>synapse density</t>
        </is>
      </c>
      <c r="Z63" s="4" t="inlineStr">
        <is>
          <t>primary</t>
        </is>
      </c>
    </row>
    <row r="64" ht="16" customHeight="1">
      <c r="A64" s="4" t="inlineStr">
        <is>
          <t>Kverkova, K., Belikova, T., Olkowicz, S., Pavelkova, Z., O'Riain, M. J., Sumbera, R., Burda, H., Bennett, N. C., &amp; Nemec, P. (2018). Sociality does not drive the evolution of large brains in eusocial African mole-rats. Sci Rep, 8(1), 9203. https://doi.org/10.1038/s41598-018-26062-8</t>
        </is>
      </c>
      <c r="D64" s="4" t="inlineStr">
        <is>
          <t>Table 1</t>
        </is>
      </c>
      <c r="E64">
        <f>RIGHT(A64,1)</f>
        <v/>
      </c>
      <c r="F64">
        <f>G64 &amp; IF(H64&lt;&gt;"", "_" &amp; H64, "_") &amp; IF(I64&lt;&gt;"", "_" &amp; I64, "_") &amp; IF(B64&lt;&gt;"", "_" &amp; B64, "")</f>
        <v/>
      </c>
      <c r="G64">
        <f>SUBSTITUTE(SUBSTITUTE(_xlfn.TEXTBEFORE(A64,","), "-", ""), " ", "")</f>
        <v/>
      </c>
      <c r="H64">
        <f>IF(ISNUMBER(FIND("&amp;", A64)),
IF(LEN(A64)-LEN(SUBSTITUTE(A64, ",", ""))&gt;=6, "etal", MID(A64, SEARCH("&amp; ", A64)+2, SEARCH(",", A64, SEARCH("&amp; ", A64)+2) - SEARCH("&amp; ", A64)-2)),
""
)</f>
        <v/>
      </c>
      <c r="I64">
        <f>_xlfn.TEXTBEFORE(_xlfn.TEXTAFTER(A64, "("), ")")</f>
        <v/>
      </c>
      <c r="J64">
        <f>IF(C64&lt;&gt;"", C64, IF(C64="", _xlfn.TEXTAFTER(A64,"https://doi.org/"), C64))</f>
        <v/>
      </c>
      <c r="K64">
        <f>TRIM(_xlfn.TEXTJOIN("_",FALSE,F64,(SUBSTITUTE(SUBSTITUTE(D64," ",""), "_", ""))))</f>
        <v/>
      </c>
      <c r="L64">
        <f>IF(ISBLANK(C64),TRIM(SUBSTITUTE(SUBSTITUTE(SUBSTITUTE(_xlfn.TEXTJOIN("_", FALSE, J64, SUBSTITUTE(D64,"_", "")), "/", "%2F"), ":", "%3A"), " ", "")),TRIM(SUBSTITUTE(SUBSTITUTE(SUBSTITUTE(_xlfn.TEXTJOIN("_", FALSE, C64, SUBSTITUTE(D64,"_", "")), "/", "%2F"), ":", "%3A"), " ", "")))</f>
        <v/>
      </c>
      <c r="M64">
        <f t="array" ref="M64">IFERROR(INDEX(FileList!$A$1:$A$100, MATCH(L64, _xlfn.TEXTBEFORE(FileList!$A$1:$A$100, ".tsv"), 0)), "notfound")</f>
        <v/>
      </c>
      <c r="N64" s="4" t="inlineStr">
        <is>
          <t>Table 1. Origin and use of the experimental animals.</t>
        </is>
      </c>
      <c r="P64" s="4" t="inlineStr">
        <is>
          <t>FINISHED</t>
        </is>
      </c>
      <c r="Q64" s="4" t="inlineStr">
        <is>
          <t>added</t>
        </is>
      </c>
      <c r="R64" s="7" t="inlineStr">
        <is>
          <t>Kverkova_etal_2018_Table1_snapshot.xlsx</t>
        </is>
      </c>
      <c r="S64" s="4" t="inlineStr">
        <is>
          <t>Y</t>
        </is>
      </c>
      <c r="T64" s="4" t="inlineStr">
        <is>
          <t>Kverkova_etal_2018_TableS1.csv</t>
        </is>
      </c>
      <c r="U64" s="4" t="inlineStr">
        <is>
          <t>docx</t>
        </is>
      </c>
      <c r="V64" s="4" t="inlineStr">
        <is>
          <t>table</t>
        </is>
      </c>
      <c r="Y64" s="4" t="inlineStr">
        <is>
          <t>sample size and information</t>
        </is>
      </c>
      <c r="Z64" s="4" t="inlineStr">
        <is>
          <t>primary</t>
        </is>
      </c>
      <c r="AB64" s="4" t="inlineStr">
        <is>
          <t>HH</t>
        </is>
      </c>
      <c r="AE64" s="4" t="inlineStr">
        <is>
          <t>African mole-rats (Bathyergidae)</t>
        </is>
      </c>
    </row>
    <row r="65" ht="16" customHeight="1">
      <c r="A65" s="4" t="inlineStr">
        <is>
          <t>Kverkova, K., Belikova, T., Olkowicz, S., Pavelkova, Z., O'Riain, M. J., Sumbera, R., Burda, H., Bennett, N. C., &amp; Nemec, P. (2018). Sociality does not drive the evolution of large brains in eusocial African mole-rats. Sci Rep, 8(1), 9203. https://doi.org/10.1038/s41598-018-26062-8</t>
        </is>
      </c>
      <c r="D65" s="4" t="inlineStr">
        <is>
          <t>Table S1</t>
        </is>
      </c>
      <c r="E65">
        <f>RIGHT(A65,1)</f>
        <v/>
      </c>
      <c r="F65">
        <f>G65 &amp; IF(H65&lt;&gt;"", "_" &amp; H65, "_") &amp; IF(I65&lt;&gt;"", "_" &amp; I65, "_") &amp; IF(B65&lt;&gt;"", "_" &amp; B65, "")</f>
        <v/>
      </c>
      <c r="G65">
        <f>SUBSTITUTE(SUBSTITUTE(_xlfn.TEXTBEFORE(A65,","), "-", ""), " ", "")</f>
        <v/>
      </c>
      <c r="H65">
        <f>IF(ISNUMBER(FIND("&amp;", A65)),
IF(LEN(A65)-LEN(SUBSTITUTE(A65, ",", ""))&gt;=6, "etal", MID(A65, SEARCH("&amp; ", A65)+2, SEARCH(",", A65, SEARCH("&amp; ", A65)+2) - SEARCH("&amp; ", A65)-2)),
""
)</f>
        <v/>
      </c>
      <c r="I65">
        <f>_xlfn.TEXTBEFORE(_xlfn.TEXTAFTER(A65, "("), ")")</f>
        <v/>
      </c>
      <c r="J65">
        <f>IF(C65&lt;&gt;"", C65, IF(C65="", _xlfn.TEXTAFTER(A65,"https://doi.org/"), C65))</f>
        <v/>
      </c>
      <c r="K65">
        <f>TRIM(_xlfn.TEXTJOIN("_",FALSE,F65,(SUBSTITUTE(SUBSTITUTE(D65," ",""), "_", ""))))</f>
        <v/>
      </c>
      <c r="L65">
        <f>IF(ISBLANK(C65),TRIM(SUBSTITUTE(SUBSTITUTE(SUBSTITUTE(_xlfn.TEXTJOIN("_", FALSE, J65, SUBSTITUTE(D65,"_", "")), "/", "%2F"), ":", "%3A"), " ", "")),TRIM(SUBSTITUTE(SUBSTITUTE(SUBSTITUTE(_xlfn.TEXTJOIN("_", FALSE, C65, SUBSTITUTE(D65,"_", "")), "/", "%2F"), ":", "%3A"), " ", "")))</f>
        <v/>
      </c>
      <c r="M65">
        <f t="array" ref="M65">IFERROR(INDEX(FileList!$A$1:$A$100, MATCH(L65, _xlfn.TEXTBEFORE(FileList!$A$1:$A$100, ".tsv"), 0)), "notfound")</f>
        <v/>
      </c>
      <c r="N65" s="4" t="inlineStr">
        <is>
          <t>Table S1. Brain mass and brain region volumes</t>
        </is>
      </c>
      <c r="P65" s="4" t="inlineStr">
        <is>
          <t>FINISHED</t>
        </is>
      </c>
      <c r="Q65" s="4" t="inlineStr">
        <is>
          <t>added</t>
        </is>
      </c>
      <c r="R65" s="7" t="inlineStr">
        <is>
          <t>Kverkova_etal_2018_TableS1_snapshot.xlsx</t>
        </is>
      </c>
      <c r="S65" s="4" t="inlineStr">
        <is>
          <t>Y</t>
        </is>
      </c>
      <c r="T65" s="4" t="inlineStr">
        <is>
          <t>Kverkova_etal_2018_TableS1.csv</t>
        </is>
      </c>
      <c r="U65" s="4" t="inlineStr">
        <is>
          <t>docx</t>
        </is>
      </c>
      <c r="V65" s="4" t="inlineStr">
        <is>
          <t>table</t>
        </is>
      </c>
      <c r="W65" s="4" t="inlineStr">
        <is>
          <t>YES - but formatting issues</t>
        </is>
      </c>
      <c r="X65" s="4" t="inlineStr">
        <is>
          <t>https://static-content.springer.com/esm/art%3A10.1038%2Fs41598-018-26062-8/MediaObjects/41598_2018_26062_MOESM1_ESM.docx</t>
        </is>
      </c>
      <c r="Y65" s="4" t="inlineStr">
        <is>
          <t>region size</t>
        </is>
      </c>
      <c r="Z65" s="4" t="inlineStr">
        <is>
          <t>primary; secondary brain and body mass</t>
        </is>
      </c>
      <c r="AA65" s="4" t="inlineStr">
        <is>
          <t>Kverkova</t>
        </is>
      </c>
      <c r="AB65" s="4" t="inlineStr">
        <is>
          <t>HH</t>
        </is>
      </c>
      <c r="AE65" s="4" t="inlineStr">
        <is>
          <t>African mole-rats (Bathyergidae)</t>
        </is>
      </c>
    </row>
    <row r="66" ht="16" customHeight="1">
      <c r="A66" s="4" t="inlineStr">
        <is>
          <t>Kverkova, K., Belikova, T., Olkowicz, S., Pavelkova, Z., O'Riain, M. J., Sumbera, R., Burda, H., Bennett, N. C., &amp; Nemec, P. (2018). Sociality does not drive the evolution of large brains in eusocial African mole-rats. Sci Rep, 8(1), 9203. https://doi.org/10.1038/s41598-018-26062-8</t>
        </is>
      </c>
      <c r="D66" s="4" t="inlineStr">
        <is>
          <t>Table S5</t>
        </is>
      </c>
      <c r="E66">
        <f>RIGHT(A66,1)</f>
        <v/>
      </c>
      <c r="F66">
        <f>G66 &amp; IF(H66&lt;&gt;"", "_" &amp; H66, "_") &amp; IF(I66&lt;&gt;"", "_" &amp; I66, "_") &amp; IF(B66&lt;&gt;"", "_" &amp; B66, "")</f>
        <v/>
      </c>
      <c r="G66">
        <f>SUBSTITUTE(SUBSTITUTE(_xlfn.TEXTBEFORE(A66,","), "-", ""), " ", "")</f>
        <v/>
      </c>
      <c r="H66">
        <f>IF(ISNUMBER(FIND("&amp;", A66)),
IF(LEN(A66)-LEN(SUBSTITUTE(A66, ",", ""))&gt;=6, "etal", MID(A66, SEARCH("&amp; ", A66)+2, SEARCH(",", A66, SEARCH("&amp; ", A66)+2) - SEARCH("&amp; ", A66)-2)),
""
)</f>
        <v/>
      </c>
      <c r="I66">
        <f>_xlfn.TEXTBEFORE(_xlfn.TEXTAFTER(A66, "("), ")")</f>
        <v/>
      </c>
      <c r="J66">
        <f>IF(C66&lt;&gt;"", C66, IF(C66="", _xlfn.TEXTAFTER(A66,"https://doi.org/"), C66))</f>
        <v/>
      </c>
      <c r="K66">
        <f>TRIM(_xlfn.TEXTJOIN("_",FALSE,F66,(SUBSTITUTE(SUBSTITUTE(D66," ",""), "_", ""))))</f>
        <v/>
      </c>
      <c r="L66">
        <f>IF(ISBLANK(C66),TRIM(SUBSTITUTE(SUBSTITUTE(SUBSTITUTE(_xlfn.TEXTJOIN("_", FALSE, J66, SUBSTITUTE(D66,"_", "")), "/", "%2F"), ":", "%3A"), " ", "")),TRIM(SUBSTITUTE(SUBSTITUTE(SUBSTITUTE(_xlfn.TEXTJOIN("_", FALSE, C66, SUBSTITUTE(D66,"_", "")), "/", "%2F"), ":", "%3A"), " ", "")))</f>
        <v/>
      </c>
      <c r="M66">
        <f t="array" ref="M66">IFERROR(INDEX(FileList!$A$1:$A$100, MATCH(L66, _xlfn.TEXTBEFORE(FileList!$A$1:$A$100, ".tsv"), 0)), "notfound")</f>
        <v/>
      </c>
      <c r="N66" s="4" t="inlineStr">
        <is>
          <t>Table S5. Numbers of neurons in the whole brain and the major brain divisions</t>
        </is>
      </c>
      <c r="P66" s="4" t="inlineStr">
        <is>
          <t>FINISHED</t>
        </is>
      </c>
      <c r="Q66" s="4" t="inlineStr">
        <is>
          <t>added</t>
        </is>
      </c>
      <c r="R66" s="7" t="inlineStr">
        <is>
          <t>Kverkova_etal_2018_TableS5_snapshot.csv</t>
        </is>
      </c>
      <c r="S66" s="4" t="inlineStr">
        <is>
          <t>Y</t>
        </is>
      </c>
      <c r="T66" s="4" t="inlineStr">
        <is>
          <t>Kverkova_etal_2018_TableS5.csv</t>
        </is>
      </c>
      <c r="U66" s="4" t="inlineStr">
        <is>
          <t>docx online</t>
        </is>
      </c>
      <c r="V66" s="4" t="inlineStr">
        <is>
          <t>table</t>
        </is>
      </c>
      <c r="W66" s="4" t="inlineStr">
        <is>
          <t>YES - but formatting issues</t>
        </is>
      </c>
      <c r="X66" s="4" t="inlineStr">
        <is>
          <t>https://static-content.springer.com/esm/art%3A10.1038%2Fs41598-018-26062-8/MediaObjects/41598_2018_26062_MOESM1_ESM.docx</t>
        </is>
      </c>
      <c r="Y66" s="4" t="inlineStr">
        <is>
          <t>Cell numbers</t>
        </is>
      </c>
      <c r="Z66" s="4" t="inlineStr">
        <is>
          <t>primary</t>
        </is>
      </c>
      <c r="AA66" s="4" t="inlineStr">
        <is>
          <t>Kverkova</t>
        </is>
      </c>
      <c r="AB66" s="4" t="inlineStr">
        <is>
          <t>HH</t>
        </is>
      </c>
      <c r="AE66" s="4" t="inlineStr">
        <is>
          <t>African mole-rats (Bathyergidae)</t>
        </is>
      </c>
    </row>
    <row r="67" ht="16" customHeight="1">
      <c r="A67" s="4" t="inlineStr">
        <is>
          <t>Lewitus, E., Kelava, I., &amp; Huttner, W. B. (2013). Conical expansion of the outer subventricular zone and the role of neocortical folding in evolution and development. Front Hum Neurosci, 7, 424. https://doi.org/10.3389/fnhum.2013.00424</t>
        </is>
      </c>
      <c r="D67" s="4" t="inlineStr">
        <is>
          <t>Table S2 partial</t>
        </is>
      </c>
      <c r="E67">
        <f>RIGHT(A67,1)</f>
        <v/>
      </c>
      <c r="F67">
        <f>G67 &amp; IF(H67&lt;&gt;"", "_" &amp; H67, "_") &amp; IF(I67&lt;&gt;"", "_" &amp; I67, "_") &amp; IF(B67&lt;&gt;"", "_" &amp; B67, "")</f>
        <v/>
      </c>
      <c r="G67">
        <f>SUBSTITUTE(SUBSTITUTE(_xlfn.TEXTBEFORE(A67,","), "-", ""), " ", "")</f>
        <v/>
      </c>
      <c r="H67">
        <f>IF(ISNUMBER(FIND("&amp;", A67)),
IF(LEN(A67)-LEN(SUBSTITUTE(A67, ",", ""))&gt;=6, "etal", MID(A67, SEARCH("&amp; ", A67)+2, SEARCH(",", A67, SEARCH("&amp; ", A67)+2) - SEARCH("&amp; ", A67)-2)),
""
)</f>
        <v/>
      </c>
      <c r="I67">
        <f>_xlfn.TEXTBEFORE(_xlfn.TEXTAFTER(A67, "("), ")")</f>
        <v/>
      </c>
      <c r="J67">
        <f>IF(C67&lt;&gt;"", C67, IF(C67="", _xlfn.TEXTAFTER(A67,"https://doi.org/"), C67))</f>
        <v/>
      </c>
      <c r="K67">
        <f>TRIM(_xlfn.TEXTJOIN("_",FALSE,F67,(SUBSTITUTE(SUBSTITUTE(D67," ",""), "_", ""))))</f>
        <v/>
      </c>
      <c r="L67">
        <f>IF(ISBLANK(C67),TRIM(SUBSTITUTE(SUBSTITUTE(SUBSTITUTE(_xlfn.TEXTJOIN("_", FALSE, J67, SUBSTITUTE(D67,"_", "")), "/", "%2F"), ":", "%3A"), " ", "")),TRIM(SUBSTITUTE(SUBSTITUTE(SUBSTITUTE(_xlfn.TEXTJOIN("_", FALSE, C67, SUBSTITUTE(D67,"_", "")), "/", "%2F"), ":", "%3A"), " ", "")))</f>
        <v/>
      </c>
      <c r="M67">
        <f t="array" ref="M67">IFERROR(INDEX(FileList!$A$1:$A$100, MATCH(L67, _xlfn.TEXTBEFORE(FileList!$A$1:$A$100, ".tsv"), 0)), "notfound")</f>
        <v/>
      </c>
      <c r="Q67" s="4" t="inlineStr">
        <is>
          <t>already there</t>
        </is>
      </c>
      <c r="AA67" s="4" t="inlineStr">
        <is>
          <t>L</t>
        </is>
      </c>
    </row>
    <row r="68" ht="16" customHeight="1">
      <c r="A68" s="4" t="inlineStr">
        <is>
          <t>Lewitus, E., Kelava, I., Kalinka, A. T., Tomancak, P., &amp; Huttner, W. B. (2014). An adaptive threshold in mammalian neocortical evolution. PLoS Biol, 12(11), e1002000. https://doi.org/10.1371/journal.pbio.1002000</t>
        </is>
      </c>
      <c r="D68" s="4" t="inlineStr">
        <is>
          <t>Table S1</t>
        </is>
      </c>
      <c r="E68">
        <f>RIGHT(A68,1)</f>
        <v/>
      </c>
      <c r="F68">
        <f>G68 &amp; IF(H68&lt;&gt;"", "_" &amp; H68, "_") &amp; IF(I68&lt;&gt;"", "_" &amp; I68, "_") &amp; IF(B68&lt;&gt;"", "_" &amp; B68, "")</f>
        <v/>
      </c>
      <c r="G68">
        <f>SUBSTITUTE(SUBSTITUTE(_xlfn.TEXTBEFORE(A68,","), "-", ""), " ", "")</f>
        <v/>
      </c>
      <c r="H68">
        <f>IF(ISNUMBER(FIND("&amp;", A68)),
IF(LEN(A68)-LEN(SUBSTITUTE(A68, ",", ""))&gt;=6, "etal", MID(A68, SEARCH("&amp; ", A68)+2, SEARCH(",", A68, SEARCH("&amp; ", A68)+2) - SEARCH("&amp; ", A68)-2)),
""
)</f>
        <v/>
      </c>
      <c r="I68">
        <f>_xlfn.TEXTBEFORE(_xlfn.TEXTAFTER(A68, "("), ")")</f>
        <v/>
      </c>
      <c r="J68">
        <f>IF(C68&lt;&gt;"", C68, IF(C68="", _xlfn.TEXTAFTER(A68,"https://doi.org/"), C68))</f>
        <v/>
      </c>
      <c r="K68">
        <f>TRIM(_xlfn.TEXTJOIN("_",FALSE,F68,(SUBSTITUTE(SUBSTITUTE(D68," ",""), "_", ""))))</f>
        <v/>
      </c>
      <c r="L68">
        <f>IF(ISBLANK(C68),TRIM(SUBSTITUTE(SUBSTITUTE(SUBSTITUTE(_xlfn.TEXTJOIN("_", FALSE, J68, SUBSTITUTE(D68,"_", "")), "/", "%2F"), ":", "%3A"), " ", "")),TRIM(SUBSTITUTE(SUBSTITUTE(SUBSTITUTE(_xlfn.TEXTJOIN("_", FALSE, C68, SUBSTITUTE(D68,"_", "")), "/", "%2F"), ":", "%3A"), " ", "")))</f>
        <v/>
      </c>
      <c r="M68">
        <f t="array" ref="M68">IFERROR(INDEX(FileList!$A$1:$A$100, MATCH(L68, _xlfn.TEXTBEFORE(FileList!$A$1:$A$100, ".tsv"), 0)), "notfound")</f>
        <v/>
      </c>
      <c r="N68" s="4" t="inlineStr">
        <is>
          <t>Table S1 Physiological and life-history variables</t>
        </is>
      </c>
      <c r="Q68" s="4" t="inlineStr">
        <is>
          <t>already there</t>
        </is>
      </c>
      <c r="AA68" s="4" t="inlineStr">
        <is>
          <t>L</t>
        </is>
      </c>
    </row>
    <row r="69" ht="16" customHeight="1">
      <c r="A69" s="4" t="inlineStr">
        <is>
          <t>Lewitus, E., Kelava, I., Kalinka, A. T., Tomancak, P., &amp; Huttner, W. B. (2014). An adaptive threshold in mammalian neocortical evolution. PLoS Biol, 12(11), e1002000. https://doi.org/10.1371/journal.pbio.1002000</t>
        </is>
      </c>
      <c r="D69" s="4" t="inlineStr">
        <is>
          <t>Table S8</t>
        </is>
      </c>
      <c r="E69">
        <f>RIGHT(A69,1)</f>
        <v/>
      </c>
      <c r="F69">
        <f>G69 &amp; IF(H69&lt;&gt;"", "_" &amp; H69, "_") &amp; IF(I69&lt;&gt;"", "_" &amp; I69, "_") &amp; IF(B69&lt;&gt;"", "_" &amp; B69, "")</f>
        <v/>
      </c>
      <c r="G69">
        <f>SUBSTITUTE(SUBSTITUTE(_xlfn.TEXTBEFORE(A69,","), "-", ""), " ", "")</f>
        <v/>
      </c>
      <c r="H69">
        <f>IF(ISNUMBER(FIND("&amp;", A69)),
IF(LEN(A69)-LEN(SUBSTITUTE(A69, ",", ""))&gt;=6, "etal", MID(A69, SEARCH("&amp; ", A69)+2, SEARCH(",", A69, SEARCH("&amp; ", A69)+2) - SEARCH("&amp; ", A69)-2)),
""
)</f>
        <v/>
      </c>
      <c r="I69">
        <f>_xlfn.TEXTBEFORE(_xlfn.TEXTAFTER(A69, "("), ")")</f>
        <v/>
      </c>
      <c r="J69">
        <f>IF(C69&lt;&gt;"", C69, IF(C69="", _xlfn.TEXTAFTER(A69,"https://doi.org/"), C69))</f>
        <v/>
      </c>
      <c r="K69">
        <f>TRIM(_xlfn.TEXTJOIN("_",FALSE,F69,(SUBSTITUTE(SUBSTITUTE(D69," ",""), "_", ""))))</f>
        <v/>
      </c>
      <c r="L69">
        <f>IF(ISBLANK(C69),TRIM(SUBSTITUTE(SUBSTITUTE(SUBSTITUTE(_xlfn.TEXTJOIN("_", FALSE, J69, SUBSTITUTE(D69,"_", "")), "/", "%2F"), ":", "%3A"), " ", "")),TRIM(SUBSTITUTE(SUBSTITUTE(SUBSTITUTE(_xlfn.TEXTJOIN("_", FALSE, C69, SUBSTITUTE(D69,"_", "")), "/", "%2F"), ":", "%3A"), " ", "")))</f>
        <v/>
      </c>
      <c r="M69">
        <f t="array" ref="M69">IFERROR(INDEX(FileList!$A$1:$A$100, MATCH(L69, _xlfn.TEXTBEFORE(FileList!$A$1:$A$100, ".tsv"), 0)), "notfound")</f>
        <v/>
      </c>
      <c r="N69" s="4" t="inlineStr">
        <is>
          <t>Table S8: Neocortical neuron number for Figure 3d</t>
        </is>
      </c>
      <c r="Q69" s="4" t="inlineStr">
        <is>
          <t>already there</t>
        </is>
      </c>
      <c r="AA69" s="4" t="inlineStr">
        <is>
          <t>L</t>
        </is>
      </c>
    </row>
    <row r="70" ht="15.75" customHeight="1">
      <c r="A70" s="4" t="inlineStr">
        <is>
          <t>MacLarnon, A. (1996). The scaling of gross dimensions of the spinal cord in primates and other species. J Hum Evol, 30(1), 71-87. https://doi.org/10.1006/jhev.1996.0005</t>
        </is>
      </c>
      <c r="D70" s="4" t="inlineStr">
        <is>
          <t>Table 1</t>
        </is>
      </c>
      <c r="E70">
        <f>RIGHT(A70,1)</f>
        <v/>
      </c>
      <c r="F70">
        <f>G70 &amp; IF(H70&lt;&gt;"", "_" &amp; H70, "_") &amp; IF(I70&lt;&gt;"", "_" &amp; I70, "_") &amp; IF(B70&lt;&gt;"", "_" &amp; B70, "")</f>
        <v/>
      </c>
      <c r="G70">
        <f>SUBSTITUTE(SUBSTITUTE(_xlfn.TEXTBEFORE(A70,","), "-", ""), " ", "")</f>
        <v/>
      </c>
      <c r="H70">
        <f>IF(ISNUMBER(FIND("&amp;", A70)),
IF(LEN(A70)-LEN(SUBSTITUTE(A70, ",", ""))&gt;=6, "etal", MID(A70, SEARCH("&amp; ", A70)+2, SEARCH(",", A70, SEARCH("&amp; ", A70)+2) - SEARCH("&amp; ", A70)-2)),
""
)</f>
        <v/>
      </c>
      <c r="I70">
        <f>_xlfn.TEXTBEFORE(_xlfn.TEXTAFTER(A70, "("), ")")</f>
        <v/>
      </c>
      <c r="J70">
        <f>IF(C70&lt;&gt;"", C70, IF(C70="", _xlfn.TEXTAFTER(A70,"https://doi.org/"), C70))</f>
        <v/>
      </c>
      <c r="K70">
        <f>TRIM(_xlfn.TEXTJOIN("_",FALSE,F70,(SUBSTITUTE(SUBSTITUTE(D70," ",""), "_", ""))))</f>
        <v/>
      </c>
      <c r="L70">
        <f>IF(ISBLANK(C70),TRIM(SUBSTITUTE(SUBSTITUTE(SUBSTITUTE(_xlfn.TEXTJOIN("_", FALSE, J70, SUBSTITUTE(D70,"_", "")), "/", "%2F"), ":", "%3A"), " ", "")),TRIM(SUBSTITUTE(SUBSTITUTE(SUBSTITUTE(_xlfn.TEXTJOIN("_", FALSE, C70, SUBSTITUTE(D70,"_", "")), "/", "%2F"), ":", "%3A"), " ", "")))</f>
        <v/>
      </c>
      <c r="M70">
        <f t="array" ref="M70">IFERROR(INDEX(FileList!$A$1:$A$100, MATCH(L70, _xlfn.TEXTBEFORE(FileList!$A$1:$A$100, ".tsv"), 0)), "notfound")</f>
        <v/>
      </c>
      <c r="N70" s="4" t="inlineStr">
        <is>
          <t>Table 1 Data</t>
        </is>
      </c>
      <c r="P70" s="4" t="inlineStr">
        <is>
          <t>NOT STARTED</t>
        </is>
      </c>
    </row>
    <row r="71" ht="15.75" customHeight="1">
      <c r="A71" s="4" t="inlineStr">
        <is>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is>
      </c>
      <c r="D71" s="4" t="inlineStr">
        <is>
          <t>data/species_predictors.xlsx</t>
        </is>
      </c>
      <c r="E71">
        <f>RIGHT(A71,1)</f>
        <v/>
      </c>
      <c r="F71">
        <f>G71 &amp; IF(H71&lt;&gt;"", "_" &amp; H71, "_") &amp; IF(I71&lt;&gt;"", "_" &amp; I71, "_") &amp; IF(B71&lt;&gt;"", "_" &amp; B71, "")</f>
        <v/>
      </c>
      <c r="G71">
        <f>SUBSTITUTE(SUBSTITUTE(_xlfn.TEXTBEFORE(A71,","), "-", ""), " ", "")</f>
        <v/>
      </c>
      <c r="H71">
        <f>IF(ISNUMBER(FIND("&amp;", A71)),
IF(LEN(A71)-LEN(SUBSTITUTE(A71, ",", ""))&gt;=6, "etal", MID(A71, SEARCH("&amp; ", A71)+2, SEARCH(",", A71, SEARCH("&amp; ", A71)+2) - SEARCH("&amp; ", A71)-2)),
""
)</f>
        <v/>
      </c>
      <c r="I71">
        <f>_xlfn.TEXTBEFORE(_xlfn.TEXTAFTER(A71, "("), ")")</f>
        <v/>
      </c>
      <c r="J71">
        <f>IF(C71&lt;&gt;"", C71, IF(C71="", _xlfn.TEXTAFTER(A71,"https://doi.org/"), C71))</f>
        <v/>
      </c>
      <c r="K71">
        <f>TRIM(_xlfn.TEXTJOIN("_",FALSE,F71,(SUBSTITUTE(SUBSTITUTE(D71," ",""), "_", ""))))</f>
        <v/>
      </c>
      <c r="L71">
        <f>IF(ISBLANK(C71),TRIM(SUBSTITUTE(SUBSTITUTE(SUBSTITUTE(_xlfn.TEXTJOIN("_", FALSE, J71, SUBSTITUTE(D71,"_", "")), "/", "%2F"), ":", "%3A"), " ", "")),TRIM(SUBSTITUTE(SUBSTITUTE(SUBSTITUTE(_xlfn.TEXTJOIN("_", FALSE, C71, SUBSTITUTE(D71,"_", "")), "/", "%2F"), ":", "%3A"), " ", "")))</f>
        <v/>
      </c>
      <c r="M71">
        <f t="array" ref="M71">IFERROR(INDEX(FileList!$A$1:$A$100, MATCH(L71, _xlfn.TEXTBEFORE(FileList!$A$1:$A$100, ".tsv"), 0)), "notfound")</f>
        <v/>
      </c>
      <c r="P71" s="4" t="inlineStr">
        <is>
          <t>need to record steps</t>
        </is>
      </c>
      <c r="Q71" s="4" t="inlineStr">
        <is>
          <t>NA</t>
        </is>
      </c>
      <c r="R71" s="7" t="n"/>
      <c r="T71" s="4">
        <f>IF(S71="N", R71, "write file name")</f>
        <v/>
      </c>
      <c r="U71" s="4" t="inlineStr">
        <is>
          <t>xlsx</t>
        </is>
      </c>
      <c r="V71" s="4" t="inlineStr">
        <is>
          <t>table</t>
        </is>
      </c>
      <c r="W71" s="4" t="inlineStr">
        <is>
          <t>YES - download link</t>
        </is>
      </c>
      <c r="X71" s="4" t="inlineStr">
        <is>
          <t>https://github.com/ManyPrimates/mp1_short_term_memory/raw/master/data/species_predictors.xlsx</t>
        </is>
      </c>
      <c r="Y71" s="4" t="inlineStr">
        <is>
          <t>number of vocalizations</t>
        </is>
      </c>
      <c r="Z71" s="4" t="inlineStr">
        <is>
          <t>secondary</t>
        </is>
      </c>
      <c r="AC71" s="4" t="inlineStr">
        <is>
          <t>various secondary and primary data, e.g., ecology</t>
        </is>
      </c>
      <c r="AE71" s="4" t="inlineStr">
        <is>
          <t>primates</t>
        </is>
      </c>
    </row>
    <row r="72" ht="15.75" customHeight="1">
      <c r="A72" s="4" t="inlineStr">
        <is>
          <t>Mota, B., &amp; Herculano-Houzel, S. (2015). Cortical folding scales universally with surface area and thickness, not number of neurons. Science, 349(6243), 74-77. https://doi.org/10.1126/science.aaa9101</t>
        </is>
      </c>
      <c r="D72" s="4" t="inlineStr">
        <is>
          <t>Table S1</t>
        </is>
      </c>
      <c r="E72">
        <f>RIGHT(A72,1)</f>
        <v/>
      </c>
      <c r="F72">
        <f>G72 &amp; IF(H72&lt;&gt;"", "_" &amp; H72, "_") &amp; IF(I72&lt;&gt;"", "_" &amp; I72, "_") &amp; IF(B72&lt;&gt;"", "_" &amp; B72, "")</f>
        <v/>
      </c>
      <c r="G72">
        <f>SUBSTITUTE(SUBSTITUTE(_xlfn.TEXTBEFORE(A72,","), "-", ""), " ", "")</f>
        <v/>
      </c>
      <c r="H72">
        <f>IF(ISNUMBER(FIND("&amp;", A72)),
IF(LEN(A72)-LEN(SUBSTITUTE(A72, ",", ""))&gt;=6, "etal", MID(A72, SEARCH("&amp; ", A72)+2, SEARCH(",", A72, SEARCH("&amp; ", A72)+2) - SEARCH("&amp; ", A72)-2)),
""
)</f>
        <v/>
      </c>
      <c r="I72">
        <f>_xlfn.TEXTBEFORE(_xlfn.TEXTAFTER(A72, "("), ")")</f>
        <v/>
      </c>
      <c r="J72">
        <f>IF(C72&lt;&gt;"", C72, IF(C72="", _xlfn.TEXTAFTER(A72,"https://doi.org/"), C72))</f>
        <v/>
      </c>
      <c r="K72">
        <f>TRIM(_xlfn.TEXTJOIN("_",FALSE,F72,(SUBSTITUTE(SUBSTITUTE(D72," ",""), "_", ""))))</f>
        <v/>
      </c>
      <c r="L72">
        <f>IF(ISBLANK(C72),TRIM(SUBSTITUTE(SUBSTITUTE(SUBSTITUTE(_xlfn.TEXTJOIN("_", FALSE, J72, SUBSTITUTE(D72,"_", "")), "/", "%2F"), ":", "%3A"), " ", "")),TRIM(SUBSTITUTE(SUBSTITUTE(SUBSTITUTE(_xlfn.TEXTJOIN("_", FALSE, C72, SUBSTITUTE(D72,"_", "")), "/", "%2F"), ":", "%3A"), " ", "")))</f>
        <v/>
      </c>
      <c r="M72">
        <f t="array" ref="M72">IFERROR(INDEX(FileList!$A$1:$A$100, MATCH(L72, _xlfn.TEXTBEFORE(FileList!$A$1:$A$100, ".tsv"), 0)), "notfound")</f>
        <v/>
      </c>
      <c r="Q72" s="4" t="inlineStr">
        <is>
          <t>already there</t>
        </is>
      </c>
    </row>
    <row r="73" ht="15.75" customHeight="1">
      <c r="A73" s="4" t="inlineStr">
        <is>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is>
      </c>
      <c r="D73" s="4" t="inlineStr">
        <is>
          <t>Supplementary Table S1</t>
        </is>
      </c>
      <c r="E73">
        <f>RIGHT(A73,1)</f>
        <v/>
      </c>
      <c r="F73">
        <f>G73 &amp; IF(H73&lt;&gt;"", "_" &amp; H73, "_") &amp; IF(I73&lt;&gt;"", "_" &amp; I73, "_") &amp; IF(B73&lt;&gt;"", "_" &amp; B73, "")</f>
        <v/>
      </c>
      <c r="G73">
        <f>SUBSTITUTE(SUBSTITUTE(_xlfn.TEXTBEFORE(A73,","), "-", ""), " ", "")</f>
        <v/>
      </c>
      <c r="H73">
        <f>IF(ISNUMBER(FIND("&amp;", A73)),
IF(LEN(A73)-LEN(SUBSTITUTE(A73, ",", ""))&gt;=6, "etal", MID(A73, SEARCH("&amp; ", A73)+2, SEARCH(",", A73, SEARCH("&amp; ", A73)+2) - SEARCH("&amp; ", A73)-2)),
""
)</f>
        <v/>
      </c>
      <c r="I73">
        <f>_xlfn.TEXTBEFORE(_xlfn.TEXTAFTER(A73, "("), ")")</f>
        <v/>
      </c>
      <c r="J73">
        <f>IF(C73&lt;&gt;"", C73, IF(C73="", _xlfn.TEXTAFTER(A73,"https://doi.org/"), C73))</f>
        <v/>
      </c>
      <c r="K73">
        <f>TRIM(_xlfn.TEXTJOIN("_",FALSE,F73,(SUBSTITUTE(SUBSTITUTE(D73," ",""), "_", ""))))</f>
        <v/>
      </c>
      <c r="L73">
        <f>IF(ISBLANK(C73),TRIM(SUBSTITUTE(SUBSTITUTE(SUBSTITUTE(_xlfn.TEXTJOIN("_", FALSE, J73, SUBSTITUTE(D73,"_", "")), "/", "%2F"), ":", "%3A"), " ", "")),TRIM(SUBSTITUTE(SUBSTITUTE(SUBSTITUTE(_xlfn.TEXTJOIN("_", FALSE, C73, SUBSTITUTE(D73,"_", "")), "/", "%2F"), ":", "%3A"), " ", "")))</f>
        <v/>
      </c>
      <c r="M73">
        <f t="array" ref="M73">IFERROR(INDEX(FileList!$A$1:$A$100, MATCH(L73, _xlfn.TEXTBEFORE(FileList!$A$1:$A$100, ".tsv"), 0)), "notfound")</f>
        <v/>
      </c>
      <c r="N73" s="4" t="inlineStr">
        <is>
          <t>Supplementary Table S1. Morphometrical and cell number data used in this study (“our dataset”).</t>
        </is>
      </c>
      <c r="P73" s="4" t="inlineStr">
        <is>
          <t>NOT STARTED</t>
        </is>
      </c>
      <c r="AC73" s="4" t="inlineStr">
        <is>
          <t>total and exposed cortical surface area</t>
        </is>
      </c>
    </row>
    <row r="74" ht="15.75" customHeight="1">
      <c r="A74" s="4" t="inlineStr">
        <is>
          <t>Powell, L. E., Isler, K., &amp; Barton, R. A. (2017). Re-evaluating the link between brain size and behavioural ecology in primates. Proc Biol Sci, 284(1865). https://doi.org/10.1098/rspb.2017.1765</t>
        </is>
      </c>
      <c r="C74" s="4" t="inlineStr">
        <is>
          <t>10.6084/m9.figshare.c.3899422.v1</t>
        </is>
      </c>
      <c r="D74" s="4" t="inlineStr">
        <is>
          <t>Dataset 1</t>
        </is>
      </c>
      <c r="E74">
        <f>RIGHT(A74,1)</f>
        <v/>
      </c>
      <c r="F74">
        <f>G74 &amp; IF(H74&lt;&gt;"", "_" &amp; H74, "_") &amp; IF(I74&lt;&gt;"", "_" &amp; I74, "_") &amp; IF(B74&lt;&gt;"", "_" &amp; B74, "")</f>
        <v/>
      </c>
      <c r="G74">
        <f>SUBSTITUTE(SUBSTITUTE(_xlfn.TEXTBEFORE(A74,","), "-", ""), " ", "")</f>
        <v/>
      </c>
      <c r="H74">
        <f>IF(ISNUMBER(FIND("&amp;", A74)),
IF(LEN(A74)-LEN(SUBSTITUTE(A74, ",", ""))&gt;=6, "etal", MID(A74, SEARCH("&amp; ", A74)+2, SEARCH(",", A74, SEARCH("&amp; ", A74)+2) - SEARCH("&amp; ", A74)-2)),
""
)</f>
        <v/>
      </c>
      <c r="I74">
        <f>_xlfn.TEXTBEFORE(_xlfn.TEXTAFTER(A74, "("), ")")</f>
        <v/>
      </c>
      <c r="J74">
        <f>IF(C74&lt;&gt;"", C74, IF(C74="", _xlfn.TEXTAFTER(A74,"https://doi.org/"), C74))</f>
        <v/>
      </c>
      <c r="K74">
        <f>TRIM(_xlfn.TEXTJOIN("_",FALSE,F74,(SUBSTITUTE(SUBSTITUTE(D74," ",""), "_", ""))))</f>
        <v/>
      </c>
      <c r="L74">
        <f>IF(ISBLANK(C74),TRIM(SUBSTITUTE(SUBSTITUTE(SUBSTITUTE(_xlfn.TEXTJOIN("_", FALSE, J74, SUBSTITUTE(D74,"_", "")), "/", "%2F"), ":", "%3A"), " ", "")),TRIM(SUBSTITUTE(SUBSTITUTE(SUBSTITUTE(_xlfn.TEXTJOIN("_", FALSE, C74, SUBSTITUTE(D74,"_", "")), "/", "%2F"), ":", "%3A"), " ", "")))</f>
        <v/>
      </c>
      <c r="M74">
        <f t="array" ref="M74">IFERROR(INDEX(FileList!$A$1:$A$100, MATCH(L74, _xlfn.TEXTBEFORE(FileList!$A$1:$A$100, ".tsv"), 0)), "notfound")</f>
        <v/>
      </c>
      <c r="P74" s="4" t="inlineStr">
        <is>
          <t>NOT STARTED</t>
        </is>
      </c>
      <c r="Q74" s="4" t="inlineStr">
        <is>
          <t>NA</t>
        </is>
      </c>
      <c r="R74" s="7" t="n"/>
      <c r="T74" s="4">
        <f>IF(S74="N", R74, "write file name")</f>
        <v/>
      </c>
      <c r="U74" s="4" t="inlineStr">
        <is>
          <t>xlsx</t>
        </is>
      </c>
      <c r="V74" s="4" t="inlineStr">
        <is>
          <t>table</t>
        </is>
      </c>
      <c r="W74" s="4" t="inlineStr">
        <is>
          <t>YES - download link</t>
        </is>
      </c>
      <c r="X74" s="4" t="inlineStr">
        <is>
          <t>https://figshare.com/ndownloader/files/9479092</t>
        </is>
      </c>
      <c r="Y74" s="4" t="inlineStr">
        <is>
          <t>ecology</t>
        </is>
      </c>
      <c r="Z74" s="4" t="inlineStr">
        <is>
          <t>secondary</t>
        </is>
      </c>
      <c r="AC74" s="4" t="inlineStr">
        <is>
          <t>Brain and body size</t>
        </is>
      </c>
      <c r="AE74" s="4" t="inlineStr">
        <is>
          <t>primates</t>
        </is>
      </c>
    </row>
    <row r="75" ht="15.75" customHeight="1">
      <c r="A75" s="4"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75" s="4" t="inlineStr">
        <is>
          <t>I</t>
        </is>
      </c>
      <c r="D75" s="4" t="inlineStr">
        <is>
          <t>Table 4</t>
        </is>
      </c>
      <c r="E75">
        <f>RIGHT(A75,1)</f>
        <v/>
      </c>
      <c r="F75">
        <f>G75 &amp; IF(H75&lt;&gt;"", "_" &amp; H75, "_") &amp; IF(I75&lt;&gt;"", "_" &amp; I75, "_") &amp; IF(B75&lt;&gt;"", "_" &amp; B75, "")</f>
        <v/>
      </c>
      <c r="G75">
        <f>SUBSTITUTE(SUBSTITUTE(_xlfn.TEXTBEFORE(A75,","), "-", ""), " ", "")</f>
        <v/>
      </c>
      <c r="H75">
        <f>IF(ISNUMBER(FIND("&amp;", A75)),
IF(LEN(A75)-LEN(SUBSTITUTE(A75, ",", ""))&gt;=6, "etal", MID(A75, SEARCH("&amp; ", A75)+2, SEARCH(",", A75, SEARCH("&amp; ", A75)+2) - SEARCH("&amp; ", A75)-2)),
""
)</f>
        <v/>
      </c>
      <c r="I75">
        <f>_xlfn.TEXTBEFORE(_xlfn.TEXTAFTER(A75, "("), ")")</f>
        <v/>
      </c>
      <c r="J75">
        <f>IF(C75&lt;&gt;"", C75, IF(C75="", _xlfn.TEXTAFTER(A75,"https://doi.org/"), C75))</f>
        <v/>
      </c>
      <c r="K75">
        <f>TRIM(_xlfn.TEXTJOIN("_",FALSE,F75,(SUBSTITUTE(SUBSTITUTE(D75," ",""), "_", ""))))</f>
        <v/>
      </c>
      <c r="L75">
        <f>IF(ISBLANK(C75),TRIM(SUBSTITUTE(SUBSTITUTE(SUBSTITUTE(_xlfn.TEXTJOIN("_", FALSE, J75, SUBSTITUTE(D75,"_", "")), "/", "%2F"), ":", "%3A"), " ", "")),TRIM(SUBSTITUTE(SUBSTITUTE(SUBSTITUTE(_xlfn.TEXTJOIN("_", FALSE, C75, SUBSTITUTE(D75,"_", "")), "/", "%2F"), ":", "%3A"), " ", "")))</f>
        <v/>
      </c>
      <c r="M75">
        <f t="array" ref="M75">IFERROR(INDEX(FileList!$A$1:$A$100, MATCH(L75, _xlfn.TEXTBEFORE(FileList!$A$1:$A$100, ".tsv"), 0)), "notfound")</f>
        <v/>
      </c>
      <c r="N75" s="4" t="inlineStr">
        <is>
          <t>Table 4. GLI values for each cortical layer</t>
        </is>
      </c>
      <c r="P75" s="4" t="inlineStr">
        <is>
          <t>need to record steps</t>
        </is>
      </c>
      <c r="Q75" s="4" t="inlineStr">
        <is>
          <t>NA</t>
        </is>
      </c>
      <c r="R75" s="7" t="n"/>
      <c r="T75" s="4">
        <f>IF(S75="N", R75, "write file name")</f>
        <v/>
      </c>
      <c r="U75" s="4" t="inlineStr">
        <is>
          <t>pdf</t>
        </is>
      </c>
      <c r="V75" s="4" t="inlineStr">
        <is>
          <t>tables</t>
        </is>
      </c>
      <c r="Y75" s="4" t="inlineStr">
        <is>
          <t>GLI: laminar and profiles</t>
        </is>
      </c>
      <c r="Z75" s="4" t="inlineStr">
        <is>
          <t>primary</t>
        </is>
      </c>
      <c r="AE75" s="4" t="inlineStr">
        <is>
          <t>primates</t>
        </is>
      </c>
    </row>
    <row r="76" ht="15.75" customHeight="1">
      <c r="A76" s="4" t="inlineStr">
        <is>
          <t>Sherwood, C. C., Holloway, R. L., Erwin, J. M., Schleicher, A., Zilles, K., &amp; Hof, P. R. (2004). Cortical orofacial motor representation in Old World Monkeys, great apes, and humans. I. Quantitative Analysis of Cytoarchitecture. Brain Behav Evol, 63(2), 61-81. https://doi.org/10.1159/000075672</t>
        </is>
      </c>
      <c r="B76" s="4" t="inlineStr">
        <is>
          <t>I</t>
        </is>
      </c>
      <c r="D76" s="4" t="inlineStr">
        <is>
          <t>Table 5</t>
        </is>
      </c>
      <c r="E76">
        <f>RIGHT(A76,1)</f>
        <v/>
      </c>
      <c r="F76">
        <f>G76 &amp; IF(H76&lt;&gt;"", "_" &amp; H76, "_") &amp; IF(I76&lt;&gt;"", "_" &amp; I76, "_") &amp; IF(B76&lt;&gt;"", "_" &amp; B76, "")</f>
        <v/>
      </c>
      <c r="G76">
        <f>SUBSTITUTE(SUBSTITUTE(_xlfn.TEXTBEFORE(A76,","), "-", ""), " ", "")</f>
        <v/>
      </c>
      <c r="H76">
        <f>IF(ISNUMBER(FIND("&amp;", A76)),
IF(LEN(A76)-LEN(SUBSTITUTE(A76, ",", ""))&gt;=6, "etal", MID(A76, SEARCH("&amp; ", A76)+2, SEARCH(",", A76, SEARCH("&amp; ", A76)+2) - SEARCH("&amp; ", A76)-2)),
""
)</f>
        <v/>
      </c>
      <c r="I76">
        <f>_xlfn.TEXTBEFORE(_xlfn.TEXTAFTER(A76, "("), ")")</f>
        <v/>
      </c>
      <c r="J76">
        <f>IF(C76&lt;&gt;"", C76, IF(C76="", _xlfn.TEXTAFTER(A76,"https://doi.org/"), C76))</f>
        <v/>
      </c>
      <c r="K76">
        <f>TRIM(_xlfn.TEXTJOIN("_",FALSE,F76,(SUBSTITUTE(SUBSTITUTE(D76," ",""), "_", ""))))</f>
        <v/>
      </c>
      <c r="L76">
        <f>IF(ISBLANK(C76),TRIM(SUBSTITUTE(SUBSTITUTE(SUBSTITUTE(_xlfn.TEXTJOIN("_", FALSE, J76, SUBSTITUTE(D76,"_", "")), "/", "%2F"), ":", "%3A"), " ", "")),TRIM(SUBSTITUTE(SUBSTITUTE(SUBSTITUTE(_xlfn.TEXTJOIN("_", FALSE, C76, SUBSTITUTE(D76,"_", "")), "/", "%2F"), ":", "%3A"), " ", "")))</f>
        <v/>
      </c>
      <c r="M76">
        <f t="array" ref="M76">IFERROR(INDEX(FileList!$A$1:$A$100, MATCH(L76, _xlfn.TEXTBEFORE(FileList!$A$1:$A$100, ".tsv"), 0)), "notfound")</f>
        <v/>
      </c>
      <c r="N76" s="4" t="inlineStr">
        <is>
          <t>Table 5. Species mean values for 10 GLI profile feature vectors</t>
        </is>
      </c>
      <c r="P76" s="4" t="inlineStr">
        <is>
          <t>need to record steps</t>
        </is>
      </c>
      <c r="Q76" s="4" t="inlineStr">
        <is>
          <t>NA</t>
        </is>
      </c>
      <c r="R76" s="7" t="n"/>
      <c r="T76" s="4">
        <f>IF(S76="N", R76, "write file name")</f>
        <v/>
      </c>
      <c r="U76" s="4" t="inlineStr">
        <is>
          <t>pdf</t>
        </is>
      </c>
      <c r="V76" s="4" t="inlineStr">
        <is>
          <t>tables</t>
        </is>
      </c>
      <c r="Y76" s="4" t="inlineStr">
        <is>
          <t>GLI: laminar and profiles</t>
        </is>
      </c>
      <c r="Z76" s="4" t="inlineStr">
        <is>
          <t>primary</t>
        </is>
      </c>
      <c r="AE76" s="4" t="inlineStr">
        <is>
          <t>primates</t>
        </is>
      </c>
    </row>
    <row r="77" ht="15.75" customHeight="1">
      <c r="A77" s="4" t="inlineStr">
        <is>
          <t>Smaers, J. B., Steele, J., Case, C. R., Cowper, A., Amunts, K., &amp; Zilles, K. (2011). Primate prefrontal cortex evolution: human brains are the extreme of a lateralized ape trend. Brain Behav Evol, 77(2), 67-78. https://doi.org/10.1159/000323671</t>
        </is>
      </c>
      <c r="D77" s="4" t="inlineStr">
        <is>
          <t>SupplementaryTable1</t>
        </is>
      </c>
      <c r="E77">
        <f>RIGHT(A77,1)</f>
        <v/>
      </c>
      <c r="F77">
        <f>G77 &amp; IF(H77&lt;&gt;"", "_" &amp; H77, "_") &amp; IF(I77&lt;&gt;"", "_" &amp; I77, "_") &amp; IF(B77&lt;&gt;"", "_" &amp; B77, "")</f>
        <v/>
      </c>
      <c r="G77">
        <f>SUBSTITUTE(SUBSTITUTE(_xlfn.TEXTBEFORE(A77,","), "-", ""), " ", "")</f>
        <v/>
      </c>
      <c r="H77">
        <f>IF(ISNUMBER(FIND("&amp;", A77)),
IF(LEN(A77)-LEN(SUBSTITUTE(A77, ",", ""))&gt;=6, "etal", MID(A77, SEARCH("&amp; ", A77)+2, SEARCH(",", A77, SEARCH("&amp; ", A77)+2) - SEARCH("&amp; ", A77)-2)),
""
)</f>
        <v/>
      </c>
      <c r="I77">
        <f>_xlfn.TEXTBEFORE(_xlfn.TEXTAFTER(A77, "("), ")")</f>
        <v/>
      </c>
      <c r="J77">
        <f>IF(C77&lt;&gt;"", C77, IF(C77="", _xlfn.TEXTAFTER(A77,"https://doi.org/"), C77))</f>
        <v/>
      </c>
      <c r="K77">
        <f>TRIM(_xlfn.TEXTJOIN("_",FALSE,F77,(SUBSTITUTE(SUBSTITUTE(D77," ",""), "_", ""))))</f>
        <v/>
      </c>
      <c r="L77">
        <f>IF(ISBLANK(C77),TRIM(SUBSTITUTE(SUBSTITUTE(SUBSTITUTE(_xlfn.TEXTJOIN("_", FALSE, J77, SUBSTITUTE(D77,"_", "")), "/", "%2F"), ":", "%3A"), " ", "")),TRIM(SUBSTITUTE(SUBSTITUTE(SUBSTITUTE(_xlfn.TEXTJOIN("_", FALSE, C77, SUBSTITUTE(D77,"_", "")), "/", "%2F"), ":", "%3A"), " ", "")))</f>
        <v/>
      </c>
      <c r="M77">
        <f t="array" ref="M77">IFERROR(INDEX(FileList!$A$1:$A$100, MATCH(L77, _xlfn.TEXTBEFORE(FileList!$A$1:$A$100, ".tsv"), 0)), "notfound")</f>
        <v/>
      </c>
      <c r="Q77" s="4" t="inlineStr">
        <is>
          <t>already there</t>
        </is>
      </c>
    </row>
    <row r="78" ht="15.75" customHeight="1">
      <c r="A78" s="4" t="inlineStr">
        <is>
          <t>Smaers, J. B., Steele, J., Case, C. R., Cowper, A., Amunts, K., &amp; Zilles, K. (2011). Primate prefrontal cortex evolution: human brains are the extreme of a lateralized ape trend. Brain Behav Evol, 77(2), 67-78. https://doi.org/10.1159/000323671</t>
        </is>
      </c>
      <c r="D78" s="4" t="inlineStr">
        <is>
          <t>SupplementaryTable2</t>
        </is>
      </c>
      <c r="E78">
        <f>RIGHT(A78,1)</f>
        <v/>
      </c>
      <c r="F78">
        <f>G78 &amp; IF(H78&lt;&gt;"", "_" &amp; H78, "_") &amp; IF(I78&lt;&gt;"", "_" &amp; I78, "_") &amp; IF(B78&lt;&gt;"", "_" &amp; B78, "")</f>
        <v/>
      </c>
      <c r="G78">
        <f>SUBSTITUTE(SUBSTITUTE(_xlfn.TEXTBEFORE(A78,","), "-", ""), " ", "")</f>
        <v/>
      </c>
      <c r="H78">
        <f>IF(ISNUMBER(FIND("&amp;", A78)),
IF(LEN(A78)-LEN(SUBSTITUTE(A78, ",", ""))&gt;=6, "etal", MID(A78, SEARCH("&amp; ", A78)+2, SEARCH(",", A78, SEARCH("&amp; ", A78)+2) - SEARCH("&amp; ", A78)-2)),
""
)</f>
        <v/>
      </c>
      <c r="I78">
        <f>_xlfn.TEXTBEFORE(_xlfn.TEXTAFTER(A78, "("), ")")</f>
        <v/>
      </c>
      <c r="J78">
        <f>IF(C78&lt;&gt;"", C78, IF(C78="", _xlfn.TEXTAFTER(A78,"https://doi.org/"), C78))</f>
        <v/>
      </c>
      <c r="K78">
        <f>TRIM(_xlfn.TEXTJOIN("_",FALSE,F78,(SUBSTITUTE(SUBSTITUTE(D78," ",""), "_", ""))))</f>
        <v/>
      </c>
      <c r="L78">
        <f>IF(ISBLANK(C78),TRIM(SUBSTITUTE(SUBSTITUTE(SUBSTITUTE(_xlfn.TEXTJOIN("_", FALSE, J78, SUBSTITUTE(D78,"_", "")), "/", "%2F"), ":", "%3A"), " ", "")),TRIM(SUBSTITUTE(SUBSTITUTE(SUBSTITUTE(_xlfn.TEXTJOIN("_", FALSE, C78, SUBSTITUTE(D78,"_", "")), "/", "%2F"), ":", "%3A"), " ", "")))</f>
        <v/>
      </c>
      <c r="M78">
        <f t="array" ref="M78">IFERROR(INDEX(FileList!$A$1:$A$100, MATCH(L78, _xlfn.TEXTBEFORE(FileList!$A$1:$A$100, ".tsv"), 0)), "notfound")</f>
        <v/>
      </c>
      <c r="Q78" s="4" t="inlineStr">
        <is>
          <t>already there</t>
        </is>
      </c>
    </row>
    <row r="79" ht="15.75" customHeight="1">
      <c r="A79" s="4" t="inlineStr">
        <is>
          <t>Turner, E. C., Young, N. A., Reed, J. L., Collins, C. E., Flaherty, D. K., Gabi, M., &amp; Kaas, J. H. (2016). Distributions of cells and neurons across the cortical sheet in old world macaques. Brain Behav Evol, 88(1), 1-13. https://doi.org/10.1159/000446762</t>
        </is>
      </c>
      <c r="D79" s="4" t="inlineStr">
        <is>
          <t>Table 1</t>
        </is>
      </c>
      <c r="E79">
        <f>RIGHT(A79,1)</f>
        <v/>
      </c>
      <c r="F79">
        <f>G79 &amp; IF(H79&lt;&gt;"", "_" &amp; H79, "_") &amp; IF(I79&lt;&gt;"", "_" &amp; I79, "_") &amp; IF(B79&lt;&gt;"", "_" &amp; B79, "")</f>
        <v/>
      </c>
      <c r="G79">
        <f>SUBSTITUTE(SUBSTITUTE(_xlfn.TEXTBEFORE(A79,","), "-", ""), " ", "")</f>
        <v/>
      </c>
      <c r="H79">
        <f>IF(ISNUMBER(FIND("&amp;", A79)),
IF(LEN(A79)-LEN(SUBSTITUTE(A79, ",", ""))&gt;=6, "etal", MID(A79, SEARCH("&amp; ", A79)+2, SEARCH(",", A79, SEARCH("&amp; ", A79)+2) - SEARCH("&amp; ", A79)-2)),
""
)</f>
        <v/>
      </c>
      <c r="I79">
        <f>_xlfn.TEXTBEFORE(_xlfn.TEXTAFTER(A79, "("), ")")</f>
        <v/>
      </c>
      <c r="J79">
        <f>IF(C79&lt;&gt;"", C79, IF(C79="", _xlfn.TEXTAFTER(A79,"https://doi.org/"), C79))</f>
        <v/>
      </c>
      <c r="K79">
        <f>TRIM(_xlfn.TEXTJOIN("_",FALSE,F79,(SUBSTITUTE(SUBSTITUTE(D79," ",""), "_", ""))))</f>
        <v/>
      </c>
      <c r="L79">
        <f>IF(ISBLANK(C79),TRIM(SUBSTITUTE(SUBSTITUTE(SUBSTITUTE(_xlfn.TEXTJOIN("_", FALSE, J79, SUBSTITUTE(D79,"_", "")), "/", "%2F"), ":", "%3A"), " ", "")),TRIM(SUBSTITUTE(SUBSTITUTE(SUBSTITUTE(_xlfn.TEXTJOIN("_", FALSE, C79, SUBSTITUTE(D79,"_", "")), "/", "%2F"), ":", "%3A"), " ", "")))</f>
        <v/>
      </c>
      <c r="M79">
        <f t="array" ref="M79">IFERROR(INDEX(FileList!$A$1:$A$100, MATCH(L79, _xlfn.TEXTBEFORE(FileList!$A$1:$A$100, ".tsv"), 0)), "notfound")</f>
        <v/>
      </c>
      <c r="N79" s="4" t="inlineStr">
        <is>
          <t>Table 1. Summary of experimental cases</t>
        </is>
      </c>
      <c r="Y79" s="4" t="inlineStr">
        <is>
          <t>Brain surface total area</t>
        </is>
      </c>
    </row>
    <row r="80" ht="15.75" customHeight="1">
      <c r="A80" s="4" t="inlineStr">
        <is>
          <t>Wilman, H., Belmaker, J., Simpson, J., de la Rosa, C., Rivadeneira, M. M., &amp; Jetz, W. (2014). EltonTraits 1.0: Species‐level foraging attributes of the world's birds and mammals. Ecology, 95(7), 2027-2027. https://doi.org/10.1890/13-1917.1</t>
        </is>
      </c>
      <c r="D80" s="4" t="inlineStr">
        <is>
          <t>MamFuncDat.txt</t>
        </is>
      </c>
      <c r="E80">
        <f>RIGHT(A80,1)</f>
        <v/>
      </c>
      <c r="F80">
        <f>G80 &amp; IF(H80&lt;&gt;"", "_" &amp; H80, "_") &amp; IF(I80&lt;&gt;"", "_" &amp; I80, "_") &amp; IF(B80&lt;&gt;"", "_" &amp; B80, "")</f>
        <v/>
      </c>
      <c r="G80">
        <f>SUBSTITUTE(SUBSTITUTE(_xlfn.TEXTBEFORE(A80,","), "-", ""), " ", "")</f>
        <v/>
      </c>
      <c r="H80">
        <f>IF(ISNUMBER(FIND("&amp;", A80)),
IF(LEN(A80)-LEN(SUBSTITUTE(A80, ",", ""))&gt;=6, "etal", MID(A80, SEARCH("&amp; ", A80)+2, SEARCH(",", A80, SEARCH("&amp; ", A80)+2) - SEARCH("&amp; ", A80)-2)),
""
)</f>
        <v/>
      </c>
      <c r="I80">
        <f>_xlfn.TEXTBEFORE(_xlfn.TEXTAFTER(A80, "("), ")")</f>
        <v/>
      </c>
      <c r="J80">
        <f>IF(C80&lt;&gt;"", C80, IF(C80="", _xlfn.TEXTAFTER(A80,"https://doi.org/"), C80))</f>
        <v/>
      </c>
      <c r="K80">
        <f>TRIM(_xlfn.TEXTJOIN("_",FALSE,F80,(SUBSTITUTE(SUBSTITUTE(D80," ",""), "_", ""))))</f>
        <v/>
      </c>
      <c r="L80">
        <f>IF(ISBLANK(C80),TRIM(SUBSTITUTE(SUBSTITUTE(SUBSTITUTE(_xlfn.TEXTJOIN("_", FALSE, J80, SUBSTITUTE(D80,"_", "")), "/", "%2F"), ":", "%3A"), " ", "")),TRIM(SUBSTITUTE(SUBSTITUTE(SUBSTITUTE(_xlfn.TEXTJOIN("_", FALSE, C80, SUBSTITUTE(D80,"_", "")), "/", "%2F"), ":", "%3A"), " ", "")))</f>
        <v/>
      </c>
      <c r="M80">
        <f t="array" ref="M80">IFERROR(INDEX(FileList!$A$1:$A$100, MATCH(L80, _xlfn.TEXTBEFORE(FileList!$A$1:$A$100, ".tsv"), 0)), "notfound")</f>
        <v/>
      </c>
    </row>
    <row r="81" ht="15.75" customHeight="1">
      <c r="A81" s="4" t="inlineStr">
        <is>
          <t>Wimberly, A. N., Slater, G. J., &amp; Granatosky, M. C. (2021). Evolutionary history of quadrupedal walking gaits shows mammalian release from locomotor constraint. Proc Biol Sci, 288(1957), 20210937. https://doi.org/10.1098/rspb.2021.0937</t>
        </is>
      </c>
      <c r="D81" s="4" t="inlineStr">
        <is>
          <t>mammal_gait.txt</t>
        </is>
      </c>
      <c r="E81">
        <f>RIGHT(A81,1)</f>
        <v/>
      </c>
      <c r="F81">
        <f>G81 &amp; IF(H81&lt;&gt;"", "_" &amp; H81, "_") &amp; IF(I81&lt;&gt;"", "_" &amp; I81, "_") &amp; IF(B81&lt;&gt;"", "_" &amp; B81, "")</f>
        <v/>
      </c>
      <c r="G81">
        <f>SUBSTITUTE(SUBSTITUTE(_xlfn.TEXTBEFORE(A81,","), "-", ""), " ", "")</f>
        <v/>
      </c>
      <c r="H81">
        <f>IF(ISNUMBER(FIND("&amp;", A81)),
IF(LEN(A81)-LEN(SUBSTITUTE(A81, ",", ""))&gt;=6, "etal", MID(A81, SEARCH("&amp; ", A81)+2, SEARCH(",", A81, SEARCH("&amp; ", A81)+2) - SEARCH("&amp; ", A81)-2)),
""
)</f>
        <v/>
      </c>
      <c r="I81">
        <f>_xlfn.TEXTBEFORE(_xlfn.TEXTAFTER(A81, "("), ")")</f>
        <v/>
      </c>
      <c r="J81">
        <f>IF(C81&lt;&gt;"", C81, IF(C81="", _xlfn.TEXTAFTER(A81,"https://doi.org/"), C81))</f>
        <v/>
      </c>
      <c r="K81">
        <f>TRIM(_xlfn.TEXTJOIN("_",FALSE,F81,(SUBSTITUTE(SUBSTITUTE(D81," ",""), "_", ""))))</f>
        <v/>
      </c>
      <c r="L81">
        <f>IF(ISBLANK(C81),TRIM(SUBSTITUTE(SUBSTITUTE(SUBSTITUTE(_xlfn.TEXTJOIN("_", FALSE, J81, SUBSTITUTE(D81,"_", "")), "/", "%2F"), ":", "%3A"), " ", "")),TRIM(SUBSTITUTE(SUBSTITUTE(SUBSTITUTE(_xlfn.TEXTJOIN("_", FALSE, C81, SUBSTITUTE(D81,"_", "")), "/", "%2F"), ":", "%3A"), " ", "")))</f>
        <v/>
      </c>
      <c r="M81">
        <f t="array" ref="M81">IFERROR(INDEX(FileList!$A$1:$A$100, MATCH(L81, _xlfn.TEXTBEFORE(FileList!$A$1:$A$100, ".tsv"), 0)), "notfound")</f>
        <v/>
      </c>
      <c r="P81" s="4" t="inlineStr">
        <is>
          <t>NOT STARTED</t>
        </is>
      </c>
    </row>
    <row r="82">
      <c r="A82" s="4" t="inlineStr">
        <is>
          <t>Winkler, S. L., &amp; Bryant, G. A. (2021). Play vocalisations and human laughter: a comparative review. Bioacoustics, 1-28. https://doi.org/10.1080/09524622.2021.1905065</t>
        </is>
      </c>
      <c r="D82" s="4" t="inlineStr">
        <is>
          <t>Figure 1</t>
        </is>
      </c>
      <c r="E82">
        <f>RIGHT(A82,1)</f>
        <v/>
      </c>
      <c r="F82">
        <f>G82 &amp; IF(H82&lt;&gt;"", "_" &amp; H82, "_") &amp; IF(I82&lt;&gt;"", "_" &amp; I82, "_") &amp; IF(B82&lt;&gt;"", "_" &amp; B82, "")</f>
        <v/>
      </c>
      <c r="G82">
        <f>SUBSTITUTE(SUBSTITUTE(_xlfn.TEXTBEFORE(A82,","), "-", ""), " ", "")</f>
        <v/>
      </c>
      <c r="H82">
        <f>IF(ISNUMBER(FIND("&amp;", A82)),
IF(LEN(A82)-LEN(SUBSTITUTE(A82, ",", ""))&gt;=6, "etal", MID(A82, SEARCH("&amp; ", A82)+2, SEARCH(",", A82, SEARCH("&amp; ", A82)+2) - SEARCH("&amp; ", A82)-2)),
""
)</f>
        <v/>
      </c>
      <c r="I82">
        <f>_xlfn.TEXTBEFORE(_xlfn.TEXTAFTER(A82, "("), ")")</f>
        <v/>
      </c>
      <c r="J82">
        <f>IF(C82&lt;&gt;"", C82, IF(C82="", _xlfn.TEXTAFTER(A82,"https://doi.org/"), C82))</f>
        <v/>
      </c>
      <c r="K82">
        <f>TRIM(_xlfn.TEXTJOIN("_",FALSE,F82,(SUBSTITUTE(SUBSTITUTE(D82," ",""), "_", ""))))</f>
        <v/>
      </c>
      <c r="L82">
        <f>IF(ISBLANK(C82),TRIM(SUBSTITUTE(SUBSTITUTE(SUBSTITUTE(_xlfn.TEXTJOIN("_", FALSE, J82, SUBSTITUTE(D82,"_", "")), "/", "%2F"), ":", "%3A"), " ", "")),TRIM(SUBSTITUTE(SUBSTITUTE(SUBSTITUTE(_xlfn.TEXTJOIN("_", FALSE, C82, SUBSTITUTE(D82,"_", "")), "/", "%2F"), ":", "%3A"), " ", "")))</f>
        <v/>
      </c>
      <c r="M82">
        <f t="array" ref="M82">IFERROR(INDEX(FileList!$A$1:$A$100, MATCH(L82, _xlfn.TEXTBEFORE(FileList!$A$1:$A$100, ".tsv"), 0)), "notfound")</f>
        <v/>
      </c>
      <c r="P82" s="4" t="inlineStr">
        <is>
          <t>NOT STARTED</t>
        </is>
      </c>
      <c r="Q82" s="4" t="inlineStr">
        <is>
          <t>NA</t>
        </is>
      </c>
      <c r="R82" s="7" t="n"/>
      <c r="T82" s="4">
        <f>IF(S82="N", R82, "write file name")</f>
        <v/>
      </c>
      <c r="U82" s="4" t="inlineStr">
        <is>
          <t>pdf</t>
        </is>
      </c>
      <c r="V82" s="4" t="inlineStr">
        <is>
          <t>table and figure</t>
        </is>
      </c>
      <c r="Y82" s="4" t="inlineStr">
        <is>
          <t>play vocalizations</t>
        </is>
      </c>
      <c r="AE82" s="4" t="inlineStr">
        <is>
          <t>mammals</t>
        </is>
      </c>
    </row>
    <row r="83">
      <c r="A83" s="4" t="inlineStr">
        <is>
          <t>Young, N. A., Collins, C. E., &amp; Kaas, J. H. (2013). Cell and neuron densities in the primary motor cortex of primates [Original Research]. Front Neural Circuits, 7(30), 30. https://doi.org/10.3389/fncir.2013.00030</t>
        </is>
      </c>
      <c r="D83" s="4" t="inlineStr">
        <is>
          <t>Table 1</t>
        </is>
      </c>
      <c r="E83">
        <f>RIGHT(A83,1)</f>
        <v/>
      </c>
      <c r="F83">
        <f>G83 &amp; IF(H83&lt;&gt;"", "_" &amp; H83, "_") &amp; IF(I83&lt;&gt;"", "_" &amp; I83, "_") &amp; IF(B83&lt;&gt;"", "_" &amp; B83, "")</f>
        <v/>
      </c>
      <c r="G83">
        <f>SUBSTITUTE(SUBSTITUTE(_xlfn.TEXTBEFORE(A83,","), "-", ""), " ", "")</f>
        <v/>
      </c>
      <c r="H83">
        <f>IF(ISNUMBER(FIND("&amp;", A83)),
IF(LEN(A83)-LEN(SUBSTITUTE(A83, ",", ""))&gt;=6, "etal", MID(A83, SEARCH("&amp; ", A83)+2, SEARCH(",", A83, SEARCH("&amp; ", A83)+2) - SEARCH("&amp; ", A83)-2)),
""
)</f>
        <v/>
      </c>
      <c r="I83">
        <f>_xlfn.TEXTBEFORE(_xlfn.TEXTAFTER(A83, "("), ")")</f>
        <v/>
      </c>
      <c r="J83">
        <f>IF(C83&lt;&gt;"", C83, IF(C83="", _xlfn.TEXTAFTER(A83,"https://doi.org/"), C83))</f>
        <v/>
      </c>
      <c r="K83">
        <f>TRIM(_xlfn.TEXTJOIN("_",FALSE,F83,(SUBSTITUTE(SUBSTITUTE(D83," ",""), "_", ""))))</f>
        <v/>
      </c>
      <c r="L83">
        <f>IF(ISBLANK(C83),TRIM(SUBSTITUTE(SUBSTITUTE(SUBSTITUTE(_xlfn.TEXTJOIN("_", FALSE, J83, SUBSTITUTE(D83,"_", "")), "/", "%2F"), ":", "%3A"), " ", "")),TRIM(SUBSTITUTE(SUBSTITUTE(SUBSTITUTE(_xlfn.TEXTJOIN("_", FALSE, C83, SUBSTITUTE(D83,"_", "")), "/", "%2F"), ":", "%3A"), " ", "")))</f>
        <v/>
      </c>
      <c r="M83">
        <f t="array" ref="M83">IFERROR(INDEX(FileList!$A$1:$A$100, MATCH(L83, _xlfn.TEXTBEFORE(FileList!$A$1:$A$100, ".tsv"), 0)), "notfound")</f>
        <v/>
      </c>
      <c r="P83" s="4" t="inlineStr">
        <is>
          <t>need to record steps</t>
        </is>
      </c>
      <c r="Q83" s="4" t="inlineStr">
        <is>
          <t>NA</t>
        </is>
      </c>
      <c r="R83" s="7" t="n"/>
      <c r="T83" s="4">
        <f>IF(S83="N", R83, "write file name")</f>
        <v/>
      </c>
      <c r="U83" s="4" t="inlineStr">
        <is>
          <t>pdf</t>
        </is>
      </c>
      <c r="V83" s="4" t="inlineStr">
        <is>
          <t>table</t>
        </is>
      </c>
      <c r="Y83" s="4" t="inlineStr">
        <is>
          <t>M1 Cell count, surface area, mass</t>
        </is>
      </c>
      <c r="Z83" s="4" t="inlineStr">
        <is>
          <t>primary</t>
        </is>
      </c>
      <c r="AE83" s="4" t="inlineStr">
        <is>
          <t>primates</t>
        </is>
      </c>
    </row>
    <row r="84">
      <c r="A84" t="inlineStr">
        <is>
          <t>Baron, G., Frahm, H. D., &amp; Stephan, H. (1988). Comparison of brain structure volumes in Insectivora and Primates. VIII. Vestibular complex. J Hirnforsch, 29(5), 509-523. http://www.ncbi.nlm.nih.gov/pubmed/3216099</t>
        </is>
      </c>
      <c r="C84" t="inlineStr">
        <is>
          <t>PMID:3216099</t>
        </is>
      </c>
      <c r="D84" t="inlineStr">
        <is>
          <t>Table1</t>
        </is>
      </c>
      <c r="E84">
        <f>RIGHT(A84,1)</f>
        <v/>
      </c>
      <c r="F84">
        <f>G84 &amp; IF(H84&lt;&gt;"", "_" &amp; H84, "_") &amp; IF(I84&lt;&gt;"", "_" &amp; I84, "_") &amp; IF(B84&lt;&gt;"", "_" &amp; B84, "")</f>
        <v/>
      </c>
      <c r="G84">
        <f>SUBSTITUTE(SUBSTITUTE(_xlfn.TEXTBEFORE(A84,","), "-", ""), " ", "")</f>
        <v/>
      </c>
      <c r="H84">
        <f>IF(ISNUMBER(FIND("&amp;", A84)),
IF(LEN(A84)-LEN(SUBSTITUTE(A84, ",", ""))&gt;=6, "etal", MID(A84, SEARCH("&amp; ", A84)+2, SEARCH(",", A84, SEARCH("&amp; ", A84)+2) - SEARCH("&amp; ", A84)-2)),
""
)</f>
        <v/>
      </c>
      <c r="I84">
        <f>_xlfn.TEXTBEFORE(_xlfn.TEXTAFTER(A84, "("), ")")</f>
        <v/>
      </c>
      <c r="J84">
        <f>IF(C84&lt;&gt;"", C84, IF(C84="", _xlfn.TEXTAFTER(A84,"https://doi.org/"), C84))</f>
        <v/>
      </c>
      <c r="K84">
        <f>TRIM(_xlfn.TEXTJOIN("_",FALSE,F84,(SUBSTITUTE(SUBSTITUTE(D84," ",""), "_", ""))))</f>
        <v/>
      </c>
      <c r="L84">
        <f>IF(ISBLANK(C84),TRIM(SUBSTITUTE(SUBSTITUTE(SUBSTITUTE(_xlfn.TEXTJOIN("_", FALSE, J84, SUBSTITUTE(D84,"_", "")), "/", "%2F"), ":", "%3A"), " ", "")),TRIM(SUBSTITUTE(SUBSTITUTE(SUBSTITUTE(_xlfn.TEXTJOIN("_", FALSE, C84, SUBSTITUTE(D84,"_", "")), "/", "%2F"), ":", "%3A"), " ", "")))</f>
        <v/>
      </c>
      <c r="M84">
        <f t="array" ref="M84">IFERROR(INDEX(FileList!$A$1:$A$100, MATCH(L84, _xlfn.TEXTBEFORE(FileList!$A$1:$A$100, ".tsv"), 0)), "notfound")</f>
        <v/>
      </c>
      <c r="N84" t="inlineStr">
        <is>
          <t>Table 1. Volumes and indices of the vestibular complex (VC) and its main components (VM, V1, VL, VS) in Insectivora and Scadentia</t>
        </is>
      </c>
      <c r="AA84" t="inlineStr">
        <is>
          <t>Stephan</t>
        </is>
      </c>
    </row>
    <row r="85">
      <c r="A85" t="inlineStr">
        <is>
          <t>Frahm, H. D., Stephan, H., &amp; Stephan, M. (1982). Comparison of brain structure volumes in Insectivora and Primates. I. Neocortex. J Hirnforsch, 23(4), 375-389. https://www.ncbi.nlm.nih.gov/pubmed/7161477</t>
        </is>
      </c>
      <c r="C85" t="inlineStr">
        <is>
          <t>PMID:7161477</t>
        </is>
      </c>
      <c r="D85" t="inlineStr">
        <is>
          <t>Table 1</t>
        </is>
      </c>
      <c r="E85">
        <f>RIGHT(A85,1)</f>
        <v/>
      </c>
      <c r="F85">
        <f>G85 &amp; IF(H85&lt;&gt;"", "_" &amp; H85, "_") &amp; IF(I85&lt;&gt;"", "_" &amp; I85, "_") &amp; IF(B85&lt;&gt;"", "_" &amp; B85, "")</f>
        <v/>
      </c>
      <c r="G85">
        <f>SUBSTITUTE(SUBSTITUTE(_xlfn.TEXTBEFORE(A85,","), "-", ""), " ", "")</f>
        <v/>
      </c>
      <c r="H85">
        <f>IF(ISNUMBER(FIND("&amp;", A85)),
IF(LEN(A85)-LEN(SUBSTITUTE(A85, ",", ""))&gt;=6, "etal", MID(A85, SEARCH("&amp; ", A85)+2, SEARCH(",", A85, SEARCH("&amp; ", A85)+2) - SEARCH("&amp; ", A85)-2)),
""
)</f>
        <v/>
      </c>
      <c r="I85">
        <f>_xlfn.TEXTBEFORE(_xlfn.TEXTAFTER(A85, "("), ")")</f>
        <v/>
      </c>
      <c r="J85">
        <f>IF(C85&lt;&gt;"", C85, IF(C85="", _xlfn.TEXTAFTER(A85,"https://doi.org/"), C85))</f>
        <v/>
      </c>
      <c r="K85">
        <f>TRIM(_xlfn.TEXTJOIN("_",FALSE,F85,(SUBSTITUTE(SUBSTITUTE(D85," ",""), "_", ""))))</f>
        <v/>
      </c>
      <c r="L85">
        <f>IF(ISBLANK(C85),TRIM(SUBSTITUTE(SUBSTITUTE(SUBSTITUTE(_xlfn.TEXTJOIN("_", FALSE, J85, SUBSTITUTE(D85,"_", "")), "/", "%2F"), ":", "%3A"), " ", "")),TRIM(SUBSTITUTE(SUBSTITUTE(SUBSTITUTE(_xlfn.TEXTJOIN("_", FALSE, C85, SUBSTITUTE(D85,"_", "")), "/", "%2F"), ":", "%3A"), " ", "")))</f>
        <v/>
      </c>
      <c r="M85">
        <f t="array" ref="M85">IFERROR(INDEX(FileList!$A$1:$A$100, MATCH(L85, _xlfn.TEXTBEFORE(FileList!$A$1:$A$100, ".tsv"), 0)), "notfound")</f>
        <v/>
      </c>
      <c r="N85" t="inlineStr">
        <is>
          <t>Table 1. Volume data on total neocortex and its components (in mm3).</t>
        </is>
      </c>
      <c r="V85" t="inlineStr">
        <is>
          <t>table</t>
        </is>
      </c>
      <c r="W85" t="inlineStr">
        <is>
          <t>NO - not digitized</t>
        </is>
      </c>
      <c r="Y85" t="inlineStr">
        <is>
          <t>neocortex volume</t>
        </is>
      </c>
      <c r="Z85" t="inlineStr">
        <is>
          <t>primary</t>
        </is>
      </c>
      <c r="AA85" t="inlineStr">
        <is>
          <t>Stephan</t>
        </is>
      </c>
      <c r="AB85" t="inlineStr">
        <is>
          <t>volumetry</t>
        </is>
      </c>
    </row>
    <row r="86">
      <c r="A86" t="inlineStr">
        <is>
          <t>Stephan, H., Baron, G., &amp; Frahm, H. D. (1982). Comparison of brain structure volumes in Insectivora and Primates. II. Accessory olfactory bulb (AOB). J Hirnforsch, 23(5), 575-591. https://www.ncbi.nlm.nih.gov/pubmed/7161483</t>
        </is>
      </c>
      <c r="C86" t="inlineStr">
        <is>
          <t>PMID:7161483</t>
        </is>
      </c>
      <c r="D86" t="inlineStr">
        <is>
          <t>Table 1</t>
        </is>
      </c>
      <c r="E86">
        <f>RIGHT(A86,1)</f>
        <v/>
      </c>
      <c r="F86">
        <f>G86 &amp; IF(H86&lt;&gt;"", "_" &amp; H86, "_") &amp; IF(I86&lt;&gt;"", "_" &amp; I86, "_") &amp; IF(B86&lt;&gt;"", "_" &amp; B86, "")</f>
        <v/>
      </c>
      <c r="G86">
        <f>SUBSTITUTE(SUBSTITUTE(_xlfn.TEXTBEFORE(A86,","), "-", ""), " ", "")</f>
        <v/>
      </c>
      <c r="H86">
        <f>IF(ISNUMBER(FIND("&amp;", A86)),
IF(LEN(A86)-LEN(SUBSTITUTE(A86, ",", ""))&gt;=6, "etal", MID(A86, SEARCH("&amp; ", A86)+2, SEARCH(",", A86, SEARCH("&amp; ", A86)+2) - SEARCH("&amp; ", A86)-2)),
""
)</f>
        <v/>
      </c>
      <c r="I86">
        <f>_xlfn.TEXTBEFORE(_xlfn.TEXTAFTER(A86, "("), ")")</f>
        <v/>
      </c>
      <c r="J86">
        <f>IF(C86&lt;&gt;"", C86, IF(C86="", _xlfn.TEXTAFTER(A86,"https://doi.org/"), C86))</f>
        <v/>
      </c>
      <c r="K86">
        <f>TRIM(_xlfn.TEXTJOIN("_",FALSE,F86,(SUBSTITUTE(SUBSTITUTE(D86," ",""), "_", ""))))</f>
        <v/>
      </c>
      <c r="L86">
        <f>IF(ISBLANK(C86),TRIM(SUBSTITUTE(SUBSTITUTE(SUBSTITUTE(_xlfn.TEXTJOIN("_", FALSE, J86, SUBSTITUTE(D86,"_", "")), "/", "%2F"), ":", "%3A"), " ", "")),TRIM(SUBSTITUTE(SUBSTITUTE(SUBSTITUTE(_xlfn.TEXTJOIN("_", FALSE, C86, SUBSTITUTE(D86,"_", "")), "/", "%2F"), ":", "%3A"), " ", "")))</f>
        <v/>
      </c>
      <c r="M86">
        <f t="array" ref="M86">IFERROR(INDEX(FileList!$A$1:$A$100, MATCH(L86, _xlfn.TEXTBEFORE(FileList!$A$1:$A$100, ".tsv"), 0)), "notfound")</f>
        <v/>
      </c>
      <c r="N86" t="inlineStr">
        <is>
          <t>Table 1. Data on AOB and its three measured components in the 61 species. All volumes (columns 2 and 7-9) are in mm3.</t>
        </is>
      </c>
      <c r="V86" t="inlineStr">
        <is>
          <t>table</t>
        </is>
      </c>
      <c r="W86" t="inlineStr">
        <is>
          <t>NO - not digitized</t>
        </is>
      </c>
      <c r="Y86" t="inlineStr">
        <is>
          <t>accessory olfactory bulb volume</t>
        </is>
      </c>
      <c r="Z86" t="inlineStr">
        <is>
          <t>primary</t>
        </is>
      </c>
      <c r="AA86" t="inlineStr">
        <is>
          <t>Stephan</t>
        </is>
      </c>
      <c r="AB86" t="inlineStr">
        <is>
          <t>volumetry</t>
        </is>
      </c>
    </row>
    <row r="87">
      <c r="A87" t="inlineStr">
        <is>
          <t>Stephan, H., Frahm, H. D., &amp; Baron, G. (1984). Comparison of brain structure volumes in insectivora and primates. IV. Non-cortical visual structures. J Hirnforsch, 25(4), 385-403. https://www.ncbi.nlm.nih.gov/pubmed/6481154</t>
        </is>
      </c>
      <c r="C87" t="inlineStr">
        <is>
          <t>PMID:6481154</t>
        </is>
      </c>
      <c r="D87" t="inlineStr">
        <is>
          <t>Table 1</t>
        </is>
      </c>
      <c r="E87">
        <f>RIGHT(A87,1)</f>
        <v/>
      </c>
      <c r="F87">
        <f>G87 &amp; IF(H87&lt;&gt;"", "_" &amp; H87, "_") &amp; IF(I87&lt;&gt;"", "_" &amp; I87, "_") &amp; IF(B87&lt;&gt;"", "_" &amp; B87, "")</f>
        <v/>
      </c>
      <c r="G87">
        <f>SUBSTITUTE(SUBSTITUTE(_xlfn.TEXTBEFORE(A87,","), "-", ""), " ", "")</f>
        <v/>
      </c>
      <c r="H87">
        <f>IF(ISNUMBER(FIND("&amp;", A87)),
IF(LEN(A87)-LEN(SUBSTITUTE(A87, ",", ""))&gt;=6, "etal", MID(A87, SEARCH("&amp; ", A87)+2, SEARCH(",", A87, SEARCH("&amp; ", A87)+2) - SEARCH("&amp; ", A87)-2)),
""
)</f>
        <v/>
      </c>
      <c r="I87">
        <f>_xlfn.TEXTBEFORE(_xlfn.TEXTAFTER(A87, "("), ")")</f>
        <v/>
      </c>
      <c r="J87">
        <f>IF(C87&lt;&gt;"", C87, IF(C87="", _xlfn.TEXTAFTER(A87,"https://doi.org/"), C87))</f>
        <v/>
      </c>
      <c r="K87">
        <f>TRIM(_xlfn.TEXTJOIN("_",FALSE,F87,(SUBSTITUTE(SUBSTITUTE(D87," ",""), "_", ""))))</f>
        <v/>
      </c>
      <c r="L87">
        <f>IF(ISBLANK(C87),TRIM(SUBSTITUTE(SUBSTITUTE(SUBSTITUTE(_xlfn.TEXTJOIN("_", FALSE, J87, SUBSTITUTE(D87,"_", "")), "/", "%2F"), ":", "%3A"), " ", "")),TRIM(SUBSTITUTE(SUBSTITUTE(SUBSTITUTE(_xlfn.TEXTJOIN("_", FALSE, C87, SUBSTITUTE(D87,"_", "")), "/", "%2F"), ":", "%3A"), " ", "")))</f>
        <v/>
      </c>
      <c r="M87">
        <f t="array" ref="M87">IFERROR(INDEX(FileList!$A$1:$A$100, MATCH(L87, _xlfn.TEXTBEFORE(FileList!$A$1:$A$100, ".tsv"), 0)), "notfound")</f>
        <v/>
      </c>
      <c r="N87" t="inlineStr">
        <is>
          <t>Table 1. Data on half surface of eyes (HSE), cross-sectional areas of nervus opticus (NOA), and the dorsal lateral geniculate body (CGL).</t>
        </is>
      </c>
      <c r="V87" t="inlineStr">
        <is>
          <t>table</t>
        </is>
      </c>
      <c r="W87" t="inlineStr">
        <is>
          <t>NO - not digitized</t>
        </is>
      </c>
      <c r="Y87" t="inlineStr">
        <is>
          <t>non-cortical visual structure volumes</t>
        </is>
      </c>
      <c r="Z87" t="inlineStr">
        <is>
          <t>primary</t>
        </is>
      </c>
      <c r="AA87" t="inlineStr">
        <is>
          <t>Stephan</t>
        </is>
      </c>
      <c r="AB87" t="inlineStr">
        <is>
          <t>volumetry</t>
        </is>
      </c>
    </row>
    <row r="88">
      <c r="A88" t="inlineStr">
        <is>
          <t>Frahm, H. D., Stephan, H., &amp; Baron, G. (1984). Comparison of brain structure volumes in insectivora and primates. V. Area striata (AS). J Hirnforsch, 25(5), 537-557. https://www.ncbi.nlm.nih.gov/pubmed/6501869</t>
        </is>
      </c>
      <c r="C88" t="inlineStr">
        <is>
          <t>PMID:6501869</t>
        </is>
      </c>
      <c r="D88" t="inlineStr">
        <is>
          <t>Table 1</t>
        </is>
      </c>
      <c r="E88">
        <f>RIGHT(A88,1)</f>
        <v/>
      </c>
      <c r="F88">
        <f>G88 &amp; IF(H88&lt;&gt;"", "_" &amp; H88, "_") &amp; IF(I88&lt;&gt;"", "_" &amp; I88, "_") &amp; IF(B88&lt;&gt;"", "_" &amp; B88, "")</f>
        <v/>
      </c>
      <c r="G88">
        <f>SUBSTITUTE(SUBSTITUTE(_xlfn.TEXTBEFORE(A88,","), "-", ""), " ", "")</f>
        <v/>
      </c>
      <c r="H88">
        <f>IF(ISNUMBER(FIND("&amp;", A88)),
IF(LEN(A88)-LEN(SUBSTITUTE(A88, ",", ""))&gt;=6, "etal", MID(A88, SEARCH("&amp; ", A88)+2, SEARCH(",", A88, SEARCH("&amp; ", A88)+2) - SEARCH("&amp; ", A88)-2)),
""
)</f>
        <v/>
      </c>
      <c r="I88">
        <f>_xlfn.TEXTBEFORE(_xlfn.TEXTAFTER(A88, "("), ")")</f>
        <v/>
      </c>
      <c r="J88">
        <f>IF(C88&lt;&gt;"", C88, IF(C88="", _xlfn.TEXTAFTER(A88,"https://doi.org/"), C88))</f>
        <v/>
      </c>
      <c r="K88">
        <f>TRIM(_xlfn.TEXTJOIN("_",FALSE,F88,(SUBSTITUTE(SUBSTITUTE(D88," ",""), "_", ""))))</f>
        <v/>
      </c>
      <c r="L88">
        <f>IF(ISBLANK(C88),TRIM(SUBSTITUTE(SUBSTITUTE(SUBSTITUTE(_xlfn.TEXTJOIN("_", FALSE, J88, SUBSTITUTE(D88,"_", "")), "/", "%2F"), ":", "%3A"), " ", "")),TRIM(SUBSTITUTE(SUBSTITUTE(SUBSTITUTE(_xlfn.TEXTJOIN("_", FALSE, C88, SUBSTITUTE(D88,"_", "")), "/", "%2F"), ":", "%3A"), " ", "")))</f>
        <v/>
      </c>
      <c r="M88">
        <f t="array" ref="M88">IFERROR(INDEX(FileList!$A$1:$A$100, MATCH(L88, _xlfn.TEXTBEFORE(FileList!$A$1:$A$100, ".tsv"), 0)), "notfound")</f>
        <v/>
      </c>
      <c r="N88" t="inlineStr">
        <is>
          <t>Table 1. Volumes of area striata and some of its laminar components (in mm3).</t>
        </is>
      </c>
      <c r="V88" t="inlineStr">
        <is>
          <t>table</t>
        </is>
      </c>
      <c r="W88" t="inlineStr">
        <is>
          <t>NO - not digitized</t>
        </is>
      </c>
      <c r="Y88" t="inlineStr">
        <is>
          <t>area striata volume</t>
        </is>
      </c>
      <c r="Z88" t="inlineStr">
        <is>
          <t>primary</t>
        </is>
      </c>
      <c r="AA88" t="inlineStr">
        <is>
          <t>Stephan</t>
        </is>
      </c>
      <c r="AB88" t="inlineStr">
        <is>
          <t>volumetry</t>
        </is>
      </c>
    </row>
    <row r="89">
      <c r="A89" t="inlineStr">
        <is>
          <t>Stephan, H., Frahm, H. D., &amp; Baron, G. (1987). Comparison of brain structure volumes in Insectivora and primates. VII. Amygdaloid components. J Hirnforsch, 28(5), 571-584. https://www.ncbi.nlm.nih.gov/pubmed/3693895</t>
        </is>
      </c>
      <c r="C89" t="inlineStr">
        <is>
          <t>PMID:3693895</t>
        </is>
      </c>
      <c r="D89" t="inlineStr">
        <is>
          <t>Table1</t>
        </is>
      </c>
      <c r="E89">
        <f>RIGHT(A89,1)</f>
        <v/>
      </c>
      <c r="F89">
        <f>G89 &amp; IF(H89&lt;&gt;"", "_" &amp; H89, "_") &amp; IF(I89&lt;&gt;"", "_" &amp; I89, "_") &amp; IF(B89&lt;&gt;"", "_" &amp; B89, "")</f>
        <v/>
      </c>
      <c r="G89">
        <f>SUBSTITUTE(SUBSTITUTE(_xlfn.TEXTBEFORE(A89,","), "-", ""), " ", "")</f>
        <v/>
      </c>
      <c r="H89">
        <f>IF(ISNUMBER(FIND("&amp;", A89)),
IF(LEN(A89)-LEN(SUBSTITUTE(A89, ",", ""))&gt;=6, "etal", MID(A89, SEARCH("&amp; ", A89)+2, SEARCH(",", A89, SEARCH("&amp; ", A89)+2) - SEARCH("&amp; ", A89)-2)),
""
)</f>
        <v/>
      </c>
      <c r="I89">
        <f>_xlfn.TEXTBEFORE(_xlfn.TEXTAFTER(A89, "("), ")")</f>
        <v/>
      </c>
      <c r="J89">
        <f>IF(C89&lt;&gt;"", C89, IF(C89="", _xlfn.TEXTAFTER(A89,"https://doi.org/"), C89))</f>
        <v/>
      </c>
      <c r="K89">
        <f>TRIM(_xlfn.TEXTJOIN("_",FALSE,F89,(SUBSTITUTE(SUBSTITUTE(D89," ",""), "_", ""))))</f>
        <v/>
      </c>
      <c r="L89">
        <f>IF(ISBLANK(C89),TRIM(SUBSTITUTE(SUBSTITUTE(SUBSTITUTE(_xlfn.TEXTJOIN("_", FALSE, J89, SUBSTITUTE(D89,"_", "")), "/", "%2F"), ":", "%3A"), " ", "")),TRIM(SUBSTITUTE(SUBSTITUTE(SUBSTITUTE(_xlfn.TEXTJOIN("_", FALSE, C89, SUBSTITUTE(D89,"_", "")), "/", "%2F"), ":", "%3A"), " ", "")))</f>
        <v/>
      </c>
      <c r="M89">
        <f t="array" ref="M89">IFERROR(INDEX(FileList!$A$1:$A$100, MATCH(L89, _xlfn.TEXTBEFORE(FileList!$A$1:$A$100, ".tsv"), 0)), "notfound")</f>
        <v/>
      </c>
      <c r="N89" t="inlineStr">
        <is>
          <t>...VII. Amygdaloid components (Table 1)</t>
        </is>
      </c>
      <c r="V89" t="inlineStr">
        <is>
          <t>table</t>
        </is>
      </c>
      <c r="W89" t="inlineStr">
        <is>
          <t>NO - not digitized</t>
        </is>
      </c>
      <c r="Y89" t="inlineStr">
        <is>
          <t>amygdaloid component volumes</t>
        </is>
      </c>
      <c r="Z89" t="inlineStr">
        <is>
          <t>primary</t>
        </is>
      </c>
      <c r="AA89" t="inlineStr">
        <is>
          <t>Stephan</t>
        </is>
      </c>
      <c r="AB89" t="inlineStr">
        <is>
          <t>volumetry</t>
        </is>
      </c>
    </row>
    <row r="90">
      <c r="A90" t="inlineStr">
        <is>
          <t>Baron, G., Stephan, H., &amp; Frahm, H. D. (1990). Comparison of brain structure volumes in Insectivora and primates. IX. Trigeminal complex. J Hirnforsch, 31(2), 193-200. https://www.ncbi.nlm.nih.gov/pubmed/2358663</t>
        </is>
      </c>
      <c r="C90" t="inlineStr">
        <is>
          <t>PMID:2358663</t>
        </is>
      </c>
      <c r="D90" t="inlineStr">
        <is>
          <t>Table1</t>
        </is>
      </c>
      <c r="E90">
        <f>RIGHT(A90,1)</f>
        <v/>
      </c>
      <c r="F90">
        <f>G90 &amp; IF(H90&lt;&gt;"", "_" &amp; H90, "_") &amp; IF(I90&lt;&gt;"", "_" &amp; I90, "_") &amp; IF(B90&lt;&gt;"", "_" &amp; B90, "")</f>
        <v/>
      </c>
      <c r="G90">
        <f>SUBSTITUTE(SUBSTITUTE(_xlfn.TEXTBEFORE(A90,","), "-", ""), " ", "")</f>
        <v/>
      </c>
      <c r="H90">
        <f>IF(ISNUMBER(FIND("&amp;", A90)),
IF(LEN(A90)-LEN(SUBSTITUTE(A90, ",", ""))&gt;=6, "etal", MID(A90, SEARCH("&amp; ", A90)+2, SEARCH(",", A90, SEARCH("&amp; ", A90)+2) - SEARCH("&amp; ", A90)-2)),
""
)</f>
        <v/>
      </c>
      <c r="I90">
        <f>_xlfn.TEXTBEFORE(_xlfn.TEXTAFTER(A90, "("), ")")</f>
        <v/>
      </c>
      <c r="J90">
        <f>IF(C90&lt;&gt;"", C90, IF(C90="", _xlfn.TEXTAFTER(A90,"https://doi.org/"), C90))</f>
        <v/>
      </c>
      <c r="K90">
        <f>TRIM(_xlfn.TEXTJOIN("_",FALSE,F90,(SUBSTITUTE(SUBSTITUTE(D90," ",""), "_", ""))))</f>
        <v/>
      </c>
      <c r="L90">
        <f>IF(ISBLANK(C90),TRIM(SUBSTITUTE(SUBSTITUTE(SUBSTITUTE(_xlfn.TEXTJOIN("_", FALSE, J90, SUBSTITUTE(D90,"_", "")), "/", "%2F"), ":", "%3A"), " ", "")),TRIM(SUBSTITUTE(SUBSTITUTE(SUBSTITUTE(_xlfn.TEXTJOIN("_", FALSE, C90, SUBSTITUTE(D90,"_", "")), "/", "%2F"), ":", "%3A"), " ", "")))</f>
        <v/>
      </c>
      <c r="M90">
        <f t="array" ref="M90">IFERROR(INDEX(FileList!$A$1:$A$100, MATCH(L90, _xlfn.TEXTBEFORE(FileList!$A$1:$A$100, ".tsv"), 0)), "notfound")</f>
        <v/>
      </c>
      <c r="N90" t="inlineStr">
        <is>
          <t>...IX. Trigeminal complex (Table 1)</t>
        </is>
      </c>
      <c r="V90" t="inlineStr">
        <is>
          <t>table</t>
        </is>
      </c>
      <c r="W90" t="inlineStr">
        <is>
          <t>NO - not digitized</t>
        </is>
      </c>
      <c r="Y90" t="inlineStr">
        <is>
          <t>trigeminal complex volume</t>
        </is>
      </c>
      <c r="Z90" t="inlineStr">
        <is>
          <t>primary</t>
        </is>
      </c>
      <c r="AA90" t="inlineStr">
        <is>
          <t>Stephan</t>
        </is>
      </c>
      <c r="AB90" t="inlineStr">
        <is>
          <t>volumetry</t>
        </is>
      </c>
    </row>
    <row r="91">
      <c r="A91" t="inlineStr">
        <is>
          <t>Stephan, H., Frahm, H., &amp; Baron, G. (1981). New and revised data on volumes of brain structures in insectivores and primates. Folia Primatol (Basel), 35(1), 1-29. https://doi.org/10.1159/000155963</t>
        </is>
      </c>
      <c r="D91" t="inlineStr">
        <is>
          <t>Table1</t>
        </is>
      </c>
      <c r="E91">
        <f>RIGHT(A91,1)</f>
        <v/>
      </c>
      <c r="F91">
        <f>G91 &amp; IF(H91&lt;&gt;"", "_" &amp; H91, "_") &amp; IF(I91&lt;&gt;"", "_" &amp; I91, "_") &amp; IF(B91&lt;&gt;"", "_" &amp; B91, "")</f>
        <v/>
      </c>
      <c r="G91">
        <f>SUBSTITUTE(SUBSTITUTE(_xlfn.TEXTBEFORE(A91,","), "-", ""), " ", "")</f>
        <v/>
      </c>
      <c r="H91">
        <f>IF(ISNUMBER(FIND("&amp;", A91)),
IF(LEN(A91)-LEN(SUBSTITUTE(A91, ",", ""))&gt;=6, "etal", MID(A91, SEARCH("&amp; ", A91)+2, SEARCH(",", A91, SEARCH("&amp; ", A91)+2) - SEARCH("&amp; ", A91)-2)),
""
)</f>
        <v/>
      </c>
      <c r="I91">
        <f>_xlfn.TEXTBEFORE(_xlfn.TEXTAFTER(A91, "("), ")")</f>
        <v/>
      </c>
      <c r="J91">
        <f>IF(C91&lt;&gt;"", C91, IF(C91="", _xlfn.TEXTAFTER(A91,"https://doi.org/"), C91))</f>
        <v/>
      </c>
      <c r="K91">
        <f>TRIM(_xlfn.TEXTJOIN("_",FALSE,F91,(SUBSTITUTE(SUBSTITUTE(D91," ",""), "_", ""))))</f>
        <v/>
      </c>
      <c r="L91">
        <f>IF(ISBLANK(C91),TRIM(SUBSTITUTE(SUBSTITUTE(SUBSTITUTE(_xlfn.TEXTJOIN("_", FALSE, J91, SUBSTITUTE(D91,"_", "")), "/", "%2F"), ":", "%3A"), " ", "")),TRIM(SUBSTITUTE(SUBSTITUTE(SUBSTITUTE(_xlfn.TEXTJOIN("_", FALSE, C91, SUBSTITUTE(D91,"_", "")), "/", "%2F"), ":", "%3A"), " ", "")))</f>
        <v/>
      </c>
      <c r="M91">
        <f t="array" ref="M91">IFERROR(INDEX(FileList!$A$1:$A$100, MATCH(L91, _xlfn.TEXTBEFORE(FileList!$A$1:$A$100, ".tsv"), 0)), "notfound")</f>
        <v/>
      </c>
      <c r="N91" t="inlineStr">
        <is>
          <t>New and revised data on volumes of brain structures (Table 1)</t>
        </is>
      </c>
      <c r="V91" t="inlineStr">
        <is>
          <t>table</t>
        </is>
      </c>
      <c r="Y91" t="inlineStr">
        <is>
          <t>brain structure volumes</t>
        </is>
      </c>
      <c r="Z91" t="inlineStr">
        <is>
          <t>primary</t>
        </is>
      </c>
      <c r="AA91" t="inlineStr">
        <is>
          <t>Stephan</t>
        </is>
      </c>
      <c r="AB91" t="inlineStr">
        <is>
          <t>volumetry</t>
        </is>
      </c>
    </row>
    <row r="92">
      <c r="A92" t="inlineStr">
        <is>
          <t>Matano, S., Baron, G., Stephan, H., &amp; Frahm, H. D. (1985). Volume comparisons in the cerebellar complex of primates. II. Cerebellar nuclei. Folia Primatol (Basel), 44(3-4), 182-203. https://doi.org/10.1159/000156212</t>
        </is>
      </c>
      <c r="D92" t="inlineStr">
        <is>
          <t>Table1</t>
        </is>
      </c>
      <c r="E92">
        <f>RIGHT(A92,1)</f>
        <v/>
      </c>
      <c r="F92">
        <f>G92 &amp; IF(H92&lt;&gt;"", "_" &amp; H92, "_") &amp; IF(I92&lt;&gt;"", "_" &amp; I92, "_") &amp; IF(B92&lt;&gt;"", "_" &amp; B92, "")</f>
        <v/>
      </c>
      <c r="G92">
        <f>SUBSTITUTE(SUBSTITUTE(_xlfn.TEXTBEFORE(A92,","), "-", ""), " ", "")</f>
        <v/>
      </c>
      <c r="H92">
        <f>IF(ISNUMBER(FIND("&amp;", A92)),
IF(LEN(A92)-LEN(SUBSTITUTE(A92, ",", ""))&gt;=6, "etal", MID(A92, SEARCH("&amp; ", A92)+2, SEARCH(",", A92, SEARCH("&amp; ", A92)+2) - SEARCH("&amp; ", A92)-2)),
""
)</f>
        <v/>
      </c>
      <c r="I92">
        <f>_xlfn.TEXTBEFORE(_xlfn.TEXTAFTER(A92, "("), ")")</f>
        <v/>
      </c>
      <c r="J92">
        <f>IF(C92&lt;&gt;"", C92, IF(C92="", _xlfn.TEXTAFTER(A92,"https://doi.org/"), C92))</f>
        <v/>
      </c>
      <c r="K92">
        <f>TRIM(_xlfn.TEXTJOIN("_",FALSE,F92,(SUBSTITUTE(SUBSTITUTE(D92," ",""), "_", ""))))</f>
        <v/>
      </c>
      <c r="L92">
        <f>IF(ISBLANK(C92),TRIM(SUBSTITUTE(SUBSTITUTE(SUBSTITUTE(_xlfn.TEXTJOIN("_", FALSE, J92, SUBSTITUTE(D92,"_", "")), "/", "%2F"), ":", "%3A"), " ", "")),TRIM(SUBSTITUTE(SUBSTITUTE(SUBSTITUTE(_xlfn.TEXTJOIN("_", FALSE, C92, SUBSTITUTE(D92,"_", "")), "/", "%2F"), ":", "%3A"), " ", "")))</f>
        <v/>
      </c>
      <c r="M92">
        <f t="array" ref="M92">IFERROR(INDEX(FileList!$A$1:$A$100, MATCH(L92, _xlfn.TEXTBEFORE(FileList!$A$1:$A$100, ".tsv"), 0)), "notfound")</f>
        <v/>
      </c>
      <c r="N92" t="inlineStr">
        <is>
          <t>Cerebellar complex II. Cerebellar nuclei (Table 1)</t>
        </is>
      </c>
      <c r="V92" t="inlineStr">
        <is>
          <t>table</t>
        </is>
      </c>
      <c r="Y92" t="inlineStr">
        <is>
          <t>cerebellar nuclei volume</t>
        </is>
      </c>
      <c r="Z92" t="inlineStr">
        <is>
          <t>primary</t>
        </is>
      </c>
      <c r="AA92" t="inlineStr">
        <is>
          <t>Stephan</t>
        </is>
      </c>
      <c r="AB92" t="inlineStr">
        <is>
          <t>volumetry</t>
        </is>
      </c>
    </row>
    <row r="93">
      <c r="A93" t="inlineStr">
        <is>
          <t>Frahm, H. D., &amp; Zilles, K. (1994). Volumetric comparison of hippocampal regions in 44 primate species. J Hirnforsch, 35(3), 343-354. https://www.ncbi.nlm.nih.gov/pubmed/7983368</t>
        </is>
      </c>
      <c r="C93" t="inlineStr">
        <is>
          <t>PMID:7983368</t>
        </is>
      </c>
      <c r="D93" t="inlineStr">
        <is>
          <t>Table1</t>
        </is>
      </c>
      <c r="E93">
        <f>RIGHT(A93,1)</f>
        <v/>
      </c>
      <c r="F93">
        <f>G93 &amp; IF(H93&lt;&gt;"", "_" &amp; H93, "_") &amp; IF(I93&lt;&gt;"", "_" &amp; I93, "_") &amp; IF(B93&lt;&gt;"", "_" &amp; B93, "")</f>
        <v/>
      </c>
      <c r="G93">
        <f>SUBSTITUTE(SUBSTITUTE(_xlfn.TEXTBEFORE(A93,","), "-", ""), " ", "")</f>
        <v/>
      </c>
      <c r="H93">
        <f>IF(ISNUMBER(FIND("&amp;", A93)),
IF(LEN(A93)-LEN(SUBSTITUTE(A93, ",", ""))&gt;=6, "etal", MID(A93, SEARCH("&amp; ", A93)+2, SEARCH(",", A93, SEARCH("&amp; ", A93)+2) - SEARCH("&amp; ", A93)-2)),
""
)</f>
        <v/>
      </c>
      <c r="I93">
        <f>_xlfn.TEXTBEFORE(_xlfn.TEXTAFTER(A93, "("), ")")</f>
        <v/>
      </c>
      <c r="J93">
        <f>IF(C93&lt;&gt;"", C93, IF(C93="", _xlfn.TEXTAFTER(A93,"https://doi.org/"), C93))</f>
        <v/>
      </c>
      <c r="K93">
        <f>TRIM(_xlfn.TEXTJOIN("_",FALSE,F93,(SUBSTITUTE(SUBSTITUTE(D93," ",""), "_", ""))))</f>
        <v/>
      </c>
      <c r="L93">
        <f>IF(ISBLANK(C93),TRIM(SUBSTITUTE(SUBSTITUTE(SUBSTITUTE(_xlfn.TEXTJOIN("_", FALSE, J93, SUBSTITUTE(D93,"_", "")), "/", "%2F"), ":", "%3A"), " ", "")),TRIM(SUBSTITUTE(SUBSTITUTE(SUBSTITUTE(_xlfn.TEXTJOIN("_", FALSE, C93, SUBSTITUTE(D93,"_", "")), "/", "%2F"), ":", "%3A"), " ", "")))</f>
        <v/>
      </c>
      <c r="M93">
        <f t="array" ref="M93">IFERROR(INDEX(FileList!$A$1:$A$100, MATCH(L93, _xlfn.TEXTBEFORE(FileList!$A$1:$A$100, ".tsv"), 0)), "notfound")</f>
        <v/>
      </c>
      <c r="N93" t="inlineStr">
        <is>
          <t>Hippocampal regions in 44 primates (Table 1)</t>
        </is>
      </c>
      <c r="V93" t="inlineStr">
        <is>
          <t>table</t>
        </is>
      </c>
      <c r="W93" t="inlineStr">
        <is>
          <t>NO - not digitized</t>
        </is>
      </c>
      <c r="Y93" t="inlineStr">
        <is>
          <t>hippocampal region volumes</t>
        </is>
      </c>
      <c r="Z93" t="inlineStr">
        <is>
          <t>primary</t>
        </is>
      </c>
      <c r="AA93" t="inlineStr">
        <is>
          <t>Stephan</t>
        </is>
      </c>
      <c r="AB93" t="inlineStr">
        <is>
          <t>volumetry</t>
        </is>
      </c>
    </row>
    <row r="94">
      <c r="A94" t="inlineStr">
        <is>
          <t>Frahm, H. D., Rehkamper, G., &amp; Nevo, E. (1997). Brain structure volumes in the mole rat, Spalax ehrenbergi (Spalacidae, Rodentia) in comparison to the rat and subterrestrial insectivores. J Hirnforsch, 38(2), 209-222. https://www.ncbi.nlm.nih.gov/pubmed/9176733</t>
        </is>
      </c>
      <c r="C94" t="inlineStr">
        <is>
          <t>PMID:9176733</t>
        </is>
      </c>
      <c r="D94" t="inlineStr">
        <is>
          <t>Table1</t>
        </is>
      </c>
      <c r="E94">
        <f>RIGHT(A94,1)</f>
        <v/>
      </c>
      <c r="F94">
        <f>G94 &amp; IF(H94&lt;&gt;"", "_" &amp; H94, "_") &amp; IF(I94&lt;&gt;"", "_" &amp; I94, "_") &amp; IF(B94&lt;&gt;"", "_" &amp; B94, "")</f>
        <v/>
      </c>
      <c r="G94">
        <f>SUBSTITUTE(SUBSTITUTE(_xlfn.TEXTBEFORE(A94,","), "-", ""), " ", "")</f>
        <v/>
      </c>
      <c r="H94">
        <f>IF(ISNUMBER(FIND("&amp;", A94)),
IF(LEN(A94)-LEN(SUBSTITUTE(A94, ",", ""))&gt;=6, "etal", MID(A94, SEARCH("&amp; ", A94)+2, SEARCH(",", A94, SEARCH("&amp; ", A94)+2) - SEARCH("&amp; ", A94)-2)),
""
)</f>
        <v/>
      </c>
      <c r="I94">
        <f>_xlfn.TEXTBEFORE(_xlfn.TEXTAFTER(A94, "("), ")")</f>
        <v/>
      </c>
      <c r="J94">
        <f>IF(C94&lt;&gt;"", C94, IF(C94="", _xlfn.TEXTAFTER(A94,"https://doi.org/"), C94))</f>
        <v/>
      </c>
      <c r="K94">
        <f>TRIM(_xlfn.TEXTJOIN("_",FALSE,F94,(SUBSTITUTE(SUBSTITUTE(D94," ",""), "_", ""))))</f>
        <v/>
      </c>
      <c r="L94">
        <f>IF(ISBLANK(C94),TRIM(SUBSTITUTE(SUBSTITUTE(SUBSTITUTE(_xlfn.TEXTJOIN("_", FALSE, J94, SUBSTITUTE(D94,"_", "")), "/", "%2F"), ":", "%3A"), " ", "")),TRIM(SUBSTITUTE(SUBSTITUTE(SUBSTITUTE(_xlfn.TEXTJOIN("_", FALSE, C94, SUBSTITUTE(D94,"_", "")), "/", "%2F"), ":", "%3A"), " ", "")))</f>
        <v/>
      </c>
      <c r="M94">
        <f t="array" ref="M94">IFERROR(INDEX(FileList!$A$1:$A$100, MATCH(L94, _xlfn.TEXTBEFORE(FileList!$A$1:$A$100, ".tsv"), 0)), "notfound")</f>
        <v/>
      </c>
      <c r="N94" t="inlineStr">
        <is>
          <t>Brain structure volumes in Spalax ehrenbergi (Table 1)</t>
        </is>
      </c>
      <c r="V94" t="inlineStr">
        <is>
          <t>table</t>
        </is>
      </c>
      <c r="W94" t="inlineStr">
        <is>
          <t>NO - not digitized</t>
        </is>
      </c>
      <c r="Y94" t="inlineStr">
        <is>
          <t>brain structure volumes (Spalax)</t>
        </is>
      </c>
      <c r="Z94" t="inlineStr">
        <is>
          <t>primary</t>
        </is>
      </c>
      <c r="AA94" t="inlineStr">
        <is>
          <t>Stephan</t>
        </is>
      </c>
      <c r="AB94" t="inlineStr">
        <is>
          <t>volumetry</t>
        </is>
      </c>
    </row>
    <row r="95">
      <c r="A95" t="inlineStr">
        <is>
          <t>Frahm, H. D., Zilles, K., Schleicher, A., &amp; Stephan, H. (1998). The size of the middle temporal area in primates. J Hirnforsch, 39(1), 45-54. https://www.ncbi.nlm.nih.gov/pubmed/9672110</t>
        </is>
      </c>
      <c r="C95" t="inlineStr">
        <is>
          <t>PMID:9672110</t>
        </is>
      </c>
      <c r="D95" t="inlineStr">
        <is>
          <t>Table1</t>
        </is>
      </c>
      <c r="E95">
        <f>RIGHT(A95,1)</f>
        <v/>
      </c>
      <c r="F95">
        <f>G95 &amp; IF(H95&lt;&gt;"", "_" &amp; H95, "_") &amp; IF(I95&lt;&gt;"", "_" &amp; I95, "_") &amp; IF(B95&lt;&gt;"", "_" &amp; B95, "")</f>
        <v/>
      </c>
      <c r="G95">
        <f>SUBSTITUTE(SUBSTITUTE(_xlfn.TEXTBEFORE(A95,","), "-", ""), " ", "")</f>
        <v/>
      </c>
      <c r="H95">
        <f>IF(ISNUMBER(FIND("&amp;", A95)),
IF(LEN(A95)-LEN(SUBSTITUTE(A95, ",", ""))&gt;=6, "etal", MID(A95, SEARCH("&amp; ", A95)+2, SEARCH(",", A95, SEARCH("&amp; ", A95)+2) - SEARCH("&amp; ", A95)-2)),
""
)</f>
        <v/>
      </c>
      <c r="I95">
        <f>_xlfn.TEXTBEFORE(_xlfn.TEXTAFTER(A95, "("), ")")</f>
        <v/>
      </c>
      <c r="J95">
        <f>IF(C95&lt;&gt;"", C95, IF(C95="", _xlfn.TEXTAFTER(A95,"https://doi.org/"), C95))</f>
        <v/>
      </c>
      <c r="K95">
        <f>TRIM(_xlfn.TEXTJOIN("_",FALSE,F95,(SUBSTITUTE(SUBSTITUTE(D95," ",""), "_", ""))))</f>
        <v/>
      </c>
      <c r="L95">
        <f>IF(ISBLANK(C95),TRIM(SUBSTITUTE(SUBSTITUTE(SUBSTITUTE(_xlfn.TEXTJOIN("_", FALSE, J95, SUBSTITUTE(D95,"_", "")), "/", "%2F"), ":", "%3A"), " ", "")),TRIM(SUBSTITUTE(SUBSTITUTE(SUBSTITUTE(_xlfn.TEXTJOIN("_", FALSE, C95, SUBSTITUTE(D95,"_", "")), "/", "%2F"), ":", "%3A"), " ", "")))</f>
        <v/>
      </c>
      <c r="M95">
        <f t="array" ref="M95">IFERROR(INDEX(FileList!$A$1:$A$100, MATCH(L95, _xlfn.TEXTBEFORE(FileList!$A$1:$A$100, ".tsv"), 0)), "notfound")</f>
        <v/>
      </c>
      <c r="N95" t="inlineStr">
        <is>
          <t>Size of the middle temporal area in primates (Table 1)</t>
        </is>
      </c>
      <c r="V95" t="inlineStr">
        <is>
          <t>table</t>
        </is>
      </c>
      <c r="W95" t="inlineStr">
        <is>
          <t>NO - not digitized</t>
        </is>
      </c>
      <c r="Y95" t="inlineStr">
        <is>
          <t>middle temporal area (MT) size</t>
        </is>
      </c>
      <c r="Z95" t="inlineStr">
        <is>
          <t>primary</t>
        </is>
      </c>
      <c r="AA95" t="inlineStr">
        <is>
          <t>Stephan</t>
        </is>
      </c>
      <c r="AB95" t="inlineStr">
        <is>
          <t>volumetry</t>
        </is>
      </c>
    </row>
    <row r="96">
      <c r="A96" t="inlineStr">
        <is>
          <t>de Sousa, A. A., Sherwood, C. C., Mohlberg, H., Amunts, K., Schleicher, A., MacLeod, C. E., Hof, P. R., Frahm, H., &amp; Zilles, K. (2010). Hominoid visual brain structure volumes and the position of the lunate sulcus. J Hum Evol, 58(4), 281-292. https://doi.org/10.1016/j.jhevol.2009.11.011</t>
        </is>
      </c>
      <c r="D96" t="inlineStr">
        <is>
          <t>Table1</t>
        </is>
      </c>
      <c r="E96">
        <f>RIGHT(A96,1)</f>
        <v/>
      </c>
      <c r="F96">
        <f>G96 &amp; IF(H96&lt;&gt;"", "_" &amp; H96, "_") &amp; IF(I96&lt;&gt;"", "_" &amp; I96, "_") &amp; IF(B96&lt;&gt;"", "_" &amp; B96, "")</f>
        <v/>
      </c>
      <c r="G96">
        <f>SUBSTITUTE(SUBSTITUTE(_xlfn.TEXTBEFORE(A96,","), "-", ""), " ", "")</f>
        <v/>
      </c>
      <c r="H96">
        <f>IF(ISNUMBER(FIND("&amp;", A96)),
IF(LEN(A96)-LEN(SUBSTITUTE(A96, ",", ""))&gt;=6, "etal", MID(A96, SEARCH("&amp; ", A96)+2, SEARCH(",", A96, SEARCH("&amp; ", A96)+2) - SEARCH("&amp; ", A96)-2)),
""
)</f>
        <v/>
      </c>
      <c r="I96">
        <f>_xlfn.TEXTBEFORE(_xlfn.TEXTAFTER(A96, "("), ")")</f>
        <v/>
      </c>
      <c r="J96">
        <f>IF(C96&lt;&gt;"", C96, IF(C96="", _xlfn.TEXTAFTER(A96,"https://doi.org/"), C96))</f>
        <v/>
      </c>
      <c r="K96">
        <f>TRIM(_xlfn.TEXTJOIN("_",FALSE,F96,(SUBSTITUTE(SUBSTITUTE(D96," ",""), "_", ""))))</f>
        <v/>
      </c>
      <c r="L96">
        <f>IF(ISBLANK(C96),TRIM(SUBSTITUTE(SUBSTITUTE(SUBSTITUTE(_xlfn.TEXTJOIN("_", FALSE, J96, SUBSTITUTE(D96,"_", "")), "/", "%2F"), ":", "%3A"), " ", "")),TRIM(SUBSTITUTE(SUBSTITUTE(SUBSTITUTE(_xlfn.TEXTJOIN("_", FALSE, C96, SUBSTITUTE(D96,"_", "")), "/", "%2F"), ":", "%3A"), " ", "")))</f>
        <v/>
      </c>
      <c r="M96">
        <f t="array" ref="M96">IFERROR(INDEX(FileList!$A$1:$A$100, MATCH(L96, _xlfn.TEXTBEFORE(FileList!$A$1:$A$100, ".tsv"), 0)), "notfound")</f>
        <v/>
      </c>
      <c r="N96" t="inlineStr">
        <is>
          <t>Hominoid visual brain structure volumes (Table 1)</t>
        </is>
      </c>
      <c r="V96" t="inlineStr">
        <is>
          <t>table</t>
        </is>
      </c>
      <c r="Y96" t="inlineStr">
        <is>
          <t>visual brain structure volumes</t>
        </is>
      </c>
      <c r="Z96" t="inlineStr">
        <is>
          <t>primary</t>
        </is>
      </c>
      <c r="AA96" t="inlineStr">
        <is>
          <t>Stephan</t>
        </is>
      </c>
      <c r="AB96" t="inlineStr">
        <is>
          <t>volumetry</t>
        </is>
      </c>
    </row>
    <row r="97">
      <c r="A97" t="inlineStr">
        <is>
          <t>de Sousa, A. A., Sherwood, C. C., Hof, P. R., &amp; Zilles, K. (2013). Lamination of the lateral geniculate nucleus of catarrhine primates. Brain Behav Evol, 81(2), 93-108. https://doi.org/10.1159/000346495</t>
        </is>
      </c>
      <c r="D97" t="inlineStr">
        <is>
          <t>Table1</t>
        </is>
      </c>
      <c r="E97">
        <f>RIGHT(A97,1)</f>
        <v/>
      </c>
      <c r="F97">
        <f>G97 &amp; IF(H97&lt;&gt;"", "_" &amp; H97, "_") &amp; IF(I97&lt;&gt;"", "_" &amp; I97, "_") &amp; IF(B97&lt;&gt;"", "_" &amp; B97, "")</f>
        <v/>
      </c>
      <c r="G97">
        <f>SUBSTITUTE(SUBSTITUTE(_xlfn.TEXTBEFORE(A97,","), "-", ""), " ", "")</f>
        <v/>
      </c>
      <c r="H97">
        <f>IF(ISNUMBER(FIND("&amp;", A97)),
IF(LEN(A97)-LEN(SUBSTITUTE(A97, ",", ""))&gt;=6, "etal", MID(A97, SEARCH("&amp; ", A97)+2, SEARCH(",", A97, SEARCH("&amp; ", A97)+2) - SEARCH("&amp; ", A97)-2)),
""
)</f>
        <v/>
      </c>
      <c r="I97">
        <f>_xlfn.TEXTBEFORE(_xlfn.TEXTAFTER(A97, "("), ")")</f>
        <v/>
      </c>
      <c r="J97">
        <f>IF(C97&lt;&gt;"", C97, IF(C97="", _xlfn.TEXTAFTER(A97,"https://doi.org/"), C97))</f>
        <v/>
      </c>
      <c r="K97">
        <f>TRIM(_xlfn.TEXTJOIN("_",FALSE,F97,(SUBSTITUTE(SUBSTITUTE(D97," ",""), "_", ""))))</f>
        <v/>
      </c>
      <c r="L97">
        <f>IF(ISBLANK(C97),TRIM(SUBSTITUTE(SUBSTITUTE(SUBSTITUTE(_xlfn.TEXTJOIN("_", FALSE, J97, SUBSTITUTE(D97,"_", "")), "/", "%2F"), ":", "%3A"), " ", "")),TRIM(SUBSTITUTE(SUBSTITUTE(SUBSTITUTE(_xlfn.TEXTJOIN("_", FALSE, C97, SUBSTITUTE(D97,"_", "")), "/", "%2F"), ":", "%3A"), " ", "")))</f>
        <v/>
      </c>
      <c r="M97">
        <f t="array" ref="M97">IFERROR(INDEX(FileList!$A$1:$A$100, MATCH(L97, _xlfn.TEXTBEFORE(FileList!$A$1:$A$100, ".tsv"), 0)), "notfound")</f>
        <v/>
      </c>
      <c r="N97" t="inlineStr">
        <is>
          <t>Lamination of the LGN of catarrhine primates (Table 1)</t>
        </is>
      </c>
      <c r="V97" t="inlineStr">
        <is>
          <t>table</t>
        </is>
      </c>
      <c r="Y97" t="inlineStr">
        <is>
          <t>LGN lamination volumes</t>
        </is>
      </c>
      <c r="Z97" t="inlineStr">
        <is>
          <t>primary</t>
        </is>
      </c>
      <c r="AA97" t="inlineStr">
        <is>
          <t>Stephan</t>
        </is>
      </c>
      <c r="AB97" t="inlineStr">
        <is>
          <t>volumetry</t>
        </is>
      </c>
    </row>
    <row r="98">
      <c r="A98" t="inlineStr">
        <is>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is>
      </c>
      <c r="D98" t="inlineStr">
        <is>
          <t>Table1</t>
        </is>
      </c>
      <c r="E98">
        <f>RIGHT(A98,1)</f>
        <v/>
      </c>
      <c r="F98">
        <f>G98 &amp; IF(H98&lt;&gt;"", "_" &amp; H98, "_") &amp; IF(I98&lt;&gt;"", "_" &amp; I98, "_") &amp; IF(B98&lt;&gt;"", "_" &amp; B98, "")</f>
        <v/>
      </c>
      <c r="G98">
        <f>SUBSTITUTE(SUBSTITUTE(_xlfn.TEXTBEFORE(A98,","), "-", ""), " ", "")</f>
        <v/>
      </c>
      <c r="H98">
        <f>IF(ISNUMBER(FIND("&amp;", A98)),
IF(LEN(A98)-LEN(SUBSTITUTE(A98, ",", ""))&gt;=6, "etal", MID(A98, SEARCH("&amp; ", A98)+2, SEARCH(",", A98, SEARCH("&amp; ", A98)+2) - SEARCH("&amp; ", A98)-2)),
""
)</f>
        <v/>
      </c>
      <c r="I98">
        <f>_xlfn.TEXTBEFORE(_xlfn.TEXTAFTER(A98, "("), ")")</f>
        <v/>
      </c>
      <c r="J98">
        <f>IF(C98&lt;&gt;"", C98, IF(C98="", _xlfn.TEXTAFTER(A98,"https://doi.org/"), C98))</f>
        <v/>
      </c>
      <c r="K98">
        <f>TRIM(_xlfn.TEXTJOIN("_",FALSE,F98,(SUBSTITUTE(SUBSTITUTE(D98," ",""), "_", ""))))</f>
        <v/>
      </c>
      <c r="L98">
        <f>IF(ISBLANK(C98),TRIM(SUBSTITUTE(SUBSTITUTE(SUBSTITUTE(_xlfn.TEXTJOIN("_", FALSE, J98, SUBSTITUTE(D98,"_", "")), "/", "%2F"), ":", "%3A"), " ", "")),TRIM(SUBSTITUTE(SUBSTITUTE(SUBSTITUTE(_xlfn.TEXTJOIN("_", FALSE, C98, SUBSTITUTE(D98,"_", "")), "/", "%2F"), ":", "%3A"), " ", "")))</f>
        <v/>
      </c>
      <c r="M98">
        <f t="array" ref="M98">IFERROR(INDEX(FileList!$A$1:$A$100, MATCH(L98, _xlfn.TEXTBEFORE(FileList!$A$1:$A$100, ".tsv"), 0)), "notfound")</f>
        <v/>
      </c>
      <c r="N98" t="inlineStr">
        <is>
          <t>Volumetric comparison of the insular cortex (Table 1)</t>
        </is>
      </c>
      <c r="V98" t="inlineStr">
        <is>
          <t>table</t>
        </is>
      </c>
      <c r="Y98" t="inlineStr">
        <is>
          <t>insular cortex volumes</t>
        </is>
      </c>
      <c r="Z98" t="inlineStr">
        <is>
          <t>primary</t>
        </is>
      </c>
      <c r="AA98" t="inlineStr">
        <is>
          <t>Stephan</t>
        </is>
      </c>
      <c r="AB98" t="inlineStr">
        <is>
          <t>volumetry</t>
        </is>
      </c>
    </row>
    <row r="99">
      <c r="A99" t="inlineStr">
        <is>
          <t>Sherwood, C. C., Hof, P. R., Holloway, R. L., Semendeferi, K., Gannon, P. J., Frahm, H. D., &amp; Zilles, K. (2005). Evolution of the brainstem orofacial motor system in primates: a comparative study of trigeminal, facial, and hypoglossal nuclei. J Hum Evol, 48(1), 45-84. https://doi.org/10.1016/j.jhevol.2004.10.003</t>
        </is>
      </c>
      <c r="D99" t="inlineStr">
        <is>
          <t>Table1</t>
        </is>
      </c>
      <c r="E99">
        <f>RIGHT(A99,1)</f>
        <v/>
      </c>
      <c r="F99">
        <f>G99 &amp; IF(H99&lt;&gt;"", "_" &amp; H99, "_") &amp; IF(I99&lt;&gt;"", "_" &amp; I99, "_") &amp; IF(B99&lt;&gt;"", "_" &amp; B99, "")</f>
        <v/>
      </c>
      <c r="G99">
        <f>SUBSTITUTE(SUBSTITUTE(_xlfn.TEXTBEFORE(A99,","), "-", ""), " ", "")</f>
        <v/>
      </c>
      <c r="H99">
        <f>IF(ISNUMBER(FIND("&amp;", A99)),
IF(LEN(A99)-LEN(SUBSTITUTE(A99, ",", ""))&gt;=6, "etal", MID(A99, SEARCH("&amp; ", A99)+2, SEARCH(",", A99, SEARCH("&amp; ", A99)+2) - SEARCH("&amp; ", A99)-2)),
""
)</f>
        <v/>
      </c>
      <c r="I99">
        <f>_xlfn.TEXTBEFORE(_xlfn.TEXTAFTER(A99, "("), ")")</f>
        <v/>
      </c>
      <c r="J99">
        <f>IF(C99&lt;&gt;"", C99, IF(C99="", _xlfn.TEXTAFTER(A99,"https://doi.org/"), C99))</f>
        <v/>
      </c>
      <c r="K99">
        <f>TRIM(_xlfn.TEXTJOIN("_",FALSE,F99,(SUBSTITUTE(SUBSTITUTE(D99," ",""), "_", ""))))</f>
        <v/>
      </c>
      <c r="L99">
        <f>IF(ISBLANK(C99),TRIM(SUBSTITUTE(SUBSTITUTE(SUBSTITUTE(_xlfn.TEXTJOIN("_", FALSE, J99, SUBSTITUTE(D99,"_", "")), "/", "%2F"), ":", "%3A"), " ", "")),TRIM(SUBSTITUTE(SUBSTITUTE(SUBSTITUTE(_xlfn.TEXTJOIN("_", FALSE, C99, SUBSTITUTE(D99,"_", "")), "/", "%2F"), ":", "%3A"), " ", "")))</f>
        <v/>
      </c>
      <c r="M99">
        <f t="array" ref="M99">IFERROR(INDEX(FileList!$A$1:$A$100, MATCH(L99, _xlfn.TEXTBEFORE(FileList!$A$1:$A$100, ".tsv"), 0)), "notfound")</f>
        <v/>
      </c>
      <c r="N99" t="inlineStr">
        <is>
          <t>Brainstem orofacial motor nuclei in primates (Table 1)</t>
        </is>
      </c>
      <c r="V99" t="inlineStr">
        <is>
          <t>table</t>
        </is>
      </c>
      <c r="Y99" t="inlineStr">
        <is>
          <t>brainstem motor nuclei volumes</t>
        </is>
      </c>
      <c r="Z99" t="inlineStr">
        <is>
          <t>primary</t>
        </is>
      </c>
      <c r="AA99" t="inlineStr">
        <is>
          <t>Stephan</t>
        </is>
      </c>
      <c r="AB99" t="inlineStr">
        <is>
          <t>volumetry</t>
        </is>
      </c>
    </row>
    <row r="100">
      <c r="A100" t="inlineStr">
        <is>
          <t>Collins, C. E., Turner, E. C., Sawyer, E. K., Reed, J. L., Young, N. A., Flaherty, D. K., &amp; Kaas, J. H. (2016). Cortical cell and neuron density estimates in one chimpanzee hemisphere. Proc Natl Acad Sci U S A, 113(3), 740-745. https://doi.org/10.1073/pnas.1524208113</t>
        </is>
      </c>
      <c r="D100" t="inlineStr">
        <is>
          <t>Table1</t>
        </is>
      </c>
      <c r="E100">
        <f>RIGHT(A100,1)</f>
        <v/>
      </c>
      <c r="F100">
        <f>G100 &amp; IF(H100&lt;&gt;"", "_" &amp; H100, "_") &amp; IF(I100&lt;&gt;"", "_" &amp; I100, "_") &amp; IF(B100&lt;&gt;"", "_" &amp; B100, "")</f>
        <v/>
      </c>
      <c r="G100">
        <f>SUBSTITUTE(SUBSTITUTE(_xlfn.TEXTBEFORE(A100,","), "-", ""), " ", "")</f>
        <v/>
      </c>
      <c r="H100">
        <f>IF(ISNUMBER(FIND("&amp;", A100)),
IF(LEN(A100)-LEN(SUBSTITUTE(A100, ",", ""))&gt;=6, "etal", MID(A100, SEARCH("&amp; ", A100)+2, SEARCH(",", A100, SEARCH("&amp; ", A100)+2) - SEARCH("&amp; ", A100)-2)),
""
)</f>
        <v/>
      </c>
      <c r="I100">
        <f>_xlfn.TEXTBEFORE(_xlfn.TEXTAFTER(A100, "("), ")")</f>
        <v/>
      </c>
      <c r="J100">
        <f>IF(C100&lt;&gt;"", C100, IF(C100="", _xlfn.TEXTAFTER(A100,"https://doi.org/"), C100))</f>
        <v/>
      </c>
      <c r="K100">
        <f>TRIM(_xlfn.TEXTJOIN("_",FALSE,F100,(SUBSTITUTE(SUBSTITUTE(D100," ",""), "_", ""))))</f>
        <v/>
      </c>
      <c r="L100">
        <f>IF(ISBLANK(C100),TRIM(SUBSTITUTE(SUBSTITUTE(SUBSTITUTE(_xlfn.TEXTJOIN("_", FALSE, J100, SUBSTITUTE(D100,"_", "")), "/", "%2F"), ":", "%3A"), " ", "")),TRIM(SUBSTITUTE(SUBSTITUTE(SUBSTITUTE(_xlfn.TEXTJOIN("_", FALSE, C100, SUBSTITUTE(D100,"_", "")), "/", "%2F"), ":", "%3A"), " ", "")))</f>
        <v/>
      </c>
      <c r="M100">
        <f t="array" ref="M100">IFERROR(INDEX(FileList!$A$1:$A$100, MATCH(L100, _xlfn.TEXTBEFORE(FileList!$A$1:$A$100, ".tsv"), 0)), "notfound")</f>
        <v/>
      </c>
      <c r="N100" t="inlineStr">
        <is>
          <t>Cortical cell and neuron density in one chimpanzee hemisphere (Table 1)</t>
        </is>
      </c>
      <c r="V100" t="inlineStr">
        <is>
          <t>table</t>
        </is>
      </c>
      <c r="Y100" t="inlineStr">
        <is>
          <t>cortical neuron/cell density</t>
        </is>
      </c>
      <c r="Z100" t="inlineStr">
        <is>
          <t>primary</t>
        </is>
      </c>
      <c r="AA100" t="inlineStr">
        <is>
          <t>Kaas</t>
        </is>
      </c>
      <c r="AB100" t="inlineStr">
        <is>
          <t>isotropic fractionator</t>
        </is>
      </c>
    </row>
    <row r="101">
      <c r="A101" t="inlineStr">
        <is>
          <t>Karbowski, J. (2007). Global and regional brain metabolic scaling and its functional consequences. BMC Biol, 5, 18. https://doi.org/10.1186/1741-7007-5-18</t>
        </is>
      </c>
      <c r="D101" t="inlineStr">
        <is>
          <t>Table1</t>
        </is>
      </c>
      <c r="E101">
        <f>RIGHT(A101,1)</f>
        <v/>
      </c>
      <c r="F101">
        <f>G101 &amp; IF(H101&lt;&gt;"", "_" &amp; H101, "_") &amp; IF(I101&lt;&gt;"", "_" &amp; I101, "_") &amp; IF(B101&lt;&gt;"", "_" &amp; B101, "")</f>
        <v/>
      </c>
      <c r="G101">
        <f>SUBSTITUTE(SUBSTITUTE(_xlfn.TEXTBEFORE(A101,","), "-", ""), " ", "")</f>
        <v/>
      </c>
      <c r="H101">
        <f>IF(ISNUMBER(FIND("&amp;", A101)),
IF(LEN(A101)-LEN(SUBSTITUTE(A101, ",", ""))&gt;=6, "etal", MID(A101, SEARCH("&amp; ", A101)+2, SEARCH(",", A101, SEARCH("&amp; ", A101)+2) - SEARCH("&amp; ", A101)-2)),
""
)</f>
        <v/>
      </c>
      <c r="I101">
        <f>_xlfn.TEXTBEFORE(_xlfn.TEXTAFTER(A101, "("), ")")</f>
        <v/>
      </c>
      <c r="J101">
        <f>IF(C101&lt;&gt;"", C101, IF(C101="", _xlfn.TEXTAFTER(A101,"https://doi.org/"), C101))</f>
        <v/>
      </c>
      <c r="K101">
        <f>TRIM(_xlfn.TEXTJOIN("_",FALSE,F101,(SUBSTITUTE(SUBSTITUTE(D101," ",""), "_", ""))))</f>
        <v/>
      </c>
      <c r="L101">
        <f>IF(ISBLANK(C101),TRIM(SUBSTITUTE(SUBSTITUTE(SUBSTITUTE(_xlfn.TEXTJOIN("_", FALSE, J101, SUBSTITUTE(D101,"_", "")), "/", "%2F"), ":", "%3A"), " ", "")),TRIM(SUBSTITUTE(SUBSTITUTE(SUBSTITUTE(_xlfn.TEXTJOIN("_", FALSE, C101, SUBSTITUTE(D101,"_", "")), "/", "%2F"), ":", "%3A"), " ", "")))</f>
        <v/>
      </c>
      <c r="M101">
        <f t="array" ref="M101">IFERROR(INDEX(FileList!$A$1:$A$100, MATCH(L101, _xlfn.TEXTBEFORE(FileList!$A$1:$A$100, ".tsv"), 0)), "notfound")</f>
        <v/>
      </c>
      <c r="N101" t="inlineStr">
        <is>
          <t>Global and regional brain metabolic scaling (Table 1)</t>
        </is>
      </c>
      <c r="V101" t="inlineStr">
        <is>
          <t>table</t>
        </is>
      </c>
      <c r="Y101" t="inlineStr">
        <is>
          <t>brain metabolic scaling</t>
        </is>
      </c>
      <c r="Z101" t="inlineStr">
        <is>
          <t>primary</t>
        </is>
      </c>
      <c r="AB101" t="inlineStr">
        <is>
          <t>meta-analysis</t>
        </is>
      </c>
    </row>
    <row r="102">
      <c r="A102" t="inlineStr">
        <is>
          <t>Kaufman, J. A. (2004). Pattern and scaling of regional cerebral glucose metabolism in mammals [Doctoral dissertation, Washington University in St. Louis]. ProQuest Dissertations &amp; Theses.</t>
        </is>
      </c>
      <c r="C102" t="inlineStr">
        <is>
          <t>ProQuest:TBD</t>
        </is>
      </c>
      <c r="D102" t="inlineStr">
        <is>
          <t>Table1</t>
        </is>
      </c>
      <c r="E102">
        <f>RIGHT(A102,1)</f>
        <v/>
      </c>
      <c r="F102">
        <f>G102 &amp; IF(H102&lt;&gt;"", "_" &amp; H102, "_") &amp; IF(I102&lt;&gt;"", "_" &amp; I102, "_") &amp; IF(B102&lt;&gt;"", "_" &amp; B102, "")</f>
        <v/>
      </c>
      <c r="G102">
        <f>SUBSTITUTE(SUBSTITUTE(_xlfn.TEXTBEFORE(A102,","), "-", ""), " ", "")</f>
        <v/>
      </c>
      <c r="H102">
        <f>IF(ISNUMBER(FIND("&amp;", A102)),
IF(LEN(A102)-LEN(SUBSTITUTE(A102, ",", ""))&gt;=6, "etal", MID(A102, SEARCH("&amp; ", A102)+2, SEARCH(",", A102, SEARCH("&amp; ", A102)+2) - SEARCH("&amp; ", A102)-2)),
""
)</f>
        <v/>
      </c>
      <c r="I102">
        <f>_xlfn.TEXTBEFORE(_xlfn.TEXTAFTER(A102, "("), ")")</f>
        <v/>
      </c>
      <c r="J102">
        <f>IF(C102&lt;&gt;"", C102, IF(C102="", _xlfn.TEXTAFTER(A102,"https://doi.org/"), C102))</f>
        <v/>
      </c>
      <c r="K102">
        <f>TRIM(_xlfn.TEXTJOIN("_",FALSE,F102,(SUBSTITUTE(SUBSTITUTE(D102," ",""), "_", ""))))</f>
        <v/>
      </c>
      <c r="L102">
        <f>IF(ISBLANK(C102),TRIM(SUBSTITUTE(SUBSTITUTE(SUBSTITUTE(_xlfn.TEXTJOIN("_", FALSE, J102, SUBSTITUTE(D102,"_", "")), "/", "%2F"), ":", "%3A"), " ", "")),TRIM(SUBSTITUTE(SUBSTITUTE(SUBSTITUTE(_xlfn.TEXTJOIN("_", FALSE, C102, SUBSTITUTE(D102,"_", "")), "/", "%2F"), ":", "%3A"), " ", "")))</f>
        <v/>
      </c>
      <c r="M102">
        <f t="array" ref="M102">IFERROR(INDEX(FileList!$A$1:$A$100, MATCH(L102, _xlfn.TEXTBEFORE(FileList!$A$1:$A$100, ".tsv"), 0)), "notfound")</f>
        <v/>
      </c>
      <c r="V102" t="inlineStr">
        <is>
          <t>table</t>
        </is>
      </c>
      <c r="Y102" t="inlineStr">
        <is>
          <t>brain/body scaling</t>
        </is>
      </c>
      <c r="Z102" t="inlineStr">
        <is>
          <t>primary</t>
        </is>
      </c>
      <c r="AB102" t="inlineStr">
        <is>
          <t>dissertation</t>
        </is>
      </c>
      <c r="AD102" t="inlineStr">
        <is>
          <t>Doctoral dissertation (not in PubMed; no DOI). Use ProQuest Dissertations &amp; Theses number (or WashU OpenScholarship URI) as the identifier - add the actual number.</t>
        </is>
      </c>
    </row>
    <row r="103">
      <c r="A103" t="inlineStr">
        <is>
          <t>Smaers, J. B., Gomez-Robles, A., Parks, A. N., &amp; Sherwood, C. C. (2017). Exceptional Evolutionary Expansion of Prefrontal Cortex in Great Apes and Humans. Curr Biol, 27(5), 714-720. https://doi.org/10.1016/j.cub.2017.01.020</t>
        </is>
      </c>
      <c r="D103" t="inlineStr">
        <is>
          <t>Table1</t>
        </is>
      </c>
      <c r="E103">
        <f>RIGHT(A103,1)</f>
        <v/>
      </c>
      <c r="F103">
        <f>G103 &amp; IF(H103&lt;&gt;"", "_" &amp; H103, "_") &amp; IF(I103&lt;&gt;"", "_" &amp; I103, "_") &amp; IF(B103&lt;&gt;"", "_" &amp; B103, "")</f>
        <v/>
      </c>
      <c r="G103">
        <f>SUBSTITUTE(SUBSTITUTE(_xlfn.TEXTBEFORE(A103,","), "-", ""), " ", "")</f>
        <v/>
      </c>
      <c r="H103">
        <f>IF(ISNUMBER(FIND("&amp;", A103)),
IF(LEN(A103)-LEN(SUBSTITUTE(A103, ",", ""))&gt;=6, "etal", MID(A103, SEARCH("&amp; ", A103)+2, SEARCH(",", A103, SEARCH("&amp; ", A103)+2) - SEARCH("&amp; ", A103)-2)),
""
)</f>
        <v/>
      </c>
      <c r="I103">
        <f>_xlfn.TEXTBEFORE(_xlfn.TEXTAFTER(A103, "("), ")")</f>
        <v/>
      </c>
      <c r="J103">
        <f>IF(C103&lt;&gt;"", C103, IF(C103="", _xlfn.TEXTAFTER(A103,"https://doi.org/"), C103))</f>
        <v/>
      </c>
      <c r="K103">
        <f>TRIM(_xlfn.TEXTJOIN("_",FALSE,F103,(SUBSTITUTE(SUBSTITUTE(D103," ",""), "_", ""))))</f>
        <v/>
      </c>
      <c r="L103">
        <f>IF(ISBLANK(C103),TRIM(SUBSTITUTE(SUBSTITUTE(SUBSTITUTE(_xlfn.TEXTJOIN("_", FALSE, J103, SUBSTITUTE(D103,"_", "")), "/", "%2F"), ":", "%3A"), " ", "")),TRIM(SUBSTITUTE(SUBSTITUTE(SUBSTITUTE(_xlfn.TEXTJOIN("_", FALSE, C103, SUBSTITUTE(D103,"_", "")), "/", "%2F"), ":", "%3A"), " ", "")))</f>
        <v/>
      </c>
      <c r="M103">
        <f t="array" ref="M103">IFERROR(INDEX(FileList!$A$1:$A$100, MATCH(L103, _xlfn.TEXTBEFORE(FileList!$A$1:$A$100, ".tsv"), 0)), "notfound")</f>
        <v/>
      </c>
      <c r="N103" t="inlineStr">
        <is>
          <t>Exceptional expansion of prefrontal cortex (Table 1)</t>
        </is>
      </c>
      <c r="V103" t="inlineStr">
        <is>
          <t>table</t>
        </is>
      </c>
      <c r="Y103" t="inlineStr">
        <is>
          <t>prefrontal cortex size</t>
        </is>
      </c>
      <c r="Z103" t="inlineStr">
        <is>
          <t>primary</t>
        </is>
      </c>
      <c r="AA103" t="inlineStr">
        <is>
          <t>Smaers</t>
        </is>
      </c>
      <c r="AB103" t="inlineStr">
        <is>
          <t>comparative/phylogenetic</t>
        </is>
      </c>
    </row>
    <row r="104">
      <c r="A104" t="inlineStr">
        <is>
          <t>Young, N. A., Szabo, C. A., Phelix, C. F., Flaherty, D. K., Balaram, P., Foust-Yeoman, K. B., Collins, C. E., &amp; Kaas, J. H. (2013). Epileptic baboons have lower numbers of neurons in specific areas of cortex. Proc Natl Acad Sci U S A, 110(47), 19107-19112. https://doi.org/10.1073/pnas.1318894110</t>
        </is>
      </c>
      <c r="D104" t="inlineStr">
        <is>
          <t>Table1</t>
        </is>
      </c>
      <c r="E104">
        <f>RIGHT(A104,1)</f>
        <v/>
      </c>
      <c r="F104">
        <f>G104 &amp; IF(H104&lt;&gt;"", "_" &amp; H104, "_") &amp; IF(I104&lt;&gt;"", "_" &amp; I104, "_") &amp; IF(B104&lt;&gt;"", "_" &amp; B104, "")</f>
        <v/>
      </c>
      <c r="G104">
        <f>SUBSTITUTE(SUBSTITUTE(_xlfn.TEXTBEFORE(A104,","), "-", ""), " ", "")</f>
        <v/>
      </c>
      <c r="H104">
        <f>IF(ISNUMBER(FIND("&amp;", A104)),
IF(LEN(A104)-LEN(SUBSTITUTE(A104, ",", ""))&gt;=6, "etal", MID(A104, SEARCH("&amp; ", A104)+2, SEARCH(",", A104, SEARCH("&amp; ", A104)+2) - SEARCH("&amp; ", A104)-2)),
""
)</f>
        <v/>
      </c>
      <c r="I104">
        <f>_xlfn.TEXTBEFORE(_xlfn.TEXTAFTER(A104, "("), ")")</f>
        <v/>
      </c>
      <c r="J104">
        <f>IF(C104&lt;&gt;"", C104, IF(C104="", _xlfn.TEXTAFTER(A104,"https://doi.org/"), C104))</f>
        <v/>
      </c>
      <c r="K104">
        <f>TRIM(_xlfn.TEXTJOIN("_",FALSE,F104,(SUBSTITUTE(SUBSTITUTE(D104," ",""), "_", ""))))</f>
        <v/>
      </c>
      <c r="L104">
        <f>IF(ISBLANK(C104),TRIM(SUBSTITUTE(SUBSTITUTE(SUBSTITUTE(_xlfn.TEXTJOIN("_", FALSE, J104, SUBSTITUTE(D104,"_", "")), "/", "%2F"), ":", "%3A"), " ", "")),TRIM(SUBSTITUTE(SUBSTITUTE(SUBSTITUTE(_xlfn.TEXTJOIN("_", FALSE, C104, SUBSTITUTE(D104,"_", "")), "/", "%2F"), ":", "%3A"), " ", "")))</f>
        <v/>
      </c>
      <c r="M104">
        <f t="array" ref="M104">IFERROR(INDEX(FileList!$A$1:$A$100, MATCH(L104, _xlfn.TEXTBEFORE(FileList!$A$1:$A$100, ".tsv"), 0)), "notfound")</f>
        <v/>
      </c>
      <c r="N104" t="inlineStr">
        <is>
          <t>Epileptic baboons: cortical neuron numbers (Table 1) [folder _b]</t>
        </is>
      </c>
      <c r="V104" t="inlineStr">
        <is>
          <t>table</t>
        </is>
      </c>
      <c r="Y104" t="inlineStr">
        <is>
          <t>cortical neuron numbers</t>
        </is>
      </c>
      <c r="Z104" t="inlineStr">
        <is>
          <t>primary</t>
        </is>
      </c>
      <c r="AA104" t="inlineStr">
        <is>
          <t>Kaas</t>
        </is>
      </c>
      <c r="AB104" t="inlineStr">
        <is>
          <t>isotropic fractionator</t>
        </is>
      </c>
    </row>
    <row r="105">
      <c r="A105" t="inlineStr">
        <is>
          <t>Zilles, K., Palomero-Gallagher, N., &amp; Amunts, K. (2013). Development of cortical folding during evolution and ontogeny. Trends Neurosci, 36(5), 275-284. https://doi.org/10.1016/j.tins.2013.01.006</t>
        </is>
      </c>
      <c r="D105" t="inlineStr">
        <is>
          <t>Table1</t>
        </is>
      </c>
      <c r="E105">
        <f>RIGHT(A105,1)</f>
        <v/>
      </c>
      <c r="F105">
        <f>G105 &amp; IF(H105&lt;&gt;"", "_" &amp; H105, "_") &amp; IF(I105&lt;&gt;"", "_" &amp; I105, "_") &amp; IF(B105&lt;&gt;"", "_" &amp; B105, "")</f>
        <v/>
      </c>
      <c r="G105">
        <f>SUBSTITUTE(SUBSTITUTE(_xlfn.TEXTBEFORE(A105,","), "-", ""), " ", "")</f>
        <v/>
      </c>
      <c r="H105">
        <f>IF(ISNUMBER(FIND("&amp;", A105)),
IF(LEN(A105)-LEN(SUBSTITUTE(A105, ",", ""))&gt;=6, "etal", MID(A105, SEARCH("&amp; ", A105)+2, SEARCH(",", A105, SEARCH("&amp; ", A105)+2) - SEARCH("&amp; ", A105)-2)),
""
)</f>
        <v/>
      </c>
      <c r="I105">
        <f>_xlfn.TEXTBEFORE(_xlfn.TEXTAFTER(A105, "("), ")")</f>
        <v/>
      </c>
      <c r="J105">
        <f>IF(C105&lt;&gt;"", C105, IF(C105="", _xlfn.TEXTAFTER(A105,"https://doi.org/"), C105))</f>
        <v/>
      </c>
      <c r="K105">
        <f>TRIM(_xlfn.TEXTJOIN("_",FALSE,F105,(SUBSTITUTE(SUBSTITUTE(D105," ",""), "_", ""))))</f>
        <v/>
      </c>
      <c r="L105">
        <f>IF(ISBLANK(C105),TRIM(SUBSTITUTE(SUBSTITUTE(SUBSTITUTE(_xlfn.TEXTJOIN("_", FALSE, J105, SUBSTITUTE(D105,"_", "")), "/", "%2F"), ":", "%3A"), " ", "")),TRIM(SUBSTITUTE(SUBSTITUTE(SUBSTITUTE(_xlfn.TEXTJOIN("_", FALSE, C105, SUBSTITUTE(D105,"_", "")), "/", "%2F"), ":", "%3A"), " ", "")))</f>
        <v/>
      </c>
      <c r="M105">
        <f t="array" ref="M105">IFERROR(INDEX(FileList!$A$1:$A$100, MATCH(L105, _xlfn.TEXTBEFORE(FileList!$A$1:$A$100, ".tsv"), 0)), "notfound")</f>
        <v/>
      </c>
      <c r="N105" t="inlineStr">
        <is>
          <t>Development of cortical folding (review)</t>
        </is>
      </c>
      <c r="V105" t="inlineStr">
        <is>
          <t>table</t>
        </is>
      </c>
      <c r="Y105" t="inlineStr">
        <is>
          <t>cortical folding / gyrification</t>
        </is>
      </c>
      <c r="Z105" t="inlineStr">
        <is>
          <t>primary</t>
        </is>
      </c>
      <c r="AA105" t="inlineStr">
        <is>
          <t>Zilles</t>
        </is>
      </c>
      <c r="AB105" t="inlineStr">
        <is>
          <t>review</t>
        </is>
      </c>
    </row>
  </sheetData>
  <hyperlinks>
    <hyperlink xmlns:r="http://schemas.openxmlformats.org/officeDocument/2006/relationships" ref="X11" r:id="rId1"/>
    <hyperlink xmlns:r="http://schemas.openxmlformats.org/officeDocument/2006/relationships" ref="X12" display="https://elifesciences.org/download/aHR0cHM6Ly9jZG4uZWxpZmVzY2llbmNlcy5vcmcvYXJ0aWNsZXMvNzc4NzUvZWxpZmUtNzc4NzUtdjEucGRmP2Nhbm9uaWNhbFVyaT1odHRwczovL2VsaWZlc2NpZW5jZXMub3JnL2FydGljbGVzLzc3ODc1/elife-77875-v1.pdf?_hash=NStjcL9fTlmy3AQDwSiM0YgMVB3UYjO8nDg0UbwN5gM%3D" r:id="rId2"/>
    <hyperlink xmlns:r="http://schemas.openxmlformats.org/officeDocument/2006/relationships" ref="X14" r:id="rId3"/>
    <hyperlink xmlns:r="http://schemas.openxmlformats.org/officeDocument/2006/relationships" ref="X20" r:id="rId4"/>
    <hyperlink xmlns:r="http://schemas.openxmlformats.org/officeDocument/2006/relationships" ref="X26" r:id="rId5"/>
    <hyperlink xmlns:r="http://schemas.openxmlformats.org/officeDocument/2006/relationships" ref="X28" r:id="rId6"/>
    <hyperlink xmlns:r="http://schemas.openxmlformats.org/officeDocument/2006/relationships" ref="X29" r:id="rId7"/>
    <hyperlink xmlns:r="http://schemas.openxmlformats.org/officeDocument/2006/relationships" ref="X31" r:id="rId8"/>
    <hyperlink xmlns:r="http://schemas.openxmlformats.org/officeDocument/2006/relationships" ref="X32" r:id="rId9"/>
    <hyperlink xmlns:r="http://schemas.openxmlformats.org/officeDocument/2006/relationships" ref="X33" r:id="rId10"/>
    <hyperlink xmlns:r="http://schemas.openxmlformats.org/officeDocument/2006/relationships" ref="X34" r:id="rId11"/>
    <hyperlink xmlns:r="http://schemas.openxmlformats.org/officeDocument/2006/relationships" ref="X35" r:id="rId12"/>
    <hyperlink xmlns:r="http://schemas.openxmlformats.org/officeDocument/2006/relationships" ref="X36" r:id="rId13"/>
    <hyperlink xmlns:r="http://schemas.openxmlformats.org/officeDocument/2006/relationships" ref="X42" r:id="rId14"/>
    <hyperlink xmlns:r="http://schemas.openxmlformats.org/officeDocument/2006/relationships" ref="X61" r:id="rId15"/>
    <hyperlink xmlns:r="http://schemas.openxmlformats.org/officeDocument/2006/relationships" ref="X65" r:id="rId16"/>
    <hyperlink xmlns:r="http://schemas.openxmlformats.org/officeDocument/2006/relationships" ref="X66" r:id="rId17"/>
    <hyperlink xmlns:r="http://schemas.openxmlformats.org/officeDocument/2006/relationships" ref="X71" r:id="rId18"/>
    <hyperlink xmlns:r="http://schemas.openxmlformats.org/officeDocument/2006/relationships" ref="X74" r:id="rId19"/>
  </hyperlinks>
  <pageMargins left="0.7" right="0.7" top="0.75" bottom="0.75" header="0.3" footer="0.3"/>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B8" sqref="B8"/>
    </sheetView>
  </sheetViews>
  <sheetFormatPr baseColWidth="10" defaultRowHeight="16"/>
  <cols>
    <col width="26.1640625" customWidth="1" min="1" max="1"/>
  </cols>
  <sheetData>
    <row r="1">
      <c r="A1" t="inlineStr">
        <is>
          <t xml:space="preserve">Flexible Data Wrangling Pipeline: </t>
        </is>
      </c>
    </row>
    <row r="2">
      <c r="A2" t="inlineStr">
        <is>
          <t xml:space="preserve">Source </t>
        </is>
      </c>
    </row>
    <row r="3">
      <c r="A3" s="10" t="inlineStr">
        <is>
          <t>--&gt; Snapshot</t>
        </is>
      </c>
      <c r="B3" t="inlineStr">
        <is>
          <t>Digitized in original layout for comparison to source. R readable, e.g., Excel or CSV. All further changes in R code. Save a reference hardcopy file even if it can be accessed through URL.</t>
        </is>
      </c>
    </row>
    <row r="4">
      <c r="A4" s="10" t="inlineStr">
        <is>
          <t xml:space="preserve">--&gt; Data readable   </t>
        </is>
      </c>
      <c r="B4" t="inlineStr">
        <is>
          <t>use csv, so that there is no data content that could be lost due layout changes.  For example, copy information from merged cells into individual cells</t>
        </is>
      </c>
    </row>
    <row r="5">
      <c r="A5" s="10" t="inlineStr">
        <is>
          <t>--&gt; Transpose</t>
        </is>
      </c>
      <c r="B5" t="inlineStr">
        <is>
          <t>first column should have original species information.</t>
        </is>
      </c>
    </row>
    <row r="6">
      <c r="A6" s="10" t="inlineStr">
        <is>
          <t>--&gt; Variables</t>
        </is>
      </c>
      <c r="B6" t="inlineStr">
        <is>
          <t>add a new header row. variable name should be made compatible with different datasets across different species. (save old header row at bottom?)</t>
        </is>
      </c>
    </row>
    <row r="7">
      <c r="A7" s="10" t="inlineStr">
        <is>
          <t>--&gt; Species update</t>
        </is>
      </c>
      <c r="B7" t="inlineStr">
        <is>
          <t>if there are typos or shorthand species names used, can update based on heading, note, text</t>
        </is>
      </c>
    </row>
    <row r="8">
      <c r="A8" s="10" t="inlineStr">
        <is>
          <t>--&gt; Species note</t>
        </is>
      </c>
      <c r="B8" t="inlineStr">
        <is>
          <t xml:space="preserve">add a column to include any additional information about the species from the table legend, paper text, personal communication, etc </t>
        </is>
      </c>
    </row>
    <row r="9">
      <c r="A9" s="10" t="inlineStr">
        <is>
          <t>--&gt; Species correction</t>
        </is>
      </c>
      <c r="B9" t="inlineStr">
        <is>
          <t>add a column to correct any errors in species designations (e.g., misidentified or combined different species of same genus)</t>
        </is>
      </c>
    </row>
    <row r="10">
      <c r="A10" s="10" t="inlineStr">
        <is>
          <t>--&gt; Corrections</t>
        </is>
      </c>
      <c r="B10" t="inlineStr">
        <is>
          <t>correction after erratum or other note. Indicate reason for correction.</t>
        </is>
      </c>
    </row>
    <row r="11">
      <c r="A11" s="10" t="inlineStr">
        <is>
          <t>--&gt; Species final update</t>
        </is>
      </c>
      <c r="B11" t="inlineStr">
        <is>
          <t>add a column with (NCBI?) species names, scientific binomial, to match across databases</t>
        </is>
      </c>
    </row>
    <row r="12" ht="17" customHeight="1">
      <c r="A12" s="9" t="inlineStr">
        <is>
          <t>--&gt; Online database</t>
        </is>
      </c>
      <c r="B12" t="inlineStr">
        <is>
          <t>save as tsv with DOI plus item for file name</t>
        </is>
      </c>
    </row>
    <row r="13">
      <c r="A13" s="11" t="inlineStr">
        <is>
          <t>Question: the tables will be matched by a column, currently "Species". Should this be renamed something more unique like "Species_NCBI_EvoGen"?</t>
        </is>
      </c>
    </row>
  </sheetData>
  <pageMargins left="0.7" right="0.7" top="0.75" bottom="0.75" header="0.3" footer="0.3"/>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C6"/>
  <sheetViews>
    <sheetView workbookViewId="0">
      <selection activeCell="G35" sqref="G35"/>
    </sheetView>
  </sheetViews>
  <sheetFormatPr baseColWidth="10" defaultRowHeight="16"/>
  <cols>
    <col width="1.83203125" customWidth="1" min="1" max="1"/>
    <col width="126" customWidth="1" min="2" max="2"/>
  </cols>
  <sheetData>
    <row r="1">
      <c r="A1" t="inlineStr">
        <is>
          <t>When combining datasets, provide metadata in the files "definitions" and deal with any conflicting values by preffering values following to the order below</t>
        </is>
      </c>
    </row>
    <row r="2">
      <c r="C2" t="inlineStr">
        <is>
          <t>implementation</t>
        </is>
      </c>
    </row>
    <row r="3">
      <c r="A3" t="n">
        <v>1</v>
      </c>
      <c r="B3" t="inlineStr">
        <is>
          <t>Revised paper (or datum) if the team explicitly said values have been improved. Provide a flag and a reference in Metadata</t>
        </is>
      </c>
      <c r="C3" t="inlineStr">
        <is>
          <t>Flag worse value in and filter</t>
        </is>
      </c>
    </row>
    <row r="4">
      <c r="A4" t="n">
        <v>2</v>
      </c>
      <c r="B4" t="inlineStr">
        <is>
          <t>Method and/or lab with the highest number of mammalian species represented (ANY mammals not just the focal ones)</t>
        </is>
      </c>
      <c r="C4" t="inlineStr">
        <is>
          <t>this may need to be done manually</t>
        </is>
      </c>
    </row>
    <row r="5">
      <c r="A5" t="n">
        <v>3</v>
      </c>
      <c r="B5" t="inlineStr">
        <is>
          <t>Paper with the highest number of mammalian species represented (ANY mammals not just the focal ones)</t>
        </is>
      </c>
      <c r="C5" t="inlineStr">
        <is>
          <t>Species N</t>
        </is>
      </c>
    </row>
    <row r="6">
      <c r="A6" t="n">
        <v>4</v>
      </c>
      <c r="B6" t="inlineStr">
        <is>
          <t>Paper with the most recent publication date</t>
        </is>
      </c>
      <c r="C6" t="inlineStr">
        <is>
          <t xml:space="preserve">Ref last </t>
        </is>
      </c>
    </row>
  </sheetData>
  <pageMargins left="0.7" right="0.7" top="0.75" bottom="0.75" header="0.3" footer="0.3"/>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10" defaultRowHeight="16"/>
  <sheetData>
    <row r="1">
      <c r="A1" t="inlineStr">
        <is>
          <t>10.1002%2Fcne.24605_TABLE1.tsv</t>
        </is>
      </c>
    </row>
    <row r="2">
      <c r="A2" t="inlineStr">
        <is>
          <t>10.1002%2Fcne.24605_TABLE2.tsv</t>
        </is>
      </c>
    </row>
    <row r="3">
      <c r="A3" t="inlineStr">
        <is>
          <t>10.1002%2Fcne.24985_TABLE1.tsv</t>
        </is>
      </c>
    </row>
    <row r="4">
      <c r="A4" t="inlineStr">
        <is>
          <t>10.1002%2Fcne.24985_TABLE2.tsv</t>
        </is>
      </c>
    </row>
    <row r="5">
      <c r="A5" t="inlineStr">
        <is>
          <t>10.1002%2Fcne.25669_TABLE1.tsv</t>
        </is>
      </c>
    </row>
    <row r="6">
      <c r="A6" t="inlineStr">
        <is>
          <t>10.1002%2Fcne.70089_TABLE1.tsv</t>
        </is>
      </c>
    </row>
    <row r="7">
      <c r="A7" t="inlineStr">
        <is>
          <t>10.1006%2Fjhev.1996.0005_Table1.tsv</t>
        </is>
      </c>
    </row>
    <row r="8">
      <c r="A8" t="inlineStr">
        <is>
          <t>10.1007%2Fs004220000205_Figure3.tsv</t>
        </is>
      </c>
    </row>
    <row r="9">
      <c r="A9" t="inlineStr">
        <is>
          <t>10.1016%2Fj.jhevol.2008.08.004_Table2.tsv</t>
        </is>
      </c>
    </row>
    <row r="10">
      <c r="A10" t="inlineStr">
        <is>
          <t>10.1016%2Fj.jhevol.2008.08.004_Table7.tsv</t>
        </is>
      </c>
    </row>
    <row r="11">
      <c r="A11" t="inlineStr">
        <is>
          <t>10.1016%2Fj.jhevol.2008.08.004_TableS1.tsv</t>
        </is>
      </c>
    </row>
    <row r="12">
      <c r="A12" t="inlineStr">
        <is>
          <t>10.1016%2Fj.jhevol.2008.08.004_TableS2.tsv</t>
        </is>
      </c>
    </row>
    <row r="13">
      <c r="A13" t="inlineStr">
        <is>
          <t>10.1016%2Fj.jhevol.2008.08.004_TableS3.tsv</t>
        </is>
      </c>
    </row>
    <row r="14">
      <c r="A14" t="inlineStr">
        <is>
          <t>10.1016%2Fs0166-4328(98)00151-x_Table1.tsv</t>
        </is>
      </c>
    </row>
    <row r="15">
      <c r="A15" t="inlineStr">
        <is>
          <t>10.1037%2F0735-7036.115.1.29_Table1.tsv</t>
        </is>
      </c>
    </row>
    <row r="16">
      <c r="A16" t="inlineStr">
        <is>
          <t>10.1037%2F0735-7036.115.1.29_Table2.tsv</t>
        </is>
      </c>
    </row>
    <row r="17">
      <c r="A17" t="inlineStr">
        <is>
          <t>10.1037%2F0735-7036.115.1.29_Table3.tsv</t>
        </is>
      </c>
    </row>
    <row r="18">
      <c r="A18" t="inlineStr">
        <is>
          <t>10.1037%2F0735-7036.115.1.29_Table4.tsv</t>
        </is>
      </c>
    </row>
    <row r="19">
      <c r="A19" t="inlineStr">
        <is>
          <t>10.1038%2Fs41467-020-14356-3_SupplementaryData3.tsv</t>
        </is>
      </c>
    </row>
    <row r="20">
      <c r="A20" t="inlineStr">
        <is>
          <t>10.1038%2Fs41598-018-26062-8_Table1.tsv</t>
        </is>
      </c>
    </row>
    <row r="21">
      <c r="A21" t="inlineStr">
        <is>
          <t>10.1038%2Fs41598-018-26062-8_TableS1.tsv</t>
        </is>
      </c>
    </row>
    <row r="22">
      <c r="A22" t="inlineStr">
        <is>
          <t>10.1038%2Fs41598-018-26062-8_TableS5.tsv</t>
        </is>
      </c>
    </row>
    <row r="23">
      <c r="A23" t="inlineStr">
        <is>
          <t>10.1073%2Fpnas.0905777106_TableS1.tsv</t>
        </is>
      </c>
    </row>
    <row r="24">
      <c r="A24" t="inlineStr">
        <is>
          <t>10.1093%2Fcercor%2Fbhy315_Table4.tsv</t>
        </is>
      </c>
    </row>
    <row r="25">
      <c r="A25" t="inlineStr">
        <is>
          <t>10.1093%2Fjmammal%2Fgyz043_SupplementaryDataSD1.tsv</t>
        </is>
      </c>
    </row>
    <row r="26">
      <c r="A26" t="inlineStr">
        <is>
          <t>10.1093%2Foso%2F9780198568742.003.0006_Table6.1.tsv</t>
        </is>
      </c>
    </row>
    <row r="27">
      <c r="A27" t="inlineStr">
        <is>
          <t>10.1098%2Frspb.2015.1853_Table1.tsv</t>
        </is>
      </c>
    </row>
    <row r="28">
      <c r="A28" t="inlineStr">
        <is>
          <t>10.1126%2Fscience.aaa9101_TableS1.tsv</t>
        </is>
      </c>
    </row>
    <row r="29">
      <c r="A29" t="inlineStr">
        <is>
          <t>10.1159%2F000124401_TableI.tsv</t>
        </is>
      </c>
    </row>
    <row r="30">
      <c r="A30" t="inlineStr">
        <is>
          <t>10.1159%2F000319019_SupplementaryTable1.tsv</t>
        </is>
      </c>
    </row>
    <row r="31">
      <c r="A31" t="inlineStr">
        <is>
          <t>10.1159%2F000319019_Table1.tsv</t>
        </is>
      </c>
    </row>
    <row r="32">
      <c r="A32" t="inlineStr">
        <is>
          <t>10.1159%2F000323671_SupplementaryTable1.tsv</t>
        </is>
      </c>
    </row>
    <row r="33">
      <c r="A33" t="inlineStr">
        <is>
          <t>10.1159%2F000323671_SupplementaryTable2.tsv</t>
        </is>
      </c>
    </row>
    <row r="34">
      <c r="A34" t="inlineStr">
        <is>
          <t>10.1159%2F000437413_Table1.tsv</t>
        </is>
      </c>
    </row>
    <row r="35">
      <c r="A35" t="inlineStr">
        <is>
          <t>10.1159%2F000437413_Table2.tsv</t>
        </is>
      </c>
    </row>
    <row r="36">
      <c r="A36" t="inlineStr">
        <is>
          <t>10.1159%2F000437413_Table3.tsv</t>
        </is>
      </c>
    </row>
    <row r="37">
      <c r="A37" t="inlineStr">
        <is>
          <t>10.1159%2F000437413_Table4.tsv</t>
        </is>
      </c>
    </row>
    <row r="38">
      <c r="A38" t="inlineStr">
        <is>
          <t>10.1159%2F000437413_Table5.tsv</t>
        </is>
      </c>
    </row>
    <row r="39">
      <c r="A39" t="inlineStr">
        <is>
          <t>10.1159%2F000452856_TableS1.tsv</t>
        </is>
      </c>
    </row>
    <row r="40">
      <c r="A40" t="inlineStr">
        <is>
          <t>10.1371%2Fjournal.pbio.1002000_TableS1.tsv</t>
        </is>
      </c>
    </row>
    <row r="41">
      <c r="A41" t="inlineStr">
        <is>
          <t>10.1371%2Fjournal.pbio.1002000_TableS8.tsv</t>
        </is>
      </c>
    </row>
    <row r="42">
      <c r="A42" t="inlineStr">
        <is>
          <t>10.1523%2FJNEUROSCI.2339-19.2020_Table1.tsv</t>
        </is>
      </c>
    </row>
    <row r="43">
      <c r="A43" t="inlineStr">
        <is>
          <t>10.1523%2FJNEUROSCI.2339-19.2020_unpublished.tsv</t>
        </is>
      </c>
    </row>
    <row r="44">
      <c r="A44" t="inlineStr">
        <is>
          <t>10.3389%2Ffnana.2013.00035_Figure2TopLeft.tsv</t>
        </is>
      </c>
    </row>
    <row r="45">
      <c r="A45" t="inlineStr">
        <is>
          <t>10.3389%2Ffnana.2013.00035_Table1-a.tsv</t>
        </is>
      </c>
    </row>
    <row r="46">
      <c r="A46" t="inlineStr">
        <is>
          <t>10.3389%2Ffnana.2013.00035_Table1-b.tsv</t>
        </is>
      </c>
    </row>
    <row r="47">
      <c r="A47" t="inlineStr">
        <is>
          <t>10.3389%2Ffnana.2017.00118_Table1.tsv</t>
        </is>
      </c>
    </row>
    <row r="48">
      <c r="A48" t="inlineStr">
        <is>
          <t>10.3389%2Ffnhum.2013.00424_TableS2partial.tsv</t>
        </is>
      </c>
    </row>
    <row r="49">
      <c r="A49" t="inlineStr">
        <is>
          <t>10.3389%2Ffnins.2021.632853_TABLE1.tsv</t>
        </is>
      </c>
    </row>
    <row r="50">
      <c r="A50" t="inlineStr">
        <is>
          <t>10.6084%2Fm9.figshare.c.3899422.v1_Dataset1.tsv</t>
        </is>
      </c>
    </row>
    <row r="51">
      <c r="A51" t="inlineStr">
        <is>
          <t>10.7554%2FeLife.77875_Supplementaryfile3.tsv</t>
        </is>
      </c>
    </row>
    <row r="52">
      <c r="A52" t="inlineStr">
        <is>
          <t>10.7554%2FeLife.77875_Table1.tsv</t>
        </is>
      </c>
    </row>
  </sheetData>
  <pageMargins left="0.7" right="0.7" top="0.75" bottom="0.75" header="0.3" footer="0.3"/>
  <pageSetup orientation="portrait" paperSize="9"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9815EE3F-DAFB-42A5-94C6-A05C410322E5}"/>
</file>

<file path=customXml/itemProps2.xml><?xml version="1.0" encoding="utf-8"?>
<ds:datastoreItem xmlns:ds="http://schemas.openxmlformats.org/officeDocument/2006/customXml" ds:itemID="{EE68294B-F94C-4BB1-A447-1BCA591FCEF3}"/>
</file>

<file path=customXml/itemProps3.xml><?xml version="1.0" encoding="utf-8"?>
<ds:datastoreItem xmlns:ds="http://schemas.openxmlformats.org/officeDocument/2006/customXml" ds:itemID="{A97C8B34-A92A-4A0E-9AB1-148E0FE6820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de Sousa</dc:creator>
  <cp:lastModifiedBy>Alexandra de Sousa</cp:lastModifiedBy>
  <dcterms:created xsi:type="dcterms:W3CDTF">2023-10-04T18:06:19Z</dcterms:created>
  <dcterms:modified xsi:type="dcterms:W3CDTF">2026-06-04T19:30:22Z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