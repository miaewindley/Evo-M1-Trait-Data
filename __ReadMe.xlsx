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6" documentId="11_A615430A735E8612F0EECFBAB0CCE489D6826E58" xr6:coauthVersionLast="47" xr6:coauthVersionMax="47" xr10:uidLastSave="{A67B82D9-B637-481F-9477-8377D234B415}"/>
  <bookViews>
    <workbookView xWindow="34540" yWindow="134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Sheet1!$A$1:$AP$393</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3" l="1"/>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416" i="1"/>
  <c r="K416" i="1" s="1"/>
  <c r="L416" i="1" s="1" a="1"/>
  <c r="L416" i="1" s="1"/>
  <c r="G416" i="1"/>
  <c r="F416" i="1"/>
  <c r="E416" i="1"/>
  <c r="H416" i="1" s="1"/>
  <c r="J416" i="1" s="1"/>
  <c r="I415" i="1"/>
  <c r="K415" i="1" s="1"/>
  <c r="L415" i="1" s="1" a="1"/>
  <c r="L415" i="1" s="1"/>
  <c r="G415" i="1"/>
  <c r="F415" i="1"/>
  <c r="E415" i="1"/>
  <c r="H415" i="1" s="1"/>
  <c r="J415" i="1" s="1"/>
  <c r="I414" i="1"/>
  <c r="K414" i="1" s="1"/>
  <c r="L414" i="1" s="1" a="1"/>
  <c r="L414" i="1" s="1"/>
  <c r="G414" i="1"/>
  <c r="F414" i="1"/>
  <c r="E414" i="1"/>
  <c r="H414" i="1" s="1"/>
  <c r="J414" i="1" s="1"/>
  <c r="I413" i="1"/>
  <c r="K413" i="1" s="1"/>
  <c r="L413" i="1" s="1" a="1"/>
  <c r="L413" i="1" s="1"/>
  <c r="G413" i="1"/>
  <c r="F413" i="1"/>
  <c r="E413" i="1"/>
  <c r="H413" i="1" s="1"/>
  <c r="J413" i="1" s="1"/>
  <c r="I412" i="1"/>
  <c r="K412" i="1" s="1"/>
  <c r="L412" i="1" s="1" a="1"/>
  <c r="L412" i="1" s="1"/>
  <c r="G412" i="1"/>
  <c r="F412" i="1"/>
  <c r="E412" i="1"/>
  <c r="H412" i="1" s="1"/>
  <c r="J412" i="1" s="1"/>
  <c r="I411" i="1"/>
  <c r="K411" i="1" s="1"/>
  <c r="L411" i="1" s="1" a="1"/>
  <c r="L411" i="1" s="1"/>
  <c r="G411" i="1"/>
  <c r="F411" i="1"/>
  <c r="E411" i="1"/>
  <c r="H411" i="1" s="1"/>
  <c r="J411" i="1" s="1"/>
  <c r="I410" i="1"/>
  <c r="K410" i="1" s="1"/>
  <c r="L410" i="1" s="1" a="1"/>
  <c r="L410" i="1" s="1"/>
  <c r="G410" i="1"/>
  <c r="F410" i="1"/>
  <c r="E410" i="1"/>
  <c r="H410" i="1" s="1"/>
  <c r="J410" i="1" s="1"/>
  <c r="I409" i="1"/>
  <c r="K409" i="1" s="1"/>
  <c r="L409" i="1" s="1" a="1"/>
  <c r="L409" i="1" s="1"/>
  <c r="G409" i="1"/>
  <c r="F409" i="1"/>
  <c r="E409" i="1"/>
  <c r="H409" i="1" s="1"/>
  <c r="J409" i="1" s="1"/>
  <c r="I408" i="1"/>
  <c r="K408" i="1" s="1"/>
  <c r="L408" i="1" s="1" a="1"/>
  <c r="L408" i="1" s="1"/>
  <c r="G408" i="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c r="E397" i="1"/>
  <c r="H397" i="1" s="1"/>
  <c r="J397" i="1" s="1"/>
  <c r="I396" i="1"/>
  <c r="K396" i="1" s="1"/>
  <c r="L396" i="1" s="1" a="1"/>
  <c r="L396" i="1" s="1"/>
  <c r="G396" i="1"/>
  <c r="F396" i="1" a="1"/>
  <c r="F396" i="1"/>
  <c r="E396" i="1"/>
  <c r="H396" i="1" s="1"/>
  <c r="J396" i="1" s="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c r="E386" i="1"/>
  <c r="H386" i="1" s="1"/>
  <c r="J386" i="1" s="1"/>
  <c r="I385" i="1"/>
  <c r="K385" i="1" s="1"/>
  <c r="L385" i="1" s="1" a="1"/>
  <c r="L385" i="1" s="1"/>
  <c r="G385" i="1"/>
  <c r="F385" i="1" a="1"/>
  <c r="F385" i="1"/>
  <c r="E385" i="1"/>
  <c r="H385" i="1" s="1"/>
  <c r="J385" i="1" s="1"/>
  <c r="I384" i="1"/>
  <c r="K384" i="1" s="1"/>
  <c r="L384" i="1" s="1" a="1"/>
  <c r="L384" i="1" s="1"/>
  <c r="G384" i="1"/>
  <c r="F384" i="1" a="1"/>
  <c r="F384" i="1"/>
  <c r="E384" i="1"/>
  <c r="H384" i="1" s="1"/>
  <c r="J384" i="1" s="1"/>
  <c r="I383" i="1"/>
  <c r="K383" i="1" s="1"/>
  <c r="L383" i="1" s="1" a="1"/>
  <c r="L383" i="1" s="1"/>
  <c r="G383" i="1"/>
  <c r="F383" i="1" a="1"/>
  <c r="F383" i="1"/>
  <c r="E383" i="1"/>
  <c r="H383" i="1" s="1"/>
  <c r="J383" i="1" s="1"/>
  <c r="I382" i="1"/>
  <c r="K382" i="1" s="1"/>
  <c r="L382" i="1" s="1" a="1"/>
  <c r="L382" i="1" s="1"/>
  <c r="G382" i="1"/>
  <c r="F382" i="1" a="1"/>
  <c r="F382" i="1"/>
  <c r="E382" i="1"/>
  <c r="H382" i="1" s="1"/>
  <c r="J382" i="1" s="1"/>
  <c r="I381" i="1"/>
  <c r="K381" i="1" s="1"/>
  <c r="L381" i="1" s="1" a="1"/>
  <c r="L381" i="1" s="1"/>
  <c r="G381" i="1"/>
  <c r="F381" i="1" a="1"/>
  <c r="F381" i="1"/>
  <c r="E381" i="1"/>
  <c r="H381" i="1" s="1"/>
  <c r="J381" i="1" s="1"/>
  <c r="I380" i="1"/>
  <c r="K380" i="1" s="1"/>
  <c r="L380" i="1" s="1" a="1"/>
  <c r="L380" i="1" s="1"/>
  <c r="G380" i="1"/>
  <c r="F380" i="1" a="1"/>
  <c r="F380" i="1"/>
  <c r="E380" i="1"/>
  <c r="H380" i="1" s="1"/>
  <c r="J380" i="1" s="1"/>
  <c r="I379" i="1"/>
  <c r="K379" i="1" s="1"/>
  <c r="L379" i="1" s="1" a="1"/>
  <c r="L379" i="1" s="1"/>
  <c r="G379" i="1"/>
  <c r="F379" i="1" a="1"/>
  <c r="F379" i="1"/>
  <c r="E379" i="1"/>
  <c r="H379" i="1" s="1"/>
  <c r="J379" i="1" s="1"/>
  <c r="I378" i="1"/>
  <c r="K378" i="1" s="1"/>
  <c r="L378" i="1" s="1" a="1"/>
  <c r="L378" i="1" s="1"/>
  <c r="G378" i="1"/>
  <c r="F378" i="1" a="1"/>
  <c r="F378" i="1"/>
  <c r="E378" i="1"/>
  <c r="H378" i="1" s="1"/>
  <c r="J378" i="1" s="1"/>
  <c r="I377" i="1"/>
  <c r="K377" i="1" s="1"/>
  <c r="L377" i="1" s="1" a="1"/>
  <c r="L377" i="1" s="1"/>
  <c r="G377" i="1"/>
  <c r="F377" i="1" a="1"/>
  <c r="F377" i="1"/>
  <c r="E377" i="1"/>
  <c r="H377" i="1" s="1"/>
  <c r="J377" i="1" s="1"/>
  <c r="I376" i="1"/>
  <c r="K376" i="1" s="1"/>
  <c r="L376" i="1" s="1" a="1"/>
  <c r="L376" i="1" s="1"/>
  <c r="G376" i="1"/>
  <c r="F376" i="1" a="1"/>
  <c r="F376" i="1"/>
  <c r="E376" i="1"/>
  <c r="H376" i="1" s="1"/>
  <c r="J376" i="1" s="1"/>
  <c r="I375" i="1"/>
  <c r="K375" i="1" s="1"/>
  <c r="L375" i="1" s="1" a="1"/>
  <c r="L375" i="1" s="1"/>
  <c r="G375" i="1"/>
  <c r="F375" i="1" a="1"/>
  <c r="F375" i="1"/>
  <c r="E375" i="1"/>
  <c r="H375" i="1" s="1"/>
  <c r="J375" i="1" s="1"/>
  <c r="I374" i="1"/>
  <c r="K374" i="1" s="1"/>
  <c r="L374" i="1" s="1"/>
  <c r="G374" i="1"/>
  <c r="F374" i="1" a="1"/>
  <c r="F374" i="1"/>
  <c r="E374" i="1"/>
  <c r="H374" i="1" s="1"/>
  <c r="J374" i="1" s="1"/>
  <c r="I373" i="1"/>
  <c r="K373" i="1" s="1"/>
  <c r="L373" i="1" s="1" a="1"/>
  <c r="L373" i="1" s="1"/>
  <c r="G373" i="1"/>
  <c r="F373" i="1" a="1"/>
  <c r="F373" i="1"/>
  <c r="E373" i="1"/>
  <c r="H373" i="1" s="1"/>
  <c r="J373" i="1" s="1"/>
  <c r="I372" i="1"/>
  <c r="K372" i="1" s="1"/>
  <c r="L372" i="1" s="1" a="1"/>
  <c r="L372" i="1" s="1"/>
  <c r="G372" i="1"/>
  <c r="F372" i="1" a="1"/>
  <c r="F372" i="1"/>
  <c r="E372" i="1"/>
  <c r="H372" i="1" s="1"/>
  <c r="J372" i="1" s="1"/>
  <c r="I371" i="1"/>
  <c r="K371" i="1" s="1"/>
  <c r="L371" i="1" s="1" a="1"/>
  <c r="L371" i="1" s="1"/>
  <c r="G371" i="1"/>
  <c r="F371" i="1" a="1"/>
  <c r="F371" i="1"/>
  <c r="E371" i="1"/>
  <c r="H371" i="1" s="1"/>
  <c r="J371" i="1" s="1"/>
  <c r="I370" i="1"/>
  <c r="K370" i="1" s="1"/>
  <c r="L370" i="1" s="1" a="1"/>
  <c r="L370" i="1" s="1"/>
  <c r="G370" i="1"/>
  <c r="F370" i="1" a="1"/>
  <c r="F370" i="1"/>
  <c r="E370" i="1"/>
  <c r="H370" i="1" s="1"/>
  <c r="J370" i="1" s="1"/>
  <c r="I369" i="1"/>
  <c r="K369" i="1" s="1"/>
  <c r="L369" i="1" s="1" a="1"/>
  <c r="L369" i="1" s="1"/>
  <c r="G369" i="1"/>
  <c r="F369" i="1" a="1"/>
  <c r="F369" i="1"/>
  <c r="E369" i="1"/>
  <c r="H369" i="1" s="1"/>
  <c r="J369" i="1" s="1"/>
  <c r="I368" i="1"/>
  <c r="K368" i="1" s="1"/>
  <c r="L368" i="1" s="1" a="1"/>
  <c r="L368" i="1" s="1"/>
  <c r="G368" i="1"/>
  <c r="F368" i="1" a="1"/>
  <c r="F368" i="1"/>
  <c r="E368" i="1"/>
  <c r="H368" i="1" s="1"/>
  <c r="J368" i="1" s="1"/>
  <c r="I367" i="1"/>
  <c r="K367" i="1" s="1"/>
  <c r="L367" i="1" s="1" a="1"/>
  <c r="L367" i="1" s="1"/>
  <c r="G367" i="1"/>
  <c r="F367" i="1" a="1"/>
  <c r="F367" i="1"/>
  <c r="E367" i="1"/>
  <c r="H367" i="1" s="1"/>
  <c r="J367" i="1" s="1"/>
  <c r="I366" i="1"/>
  <c r="K366" i="1" s="1"/>
  <c r="L366" i="1" s="1" a="1"/>
  <c r="L366" i="1" s="1"/>
  <c r="G366" i="1"/>
  <c r="F366" i="1" a="1"/>
  <c r="F366" i="1"/>
  <c r="E366" i="1"/>
  <c r="H366" i="1" s="1"/>
  <c r="J366" i="1" s="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c r="E312" i="1"/>
  <c r="H312" i="1" s="1"/>
  <c r="J312" i="1" s="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s="1"/>
  <c r="E309" i="1"/>
  <c r="H309" i="1" s="1"/>
  <c r="J309" i="1" s="1"/>
  <c r="I308" i="1"/>
  <c r="K308" i="1" s="1"/>
  <c r="L308" i="1" s="1" a="1"/>
  <c r="L308" i="1" s="1"/>
  <c r="G308" i="1"/>
  <c r="F308" i="1" s="1" a="1"/>
  <c r="F308" i="1" s="1"/>
  <c r="E308" i="1"/>
  <c r="K307" i="1"/>
  <c r="L307" i="1" s="1" a="1"/>
  <c r="L307" i="1" s="1"/>
  <c r="I307" i="1"/>
  <c r="G307" i="1"/>
  <c r="F307" i="1" s="1" a="1"/>
  <c r="F307" i="1" s="1"/>
  <c r="H307" i="1" s="1"/>
  <c r="J307" i="1" s="1"/>
  <c r="E307" i="1"/>
  <c r="I306" i="1"/>
  <c r="K306" i="1" s="1"/>
  <c r="L306" i="1" s="1" a="1"/>
  <c r="L306" i="1" s="1"/>
  <c r="G306" i="1"/>
  <c r="F306" i="1" a="1"/>
  <c r="F306" i="1" s="1"/>
  <c r="E306" i="1"/>
  <c r="I305" i="1"/>
  <c r="K305" i="1" s="1"/>
  <c r="L305" i="1" s="1" a="1"/>
  <c r="L305" i="1" s="1"/>
  <c r="G305" i="1"/>
  <c r="F305" i="1" s="1" a="1"/>
  <c r="F305" i="1" s="1"/>
  <c r="E305" i="1"/>
  <c r="K304" i="1"/>
  <c r="L304" i="1" s="1" a="1"/>
  <c r="L304" i="1" s="1"/>
  <c r="I304" i="1"/>
  <c r="G304" i="1"/>
  <c r="F304" i="1" s="1" a="1"/>
  <c r="F304" i="1" s="1"/>
  <c r="H304" i="1" s="1"/>
  <c r="J304" i="1" s="1"/>
  <c r="E304" i="1"/>
  <c r="I303" i="1"/>
  <c r="K303" i="1" s="1"/>
  <c r="L303" i="1" s="1" a="1"/>
  <c r="L303" i="1" s="1"/>
  <c r="G303" i="1"/>
  <c r="F303" i="1" a="1"/>
  <c r="F303" i="1" s="1"/>
  <c r="E303" i="1"/>
  <c r="H303" i="1" s="1"/>
  <c r="J303" i="1" s="1"/>
  <c r="I302" i="1"/>
  <c r="K302" i="1" s="1"/>
  <c r="L302" i="1" s="1" a="1"/>
  <c r="L302" i="1" s="1"/>
  <c r="G302" i="1"/>
  <c r="F302" i="1" s="1" a="1"/>
  <c r="F302" i="1" s="1"/>
  <c r="E302" i="1"/>
  <c r="H302" i="1" s="1"/>
  <c r="J302" i="1" s="1"/>
  <c r="K301" i="1"/>
  <c r="L301" i="1" s="1" a="1"/>
  <c r="L301" i="1" s="1"/>
  <c r="I301" i="1"/>
  <c r="G301" i="1"/>
  <c r="F301" i="1" s="1" a="1"/>
  <c r="F301" i="1" s="1"/>
  <c r="H301" i="1" s="1"/>
  <c r="J301" i="1" s="1"/>
  <c r="E301" i="1"/>
  <c r="I300" i="1"/>
  <c r="K300" i="1" s="1"/>
  <c r="L300" i="1" s="1" a="1"/>
  <c r="L300" i="1" s="1"/>
  <c r="G300" i="1"/>
  <c r="F300" i="1" a="1"/>
  <c r="F300" i="1" s="1"/>
  <c r="E300" i="1"/>
  <c r="I299" i="1"/>
  <c r="K299" i="1" s="1"/>
  <c r="L299" i="1" s="1" a="1"/>
  <c r="L299" i="1" s="1"/>
  <c r="G299" i="1"/>
  <c r="F299" i="1" s="1" a="1"/>
  <c r="F299" i="1" s="1"/>
  <c r="E299" i="1"/>
  <c r="H299" i="1" s="1"/>
  <c r="J299" i="1" s="1"/>
  <c r="K298" i="1"/>
  <c r="L298" i="1" s="1" a="1"/>
  <c r="L298" i="1" s="1"/>
  <c r="I298" i="1"/>
  <c r="G298" i="1"/>
  <c r="F298" i="1" s="1" a="1"/>
  <c r="F298" i="1" s="1"/>
  <c r="H298" i="1" s="1"/>
  <c r="J298" i="1" s="1"/>
  <c r="E298" i="1"/>
  <c r="L297" i="1"/>
  <c r="I297" i="1"/>
  <c r="K297" i="1" s="1"/>
  <c r="L297" i="1" s="1" a="1"/>
  <c r="G297" i="1"/>
  <c r="F297" i="1" a="1"/>
  <c r="F297" i="1" s="1"/>
  <c r="H297" i="1" s="1"/>
  <c r="J297" i="1" s="1"/>
  <c r="E297" i="1"/>
  <c r="L296" i="1" a="1"/>
  <c r="L296" i="1" s="1"/>
  <c r="I296" i="1"/>
  <c r="K296" i="1" s="1"/>
  <c r="G296" i="1"/>
  <c r="F296" i="1" s="1" a="1"/>
  <c r="F296" i="1" s="1"/>
  <c r="E296" i="1"/>
  <c r="K295" i="1"/>
  <c r="L295" i="1" s="1" a="1"/>
  <c r="L295" i="1" s="1"/>
  <c r="I295" i="1"/>
  <c r="G295" i="1"/>
  <c r="F295" i="1" s="1" a="1"/>
  <c r="F295" i="1"/>
  <c r="H295" i="1" s="1"/>
  <c r="J295" i="1" s="1"/>
  <c r="E295" i="1"/>
  <c r="I294" i="1"/>
  <c r="K294" i="1" s="1"/>
  <c r="L294" i="1" s="1" a="1"/>
  <c r="L294" i="1" s="1"/>
  <c r="G294" i="1"/>
  <c r="F294" i="1" a="1"/>
  <c r="F294" i="1" s="1"/>
  <c r="H294" i="1" s="1"/>
  <c r="J294" i="1" s="1"/>
  <c r="E294" i="1"/>
  <c r="I293" i="1"/>
  <c r="K293" i="1" s="1"/>
  <c r="L293" i="1" s="1" a="1"/>
  <c r="L293" i="1" s="1"/>
  <c r="G293" i="1"/>
  <c r="F293" i="1" s="1" a="1"/>
  <c r="F293" i="1" s="1"/>
  <c r="E293" i="1"/>
  <c r="H293" i="1" s="1"/>
  <c r="J293" i="1" s="1"/>
  <c r="K292" i="1"/>
  <c r="L292" i="1" s="1" a="1"/>
  <c r="L292" i="1" s="1"/>
  <c r="I292" i="1"/>
  <c r="G292" i="1"/>
  <c r="F292" i="1" s="1" a="1"/>
  <c r="F292" i="1" s="1"/>
  <c r="H292" i="1" s="1"/>
  <c r="J292" i="1" s="1"/>
  <c r="E292" i="1"/>
  <c r="L291" i="1"/>
  <c r="I291" i="1"/>
  <c r="K291" i="1" s="1"/>
  <c r="L291" i="1" s="1" a="1"/>
  <c r="G291" i="1"/>
  <c r="F291" i="1" a="1"/>
  <c r="F291" i="1" s="1"/>
  <c r="E291" i="1"/>
  <c r="I290" i="1"/>
  <c r="K290" i="1" s="1"/>
  <c r="L290" i="1" s="1" a="1"/>
  <c r="L290" i="1" s="1"/>
  <c r="G290" i="1"/>
  <c r="F290" i="1" s="1" a="1"/>
  <c r="F290" i="1" s="1"/>
  <c r="E290" i="1"/>
  <c r="H290" i="1" s="1"/>
  <c r="J290" i="1" s="1"/>
  <c r="K289" i="1"/>
  <c r="L289" i="1" s="1" a="1"/>
  <c r="L289" i="1" s="1"/>
  <c r="I289" i="1"/>
  <c r="G289" i="1"/>
  <c r="F289" i="1" s="1" a="1"/>
  <c r="F289" i="1" s="1"/>
  <c r="H289" i="1" s="1"/>
  <c r="J289" i="1" s="1"/>
  <c r="E289" i="1"/>
  <c r="L288" i="1"/>
  <c r="I288" i="1"/>
  <c r="K288" i="1" s="1"/>
  <c r="L288" i="1" s="1" a="1"/>
  <c r="G288" i="1"/>
  <c r="F288" i="1" a="1"/>
  <c r="F288" i="1" s="1"/>
  <c r="E288" i="1"/>
  <c r="L287" i="1"/>
  <c r="I287" i="1"/>
  <c r="K287" i="1" s="1"/>
  <c r="G287" i="1"/>
  <c r="F287" i="1" a="1"/>
  <c r="F287" i="1" s="1"/>
  <c r="E287" i="1"/>
  <c r="I286" i="1"/>
  <c r="K286" i="1" s="1"/>
  <c r="L286" i="1" s="1" a="1"/>
  <c r="L286" i="1" s="1"/>
  <c r="G286" i="1"/>
  <c r="F286" i="1" s="1" a="1"/>
  <c r="F286" i="1" s="1"/>
  <c r="E286" i="1"/>
  <c r="H286" i="1" s="1"/>
  <c r="J286" i="1" s="1"/>
  <c r="K285" i="1"/>
  <c r="L285" i="1" s="1" a="1"/>
  <c r="L285" i="1" s="1"/>
  <c r="I285" i="1"/>
  <c r="G285" i="1"/>
  <c r="F285" i="1" s="1" a="1"/>
  <c r="F285" i="1" s="1"/>
  <c r="H285" i="1" s="1"/>
  <c r="J285" i="1" s="1"/>
  <c r="E285" i="1"/>
  <c r="L284" i="1"/>
  <c r="I284" i="1"/>
  <c r="K284" i="1" s="1"/>
  <c r="L284" i="1" s="1" a="1"/>
  <c r="G284" i="1"/>
  <c r="F284" i="1" a="1"/>
  <c r="F284" i="1" s="1"/>
  <c r="E284" i="1"/>
  <c r="L283" i="1" a="1"/>
  <c r="L283" i="1" s="1"/>
  <c r="I283" i="1"/>
  <c r="K283" i="1" s="1"/>
  <c r="G283" i="1"/>
  <c r="F283" i="1" s="1" a="1"/>
  <c r="F283" i="1" s="1"/>
  <c r="E283" i="1"/>
  <c r="I282" i="1"/>
  <c r="K282" i="1" s="1"/>
  <c r="L282" i="1" s="1"/>
  <c r="G282" i="1"/>
  <c r="F282" i="1" s="1" a="1"/>
  <c r="F282" i="1" s="1"/>
  <c r="E282" i="1"/>
  <c r="I281" i="1"/>
  <c r="K281" i="1" s="1"/>
  <c r="L281" i="1" s="1"/>
  <c r="G281" i="1"/>
  <c r="F281" i="1" s="1" a="1"/>
  <c r="F281" i="1" s="1"/>
  <c r="E281" i="1"/>
  <c r="H281" i="1" s="1"/>
  <c r="J281" i="1" s="1"/>
  <c r="K280" i="1"/>
  <c r="L280" i="1" s="1" a="1"/>
  <c r="L280" i="1" s="1"/>
  <c r="I280" i="1"/>
  <c r="H280" i="1"/>
  <c r="J280" i="1" s="1"/>
  <c r="G280" i="1"/>
  <c r="F280" i="1" s="1" a="1"/>
  <c r="F280" i="1" s="1"/>
  <c r="E280" i="1"/>
  <c r="L279" i="1"/>
  <c r="I279" i="1"/>
  <c r="K279" i="1" s="1"/>
  <c r="L279" i="1" s="1" a="1"/>
  <c r="G279" i="1"/>
  <c r="F279" i="1" a="1"/>
  <c r="F279" i="1" s="1"/>
  <c r="H279" i="1" s="1"/>
  <c r="J279" i="1" s="1"/>
  <c r="E279" i="1"/>
  <c r="L278" i="1" a="1"/>
  <c r="L278" i="1" s="1"/>
  <c r="I278" i="1"/>
  <c r="K278" i="1" s="1"/>
  <c r="G278" i="1"/>
  <c r="F278" i="1" s="1" a="1"/>
  <c r="F278" i="1" s="1"/>
  <c r="E278" i="1"/>
  <c r="K277" i="1"/>
  <c r="L277" i="1" s="1" a="1"/>
  <c r="L277" i="1" s="1"/>
  <c r="I277" i="1"/>
  <c r="G277" i="1"/>
  <c r="F277" i="1" s="1" a="1"/>
  <c r="F277" i="1" s="1"/>
  <c r="H277" i="1" s="1"/>
  <c r="J277" i="1" s="1"/>
  <c r="E277" i="1"/>
  <c r="I276" i="1"/>
  <c r="K276" i="1" s="1"/>
  <c r="L276" i="1" s="1" a="1"/>
  <c r="L276" i="1" s="1"/>
  <c r="G276" i="1"/>
  <c r="F276" i="1" a="1"/>
  <c r="F276" i="1" s="1"/>
  <c r="H276" i="1" s="1"/>
  <c r="J276" i="1" s="1"/>
  <c r="E276" i="1"/>
  <c r="I275" i="1"/>
  <c r="K275" i="1" s="1"/>
  <c r="L275" i="1" s="1" a="1"/>
  <c r="L275" i="1" s="1"/>
  <c r="G275" i="1"/>
  <c r="F275" i="1" a="1"/>
  <c r="F275" i="1" s="1"/>
  <c r="E275" i="1"/>
  <c r="H275" i="1" s="1"/>
  <c r="J275" i="1" s="1"/>
  <c r="K274" i="1"/>
  <c r="L274" i="1" s="1" a="1"/>
  <c r="L274" i="1" s="1"/>
  <c r="I274" i="1"/>
  <c r="G274" i="1"/>
  <c r="F274" i="1" s="1" a="1"/>
  <c r="F274" i="1" s="1"/>
  <c r="E274" i="1"/>
  <c r="H274" i="1" s="1"/>
  <c r="J274" i="1" s="1"/>
  <c r="L273" i="1"/>
  <c r="I273" i="1"/>
  <c r="K273" i="1" s="1"/>
  <c r="L273" i="1" s="1" a="1"/>
  <c r="G273" i="1"/>
  <c r="F273" i="1" a="1"/>
  <c r="F273" i="1"/>
  <c r="H273" i="1" s="1"/>
  <c r="J273" i="1" s="1"/>
  <c r="E273" i="1"/>
  <c r="I272" i="1"/>
  <c r="K272" i="1" s="1"/>
  <c r="L272" i="1" s="1" a="1"/>
  <c r="L272" i="1" s="1"/>
  <c r="G272" i="1"/>
  <c r="F272" i="1" a="1"/>
  <c r="F272" i="1" s="1"/>
  <c r="H272" i="1" s="1"/>
  <c r="J272" i="1" s="1"/>
  <c r="E272" i="1"/>
  <c r="I271" i="1"/>
  <c r="K271" i="1" s="1"/>
  <c r="L271" i="1" s="1" a="1"/>
  <c r="L271" i="1" s="1"/>
  <c r="G271" i="1"/>
  <c r="F271" i="1" a="1"/>
  <c r="F271" i="1" s="1"/>
  <c r="E271" i="1"/>
  <c r="H271" i="1" s="1"/>
  <c r="J271" i="1" s="1"/>
  <c r="K270" i="1"/>
  <c r="L270" i="1" s="1" a="1"/>
  <c r="L270" i="1" s="1"/>
  <c r="I270" i="1"/>
  <c r="G270" i="1"/>
  <c r="F270" i="1" s="1" a="1"/>
  <c r="F270" i="1" s="1"/>
  <c r="E270" i="1"/>
  <c r="H270" i="1" s="1"/>
  <c r="J270" i="1" s="1"/>
  <c r="I269" i="1"/>
  <c r="K269" i="1" s="1"/>
  <c r="L269" i="1" s="1" a="1"/>
  <c r="L269" i="1" s="1"/>
  <c r="G269" i="1"/>
  <c r="F269" i="1" a="1"/>
  <c r="F269" i="1" s="1"/>
  <c r="H269" i="1" s="1"/>
  <c r="J269" i="1" s="1"/>
  <c r="E269" i="1"/>
  <c r="L268" i="1" a="1"/>
  <c r="L268" i="1" s="1"/>
  <c r="I268" i="1"/>
  <c r="K268" i="1" s="1"/>
  <c r="G268" i="1"/>
  <c r="F268" i="1" s="1" a="1"/>
  <c r="F268" i="1" s="1"/>
  <c r="E268" i="1"/>
  <c r="L267" i="1" a="1"/>
  <c r="L267" i="1" s="1"/>
  <c r="K267" i="1"/>
  <c r="I267" i="1"/>
  <c r="G267" i="1"/>
  <c r="F267" i="1" s="1" a="1"/>
  <c r="F267" i="1" s="1"/>
  <c r="E267" i="1"/>
  <c r="L266" i="1"/>
  <c r="K266" i="1"/>
  <c r="L266" i="1" s="1" a="1"/>
  <c r="I266" i="1"/>
  <c r="G266" i="1"/>
  <c r="F266" i="1" a="1"/>
  <c r="F266" i="1"/>
  <c r="H266" i="1" s="1"/>
  <c r="J266" i="1" s="1"/>
  <c r="E266" i="1"/>
  <c r="I265" i="1"/>
  <c r="K265" i="1" s="1"/>
  <c r="L265" i="1" s="1" a="1"/>
  <c r="L265" i="1" s="1"/>
  <c r="G265" i="1"/>
  <c r="F265" i="1" a="1"/>
  <c r="F265" i="1" s="1"/>
  <c r="E265" i="1"/>
  <c r="K264" i="1"/>
  <c r="L264" i="1" s="1" a="1"/>
  <c r="L264" i="1" s="1"/>
  <c r="I264" i="1"/>
  <c r="G264" i="1"/>
  <c r="F264" i="1" s="1" a="1"/>
  <c r="F264" i="1"/>
  <c r="E264" i="1"/>
  <c r="H264" i="1" s="1"/>
  <c r="J264" i="1" s="1"/>
  <c r="K263" i="1"/>
  <c r="L263" i="1" s="1"/>
  <c r="I263" i="1"/>
  <c r="G263" i="1"/>
  <c r="F263" i="1" s="1" a="1"/>
  <c r="F263" i="1" s="1"/>
  <c r="E263" i="1"/>
  <c r="K262" i="1"/>
  <c r="L262" i="1" s="1" a="1"/>
  <c r="L262" i="1" s="1"/>
  <c r="I262" i="1"/>
  <c r="G262" i="1"/>
  <c r="F262" i="1" a="1"/>
  <c r="F262" i="1"/>
  <c r="H262" i="1" s="1"/>
  <c r="J262" i="1" s="1"/>
  <c r="E262" i="1"/>
  <c r="I261" i="1"/>
  <c r="K261" i="1" s="1"/>
  <c r="L261" i="1" s="1" a="1"/>
  <c r="L261" i="1" s="1"/>
  <c r="G261" i="1"/>
  <c r="F261" i="1" a="1"/>
  <c r="F261" i="1" s="1"/>
  <c r="E261" i="1"/>
  <c r="K260" i="1"/>
  <c r="L260" i="1" s="1" a="1"/>
  <c r="L260" i="1" s="1"/>
  <c r="I260" i="1"/>
  <c r="G260" i="1"/>
  <c r="F260" i="1" s="1" a="1"/>
  <c r="F260" i="1"/>
  <c r="E260" i="1"/>
  <c r="H260" i="1" s="1"/>
  <c r="J260" i="1" s="1"/>
  <c r="I259" i="1"/>
  <c r="K259" i="1" s="1"/>
  <c r="L259" i="1" s="1" a="1"/>
  <c r="L259" i="1" s="1"/>
  <c r="G259" i="1"/>
  <c r="F259" i="1" a="1"/>
  <c r="F259" i="1" s="1"/>
  <c r="H259" i="1" s="1"/>
  <c r="J259" i="1" s="1"/>
  <c r="E259" i="1"/>
  <c r="I258" i="1"/>
  <c r="K258" i="1" s="1"/>
  <c r="L258" i="1" s="1" a="1"/>
  <c r="L258" i="1" s="1"/>
  <c r="G258" i="1"/>
  <c r="F258" i="1" a="1"/>
  <c r="F258" i="1" s="1"/>
  <c r="E258" i="1"/>
  <c r="H258" i="1" s="1"/>
  <c r="J258" i="1" s="1"/>
  <c r="K257" i="1"/>
  <c r="L257" i="1" s="1" a="1"/>
  <c r="L257" i="1" s="1"/>
  <c r="I257" i="1"/>
  <c r="G257" i="1"/>
  <c r="F257" i="1" s="1" a="1"/>
  <c r="F257" i="1" s="1"/>
  <c r="E257" i="1"/>
  <c r="H257" i="1" s="1"/>
  <c r="J257" i="1" s="1"/>
  <c r="I256" i="1"/>
  <c r="K256" i="1" s="1"/>
  <c r="L256" i="1" s="1" a="1"/>
  <c r="L256" i="1" s="1"/>
  <c r="G256" i="1"/>
  <c r="F256" i="1" a="1"/>
  <c r="F256" i="1"/>
  <c r="H256" i="1" s="1"/>
  <c r="J256" i="1" s="1"/>
  <c r="E256" i="1"/>
  <c r="L255" i="1" a="1"/>
  <c r="L255" i="1" s="1"/>
  <c r="I255" i="1"/>
  <c r="K255" i="1" s="1"/>
  <c r="G255" i="1"/>
  <c r="F255" i="1" s="1" a="1"/>
  <c r="F255" i="1" s="1"/>
  <c r="E255" i="1"/>
  <c r="L254" i="1" a="1"/>
  <c r="L254" i="1" s="1"/>
  <c r="K254" i="1"/>
  <c r="I254" i="1"/>
  <c r="G254" i="1"/>
  <c r="F254" i="1" s="1" a="1"/>
  <c r="F254" i="1" s="1"/>
  <c r="E254" i="1"/>
  <c r="K253" i="1"/>
  <c r="L253" i="1" s="1" a="1"/>
  <c r="L253" i="1" s="1"/>
  <c r="I253" i="1"/>
  <c r="G253" i="1"/>
  <c r="F253" i="1" a="1"/>
  <c r="F253" i="1"/>
  <c r="H253" i="1" s="1"/>
  <c r="J253" i="1" s="1"/>
  <c r="E253" i="1"/>
  <c r="I252" i="1"/>
  <c r="K252" i="1" s="1"/>
  <c r="L252" i="1" s="1" a="1"/>
  <c r="L252" i="1" s="1"/>
  <c r="G252" i="1"/>
  <c r="F252" i="1" a="1"/>
  <c r="F252" i="1" s="1"/>
  <c r="E252" i="1"/>
  <c r="K251" i="1"/>
  <c r="L251" i="1" s="1" a="1"/>
  <c r="L251" i="1" s="1"/>
  <c r="I251" i="1"/>
  <c r="G251" i="1"/>
  <c r="F251" i="1" s="1" a="1"/>
  <c r="F251" i="1"/>
  <c r="E251" i="1"/>
  <c r="I250" i="1"/>
  <c r="K250" i="1" s="1"/>
  <c r="L250" i="1" s="1" a="1"/>
  <c r="L250" i="1" s="1"/>
  <c r="G250" i="1"/>
  <c r="F250" i="1" a="1"/>
  <c r="F250" i="1" s="1"/>
  <c r="H250" i="1" s="1"/>
  <c r="J250" i="1" s="1"/>
  <c r="E250" i="1"/>
  <c r="I249" i="1"/>
  <c r="K249" i="1" s="1"/>
  <c r="L249" i="1" s="1" a="1"/>
  <c r="L249" i="1" s="1"/>
  <c r="G249" i="1"/>
  <c r="F249" i="1" a="1"/>
  <c r="F249" i="1" s="1"/>
  <c r="E249" i="1"/>
  <c r="H249" i="1" s="1"/>
  <c r="J249" i="1" s="1"/>
  <c r="K248" i="1"/>
  <c r="L248" i="1" s="1" a="1"/>
  <c r="L248" i="1" s="1"/>
  <c r="I248" i="1"/>
  <c r="G248" i="1"/>
  <c r="F248" i="1" s="1" a="1"/>
  <c r="F248" i="1" s="1"/>
  <c r="E248" i="1"/>
  <c r="H248" i="1" s="1"/>
  <c r="J248" i="1" s="1"/>
  <c r="I247" i="1"/>
  <c r="K247" i="1" s="1"/>
  <c r="L247" i="1" s="1" a="1"/>
  <c r="L247" i="1" s="1"/>
  <c r="G247" i="1"/>
  <c r="F247" i="1" a="1"/>
  <c r="F247" i="1"/>
  <c r="H247" i="1" s="1"/>
  <c r="J247" i="1" s="1"/>
  <c r="E247" i="1"/>
  <c r="L246" i="1" a="1"/>
  <c r="L246" i="1"/>
  <c r="I246" i="1"/>
  <c r="K246" i="1" s="1"/>
  <c r="G246" i="1"/>
  <c r="F246" i="1" s="1" a="1"/>
  <c r="F246" i="1" s="1"/>
  <c r="E246" i="1"/>
  <c r="H246" i="1" s="1"/>
  <c r="J246" i="1" s="1"/>
  <c r="L245" i="1" a="1"/>
  <c r="L245" i="1" s="1"/>
  <c r="K245" i="1"/>
  <c r="I245" i="1"/>
  <c r="G245" i="1"/>
  <c r="F245" i="1" s="1" a="1"/>
  <c r="F245" i="1"/>
  <c r="E245" i="1"/>
  <c r="K244" i="1"/>
  <c r="L244" i="1" s="1" a="1"/>
  <c r="L244" i="1" s="1"/>
  <c r="I244" i="1"/>
  <c r="G244" i="1"/>
  <c r="F244" i="1" a="1"/>
  <c r="F244" i="1"/>
  <c r="H244" i="1" s="1"/>
  <c r="J244" i="1" s="1"/>
  <c r="E244" i="1"/>
  <c r="I243" i="1"/>
  <c r="K243" i="1" s="1"/>
  <c r="L243" i="1" s="1" a="1"/>
  <c r="L243" i="1" s="1"/>
  <c r="G243" i="1"/>
  <c r="F243" i="1" s="1" a="1"/>
  <c r="F243" i="1" s="1"/>
  <c r="E243" i="1"/>
  <c r="L242" i="1"/>
  <c r="K242" i="1"/>
  <c r="L242" i="1" s="1" a="1"/>
  <c r="I242" i="1"/>
  <c r="G242" i="1"/>
  <c r="F242" i="1" a="1"/>
  <c r="F242" i="1"/>
  <c r="H242" i="1" s="1"/>
  <c r="J242" i="1" s="1"/>
  <c r="E242" i="1"/>
  <c r="I241" i="1"/>
  <c r="K241" i="1" s="1"/>
  <c r="L241" i="1" s="1" a="1"/>
  <c r="L241" i="1" s="1"/>
  <c r="G241" i="1"/>
  <c r="F241" i="1" a="1"/>
  <c r="F241" i="1" s="1"/>
  <c r="E241" i="1"/>
  <c r="K240" i="1"/>
  <c r="L240" i="1" s="1" a="1"/>
  <c r="L240" i="1" s="1"/>
  <c r="I240" i="1"/>
  <c r="G240" i="1"/>
  <c r="F240" i="1" s="1" a="1"/>
  <c r="F240" i="1"/>
  <c r="E240" i="1"/>
  <c r="H240" i="1" s="1"/>
  <c r="J240" i="1" s="1"/>
  <c r="K239" i="1"/>
  <c r="L239" i="1" s="1" a="1"/>
  <c r="L239" i="1" s="1"/>
  <c r="I239" i="1"/>
  <c r="G239" i="1"/>
  <c r="F239" i="1" a="1"/>
  <c r="F239" i="1" s="1"/>
  <c r="H239" i="1" s="1"/>
  <c r="J239" i="1" s="1"/>
  <c r="E239" i="1"/>
  <c r="I238" i="1"/>
  <c r="K238" i="1" s="1"/>
  <c r="L238" i="1" s="1" a="1"/>
  <c r="L238" i="1" s="1"/>
  <c r="G238" i="1"/>
  <c r="F238" i="1" a="1"/>
  <c r="F238" i="1" s="1"/>
  <c r="E238" i="1"/>
  <c r="I237" i="1"/>
  <c r="K237" i="1" s="1"/>
  <c r="L237" i="1" s="1"/>
  <c r="G237" i="1"/>
  <c r="F237" i="1" a="1"/>
  <c r="F237" i="1" s="1"/>
  <c r="E237" i="1"/>
  <c r="H237" i="1" s="1"/>
  <c r="J237" i="1" s="1"/>
  <c r="I236" i="1"/>
  <c r="K236" i="1" s="1"/>
  <c r="L236" i="1" s="1"/>
  <c r="G236" i="1"/>
  <c r="F236" i="1" a="1"/>
  <c r="F236" i="1" s="1"/>
  <c r="E236" i="1"/>
  <c r="K235" i="1"/>
  <c r="L235" i="1" s="1" a="1"/>
  <c r="L235" i="1" s="1"/>
  <c r="I235" i="1"/>
  <c r="H235" i="1"/>
  <c r="J235" i="1" s="1"/>
  <c r="G235" i="1"/>
  <c r="F235" i="1" s="1" a="1"/>
  <c r="F235" i="1" s="1"/>
  <c r="E235" i="1"/>
  <c r="L234" i="1"/>
  <c r="I234" i="1"/>
  <c r="K234" i="1" s="1"/>
  <c r="L234" i="1" s="1" a="1"/>
  <c r="G234" i="1"/>
  <c r="F234" i="1" a="1"/>
  <c r="F234" i="1" s="1"/>
  <c r="H234" i="1" s="1"/>
  <c r="J234" i="1" s="1"/>
  <c r="E234" i="1"/>
  <c r="I233" i="1"/>
  <c r="K233" i="1" s="1"/>
  <c r="L233" i="1" s="1" a="1"/>
  <c r="L233" i="1" s="1"/>
  <c r="G233" i="1"/>
  <c r="F233" i="1" s="1" a="1"/>
  <c r="F233" i="1" s="1"/>
  <c r="E233" i="1"/>
  <c r="L232" i="1" a="1"/>
  <c r="L232" i="1" s="1"/>
  <c r="K232" i="1"/>
  <c r="I232" i="1"/>
  <c r="G232" i="1"/>
  <c r="F232" i="1" s="1" a="1"/>
  <c r="F232" i="1" s="1"/>
  <c r="E232" i="1"/>
  <c r="L231" i="1"/>
  <c r="K231" i="1"/>
  <c r="L231" i="1" s="1" a="1"/>
  <c r="I231" i="1"/>
  <c r="G231" i="1"/>
  <c r="F231" i="1" a="1"/>
  <c r="F231" i="1"/>
  <c r="H231" i="1" s="1"/>
  <c r="J231" i="1" s="1"/>
  <c r="E231" i="1"/>
  <c r="L230" i="1"/>
  <c r="I230" i="1"/>
  <c r="K230" i="1" s="1"/>
  <c r="L230" i="1" s="1" a="1"/>
  <c r="G230" i="1"/>
  <c r="F230" i="1" s="1" a="1"/>
  <c r="F230" i="1" s="1"/>
  <c r="E230" i="1"/>
  <c r="L229" i="1" a="1"/>
  <c r="L229" i="1" s="1"/>
  <c r="K229" i="1"/>
  <c r="I229" i="1"/>
  <c r="G229" i="1"/>
  <c r="F229" i="1" s="1" a="1"/>
  <c r="F229" i="1"/>
  <c r="E229" i="1"/>
  <c r="H229" i="1" s="1"/>
  <c r="J229" i="1" s="1"/>
  <c r="K228" i="1"/>
  <c r="L228" i="1" s="1" a="1"/>
  <c r="L228" i="1" s="1"/>
  <c r="I228" i="1"/>
  <c r="G228" i="1"/>
  <c r="F228" i="1" a="1"/>
  <c r="F228" i="1" s="1"/>
  <c r="H228" i="1" s="1"/>
  <c r="J228" i="1" s="1"/>
  <c r="E228" i="1"/>
  <c r="L227" i="1" a="1"/>
  <c r="L227" i="1" s="1"/>
  <c r="I227" i="1"/>
  <c r="K227" i="1" s="1"/>
  <c r="G227" i="1"/>
  <c r="F227" i="1" a="1"/>
  <c r="F227" i="1" s="1"/>
  <c r="E227" i="1"/>
  <c r="K226" i="1"/>
  <c r="L226" i="1" s="1" a="1"/>
  <c r="L226" i="1" s="1"/>
  <c r="I226" i="1"/>
  <c r="H226" i="1"/>
  <c r="J226" i="1" s="1"/>
  <c r="G226" i="1"/>
  <c r="F226" i="1" s="1" a="1"/>
  <c r="F226" i="1" s="1"/>
  <c r="E226" i="1"/>
  <c r="L225" i="1"/>
  <c r="I225" i="1"/>
  <c r="K225" i="1" s="1"/>
  <c r="L225" i="1" s="1" a="1"/>
  <c r="G225" i="1"/>
  <c r="F225" i="1" a="1"/>
  <c r="F225" i="1" s="1"/>
  <c r="H225" i="1" s="1"/>
  <c r="J225" i="1" s="1"/>
  <c r="E225" i="1"/>
  <c r="I224" i="1"/>
  <c r="K224" i="1" s="1"/>
  <c r="L224" i="1" s="1" a="1"/>
  <c r="L224" i="1" s="1"/>
  <c r="G224" i="1"/>
  <c r="F224" i="1" s="1" a="1"/>
  <c r="F224" i="1" s="1"/>
  <c r="E224" i="1"/>
  <c r="L223" i="1" a="1"/>
  <c r="L223" i="1" s="1"/>
  <c r="K223" i="1"/>
  <c r="I223" i="1"/>
  <c r="G223" i="1"/>
  <c r="F223" i="1" s="1" a="1"/>
  <c r="F223" i="1" s="1"/>
  <c r="E223" i="1"/>
  <c r="L222" i="1"/>
  <c r="K222" i="1"/>
  <c r="L222" i="1" s="1" a="1"/>
  <c r="I222" i="1"/>
  <c r="G222" i="1"/>
  <c r="F222" i="1" a="1"/>
  <c r="F222" i="1"/>
  <c r="H222" i="1" s="1"/>
  <c r="J222" i="1" s="1"/>
  <c r="E222" i="1"/>
  <c r="L221" i="1"/>
  <c r="I221" i="1"/>
  <c r="K221" i="1" s="1"/>
  <c r="L221" i="1" s="1" a="1"/>
  <c r="G221" i="1"/>
  <c r="F221" i="1" s="1" a="1"/>
  <c r="F221" i="1" s="1"/>
  <c r="E221" i="1"/>
  <c r="L220" i="1" a="1"/>
  <c r="L220" i="1" s="1"/>
  <c r="K220" i="1"/>
  <c r="I220" i="1"/>
  <c r="G220" i="1"/>
  <c r="F220" i="1" s="1" a="1"/>
  <c r="F220" i="1"/>
  <c r="E220" i="1"/>
  <c r="H220" i="1" s="1"/>
  <c r="J220" i="1" s="1"/>
  <c r="K219" i="1"/>
  <c r="L219" i="1" s="1" a="1"/>
  <c r="L219" i="1" s="1"/>
  <c r="I219" i="1"/>
  <c r="G219" i="1"/>
  <c r="F219" i="1" a="1"/>
  <c r="F219" i="1" s="1"/>
  <c r="H219" i="1" s="1"/>
  <c r="J219" i="1" s="1"/>
  <c r="E219" i="1"/>
  <c r="L218" i="1" a="1"/>
  <c r="L218" i="1" s="1"/>
  <c r="I218" i="1"/>
  <c r="K218" i="1" s="1"/>
  <c r="G218" i="1"/>
  <c r="F218" i="1" a="1"/>
  <c r="F218" i="1" s="1"/>
  <c r="E218" i="1"/>
  <c r="K217" i="1"/>
  <c r="L217" i="1" s="1" a="1"/>
  <c r="L217" i="1" s="1"/>
  <c r="I217" i="1"/>
  <c r="H217" i="1"/>
  <c r="J217" i="1" s="1"/>
  <c r="G217" i="1"/>
  <c r="F217" i="1" s="1" a="1"/>
  <c r="F217" i="1" s="1"/>
  <c r="E217" i="1"/>
  <c r="L216" i="1"/>
  <c r="I216" i="1"/>
  <c r="K216" i="1" s="1"/>
  <c r="L216" i="1" s="1" a="1"/>
  <c r="G216" i="1"/>
  <c r="F216" i="1" a="1"/>
  <c r="F216" i="1" s="1"/>
  <c r="H216" i="1" s="1"/>
  <c r="J216" i="1" s="1"/>
  <c r="E216" i="1"/>
  <c r="I215" i="1"/>
  <c r="K215" i="1" s="1"/>
  <c r="L215" i="1" s="1" a="1"/>
  <c r="L215" i="1" s="1"/>
  <c r="G215" i="1"/>
  <c r="F215" i="1" s="1" a="1"/>
  <c r="F215" i="1" s="1"/>
  <c r="E215" i="1"/>
  <c r="L214" i="1" a="1"/>
  <c r="L214" i="1" s="1"/>
  <c r="K214" i="1"/>
  <c r="I214" i="1"/>
  <c r="G214" i="1"/>
  <c r="F214" i="1" s="1" a="1"/>
  <c r="F214" i="1" s="1"/>
  <c r="E214" i="1"/>
  <c r="L213" i="1"/>
  <c r="K213" i="1"/>
  <c r="L213" i="1" s="1" a="1"/>
  <c r="I213" i="1"/>
  <c r="G213" i="1"/>
  <c r="F213" i="1" a="1"/>
  <c r="F213" i="1"/>
  <c r="H213" i="1" s="1"/>
  <c r="J213" i="1" s="1"/>
  <c r="E213" i="1"/>
  <c r="L212" i="1"/>
  <c r="I212" i="1"/>
  <c r="K212" i="1" s="1"/>
  <c r="L212" i="1" s="1" a="1"/>
  <c r="G212" i="1"/>
  <c r="F212" i="1" s="1" a="1"/>
  <c r="F212" i="1" s="1"/>
  <c r="E212" i="1"/>
  <c r="L211" i="1" a="1"/>
  <c r="L211" i="1" s="1"/>
  <c r="K211" i="1"/>
  <c r="I211" i="1"/>
  <c r="G211" i="1"/>
  <c r="F211" i="1" s="1" a="1"/>
  <c r="F211" i="1"/>
  <c r="E211" i="1"/>
  <c r="H211" i="1" s="1"/>
  <c r="J211" i="1" s="1"/>
  <c r="K210" i="1"/>
  <c r="L210" i="1" s="1" a="1"/>
  <c r="L210" i="1" s="1"/>
  <c r="I210" i="1"/>
  <c r="G210" i="1"/>
  <c r="F210" i="1" a="1"/>
  <c r="F210" i="1" s="1"/>
  <c r="H210" i="1" s="1"/>
  <c r="J210" i="1" s="1"/>
  <c r="E210" i="1"/>
  <c r="L209" i="1" a="1"/>
  <c r="L209" i="1" s="1"/>
  <c r="I209" i="1"/>
  <c r="K209" i="1" s="1"/>
  <c r="G209" i="1"/>
  <c r="F209" i="1" a="1"/>
  <c r="F209" i="1" s="1"/>
  <c r="E209" i="1"/>
  <c r="K208" i="1"/>
  <c r="L208" i="1" s="1" a="1"/>
  <c r="L208" i="1" s="1"/>
  <c r="I208" i="1"/>
  <c r="H208" i="1"/>
  <c r="J208" i="1" s="1"/>
  <c r="G208" i="1"/>
  <c r="F208" i="1" s="1" a="1"/>
  <c r="F208" i="1" s="1"/>
  <c r="E208" i="1"/>
  <c r="L207" i="1"/>
  <c r="I207" i="1"/>
  <c r="K207" i="1" s="1"/>
  <c r="L207" i="1" s="1" a="1"/>
  <c r="G207" i="1"/>
  <c r="F207" i="1" a="1"/>
  <c r="F207" i="1" s="1"/>
  <c r="H207" i="1" s="1"/>
  <c r="J207" i="1" s="1"/>
  <c r="E207" i="1"/>
  <c r="I206" i="1"/>
  <c r="K206" i="1" s="1"/>
  <c r="L206" i="1" s="1" a="1"/>
  <c r="L206" i="1" s="1"/>
  <c r="G206" i="1"/>
  <c r="F206" i="1" s="1" a="1"/>
  <c r="F206" i="1" s="1"/>
  <c r="E206" i="1"/>
  <c r="L205" i="1" a="1"/>
  <c r="L205" i="1" s="1"/>
  <c r="K205" i="1"/>
  <c r="I205" i="1"/>
  <c r="G205" i="1"/>
  <c r="F205" i="1" s="1" a="1"/>
  <c r="F205" i="1" s="1"/>
  <c r="E205" i="1"/>
  <c r="L204" i="1"/>
  <c r="K204" i="1"/>
  <c r="L204" i="1" s="1" a="1"/>
  <c r="I204" i="1"/>
  <c r="G204" i="1"/>
  <c r="F204" i="1" a="1"/>
  <c r="F204" i="1"/>
  <c r="H204" i="1" s="1"/>
  <c r="J204" i="1" s="1"/>
  <c r="E204" i="1"/>
  <c r="L203" i="1"/>
  <c r="I203" i="1"/>
  <c r="K203" i="1" s="1"/>
  <c r="L203" i="1" s="1" a="1"/>
  <c r="G203" i="1"/>
  <c r="F203" i="1" s="1" a="1"/>
  <c r="F203" i="1" s="1"/>
  <c r="E203" i="1"/>
  <c r="L202" i="1" a="1"/>
  <c r="L202" i="1" s="1"/>
  <c r="K202" i="1"/>
  <c r="I202" i="1"/>
  <c r="G202" i="1"/>
  <c r="F202" i="1" s="1" a="1"/>
  <c r="F202" i="1"/>
  <c r="E202" i="1"/>
  <c r="H202" i="1" s="1"/>
  <c r="J202" i="1" s="1"/>
  <c r="K201" i="1"/>
  <c r="L201" i="1" s="1" a="1"/>
  <c r="L201" i="1" s="1"/>
  <c r="I201" i="1"/>
  <c r="G201" i="1"/>
  <c r="F201" i="1" a="1"/>
  <c r="F201" i="1" s="1"/>
  <c r="H201" i="1" s="1"/>
  <c r="J201" i="1" s="1"/>
  <c r="E201" i="1"/>
  <c r="L200" i="1" a="1"/>
  <c r="L200" i="1" s="1"/>
  <c r="I200" i="1"/>
  <c r="K200" i="1" s="1"/>
  <c r="G200" i="1"/>
  <c r="F200" i="1" a="1"/>
  <c r="F200" i="1" s="1"/>
  <c r="E200" i="1"/>
  <c r="K199" i="1"/>
  <c r="L199" i="1" s="1" a="1"/>
  <c r="L199" i="1" s="1"/>
  <c r="I199" i="1"/>
  <c r="H199" i="1"/>
  <c r="J199" i="1" s="1"/>
  <c r="G199" i="1"/>
  <c r="F199" i="1" s="1" a="1"/>
  <c r="F199" i="1" s="1"/>
  <c r="E199" i="1"/>
  <c r="L198" i="1"/>
  <c r="I198" i="1"/>
  <c r="K198" i="1" s="1"/>
  <c r="L198" i="1" s="1" a="1"/>
  <c r="G198" i="1"/>
  <c r="F198" i="1" a="1"/>
  <c r="F198" i="1" s="1"/>
  <c r="H198" i="1" s="1"/>
  <c r="J198" i="1" s="1"/>
  <c r="E198" i="1"/>
  <c r="I197" i="1"/>
  <c r="K197" i="1" s="1"/>
  <c r="L197" i="1" s="1" a="1"/>
  <c r="L197" i="1" s="1"/>
  <c r="G197" i="1"/>
  <c r="F197" i="1" s="1" a="1"/>
  <c r="F197" i="1" s="1"/>
  <c r="E197" i="1"/>
  <c r="L196" i="1" a="1"/>
  <c r="L196" i="1" s="1"/>
  <c r="K196" i="1"/>
  <c r="I196" i="1"/>
  <c r="G196" i="1"/>
  <c r="F196" i="1" s="1" a="1"/>
  <c r="F196" i="1" s="1"/>
  <c r="E196" i="1"/>
  <c r="L195" i="1"/>
  <c r="K195" i="1"/>
  <c r="L195" i="1" s="1" a="1"/>
  <c r="I195" i="1"/>
  <c r="G195" i="1"/>
  <c r="F195" i="1" a="1"/>
  <c r="F195" i="1"/>
  <c r="H195" i="1" s="1"/>
  <c r="J195" i="1" s="1"/>
  <c r="E195" i="1"/>
  <c r="L194" i="1"/>
  <c r="I194" i="1"/>
  <c r="K194" i="1" s="1"/>
  <c r="L194" i="1" s="1" a="1"/>
  <c r="G194" i="1"/>
  <c r="F194" i="1" s="1" a="1"/>
  <c r="F194" i="1" s="1"/>
  <c r="E194" i="1"/>
  <c r="L193" i="1" a="1"/>
  <c r="L193" i="1" s="1"/>
  <c r="K193" i="1"/>
  <c r="I193" i="1"/>
  <c r="G193" i="1"/>
  <c r="F193" i="1" s="1" a="1"/>
  <c r="F193" i="1"/>
  <c r="E193" i="1"/>
  <c r="H193" i="1" s="1"/>
  <c r="J193" i="1" s="1"/>
  <c r="K192" i="1"/>
  <c r="L192" i="1" s="1" a="1"/>
  <c r="L192" i="1" s="1"/>
  <c r="I192" i="1"/>
  <c r="G192" i="1"/>
  <c r="F192" i="1" a="1"/>
  <c r="F192" i="1" s="1"/>
  <c r="H192" i="1" s="1"/>
  <c r="J192" i="1" s="1"/>
  <c r="E192" i="1"/>
  <c r="L191" i="1" a="1"/>
  <c r="L191" i="1" s="1"/>
  <c r="I191" i="1"/>
  <c r="K191" i="1" s="1"/>
  <c r="G191" i="1"/>
  <c r="F191" i="1" a="1"/>
  <c r="F191" i="1" s="1"/>
  <c r="E191" i="1"/>
  <c r="K190" i="1"/>
  <c r="L190" i="1" s="1" a="1"/>
  <c r="L190" i="1" s="1"/>
  <c r="I190" i="1"/>
  <c r="H190" i="1"/>
  <c r="J190" i="1" s="1"/>
  <c r="G190" i="1"/>
  <c r="F190" i="1" s="1" a="1"/>
  <c r="F190" i="1" s="1"/>
  <c r="E190" i="1"/>
  <c r="L189" i="1"/>
  <c r="I189" i="1"/>
  <c r="K189" i="1" s="1"/>
  <c r="L189" i="1" s="1" a="1"/>
  <c r="G189" i="1"/>
  <c r="F189" i="1" s="1" a="1"/>
  <c r="F189" i="1" s="1"/>
  <c r="E189" i="1"/>
  <c r="L188" i="1" a="1"/>
  <c r="L188" i="1" s="1"/>
  <c r="K188" i="1"/>
  <c r="I188" i="1"/>
  <c r="G188" i="1"/>
  <c r="F188" i="1" s="1" a="1"/>
  <c r="F188" i="1"/>
  <c r="E188" i="1"/>
  <c r="H188" i="1" s="1"/>
  <c r="J188" i="1" s="1"/>
  <c r="I187" i="1"/>
  <c r="K187" i="1" s="1"/>
  <c r="L187" i="1" s="1" a="1"/>
  <c r="L187" i="1" s="1"/>
  <c r="G187" i="1"/>
  <c r="F187" i="1" a="1"/>
  <c r="F187" i="1" s="1"/>
  <c r="H187" i="1" s="1"/>
  <c r="J187" i="1" s="1"/>
  <c r="E187" i="1"/>
  <c r="L186" i="1" a="1"/>
  <c r="L186" i="1" s="1"/>
  <c r="I186" i="1"/>
  <c r="K186" i="1" s="1"/>
  <c r="G186" i="1"/>
  <c r="F186" i="1" a="1"/>
  <c r="F186" i="1" s="1"/>
  <c r="E186" i="1"/>
  <c r="H186" i="1" s="1"/>
  <c r="J186" i="1" s="1"/>
  <c r="K185" i="1"/>
  <c r="L185" i="1" s="1" a="1"/>
  <c r="L185" i="1" s="1"/>
  <c r="I185" i="1"/>
  <c r="H185" i="1"/>
  <c r="J185" i="1" s="1"/>
  <c r="G185" i="1"/>
  <c r="F185" i="1" s="1" a="1"/>
  <c r="F185" i="1" s="1"/>
  <c r="E185" i="1"/>
  <c r="L184" i="1"/>
  <c r="I184" i="1"/>
  <c r="K184" i="1" s="1"/>
  <c r="L184" i="1" s="1" a="1"/>
  <c r="G184" i="1"/>
  <c r="F184" i="1" a="1"/>
  <c r="F184" i="1" s="1"/>
  <c r="H184" i="1" s="1"/>
  <c r="J184" i="1" s="1"/>
  <c r="E184" i="1"/>
  <c r="I183" i="1"/>
  <c r="K183" i="1" s="1"/>
  <c r="L183" i="1" s="1" a="1"/>
  <c r="L183" i="1" s="1"/>
  <c r="G183" i="1"/>
  <c r="F183" i="1" s="1" a="1"/>
  <c r="F183" i="1" s="1"/>
  <c r="E183" i="1"/>
  <c r="L182" i="1" a="1"/>
  <c r="L182" i="1" s="1"/>
  <c r="K182" i="1"/>
  <c r="I182" i="1"/>
  <c r="G182" i="1"/>
  <c r="F182" i="1" s="1" a="1"/>
  <c r="F182" i="1" s="1"/>
  <c r="E182" i="1"/>
  <c r="K181" i="1"/>
  <c r="L181" i="1" s="1" a="1"/>
  <c r="L181" i="1" s="1"/>
  <c r="I181" i="1"/>
  <c r="G181" i="1"/>
  <c r="F181" i="1" a="1"/>
  <c r="F181" i="1"/>
  <c r="H181" i="1" s="1"/>
  <c r="J181" i="1" s="1"/>
  <c r="E181" i="1"/>
  <c r="L180" i="1"/>
  <c r="I180" i="1"/>
  <c r="K180" i="1" s="1"/>
  <c r="L180" i="1" s="1" a="1"/>
  <c r="G180" i="1"/>
  <c r="F180" i="1" s="1" a="1"/>
  <c r="F180" i="1" s="1"/>
  <c r="E180" i="1"/>
  <c r="L179" i="1"/>
  <c r="I179" i="1"/>
  <c r="K179" i="1" s="1"/>
  <c r="G179" i="1"/>
  <c r="F179" i="1" s="1" a="1"/>
  <c r="F179" i="1" s="1"/>
  <c r="E179" i="1"/>
  <c r="L178" i="1"/>
  <c r="I178" i="1"/>
  <c r="K178" i="1" s="1"/>
  <c r="G178" i="1"/>
  <c r="F178" i="1" s="1" a="1"/>
  <c r="F178" i="1" s="1"/>
  <c r="E178" i="1"/>
  <c r="L177" i="1" a="1"/>
  <c r="L177" i="1" s="1"/>
  <c r="K177" i="1"/>
  <c r="I177" i="1"/>
  <c r="G177" i="1"/>
  <c r="F177" i="1" s="1" a="1"/>
  <c r="F177" i="1"/>
  <c r="E177" i="1"/>
  <c r="H177" i="1" s="1"/>
  <c r="J177" i="1" s="1"/>
  <c r="I176" i="1"/>
  <c r="K176" i="1" s="1"/>
  <c r="L176" i="1" s="1" a="1"/>
  <c r="L176" i="1" s="1"/>
  <c r="G176" i="1"/>
  <c r="F176" i="1" a="1"/>
  <c r="F176" i="1" s="1"/>
  <c r="H176" i="1" s="1"/>
  <c r="J176" i="1" s="1"/>
  <c r="E176" i="1"/>
  <c r="L175" i="1" a="1"/>
  <c r="L175" i="1" s="1"/>
  <c r="I175" i="1"/>
  <c r="K175" i="1" s="1"/>
  <c r="G175" i="1"/>
  <c r="F175" i="1" a="1"/>
  <c r="F175" i="1" s="1"/>
  <c r="E175" i="1"/>
  <c r="H175" i="1" s="1"/>
  <c r="J175" i="1" s="1"/>
  <c r="K174" i="1"/>
  <c r="L174" i="1" s="1" a="1"/>
  <c r="L174" i="1" s="1"/>
  <c r="I174" i="1"/>
  <c r="H174" i="1"/>
  <c r="J174" i="1" s="1"/>
  <c r="G174" i="1"/>
  <c r="F174" i="1" s="1" a="1"/>
  <c r="F174" i="1" s="1"/>
  <c r="E174" i="1"/>
  <c r="L173" i="1"/>
  <c r="I173" i="1"/>
  <c r="K173" i="1" s="1"/>
  <c r="L173" i="1" s="1" a="1"/>
  <c r="G173" i="1"/>
  <c r="F173" i="1" a="1"/>
  <c r="F173" i="1"/>
  <c r="H173" i="1" s="1"/>
  <c r="J173" i="1" s="1"/>
  <c r="E173" i="1"/>
  <c r="I172" i="1"/>
  <c r="K172" i="1" s="1"/>
  <c r="L172" i="1" s="1" a="1"/>
  <c r="L172" i="1" s="1"/>
  <c r="G172" i="1"/>
  <c r="F172" i="1" s="1" a="1"/>
  <c r="F172" i="1" s="1"/>
  <c r="E172" i="1"/>
  <c r="H172" i="1" s="1"/>
  <c r="J172" i="1" s="1"/>
  <c r="L171" i="1" a="1"/>
  <c r="L171" i="1" s="1"/>
  <c r="K171" i="1"/>
  <c r="I171" i="1"/>
  <c r="G171" i="1"/>
  <c r="F171" i="1" s="1" a="1"/>
  <c r="F171" i="1"/>
  <c r="E171" i="1"/>
  <c r="H171" i="1" s="1"/>
  <c r="J171" i="1" s="1"/>
  <c r="K170" i="1"/>
  <c r="L170" i="1" s="1" a="1"/>
  <c r="L170" i="1" s="1"/>
  <c r="I170" i="1"/>
  <c r="G170" i="1"/>
  <c r="F170" i="1" a="1"/>
  <c r="F170" i="1"/>
  <c r="H170" i="1" s="1"/>
  <c r="J170" i="1" s="1"/>
  <c r="E170" i="1"/>
  <c r="L169" i="1"/>
  <c r="I169" i="1"/>
  <c r="K169" i="1" s="1"/>
  <c r="L169" i="1" s="1" a="1"/>
  <c r="G169" i="1"/>
  <c r="F169" i="1" s="1" a="1"/>
  <c r="F169" i="1" s="1"/>
  <c r="E169" i="1"/>
  <c r="L168" i="1" a="1"/>
  <c r="L168" i="1" s="1"/>
  <c r="K168" i="1"/>
  <c r="I168" i="1"/>
  <c r="G168" i="1"/>
  <c r="F168" i="1" s="1" a="1"/>
  <c r="F168" i="1"/>
  <c r="E168" i="1"/>
  <c r="H168" i="1" s="1"/>
  <c r="J168" i="1" s="1"/>
  <c r="I167" i="1"/>
  <c r="K167" i="1" s="1"/>
  <c r="L167" i="1" s="1" a="1"/>
  <c r="L167" i="1" s="1"/>
  <c r="G167" i="1"/>
  <c r="F167" i="1" a="1"/>
  <c r="F167" i="1" s="1"/>
  <c r="H167" i="1" s="1"/>
  <c r="J167" i="1" s="1"/>
  <c r="E167" i="1"/>
  <c r="I166" i="1"/>
  <c r="K166" i="1" s="1"/>
  <c r="L166" i="1" s="1" a="1"/>
  <c r="L166" i="1" s="1"/>
  <c r="G166" i="1"/>
  <c r="F166" i="1" a="1"/>
  <c r="F166" i="1" s="1"/>
  <c r="E166" i="1"/>
  <c r="H166" i="1" s="1"/>
  <c r="J166" i="1" s="1"/>
  <c r="K165" i="1"/>
  <c r="L165" i="1" s="1" a="1"/>
  <c r="L165" i="1" s="1"/>
  <c r="I165" i="1"/>
  <c r="H165" i="1"/>
  <c r="J165" i="1" s="1"/>
  <c r="G165" i="1"/>
  <c r="F165" i="1" s="1" a="1"/>
  <c r="F165" i="1" s="1"/>
  <c r="E165" i="1"/>
  <c r="L164" i="1"/>
  <c r="I164" i="1"/>
  <c r="K164" i="1" s="1"/>
  <c r="L164" i="1" s="1" a="1"/>
  <c r="G164" i="1"/>
  <c r="F164" i="1" a="1"/>
  <c r="F164" i="1"/>
  <c r="H164" i="1" s="1"/>
  <c r="J164" i="1" s="1"/>
  <c r="E164" i="1"/>
  <c r="I163" i="1"/>
  <c r="K163" i="1" s="1"/>
  <c r="L163" i="1" s="1" a="1"/>
  <c r="L163" i="1" s="1"/>
  <c r="G163" i="1"/>
  <c r="F163" i="1" s="1" a="1"/>
  <c r="F163" i="1" s="1"/>
  <c r="E163" i="1"/>
  <c r="H163" i="1" s="1"/>
  <c r="J163" i="1" s="1"/>
  <c r="L162" i="1" a="1"/>
  <c r="L162" i="1" s="1"/>
  <c r="K162" i="1"/>
  <c r="I162" i="1"/>
  <c r="G162" i="1"/>
  <c r="F162" i="1" s="1" a="1"/>
  <c r="F162" i="1"/>
  <c r="E162" i="1"/>
  <c r="H162" i="1" s="1"/>
  <c r="J162" i="1" s="1"/>
  <c r="K161" i="1"/>
  <c r="L161" i="1" s="1" a="1"/>
  <c r="L161" i="1" s="1"/>
  <c r="I161" i="1"/>
  <c r="G161" i="1"/>
  <c r="F161" i="1" a="1"/>
  <c r="F161" i="1"/>
  <c r="H161" i="1" s="1"/>
  <c r="J161" i="1" s="1"/>
  <c r="E161" i="1"/>
  <c r="L160" i="1"/>
  <c r="I160" i="1"/>
  <c r="K160" i="1" s="1"/>
  <c r="L160" i="1" s="1" a="1"/>
  <c r="G160" i="1"/>
  <c r="F160" i="1" s="1" a="1"/>
  <c r="F160" i="1" s="1"/>
  <c r="E160" i="1"/>
  <c r="L159" i="1" a="1"/>
  <c r="L159" i="1" s="1"/>
  <c r="K159" i="1"/>
  <c r="I159" i="1"/>
  <c r="G159" i="1"/>
  <c r="F159" i="1" s="1" a="1"/>
  <c r="F159" i="1" s="1"/>
  <c r="E159" i="1"/>
  <c r="K158" i="1"/>
  <c r="L158" i="1" s="1" a="1"/>
  <c r="L158" i="1" s="1"/>
  <c r="I158" i="1"/>
  <c r="G158" i="1"/>
  <c r="F158" i="1" a="1"/>
  <c r="F158" i="1"/>
  <c r="H158" i="1" s="1"/>
  <c r="J158" i="1" s="1"/>
  <c r="E158" i="1"/>
  <c r="I157" i="1"/>
  <c r="K157" i="1" s="1"/>
  <c r="L157" i="1" s="1" a="1"/>
  <c r="L157" i="1" s="1"/>
  <c r="G157" i="1"/>
  <c r="F157" i="1" a="1"/>
  <c r="F157" i="1" s="1"/>
  <c r="E157" i="1"/>
  <c r="K156" i="1"/>
  <c r="L156" i="1" s="1" a="1"/>
  <c r="L156" i="1" s="1"/>
  <c r="I156" i="1"/>
  <c r="G156" i="1"/>
  <c r="F156" i="1" s="1" a="1"/>
  <c r="F156" i="1"/>
  <c r="E156" i="1"/>
  <c r="H156" i="1" s="1"/>
  <c r="J156" i="1" s="1"/>
  <c r="I155" i="1"/>
  <c r="K155" i="1" s="1"/>
  <c r="L155" i="1" s="1" a="1"/>
  <c r="L155" i="1" s="1"/>
  <c r="G155" i="1"/>
  <c r="F155" i="1" a="1"/>
  <c r="F155" i="1" s="1"/>
  <c r="H155" i="1" s="1"/>
  <c r="J155" i="1" s="1"/>
  <c r="E155" i="1"/>
  <c r="I154" i="1"/>
  <c r="K154" i="1" s="1"/>
  <c r="L154" i="1" s="1" a="1"/>
  <c r="L154" i="1" s="1"/>
  <c r="G154" i="1"/>
  <c r="F154" i="1" a="1"/>
  <c r="F154" i="1" s="1"/>
  <c r="E154" i="1"/>
  <c r="H154" i="1" s="1"/>
  <c r="J154" i="1" s="1"/>
  <c r="K153" i="1"/>
  <c r="L153" i="1" s="1" a="1"/>
  <c r="L153" i="1" s="1"/>
  <c r="I153" i="1"/>
  <c r="G153" i="1"/>
  <c r="F153" i="1" s="1" a="1"/>
  <c r="F153" i="1" s="1"/>
  <c r="E153" i="1"/>
  <c r="H153" i="1" s="1"/>
  <c r="J153" i="1" s="1"/>
  <c r="I152" i="1"/>
  <c r="K152" i="1" s="1"/>
  <c r="L152" i="1" s="1" a="1"/>
  <c r="L152" i="1" s="1"/>
  <c r="G152" i="1"/>
  <c r="F152" i="1" a="1"/>
  <c r="F152" i="1"/>
  <c r="H152" i="1" s="1"/>
  <c r="J152" i="1" s="1"/>
  <c r="E152" i="1"/>
  <c r="L151" i="1" a="1"/>
  <c r="L151" i="1" s="1"/>
  <c r="I151" i="1"/>
  <c r="K151" i="1" s="1"/>
  <c r="G151" i="1"/>
  <c r="F151" i="1" s="1" a="1"/>
  <c r="F151" i="1" s="1"/>
  <c r="E151" i="1"/>
  <c r="L150" i="1" a="1"/>
  <c r="L150" i="1" s="1"/>
  <c r="K150" i="1"/>
  <c r="I150" i="1"/>
  <c r="G150" i="1"/>
  <c r="F150" i="1" s="1" a="1"/>
  <c r="F150" i="1" s="1"/>
  <c r="E150" i="1"/>
  <c r="K149" i="1"/>
  <c r="L149" i="1" s="1" a="1"/>
  <c r="L149" i="1" s="1"/>
  <c r="I149" i="1"/>
  <c r="G149" i="1"/>
  <c r="F149" i="1" a="1"/>
  <c r="F149" i="1"/>
  <c r="H149" i="1" s="1"/>
  <c r="J149" i="1" s="1"/>
  <c r="E149" i="1"/>
  <c r="I148" i="1"/>
  <c r="K148" i="1" s="1"/>
  <c r="L148" i="1" s="1" a="1"/>
  <c r="L148" i="1" s="1"/>
  <c r="G148" i="1"/>
  <c r="F148" i="1" a="1"/>
  <c r="F148" i="1" s="1"/>
  <c r="E148" i="1"/>
  <c r="K147" i="1"/>
  <c r="L147" i="1" s="1" a="1"/>
  <c r="L147" i="1" s="1"/>
  <c r="I147" i="1"/>
  <c r="G147" i="1"/>
  <c r="F147" i="1" s="1" a="1"/>
  <c r="F147" i="1"/>
  <c r="E147" i="1"/>
  <c r="H147" i="1" s="1"/>
  <c r="J147" i="1" s="1"/>
  <c r="I146" i="1"/>
  <c r="K146" i="1" s="1"/>
  <c r="L146" i="1" s="1" a="1"/>
  <c r="L146" i="1" s="1"/>
  <c r="G146" i="1"/>
  <c r="F146" i="1" a="1"/>
  <c r="F146" i="1" s="1"/>
  <c r="H146" i="1" s="1"/>
  <c r="J146" i="1" s="1"/>
  <c r="E146" i="1"/>
  <c r="I145" i="1"/>
  <c r="K145" i="1" s="1"/>
  <c r="L145" i="1" s="1" a="1"/>
  <c r="L145" i="1" s="1"/>
  <c r="G145" i="1"/>
  <c r="F145" i="1" a="1"/>
  <c r="F145" i="1" s="1"/>
  <c r="E145" i="1"/>
  <c r="H145" i="1" s="1"/>
  <c r="J145" i="1" s="1"/>
  <c r="K144" i="1"/>
  <c r="L144" i="1" s="1" a="1"/>
  <c r="L144" i="1" s="1"/>
  <c r="I144" i="1"/>
  <c r="G144" i="1"/>
  <c r="F144" i="1" s="1" a="1"/>
  <c r="F144" i="1" s="1"/>
  <c r="E144" i="1"/>
  <c r="H144" i="1" s="1"/>
  <c r="J144" i="1" s="1"/>
  <c r="I143" i="1"/>
  <c r="K143" i="1" s="1"/>
  <c r="L143" i="1" s="1" a="1"/>
  <c r="L143" i="1" s="1"/>
  <c r="G143" i="1"/>
  <c r="F143" i="1" a="1"/>
  <c r="F143" i="1"/>
  <c r="H143" i="1" s="1"/>
  <c r="J143" i="1" s="1"/>
  <c r="E143" i="1"/>
  <c r="L142" i="1" a="1"/>
  <c r="L142" i="1" s="1"/>
  <c r="I142" i="1"/>
  <c r="K142" i="1" s="1"/>
  <c r="G142" i="1"/>
  <c r="F142" i="1" s="1" a="1"/>
  <c r="F142" i="1" s="1"/>
  <c r="E142" i="1"/>
  <c r="L141" i="1" a="1"/>
  <c r="L141" i="1" s="1"/>
  <c r="K141" i="1"/>
  <c r="I141" i="1"/>
  <c r="G141" i="1"/>
  <c r="F141" i="1" s="1" a="1"/>
  <c r="F141" i="1" s="1"/>
  <c r="E141" i="1"/>
  <c r="K140" i="1"/>
  <c r="L140" i="1" s="1" a="1"/>
  <c r="L140" i="1" s="1"/>
  <c r="I140" i="1"/>
  <c r="G140" i="1"/>
  <c r="F140" i="1" a="1"/>
  <c r="F140" i="1"/>
  <c r="H140" i="1" s="1"/>
  <c r="J140" i="1" s="1"/>
  <c r="E140" i="1"/>
  <c r="I139" i="1"/>
  <c r="K139" i="1" s="1"/>
  <c r="L139" i="1" s="1" a="1"/>
  <c r="L139" i="1" s="1"/>
  <c r="G139" i="1"/>
  <c r="F139" i="1" a="1"/>
  <c r="F139" i="1" s="1"/>
  <c r="E139" i="1"/>
  <c r="K138" i="1"/>
  <c r="L138" i="1" s="1" a="1"/>
  <c r="L138" i="1" s="1"/>
  <c r="I138" i="1"/>
  <c r="G138" i="1"/>
  <c r="F138" i="1" s="1" a="1"/>
  <c r="F138" i="1"/>
  <c r="E138" i="1"/>
  <c r="H138" i="1" s="1"/>
  <c r="J138" i="1" s="1"/>
  <c r="I137" i="1"/>
  <c r="K137" i="1" s="1"/>
  <c r="L137" i="1" s="1" a="1"/>
  <c r="L137" i="1" s="1"/>
  <c r="G137" i="1"/>
  <c r="F137" i="1" a="1"/>
  <c r="F137" i="1" s="1"/>
  <c r="H137" i="1" s="1"/>
  <c r="J137" i="1" s="1"/>
  <c r="E137" i="1"/>
  <c r="I136" i="1"/>
  <c r="K136" i="1" s="1"/>
  <c r="L136" i="1" s="1" a="1"/>
  <c r="L136" i="1" s="1"/>
  <c r="G136" i="1"/>
  <c r="F136" i="1" a="1"/>
  <c r="F136" i="1" s="1"/>
  <c r="E136" i="1"/>
  <c r="H136" i="1" s="1"/>
  <c r="J136" i="1" s="1"/>
  <c r="K135" i="1"/>
  <c r="L135" i="1" s="1" a="1"/>
  <c r="L135" i="1" s="1"/>
  <c r="I135" i="1"/>
  <c r="G135" i="1"/>
  <c r="F135" i="1" s="1" a="1"/>
  <c r="F135" i="1" s="1"/>
  <c r="E135" i="1"/>
  <c r="H135" i="1" s="1"/>
  <c r="J135" i="1" s="1"/>
  <c r="I134" i="1"/>
  <c r="K134" i="1" s="1"/>
  <c r="L134" i="1" s="1" a="1"/>
  <c r="L134" i="1" s="1"/>
  <c r="G134" i="1"/>
  <c r="F134" i="1" a="1"/>
  <c r="F134" i="1"/>
  <c r="H134" i="1" s="1"/>
  <c r="J134" i="1" s="1"/>
  <c r="E134" i="1"/>
  <c r="L133" i="1" a="1"/>
  <c r="L133" i="1" s="1"/>
  <c r="I133" i="1"/>
  <c r="K133" i="1" s="1"/>
  <c r="G133" i="1"/>
  <c r="F133" i="1" s="1" a="1"/>
  <c r="F133" i="1" s="1"/>
  <c r="E133" i="1"/>
  <c r="L132" i="1" a="1"/>
  <c r="L132" i="1" s="1"/>
  <c r="K132" i="1"/>
  <c r="I132" i="1"/>
  <c r="G132" i="1"/>
  <c r="F132" i="1" s="1" a="1"/>
  <c r="F132" i="1" s="1"/>
  <c r="E132" i="1"/>
  <c r="K131" i="1"/>
  <c r="L131" i="1" s="1" a="1"/>
  <c r="L131" i="1" s="1"/>
  <c r="I131" i="1"/>
  <c r="G131" i="1"/>
  <c r="F131" i="1" a="1"/>
  <c r="F131" i="1"/>
  <c r="H131" i="1" s="1"/>
  <c r="J131" i="1" s="1"/>
  <c r="E131" i="1"/>
  <c r="I130" i="1"/>
  <c r="K130" i="1" s="1"/>
  <c r="L130" i="1" s="1" a="1"/>
  <c r="L130" i="1" s="1"/>
  <c r="G130" i="1"/>
  <c r="F130" i="1" a="1"/>
  <c r="F130" i="1" s="1"/>
  <c r="E130" i="1"/>
  <c r="K129" i="1"/>
  <c r="L129" i="1" s="1" a="1"/>
  <c r="L129" i="1" s="1"/>
  <c r="I129" i="1"/>
  <c r="G129" i="1"/>
  <c r="F129" i="1" s="1" a="1"/>
  <c r="F129" i="1"/>
  <c r="E129" i="1"/>
  <c r="H129" i="1" s="1"/>
  <c r="J129" i="1" s="1"/>
  <c r="I128" i="1"/>
  <c r="K128" i="1" s="1"/>
  <c r="L128" i="1" s="1" a="1"/>
  <c r="L128" i="1" s="1"/>
  <c r="G128" i="1"/>
  <c r="F128" i="1" a="1"/>
  <c r="F128" i="1" s="1"/>
  <c r="H128" i="1" s="1"/>
  <c r="J128" i="1" s="1"/>
  <c r="E128" i="1"/>
  <c r="I127" i="1"/>
  <c r="K127" i="1" s="1"/>
  <c r="L127" i="1" s="1" a="1"/>
  <c r="L127" i="1" s="1"/>
  <c r="G127" i="1"/>
  <c r="F127" i="1" a="1"/>
  <c r="F127" i="1" s="1"/>
  <c r="E127" i="1"/>
  <c r="H127" i="1" s="1"/>
  <c r="J127" i="1" s="1"/>
  <c r="K126" i="1"/>
  <c r="L126" i="1" s="1" a="1"/>
  <c r="L126" i="1" s="1"/>
  <c r="I126" i="1"/>
  <c r="G126" i="1"/>
  <c r="F126" i="1" s="1" a="1"/>
  <c r="F126" i="1" s="1"/>
  <c r="E126" i="1"/>
  <c r="H126" i="1" s="1"/>
  <c r="J126" i="1" s="1"/>
  <c r="I125" i="1"/>
  <c r="K125" i="1" s="1"/>
  <c r="L125" i="1" s="1" a="1"/>
  <c r="L125" i="1" s="1"/>
  <c r="G125" i="1"/>
  <c r="F125" i="1" a="1"/>
  <c r="F125" i="1"/>
  <c r="H125" i="1" s="1"/>
  <c r="J125" i="1" s="1"/>
  <c r="E125" i="1"/>
  <c r="K124" i="1"/>
  <c r="L124" i="1" s="1"/>
  <c r="I124" i="1"/>
  <c r="G124" i="1"/>
  <c r="F124" i="1" a="1"/>
  <c r="F124" i="1"/>
  <c r="H124" i="1" s="1"/>
  <c r="J124" i="1" s="1"/>
  <c r="E124" i="1"/>
  <c r="I123" i="1"/>
  <c r="K123" i="1" s="1"/>
  <c r="L123" i="1" s="1" a="1"/>
  <c r="L123" i="1" s="1"/>
  <c r="G123" i="1"/>
  <c r="F123" i="1" a="1"/>
  <c r="F123" i="1" s="1"/>
  <c r="E123" i="1"/>
  <c r="K122" i="1"/>
  <c r="L122" i="1" s="1" a="1"/>
  <c r="L122" i="1" s="1"/>
  <c r="I122" i="1"/>
  <c r="G122" i="1"/>
  <c r="F122" i="1" s="1" a="1"/>
  <c r="F122" i="1"/>
  <c r="E122" i="1"/>
  <c r="I121" i="1"/>
  <c r="K121" i="1" s="1"/>
  <c r="L121" i="1" s="1" a="1"/>
  <c r="L121" i="1" s="1"/>
  <c r="G121" i="1"/>
  <c r="F121" i="1" a="1"/>
  <c r="F121" i="1" s="1"/>
  <c r="H121" i="1" s="1"/>
  <c r="J121" i="1" s="1"/>
  <c r="E121" i="1"/>
  <c r="I120" i="1"/>
  <c r="K120" i="1" s="1"/>
  <c r="L120" i="1" s="1"/>
  <c r="G120" i="1"/>
  <c r="F120" i="1" a="1"/>
  <c r="F120" i="1"/>
  <c r="H120" i="1" s="1"/>
  <c r="J120" i="1" s="1"/>
  <c r="E120" i="1"/>
  <c r="K119" i="1"/>
  <c r="L119" i="1" s="1"/>
  <c r="I119" i="1"/>
  <c r="G119" i="1"/>
  <c r="F119" i="1" a="1"/>
  <c r="F119" i="1"/>
  <c r="H119" i="1" s="1"/>
  <c r="J119" i="1" s="1"/>
  <c r="E119" i="1"/>
  <c r="I118" i="1"/>
  <c r="K118" i="1" s="1"/>
  <c r="L118" i="1" s="1"/>
  <c r="G118" i="1"/>
  <c r="F118" i="1" a="1"/>
  <c r="F118" i="1" s="1"/>
  <c r="H118" i="1" s="1"/>
  <c r="J118" i="1" s="1"/>
  <c r="E118" i="1"/>
  <c r="L117" i="1"/>
  <c r="I117" i="1"/>
  <c r="K117" i="1" s="1"/>
  <c r="G117" i="1"/>
  <c r="F117" i="1" a="1"/>
  <c r="F117" i="1"/>
  <c r="H117" i="1" s="1"/>
  <c r="J117" i="1" s="1"/>
  <c r="E117" i="1"/>
  <c r="I116" i="1"/>
  <c r="K116" i="1" s="1"/>
  <c r="L116" i="1" s="1" a="1"/>
  <c r="L116" i="1" s="1"/>
  <c r="G116" i="1"/>
  <c r="F116" i="1" s="1" a="1"/>
  <c r="F116" i="1" s="1"/>
  <c r="E116" i="1"/>
  <c r="H116" i="1" s="1"/>
  <c r="J116" i="1" s="1"/>
  <c r="L115" i="1" a="1"/>
  <c r="L115" i="1" s="1"/>
  <c r="K115" i="1"/>
  <c r="I115" i="1"/>
  <c r="G115" i="1"/>
  <c r="F115" i="1" s="1" a="1"/>
  <c r="F115" i="1"/>
  <c r="E115" i="1"/>
  <c r="H115" i="1" s="1"/>
  <c r="J115" i="1" s="1"/>
  <c r="K114" i="1"/>
  <c r="L114" i="1" s="1" a="1"/>
  <c r="L114" i="1" s="1"/>
  <c r="I114" i="1"/>
  <c r="G114" i="1"/>
  <c r="F114" i="1" a="1"/>
  <c r="F114" i="1"/>
  <c r="H114" i="1" s="1"/>
  <c r="J114" i="1" s="1"/>
  <c r="E114" i="1"/>
  <c r="L113" i="1"/>
  <c r="I113" i="1"/>
  <c r="K113" i="1" s="1"/>
  <c r="L113" i="1" s="1" a="1"/>
  <c r="G113" i="1"/>
  <c r="F113" i="1" s="1" a="1"/>
  <c r="F113" i="1" s="1"/>
  <c r="E113" i="1"/>
  <c r="L112" i="1" a="1"/>
  <c r="L112" i="1" s="1"/>
  <c r="K112" i="1"/>
  <c r="I112" i="1"/>
  <c r="G112" i="1"/>
  <c r="F112" i="1" s="1" a="1"/>
  <c r="F112" i="1"/>
  <c r="E112" i="1"/>
  <c r="H112" i="1" s="1"/>
  <c r="J112" i="1" s="1"/>
  <c r="I111" i="1"/>
  <c r="K111" i="1" s="1"/>
  <c r="L111" i="1" s="1" a="1"/>
  <c r="L111" i="1" s="1"/>
  <c r="G111" i="1"/>
  <c r="F111" i="1" a="1"/>
  <c r="F111" i="1" s="1"/>
  <c r="H111" i="1" s="1"/>
  <c r="J111" i="1" s="1"/>
  <c r="E111" i="1"/>
  <c r="L110" i="1" a="1"/>
  <c r="L110" i="1" s="1"/>
  <c r="I110" i="1"/>
  <c r="K110" i="1" s="1"/>
  <c r="G110" i="1"/>
  <c r="F110" i="1" a="1"/>
  <c r="F110" i="1" s="1"/>
  <c r="E110" i="1"/>
  <c r="H110" i="1" s="1"/>
  <c r="J110" i="1" s="1"/>
  <c r="K109" i="1"/>
  <c r="L109" i="1" s="1" a="1"/>
  <c r="L109" i="1" s="1"/>
  <c r="I109" i="1"/>
  <c r="G109" i="1"/>
  <c r="F109" i="1" s="1" a="1"/>
  <c r="F109" i="1" s="1"/>
  <c r="E109" i="1"/>
  <c r="H109" i="1" s="1"/>
  <c r="J109" i="1" s="1"/>
  <c r="L108" i="1"/>
  <c r="I108" i="1"/>
  <c r="K108" i="1" s="1"/>
  <c r="L108" i="1" s="1" a="1"/>
  <c r="G108" i="1"/>
  <c r="F108" i="1" a="1"/>
  <c r="F108" i="1"/>
  <c r="H108" i="1" s="1"/>
  <c r="J108" i="1" s="1"/>
  <c r="E108" i="1"/>
  <c r="I107" i="1"/>
  <c r="K107" i="1" s="1"/>
  <c r="L107" i="1" s="1" a="1"/>
  <c r="L107" i="1" s="1"/>
  <c r="G107" i="1"/>
  <c r="F107" i="1" s="1" a="1"/>
  <c r="F107" i="1" s="1"/>
  <c r="E107" i="1"/>
  <c r="H107" i="1" s="1"/>
  <c r="J107" i="1" s="1"/>
  <c r="L106" i="1" a="1"/>
  <c r="L106" i="1" s="1"/>
  <c r="K106" i="1"/>
  <c r="I106" i="1"/>
  <c r="G106" i="1"/>
  <c r="F106" i="1" s="1" a="1"/>
  <c r="F106" i="1"/>
  <c r="E106" i="1"/>
  <c r="H106" i="1" s="1"/>
  <c r="J106" i="1" s="1"/>
  <c r="K105" i="1"/>
  <c r="L105" i="1" s="1" a="1"/>
  <c r="L105" i="1" s="1"/>
  <c r="I105" i="1"/>
  <c r="G105" i="1"/>
  <c r="F105" i="1" a="1"/>
  <c r="F105" i="1"/>
  <c r="H105" i="1" s="1"/>
  <c r="J105" i="1" s="1"/>
  <c r="E105" i="1"/>
  <c r="I104" i="1"/>
  <c r="K104" i="1" s="1"/>
  <c r="L104" i="1" s="1" a="1"/>
  <c r="L104" i="1" s="1"/>
  <c r="G104" i="1"/>
  <c r="F104" i="1" s="1" a="1"/>
  <c r="F104" i="1" s="1"/>
  <c r="E104" i="1"/>
  <c r="L103" i="1" a="1"/>
  <c r="L103" i="1" s="1"/>
  <c r="K103" i="1"/>
  <c r="I103" i="1"/>
  <c r="G103" i="1"/>
  <c r="F103" i="1" s="1" a="1"/>
  <c r="F103" i="1"/>
  <c r="E103" i="1"/>
  <c r="H103" i="1" s="1"/>
  <c r="J103" i="1" s="1"/>
  <c r="K102" i="1"/>
  <c r="L102" i="1" s="1"/>
  <c r="I102" i="1"/>
  <c r="G102" i="1"/>
  <c r="F102" i="1" s="1" a="1"/>
  <c r="F102" i="1"/>
  <c r="E102" i="1"/>
  <c r="H102" i="1" s="1"/>
  <c r="J102" i="1" s="1"/>
  <c r="K101" i="1"/>
  <c r="L101" i="1" s="1" a="1"/>
  <c r="L101" i="1" s="1"/>
  <c r="I101" i="1"/>
  <c r="G101" i="1"/>
  <c r="F101" i="1" a="1"/>
  <c r="F101" i="1"/>
  <c r="H101" i="1" s="1"/>
  <c r="J101" i="1" s="1"/>
  <c r="E101" i="1"/>
  <c r="L100" i="1"/>
  <c r="I100" i="1"/>
  <c r="K100" i="1" s="1"/>
  <c r="L100" i="1" s="1" a="1"/>
  <c r="G100" i="1"/>
  <c r="F100" i="1" s="1" a="1"/>
  <c r="F100" i="1" s="1"/>
  <c r="E100" i="1"/>
  <c r="L99" i="1" a="1"/>
  <c r="L99" i="1" s="1"/>
  <c r="K99" i="1"/>
  <c r="I99" i="1"/>
  <c r="G99" i="1"/>
  <c r="F99" i="1" s="1" a="1"/>
  <c r="F99" i="1"/>
  <c r="E99" i="1"/>
  <c r="H99" i="1" s="1"/>
  <c r="J99" i="1" s="1"/>
  <c r="I98" i="1"/>
  <c r="K98" i="1" s="1"/>
  <c r="L98" i="1" s="1" a="1"/>
  <c r="L98" i="1" s="1"/>
  <c r="G98" i="1"/>
  <c r="F98" i="1" a="1"/>
  <c r="F98" i="1" s="1"/>
  <c r="H98" i="1" s="1"/>
  <c r="J98" i="1" s="1"/>
  <c r="E98" i="1"/>
  <c r="L97" i="1" a="1"/>
  <c r="L97" i="1" s="1"/>
  <c r="I97" i="1"/>
  <c r="K97" i="1" s="1"/>
  <c r="G97" i="1"/>
  <c r="F97" i="1" a="1"/>
  <c r="F97" i="1" s="1"/>
  <c r="E97" i="1"/>
  <c r="H97" i="1" s="1"/>
  <c r="J97" i="1" s="1"/>
  <c r="K96" i="1"/>
  <c r="L96" i="1" s="1" a="1"/>
  <c r="L96" i="1" s="1"/>
  <c r="I96" i="1"/>
  <c r="G96" i="1"/>
  <c r="F96" i="1" s="1" a="1"/>
  <c r="F96" i="1" s="1"/>
  <c r="E96" i="1"/>
  <c r="H96" i="1" s="1"/>
  <c r="J96" i="1" s="1"/>
  <c r="L95" i="1"/>
  <c r="I95" i="1"/>
  <c r="K95" i="1" s="1"/>
  <c r="L95" i="1" s="1" a="1"/>
  <c r="G95" i="1"/>
  <c r="F95" i="1" a="1"/>
  <c r="F95" i="1"/>
  <c r="H95" i="1" s="1"/>
  <c r="J95" i="1" s="1"/>
  <c r="E95" i="1"/>
  <c r="I94" i="1"/>
  <c r="K94" i="1" s="1"/>
  <c r="L94" i="1" s="1" a="1"/>
  <c r="L94" i="1" s="1"/>
  <c r="G94" i="1"/>
  <c r="F94" i="1" s="1" a="1"/>
  <c r="F94" i="1" s="1"/>
  <c r="E94" i="1"/>
  <c r="H94" i="1" s="1"/>
  <c r="J94" i="1" s="1"/>
  <c r="L93" i="1" a="1"/>
  <c r="L93" i="1" s="1"/>
  <c r="K93" i="1"/>
  <c r="I93" i="1"/>
  <c r="G93" i="1"/>
  <c r="F93" i="1" s="1" a="1"/>
  <c r="F93" i="1"/>
  <c r="E93" i="1"/>
  <c r="H93" i="1" s="1"/>
  <c r="J93" i="1" s="1"/>
  <c r="K92" i="1"/>
  <c r="L92" i="1" s="1" a="1"/>
  <c r="L92" i="1" s="1"/>
  <c r="I92" i="1"/>
  <c r="G92" i="1"/>
  <c r="F92" i="1" a="1"/>
  <c r="F92" i="1"/>
  <c r="H92" i="1" s="1"/>
  <c r="J92" i="1" s="1"/>
  <c r="E92" i="1"/>
  <c r="I91" i="1"/>
  <c r="K91" i="1" s="1"/>
  <c r="L91" i="1" s="1" a="1"/>
  <c r="L91" i="1" s="1"/>
  <c r="G91" i="1"/>
  <c r="F91" i="1" s="1" a="1"/>
  <c r="F91" i="1" s="1"/>
  <c r="E91" i="1"/>
  <c r="L90" i="1" a="1"/>
  <c r="L90" i="1" s="1"/>
  <c r="K90" i="1"/>
  <c r="I90" i="1"/>
  <c r="G90" i="1"/>
  <c r="F90" i="1" s="1" a="1"/>
  <c r="F90" i="1"/>
  <c r="E90" i="1"/>
  <c r="H90" i="1" s="1"/>
  <c r="J90" i="1" s="1"/>
  <c r="I89" i="1"/>
  <c r="K89" i="1" s="1"/>
  <c r="L89" i="1" s="1" a="1"/>
  <c r="L89" i="1" s="1"/>
  <c r="G89" i="1"/>
  <c r="F89" i="1" a="1"/>
  <c r="F89" i="1" s="1"/>
  <c r="H89" i="1" s="1"/>
  <c r="J89" i="1" s="1"/>
  <c r="E89" i="1"/>
  <c r="I88" i="1"/>
  <c r="K88" i="1" s="1"/>
  <c r="L88" i="1" s="1" a="1"/>
  <c r="L88" i="1" s="1"/>
  <c r="G88" i="1"/>
  <c r="F88" i="1" a="1"/>
  <c r="F88" i="1" s="1"/>
  <c r="E88" i="1"/>
  <c r="H88" i="1" s="1"/>
  <c r="J88" i="1" s="1"/>
  <c r="K87" i="1"/>
  <c r="L87" i="1" s="1" a="1"/>
  <c r="L87" i="1" s="1"/>
  <c r="I87" i="1"/>
  <c r="H87" i="1"/>
  <c r="J87" i="1" s="1"/>
  <c r="G87" i="1"/>
  <c r="F87" i="1" s="1" a="1"/>
  <c r="F87" i="1" s="1"/>
  <c r="E87" i="1"/>
  <c r="L86" i="1"/>
  <c r="I86" i="1"/>
  <c r="K86" i="1" s="1"/>
  <c r="L86" i="1" s="1" a="1"/>
  <c r="G86" i="1"/>
  <c r="F86" i="1" a="1"/>
  <c r="F86" i="1"/>
  <c r="H86" i="1" s="1"/>
  <c r="J86" i="1" s="1"/>
  <c r="E86" i="1"/>
  <c r="L85" i="1"/>
  <c r="I85" i="1"/>
  <c r="K85" i="1" s="1"/>
  <c r="L85" i="1" s="1" a="1"/>
  <c r="G85" i="1"/>
  <c r="F85" i="1" s="1" a="1"/>
  <c r="F85" i="1" s="1"/>
  <c r="E85" i="1"/>
  <c r="H85" i="1" s="1"/>
  <c r="J85" i="1" s="1"/>
  <c r="L84" i="1" a="1"/>
  <c r="L84" i="1" s="1"/>
  <c r="K84" i="1"/>
  <c r="I84" i="1"/>
  <c r="G84" i="1"/>
  <c r="F84" i="1" s="1" a="1"/>
  <c r="F84" i="1"/>
  <c r="E84" i="1"/>
  <c r="K83" i="1"/>
  <c r="L83" i="1" s="1" a="1"/>
  <c r="L83" i="1" s="1"/>
  <c r="I83" i="1"/>
  <c r="G83" i="1"/>
  <c r="F83" i="1" a="1"/>
  <c r="F83" i="1"/>
  <c r="H83" i="1" s="1"/>
  <c r="J83" i="1" s="1"/>
  <c r="E83" i="1"/>
  <c r="I82" i="1"/>
  <c r="K82" i="1" s="1"/>
  <c r="L82" i="1" s="1" a="1"/>
  <c r="L82" i="1" s="1"/>
  <c r="G82" i="1"/>
  <c r="F82" i="1" a="1"/>
  <c r="F82" i="1" s="1"/>
  <c r="E82" i="1"/>
  <c r="K81" i="1"/>
  <c r="L81" i="1" s="1" a="1"/>
  <c r="L81" i="1" s="1"/>
  <c r="I81" i="1"/>
  <c r="G81" i="1"/>
  <c r="F81" i="1" s="1" a="1"/>
  <c r="F81" i="1"/>
  <c r="E81" i="1"/>
  <c r="H81" i="1" s="1"/>
  <c r="J81" i="1" s="1"/>
  <c r="I80" i="1"/>
  <c r="K80" i="1" s="1"/>
  <c r="L80" i="1" s="1" a="1"/>
  <c r="L80" i="1" s="1"/>
  <c r="G80" i="1"/>
  <c r="F80" i="1" a="1"/>
  <c r="F80" i="1" s="1"/>
  <c r="H80" i="1" s="1"/>
  <c r="J80" i="1" s="1"/>
  <c r="E80" i="1"/>
  <c r="I79" i="1"/>
  <c r="K79" i="1" s="1"/>
  <c r="L79" i="1" s="1" a="1"/>
  <c r="L79" i="1" s="1"/>
  <c r="G79" i="1"/>
  <c r="F79" i="1" a="1"/>
  <c r="F79" i="1" s="1"/>
  <c r="E79" i="1"/>
  <c r="H79" i="1" s="1"/>
  <c r="J79" i="1" s="1"/>
  <c r="K78" i="1"/>
  <c r="L78" i="1" s="1" a="1"/>
  <c r="L78" i="1" s="1"/>
  <c r="I78" i="1"/>
  <c r="G78" i="1"/>
  <c r="F78" i="1" s="1" a="1"/>
  <c r="F78" i="1" s="1"/>
  <c r="E78" i="1"/>
  <c r="H78" i="1" s="1"/>
  <c r="J78" i="1" s="1"/>
  <c r="I77" i="1"/>
  <c r="K77" i="1" s="1"/>
  <c r="L77" i="1" s="1" a="1"/>
  <c r="L77" i="1" s="1"/>
  <c r="G77" i="1"/>
  <c r="F77" i="1" a="1"/>
  <c r="F77" i="1"/>
  <c r="H77" i="1" s="1"/>
  <c r="J77" i="1" s="1"/>
  <c r="E77" i="1"/>
  <c r="L76" i="1" a="1"/>
  <c r="L76" i="1"/>
  <c r="I76" i="1"/>
  <c r="K76" i="1" s="1"/>
  <c r="G76" i="1"/>
  <c r="F76" i="1" s="1" a="1"/>
  <c r="F76" i="1" s="1"/>
  <c r="E76" i="1"/>
  <c r="H76" i="1" s="1"/>
  <c r="J76" i="1" s="1"/>
  <c r="L75" i="1" a="1"/>
  <c r="L75" i="1" s="1"/>
  <c r="K75" i="1"/>
  <c r="I75" i="1"/>
  <c r="G75" i="1"/>
  <c r="F75" i="1" s="1" a="1"/>
  <c r="F75" i="1"/>
  <c r="E75" i="1"/>
  <c r="K74" i="1"/>
  <c r="L74" i="1" s="1" a="1"/>
  <c r="L74" i="1" s="1"/>
  <c r="I74" i="1"/>
  <c r="G74" i="1"/>
  <c r="F74" i="1" a="1"/>
  <c r="F74" i="1"/>
  <c r="H74" i="1" s="1"/>
  <c r="J74" i="1" s="1"/>
  <c r="E74" i="1"/>
  <c r="I73" i="1"/>
  <c r="K73" i="1" s="1"/>
  <c r="L73" i="1" s="1" a="1"/>
  <c r="L73" i="1" s="1"/>
  <c r="G73" i="1"/>
  <c r="F73" i="1" s="1" a="1"/>
  <c r="F73" i="1"/>
  <c r="E73" i="1"/>
  <c r="H73" i="1" s="1"/>
  <c r="J73" i="1" s="1"/>
  <c r="K72" i="1"/>
  <c r="L72" i="1" s="1" a="1"/>
  <c r="L72" i="1" s="1"/>
  <c r="I72" i="1"/>
  <c r="G72" i="1"/>
  <c r="F72" i="1" a="1"/>
  <c r="F72" i="1"/>
  <c r="H72" i="1" s="1"/>
  <c r="J72" i="1" s="1"/>
  <c r="E72" i="1"/>
  <c r="I71" i="1"/>
  <c r="K71" i="1" s="1"/>
  <c r="L71" i="1" s="1" a="1"/>
  <c r="L71" i="1" s="1"/>
  <c r="G71" i="1"/>
  <c r="F71" i="1" a="1"/>
  <c r="F71" i="1" s="1"/>
  <c r="E71" i="1"/>
  <c r="K70" i="1"/>
  <c r="L70" i="1" s="1" a="1"/>
  <c r="L70" i="1" s="1"/>
  <c r="I70" i="1"/>
  <c r="G70" i="1"/>
  <c r="F70" i="1" s="1" a="1"/>
  <c r="F70" i="1"/>
  <c r="E70" i="1"/>
  <c r="H70" i="1" s="1"/>
  <c r="J70" i="1" s="1"/>
  <c r="I69" i="1"/>
  <c r="K69" i="1" s="1"/>
  <c r="L69" i="1" s="1" a="1"/>
  <c r="L69" i="1" s="1"/>
  <c r="G69" i="1"/>
  <c r="F69" i="1" a="1"/>
  <c r="F69" i="1" s="1"/>
  <c r="H69" i="1" s="1"/>
  <c r="J69" i="1" s="1"/>
  <c r="E69" i="1"/>
  <c r="I68" i="1"/>
  <c r="K68" i="1" s="1"/>
  <c r="L68" i="1" s="1" a="1"/>
  <c r="L68" i="1" s="1"/>
  <c r="G68" i="1"/>
  <c r="F68" i="1" a="1"/>
  <c r="F68" i="1" s="1"/>
  <c r="E68" i="1"/>
  <c r="H68" i="1" s="1"/>
  <c r="J68" i="1" s="1"/>
  <c r="K67" i="1"/>
  <c r="L67" i="1" s="1" a="1"/>
  <c r="L67" i="1" s="1"/>
  <c r="I67" i="1"/>
  <c r="G67" i="1"/>
  <c r="F67" i="1" s="1" a="1"/>
  <c r="F67" i="1" s="1"/>
  <c r="E67" i="1"/>
  <c r="I66" i="1"/>
  <c r="K66" i="1" s="1"/>
  <c r="L66" i="1" s="1" a="1"/>
  <c r="L66" i="1" s="1"/>
  <c r="G66" i="1"/>
  <c r="F66" i="1" a="1"/>
  <c r="F66" i="1"/>
  <c r="H66" i="1" s="1"/>
  <c r="J66" i="1" s="1"/>
  <c r="E66" i="1"/>
  <c r="I65" i="1"/>
  <c r="K65" i="1" s="1"/>
  <c r="L65" i="1" s="1" a="1"/>
  <c r="L65" i="1" s="1"/>
  <c r="G65" i="1"/>
  <c r="F65" i="1" s="1" a="1"/>
  <c r="F65" i="1" s="1"/>
  <c r="E65" i="1"/>
  <c r="L64" i="1" a="1"/>
  <c r="L64" i="1" s="1"/>
  <c r="K64" i="1"/>
  <c r="I64" i="1"/>
  <c r="G64" i="1"/>
  <c r="F64" i="1" s="1" a="1"/>
  <c r="F64" i="1"/>
  <c r="E64" i="1"/>
  <c r="H64" i="1" s="1"/>
  <c r="J64" i="1" s="1"/>
  <c r="K63" i="1"/>
  <c r="L63" i="1" s="1" a="1"/>
  <c r="L63" i="1" s="1"/>
  <c r="I63" i="1"/>
  <c r="G63" i="1"/>
  <c r="F63" i="1" a="1"/>
  <c r="F63" i="1"/>
  <c r="H63" i="1" s="1"/>
  <c r="J63" i="1" s="1"/>
  <c r="E63" i="1"/>
  <c r="I62" i="1"/>
  <c r="K62" i="1" s="1"/>
  <c r="L62" i="1" s="1" a="1"/>
  <c r="L62" i="1" s="1"/>
  <c r="G62" i="1"/>
  <c r="F62" i="1" a="1"/>
  <c r="F62" i="1" s="1"/>
  <c r="E62" i="1"/>
  <c r="K61" i="1"/>
  <c r="L61" i="1" s="1" a="1"/>
  <c r="L61" i="1" s="1"/>
  <c r="I61" i="1"/>
  <c r="G61" i="1"/>
  <c r="F61" i="1" s="1" a="1"/>
  <c r="F61" i="1"/>
  <c r="E61" i="1"/>
  <c r="H61" i="1" s="1"/>
  <c r="J61" i="1" s="1"/>
  <c r="K60" i="1"/>
  <c r="L60" i="1" s="1"/>
  <c r="I60" i="1"/>
  <c r="G60" i="1"/>
  <c r="F60" i="1" s="1" a="1"/>
  <c r="F60" i="1"/>
  <c r="E60" i="1"/>
  <c r="H60" i="1" s="1"/>
  <c r="J60" i="1" s="1"/>
  <c r="K59" i="1"/>
  <c r="L59" i="1" s="1" a="1"/>
  <c r="L59" i="1" s="1"/>
  <c r="I59" i="1"/>
  <c r="G59" i="1"/>
  <c r="F59" i="1" a="1"/>
  <c r="F59" i="1"/>
  <c r="H59" i="1" s="1"/>
  <c r="J59" i="1" s="1"/>
  <c r="E59" i="1"/>
  <c r="I58" i="1"/>
  <c r="K58" i="1" s="1"/>
  <c r="L58" i="1" s="1" a="1"/>
  <c r="L58" i="1" s="1"/>
  <c r="G58" i="1"/>
  <c r="F58" i="1" a="1"/>
  <c r="F58" i="1" s="1"/>
  <c r="E58" i="1"/>
  <c r="K57" i="1"/>
  <c r="L57" i="1" s="1" a="1"/>
  <c r="L57" i="1" s="1"/>
  <c r="I57" i="1"/>
  <c r="G57" i="1"/>
  <c r="F57" i="1" s="1" a="1"/>
  <c r="F57" i="1"/>
  <c r="E57" i="1"/>
  <c r="H57" i="1" s="1"/>
  <c r="J57" i="1" s="1"/>
  <c r="I56" i="1"/>
  <c r="K56" i="1" s="1"/>
  <c r="L56" i="1" s="1" a="1"/>
  <c r="L56" i="1" s="1"/>
  <c r="G56" i="1"/>
  <c r="F56" i="1" a="1"/>
  <c r="F56" i="1" s="1"/>
  <c r="H56" i="1" s="1"/>
  <c r="J56" i="1" s="1"/>
  <c r="E56" i="1"/>
  <c r="I55" i="1"/>
  <c r="K55" i="1" s="1"/>
  <c r="L55" i="1" s="1" a="1"/>
  <c r="L55" i="1" s="1"/>
  <c r="G55" i="1"/>
  <c r="F55" i="1" a="1"/>
  <c r="F55" i="1" s="1"/>
  <c r="E55" i="1"/>
  <c r="H55" i="1" s="1"/>
  <c r="J55" i="1" s="1"/>
  <c r="K54" i="1"/>
  <c r="L54" i="1" s="1" a="1"/>
  <c r="L54" i="1" s="1"/>
  <c r="I54" i="1"/>
  <c r="G54" i="1"/>
  <c r="F54" i="1" s="1" a="1"/>
  <c r="F54" i="1" s="1"/>
  <c r="E54" i="1"/>
  <c r="I53" i="1"/>
  <c r="K53" i="1" s="1"/>
  <c r="L53" i="1" s="1" a="1"/>
  <c r="L53" i="1" s="1"/>
  <c r="G53" i="1"/>
  <c r="F53" i="1" a="1"/>
  <c r="F53" i="1"/>
  <c r="H53" i="1" s="1"/>
  <c r="J53" i="1" s="1"/>
  <c r="E53" i="1"/>
  <c r="I52" i="1"/>
  <c r="K52" i="1" s="1"/>
  <c r="L52" i="1" s="1" a="1"/>
  <c r="L52" i="1" s="1"/>
  <c r="G52" i="1"/>
  <c r="F52" i="1" s="1" a="1"/>
  <c r="F52" i="1" s="1"/>
  <c r="E52" i="1"/>
  <c r="L51" i="1" a="1"/>
  <c r="L51" i="1" s="1"/>
  <c r="K51" i="1"/>
  <c r="I51" i="1"/>
  <c r="G51" i="1"/>
  <c r="F51" i="1" s="1" a="1"/>
  <c r="F51" i="1"/>
  <c r="E51" i="1"/>
  <c r="H51" i="1" s="1"/>
  <c r="J51" i="1" s="1"/>
  <c r="K50" i="1"/>
  <c r="L50" i="1" s="1" a="1"/>
  <c r="L50" i="1" s="1"/>
  <c r="I50" i="1"/>
  <c r="G50" i="1"/>
  <c r="F50" i="1" a="1"/>
  <c r="F50" i="1"/>
  <c r="H50" i="1" s="1"/>
  <c r="J50" i="1" s="1"/>
  <c r="E50" i="1"/>
  <c r="I49" i="1"/>
  <c r="K49" i="1" s="1"/>
  <c r="L49" i="1" s="1" a="1"/>
  <c r="L49" i="1" s="1"/>
  <c r="G49" i="1"/>
  <c r="F49" i="1" a="1"/>
  <c r="F49" i="1" s="1"/>
  <c r="E49" i="1"/>
  <c r="K48" i="1"/>
  <c r="L48" i="1" s="1" a="1"/>
  <c r="L48" i="1" s="1"/>
  <c r="I48" i="1"/>
  <c r="G48" i="1"/>
  <c r="F48" i="1" s="1" a="1"/>
  <c r="F48" i="1"/>
  <c r="E48" i="1"/>
  <c r="H48" i="1" s="1"/>
  <c r="J48" i="1" s="1"/>
  <c r="I47" i="1"/>
  <c r="K47" i="1" s="1"/>
  <c r="L47" i="1" s="1" a="1"/>
  <c r="L47" i="1" s="1"/>
  <c r="G47" i="1"/>
  <c r="F47" i="1" a="1"/>
  <c r="F47" i="1" s="1"/>
  <c r="H47" i="1" s="1"/>
  <c r="J47" i="1" s="1"/>
  <c r="E47" i="1"/>
  <c r="I46" i="1"/>
  <c r="K46" i="1" s="1"/>
  <c r="L46" i="1" s="1" a="1"/>
  <c r="L46" i="1" s="1"/>
  <c r="G46" i="1"/>
  <c r="F46" i="1" a="1"/>
  <c r="F46" i="1" s="1"/>
  <c r="E46" i="1"/>
  <c r="H46" i="1" s="1"/>
  <c r="J46" i="1" s="1"/>
  <c r="K45" i="1"/>
  <c r="L45" i="1" s="1" a="1"/>
  <c r="L45" i="1" s="1"/>
  <c r="I45" i="1"/>
  <c r="G45" i="1"/>
  <c r="F45" i="1" s="1" a="1"/>
  <c r="F45" i="1" s="1"/>
  <c r="E45" i="1"/>
  <c r="I44" i="1"/>
  <c r="K44" i="1" s="1"/>
  <c r="L44" i="1" s="1" a="1"/>
  <c r="L44" i="1" s="1"/>
  <c r="G44" i="1"/>
  <c r="F44" i="1" a="1"/>
  <c r="F44" i="1"/>
  <c r="H44" i="1" s="1"/>
  <c r="J44" i="1" s="1"/>
  <c r="E44" i="1"/>
  <c r="I43" i="1"/>
  <c r="K43" i="1" s="1"/>
  <c r="L43" i="1" s="1" a="1"/>
  <c r="L43" i="1" s="1"/>
  <c r="G43" i="1"/>
  <c r="F43" i="1" s="1" a="1"/>
  <c r="F43" i="1" s="1"/>
  <c r="E43" i="1"/>
  <c r="L42" i="1" a="1"/>
  <c r="L42" i="1" s="1"/>
  <c r="K42" i="1"/>
  <c r="I42" i="1"/>
  <c r="G42" i="1"/>
  <c r="F42" i="1" s="1" a="1"/>
  <c r="F42" i="1"/>
  <c r="E42" i="1"/>
  <c r="H42" i="1" s="1"/>
  <c r="J42" i="1" s="1"/>
  <c r="K41" i="1"/>
  <c r="L41" i="1" s="1" a="1"/>
  <c r="L41" i="1" s="1"/>
  <c r="I41" i="1"/>
  <c r="G41" i="1"/>
  <c r="F41" i="1" a="1"/>
  <c r="F41" i="1"/>
  <c r="H41" i="1" s="1"/>
  <c r="J41" i="1" s="1"/>
  <c r="E41" i="1"/>
  <c r="I40" i="1"/>
  <c r="K40" i="1" s="1"/>
  <c r="L40" i="1" s="1" a="1"/>
  <c r="L40" i="1" s="1"/>
  <c r="G40" i="1"/>
  <c r="F40" i="1" a="1"/>
  <c r="F40" i="1" s="1"/>
  <c r="E40" i="1"/>
  <c r="K39" i="1"/>
  <c r="L39" i="1" s="1" a="1"/>
  <c r="L39" i="1" s="1"/>
  <c r="I39" i="1"/>
  <c r="G39" i="1"/>
  <c r="F39" i="1" s="1" a="1"/>
  <c r="F39" i="1"/>
  <c r="E39" i="1"/>
  <c r="H39" i="1" s="1"/>
  <c r="J39" i="1" s="1"/>
  <c r="I38" i="1"/>
  <c r="K38" i="1" s="1"/>
  <c r="L38" i="1" s="1" a="1"/>
  <c r="L38" i="1" s="1"/>
  <c r="G38" i="1"/>
  <c r="F38" i="1" a="1"/>
  <c r="F38" i="1" s="1"/>
  <c r="H38" i="1" s="1"/>
  <c r="J38" i="1" s="1"/>
  <c r="E38" i="1"/>
  <c r="I37" i="1"/>
  <c r="K37" i="1" s="1"/>
  <c r="L37" i="1" s="1" a="1"/>
  <c r="L37" i="1" s="1"/>
  <c r="G37" i="1"/>
  <c r="F37" i="1" a="1"/>
  <c r="F37" i="1" s="1"/>
  <c r="E37" i="1"/>
  <c r="H37" i="1" s="1"/>
  <c r="J37" i="1" s="1"/>
  <c r="K36" i="1"/>
  <c r="L36" i="1" s="1" a="1"/>
  <c r="L36" i="1" s="1"/>
  <c r="I36" i="1"/>
  <c r="G36" i="1"/>
  <c r="F36" i="1" s="1" a="1"/>
  <c r="F36" i="1" s="1"/>
  <c r="E36" i="1"/>
  <c r="I35" i="1"/>
  <c r="K35" i="1" s="1"/>
  <c r="L35" i="1" s="1" a="1"/>
  <c r="L35" i="1" s="1"/>
  <c r="G35" i="1"/>
  <c r="F35" i="1" a="1"/>
  <c r="F35" i="1"/>
  <c r="H35" i="1" s="1"/>
  <c r="J35" i="1" s="1"/>
  <c r="E35" i="1"/>
  <c r="I34" i="1"/>
  <c r="K34" i="1" s="1"/>
  <c r="L34" i="1" s="1" a="1"/>
  <c r="L34" i="1" s="1"/>
  <c r="G34" i="1"/>
  <c r="F34" i="1" a="1"/>
  <c r="F34" i="1"/>
  <c r="H34" i="1" s="1"/>
  <c r="J34" i="1" s="1"/>
  <c r="E34" i="1"/>
  <c r="I33" i="1"/>
  <c r="K33" i="1" s="1"/>
  <c r="L33" i="1" s="1" a="1"/>
  <c r="L33" i="1" s="1"/>
  <c r="G33" i="1"/>
  <c r="F33" i="1" a="1"/>
  <c r="F33" i="1" s="1"/>
  <c r="E33" i="1"/>
  <c r="H33" i="1" s="1"/>
  <c r="J33" i="1" s="1"/>
  <c r="L32" i="1" a="1"/>
  <c r="L32" i="1" s="1"/>
  <c r="K32" i="1"/>
  <c r="I32" i="1"/>
  <c r="G32" i="1"/>
  <c r="F32" i="1" s="1" a="1"/>
  <c r="F32" i="1" s="1"/>
  <c r="E32" i="1"/>
  <c r="H32" i="1" s="1"/>
  <c r="J32" i="1" s="1"/>
  <c r="K31" i="1"/>
  <c r="L31" i="1" s="1" a="1"/>
  <c r="L31" i="1" s="1"/>
  <c r="I31" i="1"/>
  <c r="G31" i="1"/>
  <c r="F31" i="1" a="1"/>
  <c r="F31" i="1"/>
  <c r="H31" i="1" s="1"/>
  <c r="J31" i="1" s="1"/>
  <c r="E31" i="1"/>
  <c r="I30" i="1"/>
  <c r="K30" i="1" s="1"/>
  <c r="L30" i="1" s="1" a="1"/>
  <c r="L30" i="1" s="1"/>
  <c r="G30" i="1"/>
  <c r="F30" i="1" a="1"/>
  <c r="F30" i="1" s="1"/>
  <c r="E30" i="1"/>
  <c r="H30" i="1" s="1"/>
  <c r="J30" i="1" s="1"/>
  <c r="L29" i="1" a="1"/>
  <c r="L29" i="1" s="1"/>
  <c r="K29" i="1"/>
  <c r="I29" i="1"/>
  <c r="G29" i="1"/>
  <c r="F29" i="1" s="1" a="1"/>
  <c r="F29" i="1" s="1"/>
  <c r="E29" i="1"/>
  <c r="H29" i="1" s="1"/>
  <c r="J29" i="1" s="1"/>
  <c r="K28" i="1"/>
  <c r="L28" i="1" s="1" a="1"/>
  <c r="L28" i="1" s="1"/>
  <c r="I28" i="1"/>
  <c r="G28" i="1"/>
  <c r="F28" i="1" a="1"/>
  <c r="F28" i="1"/>
  <c r="H28" i="1" s="1"/>
  <c r="J28" i="1" s="1"/>
  <c r="E28" i="1"/>
  <c r="I27" i="1"/>
  <c r="K27" i="1" s="1"/>
  <c r="L27" i="1" s="1" a="1"/>
  <c r="L27" i="1" s="1"/>
  <c r="G27" i="1"/>
  <c r="F27" i="1" a="1"/>
  <c r="F27" i="1" s="1"/>
  <c r="E27" i="1"/>
  <c r="H27" i="1" s="1"/>
  <c r="J27" i="1" s="1"/>
  <c r="L26" i="1" a="1"/>
  <c r="L26" i="1" s="1"/>
  <c r="K26" i="1"/>
  <c r="I26" i="1"/>
  <c r="G26" i="1"/>
  <c r="F26" i="1" s="1" a="1"/>
  <c r="F26" i="1" s="1"/>
  <c r="E26" i="1"/>
  <c r="H26" i="1" s="1"/>
  <c r="J26" i="1" s="1"/>
  <c r="K25" i="1"/>
  <c r="L25" i="1" s="1" a="1"/>
  <c r="L25" i="1" s="1"/>
  <c r="I25" i="1"/>
  <c r="G25" i="1"/>
  <c r="F25" i="1" a="1"/>
  <c r="F25" i="1"/>
  <c r="H25" i="1" s="1"/>
  <c r="J25" i="1" s="1"/>
  <c r="E25" i="1"/>
  <c r="I24" i="1"/>
  <c r="K24" i="1" s="1"/>
  <c r="L24" i="1" s="1" a="1"/>
  <c r="L24" i="1" s="1"/>
  <c r="G24" i="1"/>
  <c r="F24" i="1" a="1"/>
  <c r="F24" i="1" s="1"/>
  <c r="E24" i="1"/>
  <c r="H24" i="1" s="1"/>
  <c r="J24" i="1" s="1"/>
  <c r="L23" i="1" a="1"/>
  <c r="L23" i="1" s="1"/>
  <c r="K23" i="1"/>
  <c r="I23" i="1"/>
  <c r="G23" i="1"/>
  <c r="F23" i="1" s="1" a="1"/>
  <c r="F23" i="1" s="1"/>
  <c r="E23" i="1"/>
  <c r="H23" i="1" s="1"/>
  <c r="J23" i="1" s="1"/>
  <c r="K22" i="1"/>
  <c r="L22" i="1" s="1" a="1"/>
  <c r="L22" i="1" s="1"/>
  <c r="I22" i="1"/>
  <c r="G22" i="1"/>
  <c r="F22" i="1" a="1"/>
  <c r="F22" i="1"/>
  <c r="H22" i="1" s="1"/>
  <c r="J22" i="1" s="1"/>
  <c r="E22" i="1"/>
  <c r="I21" i="1"/>
  <c r="K21" i="1" s="1"/>
  <c r="L21" i="1" s="1" a="1"/>
  <c r="L21" i="1" s="1"/>
  <c r="G21" i="1"/>
  <c r="F21" i="1" a="1"/>
  <c r="F21" i="1" s="1"/>
  <c r="E21" i="1"/>
  <c r="H21" i="1" s="1"/>
  <c r="J21" i="1" s="1"/>
  <c r="L20" i="1" a="1"/>
  <c r="L20" i="1" s="1"/>
  <c r="K20" i="1"/>
  <c r="I20" i="1"/>
  <c r="G20" i="1"/>
  <c r="F20" i="1" s="1" a="1"/>
  <c r="F20" i="1" s="1"/>
  <c r="E20" i="1"/>
  <c r="H20" i="1" s="1"/>
  <c r="J20" i="1" s="1"/>
  <c r="K19" i="1"/>
  <c r="L19" i="1" s="1" a="1"/>
  <c r="L19" i="1" s="1"/>
  <c r="I19" i="1"/>
  <c r="G19" i="1"/>
  <c r="F19" i="1" a="1"/>
  <c r="F19" i="1"/>
  <c r="H19" i="1" s="1"/>
  <c r="J19" i="1" s="1"/>
  <c r="E19" i="1"/>
  <c r="I18" i="1"/>
  <c r="K18" i="1" s="1"/>
  <c r="L18" i="1" s="1" a="1"/>
  <c r="L18" i="1" s="1"/>
  <c r="G18" i="1"/>
  <c r="F18" i="1" a="1"/>
  <c r="F18" i="1" s="1"/>
  <c r="E18" i="1"/>
  <c r="H18" i="1" s="1"/>
  <c r="J18" i="1" s="1"/>
  <c r="L17" i="1" a="1"/>
  <c r="L17" i="1" s="1"/>
  <c r="K17" i="1"/>
  <c r="I17" i="1"/>
  <c r="G17" i="1"/>
  <c r="F17" i="1" s="1" a="1"/>
  <c r="F17" i="1" s="1"/>
  <c r="E17" i="1"/>
  <c r="H17" i="1" s="1"/>
  <c r="J17" i="1" s="1"/>
  <c r="K16" i="1"/>
  <c r="L16" i="1" s="1" a="1"/>
  <c r="L16" i="1" s="1"/>
  <c r="I16" i="1"/>
  <c r="G16" i="1"/>
  <c r="F16" i="1" a="1"/>
  <c r="F16" i="1"/>
  <c r="H16" i="1" s="1"/>
  <c r="J16" i="1" s="1"/>
  <c r="E16" i="1"/>
  <c r="I15" i="1"/>
  <c r="K15" i="1" s="1"/>
  <c r="L15" i="1" s="1" a="1"/>
  <c r="L15" i="1" s="1"/>
  <c r="G15" i="1"/>
  <c r="F15" i="1" a="1"/>
  <c r="F15" i="1" s="1"/>
  <c r="E15" i="1"/>
  <c r="H15" i="1" s="1"/>
  <c r="J15" i="1" s="1"/>
  <c r="L14" i="1" a="1"/>
  <c r="L14" i="1" s="1"/>
  <c r="K14" i="1"/>
  <c r="I14" i="1"/>
  <c r="G14" i="1"/>
  <c r="F14" i="1" s="1" a="1"/>
  <c r="F14" i="1" s="1"/>
  <c r="E14" i="1"/>
  <c r="H14" i="1" s="1"/>
  <c r="J14" i="1" s="1"/>
  <c r="K13" i="1"/>
  <c r="L13" i="1" s="1" a="1"/>
  <c r="L13" i="1" s="1"/>
  <c r="I13" i="1"/>
  <c r="G13" i="1"/>
  <c r="F13" i="1" a="1"/>
  <c r="F13" i="1"/>
  <c r="H13" i="1" s="1"/>
  <c r="J13" i="1" s="1"/>
  <c r="E13" i="1"/>
  <c r="I12" i="1"/>
  <c r="K12" i="1" s="1"/>
  <c r="L12" i="1" s="1" a="1"/>
  <c r="L12" i="1" s="1"/>
  <c r="G12" i="1"/>
  <c r="F12" i="1" a="1"/>
  <c r="F12" i="1" s="1"/>
  <c r="E12" i="1"/>
  <c r="H12" i="1" s="1"/>
  <c r="J12" i="1" s="1"/>
  <c r="L11" i="1" a="1"/>
  <c r="L11" i="1" s="1"/>
  <c r="K11" i="1"/>
  <c r="I11" i="1"/>
  <c r="G11" i="1"/>
  <c r="F11" i="1" s="1" a="1"/>
  <c r="F11" i="1" s="1"/>
  <c r="E11" i="1"/>
  <c r="H11" i="1" s="1"/>
  <c r="J11" i="1" s="1"/>
  <c r="K10" i="1"/>
  <c r="L10" i="1" s="1" a="1"/>
  <c r="L10" i="1" s="1"/>
  <c r="I10" i="1"/>
  <c r="G10" i="1"/>
  <c r="F10" i="1" a="1"/>
  <c r="F10" i="1"/>
  <c r="H10" i="1" s="1"/>
  <c r="J10" i="1" s="1"/>
  <c r="E10" i="1"/>
  <c r="I9" i="1"/>
  <c r="K9" i="1" s="1"/>
  <c r="L9" i="1" s="1" a="1"/>
  <c r="L9" i="1" s="1"/>
  <c r="G9" i="1"/>
  <c r="F9" i="1" a="1"/>
  <c r="F9" i="1" s="1"/>
  <c r="E9" i="1"/>
  <c r="H9" i="1" s="1"/>
  <c r="J9" i="1" s="1"/>
  <c r="L8" i="1" a="1"/>
  <c r="L8" i="1" s="1"/>
  <c r="K8" i="1"/>
  <c r="I8" i="1"/>
  <c r="G8" i="1"/>
  <c r="F8" i="1" s="1" a="1"/>
  <c r="F8" i="1" s="1"/>
  <c r="E8" i="1"/>
  <c r="H8" i="1" s="1"/>
  <c r="J8" i="1" s="1"/>
  <c r="K7" i="1"/>
  <c r="L7" i="1" s="1" a="1"/>
  <c r="L7" i="1" s="1"/>
  <c r="I7" i="1"/>
  <c r="G7" i="1"/>
  <c r="F7" i="1" a="1"/>
  <c r="F7" i="1"/>
  <c r="H7" i="1" s="1"/>
  <c r="J7" i="1" s="1"/>
  <c r="E7" i="1"/>
  <c r="I6" i="1"/>
  <c r="K6" i="1" s="1"/>
  <c r="L6" i="1" s="1" a="1"/>
  <c r="L6" i="1" s="1"/>
  <c r="G6" i="1"/>
  <c r="F6" i="1" a="1"/>
  <c r="F6" i="1" s="1"/>
  <c r="E6" i="1"/>
  <c r="H6" i="1" s="1"/>
  <c r="J6" i="1" s="1"/>
  <c r="L5" i="1" a="1"/>
  <c r="L5" i="1" s="1"/>
  <c r="K5" i="1"/>
  <c r="I5" i="1"/>
  <c r="G5" i="1"/>
  <c r="F5" i="1" s="1" a="1"/>
  <c r="F5" i="1" s="1"/>
  <c r="E5" i="1"/>
  <c r="H5" i="1" s="1"/>
  <c r="J5" i="1" s="1"/>
  <c r="K4" i="1"/>
  <c r="L4" i="1" s="1" a="1"/>
  <c r="L4" i="1" s="1"/>
  <c r="I4" i="1"/>
  <c r="G4" i="1"/>
  <c r="F4" i="1" a="1"/>
  <c r="F4" i="1"/>
  <c r="H4" i="1" s="1"/>
  <c r="J4" i="1" s="1"/>
  <c r="E4" i="1"/>
  <c r="I3" i="1"/>
  <c r="K3" i="1" s="1"/>
  <c r="L3" i="1" s="1" a="1"/>
  <c r="L3" i="1" s="1"/>
  <c r="G3" i="1"/>
  <c r="F3" i="1" a="1"/>
  <c r="F3" i="1" s="1"/>
  <c r="E3" i="1"/>
  <c r="H3" i="1" s="1"/>
  <c r="J3" i="1" s="1"/>
  <c r="L2" i="1" a="1"/>
  <c r="L2" i="1" s="1"/>
  <c r="K2" i="1"/>
  <c r="I2" i="1"/>
  <c r="G2" i="1"/>
  <c r="F2" i="1" s="1" a="1"/>
  <c r="F2" i="1" s="1"/>
  <c r="E2" i="1"/>
  <c r="H2" i="1" s="1"/>
  <c r="J2" i="1" s="1"/>
  <c r="H45" i="1" l="1"/>
  <c r="J45" i="1" s="1"/>
  <c r="H67" i="1"/>
  <c r="J67" i="1" s="1"/>
  <c r="H36" i="1"/>
  <c r="J36" i="1" s="1"/>
  <c r="H54" i="1"/>
  <c r="J54" i="1" s="1"/>
  <c r="H43" i="1"/>
  <c r="J43" i="1" s="1"/>
  <c r="H52" i="1"/>
  <c r="J52" i="1" s="1"/>
  <c r="H65" i="1"/>
  <c r="J65" i="1" s="1"/>
  <c r="H40" i="1"/>
  <c r="J40" i="1" s="1"/>
  <c r="H49" i="1"/>
  <c r="J49" i="1" s="1"/>
  <c r="H58" i="1"/>
  <c r="J58" i="1" s="1"/>
  <c r="H62" i="1"/>
  <c r="J62" i="1" s="1"/>
  <c r="H71" i="1"/>
  <c r="J71" i="1" s="1"/>
  <c r="H75" i="1"/>
  <c r="J75" i="1" s="1"/>
  <c r="H84" i="1"/>
  <c r="J84" i="1" s="1"/>
  <c r="H122" i="1"/>
  <c r="J122" i="1" s="1"/>
  <c r="H133" i="1"/>
  <c r="J133" i="1" s="1"/>
  <c r="H142" i="1"/>
  <c r="J142" i="1" s="1"/>
  <c r="H151" i="1"/>
  <c r="J151" i="1" s="1"/>
  <c r="H160" i="1"/>
  <c r="J160" i="1" s="1"/>
  <c r="H82" i="1"/>
  <c r="J82" i="1" s="1"/>
  <c r="H132" i="1"/>
  <c r="J132" i="1" s="1"/>
  <c r="H141" i="1"/>
  <c r="J141" i="1" s="1"/>
  <c r="H150" i="1"/>
  <c r="J150" i="1" s="1"/>
  <c r="H159" i="1"/>
  <c r="J159" i="1" s="1"/>
  <c r="H182" i="1"/>
  <c r="J182" i="1" s="1"/>
  <c r="H183" i="1"/>
  <c r="J183" i="1" s="1"/>
  <c r="H205" i="1"/>
  <c r="J205" i="1" s="1"/>
  <c r="H91" i="1"/>
  <c r="J91" i="1" s="1"/>
  <c r="H100" i="1"/>
  <c r="J100" i="1" s="1"/>
  <c r="H104" i="1"/>
  <c r="J104" i="1" s="1"/>
  <c r="H113" i="1"/>
  <c r="J113" i="1" s="1"/>
  <c r="H123" i="1"/>
  <c r="J123" i="1" s="1"/>
  <c r="H130" i="1"/>
  <c r="J130" i="1" s="1"/>
  <c r="H139" i="1"/>
  <c r="J139" i="1" s="1"/>
  <c r="H148" i="1"/>
  <c r="J148" i="1" s="1"/>
  <c r="H157" i="1"/>
  <c r="J157" i="1" s="1"/>
  <c r="H214" i="1"/>
  <c r="J214" i="1" s="1"/>
  <c r="H196" i="1"/>
  <c r="J196" i="1" s="1"/>
  <c r="H238" i="1"/>
  <c r="J238" i="1" s="1"/>
  <c r="H251" i="1"/>
  <c r="J251" i="1" s="1"/>
  <c r="H223" i="1"/>
  <c r="J223" i="1" s="1"/>
  <c r="H232" i="1"/>
  <c r="J232" i="1" s="1"/>
  <c r="H169" i="1"/>
  <c r="J169" i="1" s="1"/>
  <c r="H178" i="1"/>
  <c r="J178" i="1" s="1"/>
  <c r="H179" i="1"/>
  <c r="J179" i="1" s="1"/>
  <c r="H180" i="1"/>
  <c r="J180" i="1" s="1"/>
  <c r="H189" i="1"/>
  <c r="J189" i="1" s="1"/>
  <c r="H191" i="1"/>
  <c r="J191" i="1" s="1"/>
  <c r="H197" i="1"/>
  <c r="J197" i="1" s="1"/>
  <c r="H200" i="1"/>
  <c r="J200" i="1" s="1"/>
  <c r="H206" i="1"/>
  <c r="J206" i="1" s="1"/>
  <c r="H209" i="1"/>
  <c r="J209" i="1" s="1"/>
  <c r="H215" i="1"/>
  <c r="J215" i="1" s="1"/>
  <c r="H218" i="1"/>
  <c r="J218" i="1" s="1"/>
  <c r="H224" i="1"/>
  <c r="J224" i="1" s="1"/>
  <c r="H227" i="1"/>
  <c r="J227" i="1" s="1"/>
  <c r="H233" i="1"/>
  <c r="J233" i="1" s="1"/>
  <c r="H236" i="1"/>
  <c r="J236" i="1" s="1"/>
  <c r="H243" i="1"/>
  <c r="J243" i="1" s="1"/>
  <c r="H194" i="1"/>
  <c r="J194" i="1" s="1"/>
  <c r="H203" i="1"/>
  <c r="J203" i="1" s="1"/>
  <c r="H212" i="1"/>
  <c r="J212" i="1" s="1"/>
  <c r="H221" i="1"/>
  <c r="J221" i="1" s="1"/>
  <c r="H230" i="1"/>
  <c r="J230" i="1" s="1"/>
  <c r="H241" i="1"/>
  <c r="J241" i="1" s="1"/>
  <c r="H245" i="1"/>
  <c r="J245" i="1" s="1"/>
  <c r="H254" i="1"/>
  <c r="J254" i="1" s="1"/>
  <c r="H263" i="1"/>
  <c r="J263" i="1" s="1"/>
  <c r="H267" i="1"/>
  <c r="J267" i="1" s="1"/>
  <c r="H255" i="1"/>
  <c r="J255" i="1" s="1"/>
  <c r="H268" i="1"/>
  <c r="J268" i="1" s="1"/>
  <c r="H252" i="1"/>
  <c r="J252" i="1" s="1"/>
  <c r="H261" i="1"/>
  <c r="J261" i="1" s="1"/>
  <c r="H265" i="1"/>
  <c r="J265" i="1" s="1"/>
  <c r="H278" i="1"/>
  <c r="J278" i="1" s="1"/>
  <c r="H283" i="1"/>
  <c r="J283" i="1" s="1"/>
  <c r="H287" i="1"/>
  <c r="J287" i="1" s="1"/>
  <c r="H291" i="1"/>
  <c r="J291" i="1" s="1"/>
  <c r="H296" i="1"/>
  <c r="J296" i="1" s="1"/>
  <c r="H300" i="1"/>
  <c r="J300" i="1" s="1"/>
  <c r="H308" i="1"/>
  <c r="J308" i="1" s="1"/>
  <c r="H305" i="1"/>
  <c r="J305" i="1" s="1"/>
  <c r="H306" i="1"/>
  <c r="J306" i="1" s="1"/>
  <c r="H282" i="1"/>
  <c r="J282" i="1" s="1"/>
  <c r="H284" i="1"/>
  <c r="J284" i="1" s="1"/>
  <c r="H288" i="1"/>
  <c r="J288" i="1" s="1"/>
</calcChain>
</file>

<file path=xl/sharedStrings.xml><?xml version="1.0" encoding="utf-8"?>
<sst xmlns="http://schemas.openxmlformats.org/spreadsheetml/2006/main" count="4346" uniqueCount="1786">
  <si>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</si>
  <si>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</si>
  <si>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</si>
  <si>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</si>
  <si>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</si>
  <si>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</si>
  <si>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</si>
  <si>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</si>
  <si>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</si>
  <si>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</si>
  <si>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</si>
  <si>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</si>
  <si>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</si>
  <si>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</si>
  <si>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</si>
  <si>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</si>
  <si>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</si>
  <si>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</si>
  <si>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</si>
  <si>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</si>
  <si>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</si>
  <si>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</si>
  <si>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</si>
  <si>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</si>
  <si>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</si>
  <si>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</si>
  <si>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</si>
  <si>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</si>
  <si>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</si>
  <si>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</si>
  <si>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</si>
  <si>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</si>
  <si>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</si>
  <si>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</si>
  <si>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</si>
  <si>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</si>
  <si>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</si>
  <si>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</si>
  <si>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</si>
  <si>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</si>
  <si>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</si>
  <si>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</si>
  <si>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</si>
  <si>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</si>
  <si>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</si>
  <si>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</si>
  <si>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</si>
  <si>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</si>
  <si>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</si>
  <si>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</si>
  <si>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</si>
  <si>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</si>
  <si>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</si>
  <si>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</si>
  <si>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</si>
  <si>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</si>
  <si>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</si>
  <si>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</si>
  <si>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</si>
  <si>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</si>
  <si>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</si>
  <si>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</si>
  <si>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</si>
  <si>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</si>
  <si>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</si>
  <si>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</si>
  <si>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</si>
  <si>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</si>
  <si>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</si>
  <si>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</si>
  <si>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</si>
  <si>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</si>
  <si>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</si>
  <si>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</si>
  <si>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</si>
  <si>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</si>
  <si>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</si>
  <si>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</si>
  <si>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</si>
  <si>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</si>
  <si>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</si>
  <si>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</si>
  <si>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</si>
  <si>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</si>
  <si>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</si>
  <si>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</si>
  <si>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</si>
  <si>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</si>
  <si>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</si>
  <si>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</si>
  <si>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</si>
  <si>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</si>
  <si>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</si>
  <si>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</si>
  <si>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</si>
  <si>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</si>
  <si>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</si>
  <si>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</si>
  <si>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</si>
  <si>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</si>
  <si>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</si>
  <si>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</si>
  <si>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</si>
  <si>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</si>
  <si>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</si>
  <si>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</si>
  <si>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</si>
  <si>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</si>
  <si>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</si>
  <si>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</si>
  <si>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</si>
  <si>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</si>
  <si>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</si>
  <si>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</si>
  <si>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</si>
  <si>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</si>
  <si>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</si>
  <si>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</si>
  <si>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</si>
  <si>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</si>
  <si>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</si>
  <si>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</si>
  <si>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</si>
  <si>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</si>
  <si>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</si>
  <si>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</si>
  <si>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</si>
  <si>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</si>
  <si>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</si>
  <si>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</si>
  <si>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</si>
  <si>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</si>
  <si>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</si>
  <si>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</si>
  <si>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</si>
  <si>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</si>
  <si>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</si>
  <si>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</si>
  <si>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</si>
  <si>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</si>
  <si>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</si>
  <si>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</si>
  <si>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</si>
  <si>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</si>
  <si>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</si>
  <si>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</si>
  <si>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</si>
  <si>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</si>
  <si>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</si>
  <si>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</si>
  <si>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</si>
  <si>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</si>
  <si>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</si>
  <si>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</si>
  <si>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</si>
  <si>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</si>
  <si>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</si>
  <si>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</si>
  <si>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</si>
  <si>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</si>
  <si>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</si>
  <si>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</si>
  <si>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</si>
  <si>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</si>
  <si>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</si>
  <si>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</si>
  <si>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</si>
  <si>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</si>
  <si>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</si>
  <si>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</si>
  <si>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</si>
  <si>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</si>
  <si>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</si>
  <si>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</si>
  <si>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</si>
  <si>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</si>
  <si>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</si>
  <si>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</si>
  <si>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</si>
  <si>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</si>
  <si>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</si>
  <si>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</si>
  <si>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</si>
  <si>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</si>
  <si>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</si>
  <si>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</si>
  <si>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</si>
  <si>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</si>
  <si>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</si>
  <si>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</si>
  <si>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</si>
  <si>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</si>
  <si>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</si>
  <si>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</si>
  <si>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</si>
  <si>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</si>
  <si>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</si>
  <si>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</si>
  <si>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</si>
  <si>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</si>
  <si>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</si>
  <si>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</si>
  <si>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</si>
  <si>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</si>
  <si>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</si>
  <si>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</si>
  <si>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</si>
  <si>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</si>
  <si>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</si>
  <si>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</si>
  <si>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</si>
  <si>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</si>
  <si>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</si>
  <si>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</si>
  <si>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</si>
  <si>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</si>
  <si>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</si>
  <si>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</si>
  <si>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</si>
  <si>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</si>
  <si>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</si>
  <si>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</si>
  <si>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</si>
  <si>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</si>
  <si>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</si>
  <si>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</si>
  <si>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</si>
  <si>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</si>
  <si>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</si>
  <si>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</si>
  <si>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</si>
  <si>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</si>
  <si>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</si>
  <si>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</si>
  <si>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</si>
  <si>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</si>
  <si>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</si>
  <si>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</si>
  <si>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</si>
  <si>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</si>
  <si>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</si>
  <si>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</si>
  <si>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</si>
  <si>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</si>
  <si>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</si>
  <si>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</si>
  <si>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</si>
  <si>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</si>
  <si>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</si>
  <si>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</si>
  <si>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</si>
  <si>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</si>
  <si>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</si>
  <si>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</si>
  <si>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</si>
  <si>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</si>
  <si>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</si>
  <si>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</si>
  <si>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</si>
  <si>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</si>
  <si>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</si>
  <si>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</si>
  <si>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</si>
  <si>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</si>
  <si>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</si>
  <si>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</si>
  <si>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</si>
  <si>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</si>
  <si>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</si>
  <si>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</si>
  <si>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</si>
  <si>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</si>
  <si>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</si>
  <si>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</si>
  <si>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</si>
  <si>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</si>
  <si>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</si>
  <si>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</si>
  <si>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</si>
  <si>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</si>
  <si>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</si>
  <si>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</si>
  <si>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</si>
  <si>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</si>
  <si>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</si>
  <si>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</si>
  <si>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</si>
  <si>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</si>
  <si>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</si>
  <si>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</si>
  <si>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</si>
  <si>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</si>
  <si>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</si>
  <si>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</si>
  <si>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</si>
  <si>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</si>
  <si>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</si>
  <si>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</si>
  <si>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</si>
  <si>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</si>
  <si>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</si>
  <si>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</si>
  <si>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</si>
  <si>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</si>
  <si>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</si>
  <si>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</si>
  <si>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</si>
  <si>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</si>
  <si>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</si>
  <si>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</si>
  <si>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</si>
  <si>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</si>
  <si>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</si>
  <si>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</si>
  <si>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</si>
  <si>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</si>
  <si>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</si>
  <si>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</si>
  <si>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</si>
  <si>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</si>
  <si>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</si>
  <si>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</si>
  <si>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</si>
  <si>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</si>
  <si>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</si>
  <si>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</si>
  <si>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</si>
  <si>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</si>
  <si>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</si>
  <si>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</si>
  <si>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</si>
  <si>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</si>
  <si>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</si>
  <si>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</si>
  <si>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</si>
  <si>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</si>
  <si>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</si>
  <si>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</si>
  <si>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</si>
  <si>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</si>
  <si>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</si>
  <si>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</si>
  <si>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</si>
  <si>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</si>
  <si>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</si>
  <si>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</si>
  <si>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</si>
  <si>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</si>
  <si>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</si>
  <si>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</si>
  <si>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</si>
  <si>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</si>
  <si>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</si>
  <si>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</si>
  <si>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</si>
  <si>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</si>
  <si>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</si>
  <si>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</si>
  <si>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</si>
  <si>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</si>
  <si>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</si>
  <si>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</si>
  <si>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</si>
  <si>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</si>
  <si>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</si>
  <si>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</si>
  <si>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</si>
  <si>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</si>
  <si>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</si>
  <si>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</si>
  <si>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</si>
  <si>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</si>
  <si>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</si>
  <si>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</si>
  <si>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</si>
  <si>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</si>
  <si>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</si>
  <si>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</si>
  <si>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</si>
  <si>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</si>
  <si>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</si>
  <si>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</si>
  <si>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</si>
  <si>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</si>
  <si>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</si>
  <si>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</si>
  <si>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</si>
  <si>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</si>
  <si>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</si>
  <si>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</si>
  <si>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</si>
  <si>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</si>
  <si>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</si>
  <si>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</si>
  <si>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</si>
  <si>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</si>
  <si>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</si>
  <si>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</si>
  <si>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</si>
  <si>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</si>
  <si>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</si>
  <si>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</si>
  <si>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</si>
  <si>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</si>
  <si>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</si>
  <si>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</si>
  <si>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</si>
  <si>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</si>
  <si>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</si>
  <si>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</si>
  <si>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</si>
  <si>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</si>
  <si>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Supplementary Data 1-Activity Period</t>
  </si>
  <si>
    <t>https://www.nature.com/articles/s41559-019-0969-0#Sec13</t>
  </si>
  <si>
    <t>Activity Period</t>
  </si>
  <si>
    <t>ecology (activity period)</t>
  </si>
  <si>
    <t>Supplementary Data 1-Brain Region</t>
  </si>
  <si>
    <t>brain Regions Volumes</t>
  </si>
  <si>
    <t>secondary incl some previously unpublished data</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</si>
  <si>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</si>
  <si>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</si>
  <si>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</si>
  <si>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</si>
  <si>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</si>
  <si>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</si>
  <si>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</si>
  <si>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</si>
  <si>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</si>
  <si>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</si>
  <si>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</si>
  <si>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</si>
  <si>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</si>
  <si>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</si>
  <si>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</si>
  <si>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</si>
  <si>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</si>
  <si>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</si>
  <si>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</si>
  <si>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</si>
  <si>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</si>
  <si>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</si>
  <si>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</si>
  <si>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</si>
  <si>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</si>
  <si>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</si>
  <si>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</si>
  <si>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</si>
  <si>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</si>
  <si>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</si>
  <si>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</si>
  <si>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</si>
  <si>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</si>
  <si>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</si>
  <si>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</si>
  <si>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</si>
  <si>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</si>
  <si>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</si>
  <si>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</si>
  <si>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</si>
  <si>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</si>
  <si>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</si>
  <si>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</si>
  <si>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</si>
  <si>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</si>
  <si>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</si>
  <si>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</si>
  <si>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</si>
  <si>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</si>
  <si>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</si>
  <si>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</si>
  <si>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</si>
  <si>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</si>
  <si>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</si>
  <si>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</si>
  <si>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</si>
  <si>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</si>
  <si>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</si>
  <si>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</si>
  <si>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</si>
  <si>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</si>
  <si>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</si>
  <si>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</si>
  <si>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</si>
  <si>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</si>
  <si>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</si>
  <si>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</si>
  <si>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</si>
  <si>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</si>
  <si>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</si>
  <si>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</si>
  <si>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</si>
  <si>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</si>
  <si>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</si>
  <si>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</si>
  <si>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</si>
  <si>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</si>
  <si>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</si>
  <si>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</si>
  <si>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</si>
  <si>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</si>
  <si>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</si>
  <si>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</si>
  <si>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</si>
  <si>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</si>
  <si>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</si>
  <si>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</si>
  <si>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</si>
  <si>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</si>
  <si>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</si>
  <si>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</si>
  <si>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</si>
  <si>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</si>
  <si>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</si>
  <si>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</si>
  <si>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</si>
  <si>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</si>
  <si>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</si>
  <si>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</si>
  <si>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</si>
  <si>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</si>
  <si>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</si>
  <si>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</si>
  <si>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</si>
  <si>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</si>
  <si>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</si>
  <si>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</si>
  <si>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</si>
  <si>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</si>
  <si>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</si>
  <si>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</si>
  <si>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</si>
  <si>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</si>
  <si>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</si>
  <si>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</si>
  <si>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</si>
  <si>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</si>
  <si>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</si>
  <si>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</si>
  <si>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</si>
  <si>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</si>
  <si>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</si>
  <si>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</si>
  <si>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</si>
  <si>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</si>
  <si>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</si>
  <si>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</si>
  <si>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</si>
  <si>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</si>
  <si>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</si>
  <si>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</si>
  <si>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</si>
  <si>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</si>
  <si>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</si>
  <si>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</si>
  <si>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</si>
  <si>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</si>
  <si>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</si>
  <si>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</si>
  <si>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</si>
  <si>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</si>
  <si>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</si>
  <si>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</si>
  <si>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</si>
  <si>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</si>
  <si>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</si>
  <si>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</si>
  <si>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</si>
  <si>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</si>
  <si>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</si>
  <si>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</si>
  <si>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</si>
  <si>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</si>
  <si>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</si>
  <si>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</si>
  <si>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</si>
  <si>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</si>
  <si>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</si>
  <si>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</si>
  <si>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Humans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</si>
  <si>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</si>
  <si>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</si>
  <si>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</si>
  <si>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</si>
  <si>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</si>
  <si>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</si>
  <si>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</si>
  <si>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</si>
  <si>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</si>
  <si>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</si>
  <si>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</si>
  <si>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</si>
  <si>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</si>
  <si>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</si>
  <si>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</si>
  <si>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</si>
  <si>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</si>
  <si>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</si>
  <si>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</si>
  <si>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</si>
  <si>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</si>
  <si>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</si>
  <si>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</si>
  <si>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</si>
  <si>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</si>
  <si>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</si>
  <si>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</si>
  <si>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</si>
  <si>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</si>
  <si>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</si>
  <si>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</si>
  <si>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</si>
  <si>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</si>
  <si>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</si>
  <si>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</si>
  <si>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</si>
  <si>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</si>
  <si>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</si>
  <si>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</si>
  <si>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</si>
  <si>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</si>
  <si>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</si>
  <si>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</si>
  <si>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</si>
  <si>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</si>
  <si>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</si>
  <si>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</si>
  <si>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</si>
  <si>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</si>
  <si>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</si>
  <si>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</si>
  <si>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</si>
  <si>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</si>
  <si>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</si>
  <si>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</si>
  <si>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</si>
  <si>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</si>
  <si>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</si>
  <si>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</si>
  <si>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</si>
  <si>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</si>
  <si>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</si>
  <si>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</si>
  <si>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</si>
  <si>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</si>
  <si>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</si>
  <si>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</si>
  <si>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</si>
  <si>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</si>
  <si>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</si>
  <si>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</si>
  <si>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</si>
  <si>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</si>
  <si>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</si>
  <si>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</si>
  <si>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</si>
  <si>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</si>
  <si>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</si>
  <si>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</si>
  <si>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</si>
  <si>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</si>
  <si>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</si>
  <si>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</si>
  <si>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</si>
  <si>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</si>
  <si>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</si>
  <si>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</si>
  <si>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</si>
  <si>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</si>
  <si>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</si>
  <si>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</si>
  <si>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</si>
  <si>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</si>
  <si>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</si>
  <si>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</si>
  <si>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</si>
  <si>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</si>
  <si>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</si>
  <si>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</si>
  <si>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</si>
  <si>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</si>
  <si>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</si>
  <si>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</si>
  <si>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</si>
  <si>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</si>
  <si>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</si>
  <si>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</si>
  <si>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</si>
  <si>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</si>
  <si>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</si>
  <si>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</si>
  <si>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</si>
  <si>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</si>
  <si>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</si>
  <si>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</si>
  <si>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</si>
  <si>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</si>
  <si>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</si>
  <si>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</si>
  <si>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</si>
  <si>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</si>
  <si>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</si>
  <si>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</si>
  <si>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</si>
  <si>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</si>
  <si>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</si>
  <si>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</si>
  <si>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</si>
  <si>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</si>
  <si>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</si>
  <si>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</si>
  <si>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</si>
  <si>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</si>
  <si>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</si>
  <si>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</si>
  <si>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</si>
  <si>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</si>
  <si>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</si>
  <si>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</si>
  <si>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</si>
  <si>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</si>
  <si>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</si>
  <si>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</si>
  <si>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</si>
  <si>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</si>
  <si>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</si>
  <si>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</si>
  <si>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</si>
  <si>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</si>
  <si>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</si>
  <si>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</si>
  <si>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</si>
  <si>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</si>
  <si>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</si>
  <si>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</si>
  <si>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</si>
  <si>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</si>
  <si>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</si>
  <si>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</si>
  <si>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</si>
  <si>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</si>
  <si>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</si>
  <si>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</si>
  <si>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</si>
  <si>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</si>
  <si>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</si>
  <si>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</si>
  <si>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</si>
  <si>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</si>
  <si>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</si>
  <si>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</si>
  <si>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</si>
  <si>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</si>
  <si>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</si>
  <si>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</si>
  <si>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</si>
  <si>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</si>
  <si>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</si>
  <si>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</si>
  <si>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</si>
  <si>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</si>
  <si>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</si>
  <si>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</si>
  <si>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</si>
  <si>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</si>
  <si>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</si>
  <si>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</si>
  <si>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</si>
  <si>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</si>
  <si>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</si>
  <si>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</si>
  <si>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</si>
  <si>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</si>
  <si>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</si>
  <si>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</si>
  <si>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</si>
  <si>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</si>
  <si>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</si>
  <si>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</si>
  <si>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</si>
  <si>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</si>
  <si>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</si>
  <si>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</si>
  <si>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</si>
  <si>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</si>
  <si>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</si>
  <si>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</si>
  <si>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</si>
  <si>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</si>
  <si>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</si>
  <si>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</si>
  <si>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</si>
  <si>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</si>
  <si>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</si>
  <si>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</si>
  <si>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</si>
  <si>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</si>
  <si>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</si>
  <si>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</si>
  <si>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</si>
  <si>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</si>
  <si>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</si>
  <si>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</si>
  <si>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</si>
  <si>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</si>
  <si>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</si>
  <si>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</si>
  <si>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</si>
  <si>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</si>
  <si>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</si>
  <si>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</si>
  <si>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</si>
  <si>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</si>
  <si>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</si>
  <si>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</si>
  <si>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</si>
  <si>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</si>
  <si>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</si>
  <si>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</si>
  <si>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</si>
  <si>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</si>
  <si>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</si>
  <si>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</si>
  <si>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</si>
  <si>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</si>
  <si>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</si>
  <si>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</si>
  <si>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</si>
  <si>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</si>
  <si>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</si>
  <si>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</si>
  <si>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</si>
  <si>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</si>
  <si>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</si>
  <si>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</si>
  <si>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</si>
  <si>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</si>
  <si>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</si>
  <si>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</si>
  <si>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</si>
  <si>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</si>
  <si>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</si>
  <si>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</si>
  <si>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</si>
  <si>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</si>
  <si>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</si>
  <si>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</si>
  <si>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</si>
  <si>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</si>
  <si>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</si>
  <si>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</si>
  <si>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</si>
  <si>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</si>
  <si>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</si>
  <si>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</si>
  <si>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</si>
  <si>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</si>
  <si>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</si>
  <si>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</si>
  <si>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</si>
  <si>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</si>
  <si>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</si>
  <si>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</si>
  <si>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</si>
  <si>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</si>
  <si>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</si>
  <si>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</si>
  <si>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</si>
  <si>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</si>
  <si>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</si>
  <si>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</si>
  <si>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</si>
  <si>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</si>
  <si>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</si>
  <si>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</si>
  <si>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</si>
  <si>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</si>
  <si>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</si>
  <si>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</si>
  <si>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</si>
  <si>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</si>
  <si>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</si>
  <si>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</si>
  <si>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</si>
  <si>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</si>
  <si>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</si>
  <si>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</si>
  <si>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</si>
  <si>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</si>
  <si>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</si>
  <si>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</si>
  <si>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</si>
  <si>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</si>
  <si>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</si>
  <si>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</si>
  <si>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</si>
  <si>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</si>
  <si>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</si>
  <si>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</si>
  <si>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</si>
  <si>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</si>
  <si>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</si>
  <si>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</si>
  <si>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</si>
  <si>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</si>
  <si>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</si>
  <si>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</si>
  <si>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</si>
  <si>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</si>
  <si>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</si>
  <si>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</si>
  <si>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</si>
  <si>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</si>
  <si>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</si>
  <si>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</si>
  <si>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</si>
  <si>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</si>
  <si>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</si>
  <si>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</si>
  <si>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</si>
  <si>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</si>
  <si>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</si>
  <si>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</si>
  <si>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</si>
  <si>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</si>
  <si>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</si>
  <si>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</si>
  <si>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</si>
  <si>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</si>
  <si>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</si>
  <si>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</si>
  <si>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</si>
  <si>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</si>
  <si>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</si>
  <si>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</si>
  <si>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</si>
  <si>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</si>
  <si>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</si>
  <si>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</si>
  <si>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</si>
  <si>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</si>
  <si>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</si>
  <si>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</si>
  <si>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</si>
  <si>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</si>
  <si>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</si>
  <si>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</si>
  <si>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</si>
  <si>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</si>
  <si>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</si>
  <si>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</si>
  <si>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</si>
  <si>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</si>
  <si>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</si>
  <si>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</si>
  <si>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</si>
  <si>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</si>
  <si>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</si>
  <si>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</si>
  <si>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</si>
  <si>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</si>
  <si>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</si>
  <si>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</si>
  <si>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</si>
  <si>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</si>
  <si>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</si>
  <si>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</si>
  <si>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</si>
  <si>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</si>
  <si>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</si>
  <si>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</si>
  <si>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</si>
  <si>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</si>
  <si>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</si>
  <si>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</si>
  <si>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</si>
  <si>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</si>
  <si>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</si>
  <si>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</si>
  <si>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</si>
  <si>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</si>
  <si>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</si>
  <si>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</si>
  <si>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</si>
  <si>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</si>
  <si>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</si>
  <si>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</si>
  <si>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</si>
  <si>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</si>
  <si>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</si>
  <si>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</si>
  <si>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</si>
  <si>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</si>
  <si>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</si>
  <si>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</si>
  <si>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</si>
  <si>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</si>
  <si>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</si>
  <si>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</si>
  <si>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</si>
  <si>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</si>
  <si>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</si>
  <si>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</si>
  <si>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</si>
  <si>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</si>
  <si>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</si>
  <si>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</si>
  <si>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</si>
  <si>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</si>
  <si>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</si>
  <si>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</si>
  <si>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</si>
  <si>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</si>
  <si>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</si>
  <si>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</si>
  <si>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</si>
  <si>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</si>
  <si>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</si>
  <si>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</si>
  <si>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</si>
  <si>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</si>
  <si>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</si>
  <si>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</si>
  <si>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</si>
  <si>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</si>
  <si>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</si>
  <si>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</si>
  <si>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</si>
  <si>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</si>
  <si>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</si>
  <si>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</si>
  <si>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</si>
  <si>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</si>
  <si>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</si>
  <si>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</si>
  <si>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</si>
  <si>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</si>
  <si>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</si>
  <si>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</si>
  <si>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</si>
  <si>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</si>
  <si>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</si>
  <si>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</si>
  <si>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</si>
  <si>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</si>
  <si>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</si>
  <si>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</si>
  <si>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</si>
  <si>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</si>
  <si>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</si>
  <si>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</si>
  <si>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</si>
  <si>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</si>
  <si>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</si>
  <si>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</si>
  <si>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</si>
  <si>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</si>
  <si>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</si>
  <si>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</si>
  <si>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</si>
  <si>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</si>
  <si>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</si>
  <si>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</si>
  <si>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</si>
  <si>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</si>
  <si>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</si>
  <si>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</si>
  <si>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</si>
  <si>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</si>
  <si>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</si>
  <si>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</si>
  <si>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</si>
  <si>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</si>
  <si>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</si>
  <si>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</si>
  <si>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</si>
  <si>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</si>
  <si>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</si>
  <si>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</si>
  <si>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</si>
  <si>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</si>
  <si>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</si>
  <si>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</si>
  <si>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</si>
  <si>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</si>
  <si>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</si>
  <si>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</si>
  <si>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</si>
  <si>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</si>
  <si>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</si>
  <si>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</si>
  <si>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</si>
  <si>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</si>
  <si>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</si>
  <si>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</si>
  <si>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</si>
  <si>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</si>
  <si>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</si>
  <si>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</si>
  <si>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</si>
  <si>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</si>
  <si>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</si>
  <si>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</si>
  <si>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</si>
  <si>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</si>
  <si>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</si>
  <si>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</si>
  <si>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</si>
  <si>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</si>
  <si>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</si>
  <si>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</si>
  <si>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</si>
  <si>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</si>
  <si>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</si>
  <si>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</si>
  <si>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</si>
  <si>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</si>
  <si>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</si>
  <si>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</si>
  <si>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</si>
  <si>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</si>
  <si>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</si>
  <si>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</si>
  <si>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</si>
  <si>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</si>
  <si>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</si>
  <si>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</si>
  <si>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</si>
  <si>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</si>
  <si>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</si>
  <si>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</si>
  <si>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</si>
  <si>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</si>
  <si>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</si>
  <si>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</si>
  <si>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</si>
  <si>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</si>
  <si>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</si>
  <si>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</si>
  <si>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</si>
  <si>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</si>
  <si>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</si>
  <si>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</si>
  <si>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</si>
  <si>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</si>
  <si>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</si>
  <si>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</si>
  <si>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</si>
  <si>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</si>
  <si>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</si>
  <si>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</si>
  <si>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</si>
  <si>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</si>
  <si>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</si>
  <si>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</si>
  <si>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</si>
  <si>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</si>
  <si>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</si>
  <si>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</si>
  <si>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</si>
  <si>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</si>
  <si>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</si>
  <si>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</si>
  <si>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</si>
  <si>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</si>
  <si>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</si>
  <si>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</si>
  <si>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</si>
  <si>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</si>
  <si>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</si>
  <si>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</si>
  <si>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</si>
  <si>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</si>
  <si>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</si>
  <si>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</si>
  <si>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</si>
  <si>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</si>
  <si>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</si>
  <si>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</si>
  <si>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</si>
  <si>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</si>
  <si>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</si>
  <si>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</si>
  <si>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</si>
  <si>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</si>
  <si>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</si>
  <si>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</si>
  <si>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</si>
  <si>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</si>
  <si>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</si>
  <si>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</si>
  <si>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</si>
  <si>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</si>
  <si>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</si>
  <si>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</si>
  <si>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</si>
  <si>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</si>
  <si>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</si>
  <si>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</si>
  <si>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</si>
  <si>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</si>
  <si>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</si>
  <si>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</si>
  <si>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</si>
  <si>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</si>
  <si>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</si>
  <si>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</si>
  <si>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</si>
  <si>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</si>
  <si>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</si>
  <si>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</si>
  <si>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</si>
  <si>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</si>
  <si>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</si>
  <si>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</si>
  <si>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</si>
  <si>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</si>
  <si>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</si>
  <si>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</si>
  <si>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</si>
  <si>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</si>
  <si>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</si>
  <si>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</si>
  <si>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</si>
  <si>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</si>
  <si>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</si>
  <si>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</si>
  <si>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</si>
  <si>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</si>
  <si>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</si>
  <si>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</si>
  <si>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</si>
  <si>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</si>
  <si>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</si>
  <si>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</si>
  <si>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</si>
  <si>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</si>
  <si>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</si>
  <si>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</si>
  <si>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</si>
  <si>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</si>
  <si>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</si>
  <si>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</si>
  <si>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</si>
  <si>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</si>
  <si>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</si>
  <si>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</si>
  <si>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</si>
  <si>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</si>
  <si>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</si>
  <si>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</si>
  <si>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</si>
  <si>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</si>
  <si>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</si>
  <si>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</si>
  <si>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</si>
  <si>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</si>
  <si>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</si>
  <si>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</si>
  <si>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</si>
  <si>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</si>
  <si>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</si>
  <si>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</si>
  <si>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</si>
  <si>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</si>
  <si>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</si>
  <si>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</si>
  <si>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</si>
  <si>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</si>
  <si>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</si>
  <si>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</si>
  <si>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</si>
  <si>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</si>
  <si>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</si>
  <si>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</si>
  <si>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</si>
  <si>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</si>
  <si>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</si>
  <si>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</si>
  <si>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</si>
  <si>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</si>
  <si>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</si>
  <si>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</si>
  <si>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</si>
  <si>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</si>
  <si>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</si>
  <si>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</si>
  <si>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</si>
  <si>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</si>
  <si>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</si>
  <si>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</si>
  <si>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</si>
  <si>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</si>
  <si>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</si>
  <si>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</si>
  <si>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</si>
  <si>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</si>
  <si>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</si>
  <si>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</si>
  <si>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</si>
  <si>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</si>
  <si>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</si>
  <si>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</si>
  <si>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</si>
  <si>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</si>
  <si>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</si>
  <si>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</si>
  <si>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</si>
  <si>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</si>
  <si>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</si>
  <si>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</si>
  <si>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</si>
  <si>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</si>
  <si>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</si>
  <si>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</si>
  <si>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</si>
  <si>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</si>
  <si>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</si>
  <si>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</si>
  <si>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</si>
  <si>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</si>
  <si>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</si>
  <si>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</si>
  <si>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TABLE 1. Hemisphere and brain area weights</t>
  </si>
  <si>
    <t>TABLE 2. Cytoarchitecture analysis of sampled regions from the anterior frontoinsular region in raccoons</t>
  </si>
  <si>
    <t>TABLE 3. Cytoarchitecture analysis of the hilus of the dentate gyrus region in raccoons</t>
  </si>
  <si>
    <t>FIGURE 4</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</si>
  <si>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</si>
  <si>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</si>
  <si>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</si>
  <si>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</si>
  <si>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</si>
  <si>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</si>
  <si>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</si>
  <si>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cell count &amp; density</t>
  </si>
  <si>
    <t>Schumann</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</si>
  <si>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</si>
  <si>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</si>
  <si>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</si>
  <si>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</si>
  <si>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striatal neuron/glia density</t>
  </si>
  <si>
    <t>stereology (optical disector)</t>
  </si>
  <si>
    <t>Semendeferi</t>
  </si>
  <si>
    <t>Oligodendrocyte density + % of glia (dorsal/medial caudate)</t>
  </si>
  <si>
    <t>Hanson_etal_2018_Table3_snapshot.csv</t>
  </si>
  <si>
    <t>oligodendrocyte density</t>
  </si>
  <si>
    <t>Karlsen, A. S., &amp; Pakkenberg, B. (2011). Total numbers of neurons and glial cells in cortex and basal ganglia of aged brains with Down syndrome. Cerebral Cortex, 21(11), 2519-2524. https://doi.org/10.1093/cercor/bhr033</t>
  </si>
  <si>
    <t>Neocortical volumes/surface/thickness (Control vs DS)</t>
  </si>
  <si>
    <t>table (published)</t>
  </si>
  <si>
    <t>Karlsen_Pakkenberg_2011_Table2_snapshot.csv</t>
  </si>
  <si>
    <t>neocortical volume/surface/thickness</t>
  </si>
  <si>
    <t>stereology (Cavalieri)</t>
  </si>
  <si>
    <t>Pakkenberg</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</si>
  <si>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</si>
  <si>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</si>
  <si>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</si>
  <si>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</si>
  <si>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</si>
  <si>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reported values</t>
  </si>
  <si>
    <t>Published Results-text values incl. BASAL GANGLIA cell numbers/densities</t>
  </si>
  <si>
    <t>table (published text)</t>
  </si>
  <si>
    <t>Karlsen_Pakkenberg_2011_reported_values_snapshot.csv</t>
  </si>
  <si>
    <t>basal-ganglia &amp; cortical cell numbers/densities</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</si>
  <si>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</si>
  <si>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</si>
  <si>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</si>
  <si>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</si>
  <si>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</si>
  <si>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</si>
  <si>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MRI volumetry (FreeSurfer)</t>
  </si>
  <si>
    <t>Fjell/Walhovd</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</si>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</sst>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font>
    <font>
      <sz val="11"/>
      <color rgb="FF3F3F76"/>
      <name val="Calibri"/>
      <scheme val="minor"/>
    </font>
    <font>
      <b/>
      <sz val="11"/>
      <color rgb="FF3F3F3F"/>
      <name val="Calibri"/>
      <scheme val="minor"/>
    </font>
    <font>
      <b/>
      <sz val="11"/>
      <color rgb="FF3F3F3F"/>
      <name val="Calibri"/>
      <family val="2"/>
      <scheme val="minor"/>
    </font>
    <font>
      <sz val="11"/>
      <color rgb="FF3F3F76"/>
      <name val="Calibri"/>
      <family val="2"/>
      <scheme val="minor"/>
    </font>
    <font>
      <b/>
      <sz val="12"/>
      <color rgb="FF3F3F3F"/>
      <name val="Calibri"/>
      <family val="2"/>
    </font>
    <font>
      <sz val="12"/>
      <color rgb="FF3F3F76"/>
      <name val="Calibri"/>
      <family val="2"/>
      <scheme val="minor"/>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6">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applyProtection="1">
      <protection locked="0"/>
    </xf>
    <xf numFmtId="0" fontId="2" fillId="3" borderId="2" xfId="0" applyFont="1" applyFill="1" applyBorder="1"/>
    <xf numFmtId="0" fontId="3" fillId="3" borderId="2" xfId="0" applyFont="1" applyFill="1" applyBorder="1" applyProtection="1">
      <protection locked="0"/>
    </xf>
    <xf numFmtId="0" fontId="4" fillId="2" borderId="1" xfId="0" applyFont="1" applyFill="1" applyBorder="1" applyProtection="1">
      <protection locked="0"/>
    </xf>
    <xf numFmtId="0" fontId="5" fillId="3" borderId="2" xfId="0" applyFont="1" applyFill="1" applyBorder="1" applyProtection="1">
      <protection locked="0"/>
    </xf>
    <xf numFmtId="0" fontId="6" fillId="2" borderId="1" xfId="0" applyFont="1" applyFill="1" applyBorder="1"/>
    <xf numFmtId="0" fontId="7" fillId="0" borderId="2" xfId="0" applyFont="1" applyBorder="1"/>
    <xf numFmtId="0" fontId="6" fillId="2" borderId="1" xfId="0" applyFont="1" applyFill="1" applyBorder="1" applyProtection="1">
      <protection locked="0"/>
    </xf>
    <xf numFmtId="0" fontId="6" fillId="2" borderId="1" xfId="0" applyFont="1" applyFill="1" applyBorder="1" applyAlignment="1" applyProtection="1">
      <alignment vertical="top"/>
      <protection locked="0"/>
    </xf>
    <xf numFmtId="0" fontId="6" fillId="2" borderId="1" xfId="0" applyFont="1" applyFill="1" applyBorder="1" applyAlignment="1">
      <alignment vertical="top"/>
    </xf>
    <xf numFmtId="0" fontId="5" fillId="3"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416"/>
  <sheetViews>
    <sheetView tabSelected="1" zoomScaleNormal="100" workbookViewId="0">
      <pane ySplit="1" topLeftCell="A65" activePane="bottomLeft" state="frozen"/>
      <selection pane="bottomLeft" activeCell="P89" sqref="P89"/>
    </sheetView>
  </sheetViews>
  <sheetFormatPr defaultColWidth="11.42578125" defaultRowHeight="15"/>
  <cols>
    <col min="1" max="1" width="49.140625" customWidth="1"/>
    <col min="2" max="2" width="11.7109375" customWidth="1"/>
    <col min="3" max="3" width="43.7109375" customWidth="1"/>
    <col min="4" max="4" width="30.140625" customWidth="1"/>
    <col min="5" max="5" width="19" customWidth="1"/>
    <col min="6" max="10" width="5.85546875" customWidth="1"/>
    <col min="11" max="11" width="6.42578125" customWidth="1"/>
    <col min="12" max="12" width="34.28515625" customWidth="1"/>
    <col min="13" max="13" width="31.28515625" customWidth="1"/>
    <col min="14" max="33" width="5.85546875" customWidth="1"/>
  </cols>
  <sheetData>
    <row r="1" spans="1:33" ht="17.100000000000001" customHeight="1">
      <c r="A1" s="1" t="s">
        <v>0</v>
      </c>
      <c r="B1" s="1" t="s">
        <v>1</v>
      </c>
      <c r="C1" s="1" t="s">
        <v>2</v>
      </c>
      <c r="D1" s="1" t="s">
        <v>3</v>
      </c>
      <c r="E1" s="5" t="s">
        <v>4</v>
      </c>
      <c r="F1" s="5" t="s">
        <v>5</v>
      </c>
      <c r="G1" s="5" t="s">
        <v>6</v>
      </c>
      <c r="H1" s="5" t="s">
        <v>7</v>
      </c>
      <c r="I1" s="5" t="s">
        <v>8</v>
      </c>
      <c r="J1" s="5" t="s">
        <v>9</v>
      </c>
      <c r="K1" s="5" t="s">
        <v>10</v>
      </c>
      <c r="L1" s="5"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spans="1:33" ht="17.100000000000001"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_xlfn.TEXTBEFORE(_xlfn.TEXTAFTER(A2, "("), ")")</f>
        <v>2019</v>
      </c>
      <c r="H2" s="5" t="str">
        <f t="shared" ref="H2:H65" si="1">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2">TRIM(_xlfn.TEXTJOIN("_",FALSE(),H2,(SUBSTITUTE(SUBSTITUTE(D2," ",""), "_", ""))))</f>
        <v>Andelin_etal_2019_Table4</v>
      </c>
      <c r="K2" s="5" t="str">
        <f t="shared" ref="K2:K65" si="3">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100000000000001" customHeight="1">
      <c r="A3" s="2" t="s">
        <v>37</v>
      </c>
      <c r="D3" s="2" t="s">
        <v>38</v>
      </c>
      <c r="E3" s="6"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5" t="str">
        <f t="shared" ref="G3:G41" si="4">_xlfn.TEXTBEFORE(_xlfn.TEXTAFTER(A3, "("), ")")</f>
        <v>1979</v>
      </c>
      <c r="H3" s="6" t="str">
        <f t="shared" si="1"/>
        <v>Armstrong__1979</v>
      </c>
      <c r="I3" s="6" t="str">
        <f>_xlfn.LET(_xlpm.doi,IF(C3&lt;&gt;"",C3,_xlfn.TEXTAFTER(A3,"https://doi.org/")),SUBSTITUTE(SUBSTITUTE(SUBSTITUTE(SUBSTITUTE(_xlpm.doi,"/","%2F"),":","%3A"),"&lt;","%3C"),"&gt;","%3E"))</f>
        <v>10.1002%2Fajpa.1330510308</v>
      </c>
      <c r="J3" s="6" t="str">
        <f t="shared" si="2"/>
        <v>Armstrong__1979_Tables1-9</v>
      </c>
      <c r="K3" s="5" t="str">
        <f t="shared" si="3"/>
        <v>10.1002%2Fajpa.1330510308_Tables1-9</v>
      </c>
      <c r="L3" s="5"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spans="1:33" ht="17.100000000000001"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5" t="str">
        <f t="shared" si="4"/>
        <v>2020</v>
      </c>
      <c r="H4" s="5" t="str">
        <f t="shared" si="1"/>
        <v>Ashwell__2020</v>
      </c>
      <c r="I4" s="5" t="str">
        <f t="shared" ref="I4:I35" si="5">_xlfn.LET(
_xlpm.doi,IF(C4&lt;&gt;"",C4,_xlfn.TEXTAFTER(A4,"https://doi.org/")),
SUBSTITUTE(
SUBSTITUTE(
SUBSTITUTE(
SUBSTITUTE(
_xlpm.doi,
"/","%2F"),
":","%3A"),
"&lt;","%3C"),
"&gt;","%3E")
)</f>
        <v>10.1016%2Fj.zool.2020.125753</v>
      </c>
      <c r="J4" s="5" t="str">
        <f t="shared" si="2"/>
        <v>Ashwell__2020_SupplementaryTable</v>
      </c>
      <c r="K4" s="5" t="str">
        <f t="shared" si="3"/>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spans="1:33" ht="17.100000000000001"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4"/>
        <v>2025</v>
      </c>
      <c r="H5" s="5" t="str">
        <f t="shared" si="1"/>
        <v>AvelinodeSouza_etal_2025</v>
      </c>
      <c r="I5" s="5" t="str">
        <f t="shared" si="5"/>
        <v>10.1002%2Fcne.70089</v>
      </c>
      <c r="J5" s="5" t="str">
        <f t="shared" si="2"/>
        <v>AvelinodeSouza_etal_2025_TABLE1</v>
      </c>
      <c r="K5" s="5" t="str">
        <f t="shared" si="3"/>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spans="1:33" ht="17.100000000000001"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4"/>
        <v>2025</v>
      </c>
      <c r="H6" s="5" t="str">
        <f t="shared" si="1"/>
        <v>Baker_etal_2025</v>
      </c>
      <c r="I6" s="5" t="str">
        <f t="shared" si="5"/>
        <v>10.1038%2Fs42003-025-08686-5</v>
      </c>
      <c r="J6" s="5" t="str">
        <f t="shared" si="2"/>
        <v>Baker_etal_2025_SupplementaryData1</v>
      </c>
      <c r="K6" s="5" t="str">
        <f t="shared" si="3"/>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100000000000001" customHeight="1">
      <c r="A7" s="2"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4"/>
        <v>2012</v>
      </c>
      <c r="H7" s="5" t="str">
        <f t="shared" si="1"/>
        <v>Balzeau_etal_2012</v>
      </c>
      <c r="I7" s="5" t="str">
        <f t="shared" si="5"/>
        <v>10.1016%2Fj.jhevol.2012.03.007</v>
      </c>
      <c r="J7" s="5" t="str">
        <f t="shared" si="2"/>
        <v>Balzeau_etal_2012_Table2</v>
      </c>
      <c r="K7" s="5" t="str">
        <f t="shared" si="3"/>
        <v>10.1016%2Fj.jhevol.2012.03.007_Table2</v>
      </c>
      <c r="L7" s="5" t="str">
        <f t="array" ref="L7">IFERROR(INDEX(AUTO_Public_TSV_FileList!$A$1:$A$1000,MATCH(TRUE(),EXACT(K7,IFERROR(_xlfn.TEXTBEFORE(AUTO_Public_TSV_FileList!$A$1:$A$1000,".tsv"),"")),0)),"notfound")</f>
        <v>10.1016%2Fj.jhevol.2012.03.007_Table2.tsv</v>
      </c>
      <c r="M7" s="1" t="s">
        <v>71</v>
      </c>
      <c r="P7" s="1" t="s">
        <v>36</v>
      </c>
    </row>
    <row r="8" spans="1:33" ht="17.100000000000001" customHeight="1">
      <c r="A8" s="2"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4"/>
        <v>2012</v>
      </c>
      <c r="H8" s="5" t="str">
        <f t="shared" si="1"/>
        <v>Balzeau_etal_2012</v>
      </c>
      <c r="I8" s="5" t="str">
        <f t="shared" si="5"/>
        <v>10.1016%2Fj.jhevol.2012.03.007</v>
      </c>
      <c r="J8" s="5" t="str">
        <f t="shared" si="2"/>
        <v>Balzeau_etal_2012_Table3</v>
      </c>
      <c r="K8" s="5" t="str">
        <f t="shared" si="3"/>
        <v>10.1016%2Fj.jhevol.2012.03.007_Table3</v>
      </c>
      <c r="L8" s="5" t="str">
        <f t="array" ref="L8">IFERROR(INDEX(AUTO_Public_TSV_FileList!$A$1:$A$1000,MATCH(TRUE(),EXACT(K8,IFERROR(_xlfn.TEXTBEFORE(AUTO_Public_TSV_FileList!$A$1:$A$1000,".tsv"),"")),0)),"notfound")</f>
        <v>10.1016%2Fj.jhevol.2012.03.007_Table3.tsv</v>
      </c>
      <c r="M8" s="1" t="s">
        <v>73</v>
      </c>
      <c r="P8" s="1" t="s">
        <v>36</v>
      </c>
    </row>
    <row r="9" spans="1:33" ht="17.100000000000001" customHeight="1">
      <c r="A9" s="2"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4"/>
        <v>2012</v>
      </c>
      <c r="H9" s="5" t="str">
        <f t="shared" si="1"/>
        <v>Balzeau_etal_2012</v>
      </c>
      <c r="I9" s="5" t="str">
        <f t="shared" si="5"/>
        <v>10.1016%2Fj.jhevol.2012.03.007</v>
      </c>
      <c r="J9" s="5" t="str">
        <f t="shared" si="2"/>
        <v>Balzeau_etal_2012_Table5</v>
      </c>
      <c r="K9" s="5" t="str">
        <f t="shared" si="3"/>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spans="1:33" ht="17.100000000000001" customHeight="1">
      <c r="A10" s="2"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4"/>
        <v>2019</v>
      </c>
      <c r="H10" s="5" t="str">
        <f t="shared" si="1"/>
        <v>BarbeitoAndrés_etal_2019</v>
      </c>
      <c r="I10" s="5" t="str">
        <f t="shared" si="5"/>
        <v>10.1242%2Fjeb.204651</v>
      </c>
      <c r="J10" s="5" t="str">
        <f t="shared" si="2"/>
        <v>BarbeitoAndrés_etal_2019_celldensity</v>
      </c>
      <c r="K10" s="5" t="str">
        <f t="shared" si="3"/>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100000000000001" customHeight="1">
      <c r="A11" s="2"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4"/>
        <v>2019</v>
      </c>
      <c r="H11" s="5" t="str">
        <f t="shared" si="1"/>
        <v>BarbeitoAndrés_etal_2019</v>
      </c>
      <c r="I11" s="5" t="str">
        <f t="shared" si="5"/>
        <v>10.1242%2Fjeb.204651</v>
      </c>
      <c r="J11" s="5" t="str">
        <f t="shared" si="2"/>
        <v>BarbeitoAndrés_etal_2019_cellnumber</v>
      </c>
      <c r="K11" s="5" t="str">
        <f t="shared" si="3"/>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100000000000001" customHeight="1">
      <c r="A12" s="2"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4"/>
        <v>2019</v>
      </c>
      <c r="H12" s="5" t="str">
        <f t="shared" si="1"/>
        <v>BarbeitoAndrés_etal_2019</v>
      </c>
      <c r="I12" s="5" t="str">
        <f t="shared" si="5"/>
        <v>10.1242%2Fjeb.204651</v>
      </c>
      <c r="J12" s="5" t="str">
        <f t="shared" si="2"/>
        <v>BarbeitoAndrés_etal_2019_volumes</v>
      </c>
      <c r="K12" s="5" t="str">
        <f t="shared" si="3"/>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100000000000001"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4"/>
        <v>2014</v>
      </c>
      <c r="H13" s="5" t="str">
        <f t="shared" si="1"/>
        <v>Barger_etal_2014</v>
      </c>
      <c r="I13" s="5" t="str">
        <f t="shared" si="5"/>
        <v>10.3389%2Ffnhum.2014.00277</v>
      </c>
      <c r="J13" s="5" t="str">
        <f t="shared" si="2"/>
        <v>Barger_etal_2014_Table1</v>
      </c>
      <c r="K13" s="5" t="str">
        <f t="shared" si="3"/>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100000000000001"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4"/>
        <v>2007</v>
      </c>
      <c r="H14" s="5" t="str">
        <f t="shared" si="1"/>
        <v>Barger_etal_2007</v>
      </c>
      <c r="I14" s="5" t="str">
        <f t="shared" si="5"/>
        <v>10.1002%2Fajpa.20684</v>
      </c>
      <c r="J14" s="5" t="str">
        <f t="shared" si="2"/>
        <v>Barger_etal_2007_TABLE1</v>
      </c>
      <c r="K14" s="5" t="str">
        <f t="shared" si="3"/>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100000000000001" customHeight="1">
      <c r="A15" s="1" t="s">
        <v>91</v>
      </c>
      <c r="D15" s="1" t="s">
        <v>72</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si="4"/>
        <v>2012</v>
      </c>
      <c r="H15" s="5" t="str">
        <f t="shared" si="1"/>
        <v>Barger_etal_2012</v>
      </c>
      <c r="I15" s="5" t="str">
        <f t="shared" si="5"/>
        <v>10.1002%2Fcne.23118</v>
      </c>
      <c r="J15" s="5" t="str">
        <f t="shared" si="2"/>
        <v>Barger_etal_2012_Table3</v>
      </c>
      <c r="K15" s="5" t="str">
        <f t="shared" si="3"/>
        <v>10.1002%2Fcne.23118_Table3</v>
      </c>
      <c r="L15" s="5"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spans="1:33" ht="17.100000000000001" customHeight="1">
      <c r="A16" s="1" t="s">
        <v>96</v>
      </c>
      <c r="D16" s="1" t="s">
        <v>97</v>
      </c>
      <c r="E16" s="5" t="str">
        <f t="shared" si="0"/>
        <v>Barks</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4"/>
        <v>2014</v>
      </c>
      <c r="H16" s="5" t="str">
        <f t="shared" si="1"/>
        <v>Barks_etal_2014</v>
      </c>
      <c r="I16" s="5" t="str">
        <f t="shared" si="5"/>
        <v>10.1002%2Fajpa.22646</v>
      </c>
      <c r="J16" s="5" t="str">
        <f t="shared" si="2"/>
        <v>Barks_etal_2014_Fig4A</v>
      </c>
      <c r="K16" s="5" t="str">
        <f t="shared" si="3"/>
        <v>10.1002%2Fajpa.22646_Fig4A</v>
      </c>
      <c r="L16" s="5" t="str">
        <f t="array" ref="L16">IFERROR(INDEX(AUTO_Public_TSV_FileList!$A$1:$A$1000,MATCH(TRUE(),EXACT(K16,IFERROR(_xlfn.TEXTBEFORE(AUTO_Public_TSV_FileList!$A$1:$A$1000,".tsv"),"")),0)),"notfound")</f>
        <v>10.1002%2Fajpa.22646_Fig4A.tsv</v>
      </c>
      <c r="M16" s="1" t="s">
        <v>98</v>
      </c>
      <c r="O16" s="1"/>
      <c r="P16" s="1" t="s">
        <v>36</v>
      </c>
      <c r="AC16" s="1" t="s">
        <v>99</v>
      </c>
    </row>
    <row r="17" spans="1:33" ht="17.100000000000001" customHeight="1">
      <c r="A17" s="1" t="s">
        <v>96</v>
      </c>
      <c r="D17" s="1" t="s">
        <v>100</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4"/>
        <v>2014</v>
      </c>
      <c r="H17" s="5" t="str">
        <f t="shared" si="1"/>
        <v>Barks_etal_2014</v>
      </c>
      <c r="I17" s="5" t="str">
        <f t="shared" si="5"/>
        <v>10.1002%2Fajpa.22646</v>
      </c>
      <c r="J17" s="5" t="str">
        <f t="shared" si="2"/>
        <v>Barks_etal_2014_Fig5A</v>
      </c>
      <c r="K17" s="5" t="str">
        <f t="shared" si="3"/>
        <v>10.1002%2Fajpa.22646_Fig5A</v>
      </c>
      <c r="L17" s="5" t="str">
        <f t="array" ref="L17">IFERROR(INDEX(AUTO_Public_TSV_FileList!$A$1:$A$1000,MATCH(TRUE(),EXACT(K17,IFERROR(_xlfn.TEXTBEFORE(AUTO_Public_TSV_FileList!$A$1:$A$1000,".tsv"),"")),0)),"notfound")</f>
        <v>10.1002%2Fajpa.22646_Fig5A.tsv</v>
      </c>
      <c r="M17" s="1" t="s">
        <v>101</v>
      </c>
      <c r="O17" s="1"/>
      <c r="P17" s="1" t="s">
        <v>36</v>
      </c>
    </row>
    <row r="18" spans="1:33" ht="17.100000000000001" customHeight="1">
      <c r="A18" s="1" t="s">
        <v>96</v>
      </c>
      <c r="D18" s="1" t="s">
        <v>58</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4"/>
        <v>2014</v>
      </c>
      <c r="H18" s="5" t="str">
        <f t="shared" si="1"/>
        <v>Barks_etal_2014</v>
      </c>
      <c r="I18" s="5" t="str">
        <f t="shared" si="5"/>
        <v>10.1002%2Fajpa.22646</v>
      </c>
      <c r="J18" s="5" t="str">
        <f t="shared" si="2"/>
        <v>Barks_etal_2014_TABLE1</v>
      </c>
      <c r="K18" s="5" t="str">
        <f t="shared" si="3"/>
        <v>10.1002%2Fajpa.22646_TABLE1</v>
      </c>
      <c r="L18" s="5" t="str">
        <f t="array" ref="L18">IFERROR(INDEX(AUTO_Public_TSV_FileList!$A$1:$A$1000,MATCH(TRUE(),EXACT(K18,IFERROR(_xlfn.TEXTBEFORE(AUTO_Public_TSV_FileList!$A$1:$A$1000,".tsv"),"")),0)),"notfound")</f>
        <v>10.1002%2Fajpa.22646_TABLE1.tsv</v>
      </c>
      <c r="M18" s="1" t="s">
        <v>102</v>
      </c>
      <c r="P18" s="1" t="s">
        <v>36</v>
      </c>
      <c r="AC18" s="1" t="s">
        <v>99</v>
      </c>
    </row>
    <row r="19" spans="1:33" ht="17.100000000000001" customHeight="1">
      <c r="A19" s="1" t="s">
        <v>96</v>
      </c>
      <c r="D19" s="1" t="s">
        <v>103</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4"/>
        <v>2014</v>
      </c>
      <c r="H19" s="5" t="str">
        <f t="shared" si="1"/>
        <v>Barks_etal_2014</v>
      </c>
      <c r="I19" s="5" t="str">
        <f t="shared" si="5"/>
        <v>10.1002%2Fajpa.22646</v>
      </c>
      <c r="J19" s="5" t="str">
        <f t="shared" si="2"/>
        <v>Barks_etal_2014_TABLE2</v>
      </c>
      <c r="K19" s="5" t="str">
        <f t="shared" si="3"/>
        <v>10.1002%2Fajpa.22646_TABLE2</v>
      </c>
      <c r="L19" s="5" t="str">
        <f t="array" ref="L19">IFERROR(INDEX(AUTO_Public_TSV_FileList!$A$1:$A$1000,MATCH(TRUE(),EXACT(K19,IFERROR(_xlfn.TEXTBEFORE(AUTO_Public_TSV_FileList!$A$1:$A$1000,".tsv"),"")),0)),"notfound")</f>
        <v>10.1002%2Fajpa.22646_TABLE2.tsv</v>
      </c>
      <c r="M19" s="1" t="s">
        <v>104</v>
      </c>
      <c r="P19" s="1" t="s">
        <v>36</v>
      </c>
    </row>
    <row r="20" spans="1:33" ht="17.100000000000001" customHeight="1">
      <c r="A20" s="1" t="s">
        <v>96</v>
      </c>
      <c r="D20" s="1" t="s">
        <v>105</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4"/>
        <v>2014</v>
      </c>
      <c r="H20" s="5" t="str">
        <f t="shared" si="1"/>
        <v>Barks_etal_2014</v>
      </c>
      <c r="I20" s="5" t="str">
        <f t="shared" si="5"/>
        <v>10.1002%2Fajpa.22646</v>
      </c>
      <c r="J20" s="5" t="str">
        <f t="shared" si="2"/>
        <v>Barks_etal_2014_unpublishedviaDeCasien</v>
      </c>
      <c r="K20" s="5" t="str">
        <f t="shared" si="3"/>
        <v>10.1002%2Fajpa.22646_unpublishedviaDeCasien</v>
      </c>
      <c r="L20" s="5" t="str">
        <f t="array" ref="L20">IFERROR(INDEX(AUTO_Public_TSV_FileList!$A$1:$A$1000,MATCH(TRUE(),EXACT(K20,IFERROR(_xlfn.TEXTBEFORE(AUTO_Public_TSV_FileList!$A$1:$A$1000,".tsv"),"")),0)),"notfound")</f>
        <v>10.1002%2Fajpa.22646_unpublishedviaDeCasien.tsv</v>
      </c>
      <c r="O20" s="1" t="s">
        <v>106</v>
      </c>
      <c r="P20" s="1" t="s">
        <v>36</v>
      </c>
    </row>
    <row r="21" spans="1:33" ht="17.100000000000001" customHeight="1">
      <c r="A21" s="1" t="s">
        <v>107</v>
      </c>
      <c r="C21" s="1" t="s">
        <v>108</v>
      </c>
      <c r="D21" s="1" t="s">
        <v>81</v>
      </c>
      <c r="E21" s="5" t="str">
        <f t="shared" si="0"/>
        <v>Baron</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4"/>
        <v>1988</v>
      </c>
      <c r="H21" s="5" t="str">
        <f t="shared" si="1"/>
        <v>Baron_etal_1988</v>
      </c>
      <c r="I21" s="5" t="str">
        <f t="shared" si="5"/>
        <v>PMID%3A3216099</v>
      </c>
      <c r="J21" s="5" t="str">
        <f t="shared" si="2"/>
        <v>Baron_etal_1988_Table1</v>
      </c>
      <c r="K21" s="5" t="str">
        <f t="shared" si="3"/>
        <v>PMID%3A3216099_Table1</v>
      </c>
      <c r="L21" s="5"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spans="1:33" ht="17.100000000000001" customHeight="1">
      <c r="A22" s="1" t="s">
        <v>113</v>
      </c>
      <c r="C22" s="1" t="s">
        <v>114</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4"/>
        <v>1983</v>
      </c>
      <c r="H22" s="5" t="str">
        <f t="shared" si="1"/>
        <v>Baron_etal_1983</v>
      </c>
      <c r="I22" s="5" t="str">
        <f t="shared" si="5"/>
        <v>PMID%3A6663055</v>
      </c>
      <c r="J22" s="5" t="str">
        <f t="shared" si="2"/>
        <v>Baron_etal_1983_Table1</v>
      </c>
      <c r="K22" s="5" t="str">
        <f t="shared" si="3"/>
        <v>PMID%3A6663055_Table1</v>
      </c>
      <c r="L22" s="5"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spans="1:33" ht="17.100000000000001" customHeight="1">
      <c r="A23" s="1" t="s">
        <v>116</v>
      </c>
      <c r="C23" s="1" t="s">
        <v>117</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4"/>
        <v>1987</v>
      </c>
      <c r="H23" s="5" t="str">
        <f t="shared" si="1"/>
        <v>Baron_etal_1987</v>
      </c>
      <c r="I23" s="5" t="str">
        <f t="shared" si="5"/>
        <v>PMID%3A3116076</v>
      </c>
      <c r="J23" s="5" t="str">
        <f t="shared" si="2"/>
        <v>Baron_etal_1987_Table1</v>
      </c>
      <c r="K23" s="5" t="str">
        <f t="shared" si="3"/>
        <v>PMID%3A3116076_Table1</v>
      </c>
      <c r="L23" s="5"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spans="1:33" ht="17.100000000000001" customHeight="1">
      <c r="A24" s="1" t="s">
        <v>119</v>
      </c>
      <c r="C24" s="1" t="s">
        <v>120</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4"/>
        <v>1990</v>
      </c>
      <c r="H24" s="5" t="str">
        <f t="shared" si="1"/>
        <v>Baron_etal_1990</v>
      </c>
      <c r="I24" s="5" t="str">
        <f t="shared" si="5"/>
        <v>PMID%3A2358663</v>
      </c>
      <c r="J24" s="5" t="str">
        <f t="shared" si="2"/>
        <v>Baron_etal_1990_Table1</v>
      </c>
      <c r="K24" s="5" t="str">
        <f t="shared" si="3"/>
        <v>PMID%3A2358663_Table1</v>
      </c>
      <c r="L24" s="5"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spans="1:33" ht="17.100000000000001" customHeight="1">
      <c r="A25" s="2" t="s">
        <v>124</v>
      </c>
      <c r="C25" s="1" t="s">
        <v>125</v>
      </c>
      <c r="D25" s="1" t="s">
        <v>126</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4"/>
        <v>1996</v>
      </c>
      <c r="H25" s="5" t="str">
        <f t="shared" si="1"/>
        <v>Baron_etal_1996</v>
      </c>
      <c r="I25" s="5" t="str">
        <f t="shared" si="5"/>
        <v>ISBN%3A9783764353704</v>
      </c>
      <c r="J25" s="5" t="str">
        <f t="shared" si="2"/>
        <v>Baron_etal_1996_Table10</v>
      </c>
      <c r="K25" s="5" t="str">
        <f t="shared" si="3"/>
        <v>ISBN%3A9783764353704_Table10</v>
      </c>
      <c r="L25" s="5"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spans="1:33" ht="17.100000000000001" customHeight="1">
      <c r="A26" s="2" t="s">
        <v>124</v>
      </c>
      <c r="C26" s="1" t="s">
        <v>125</v>
      </c>
      <c r="D26" s="3" t="s">
        <v>127</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4"/>
        <v>1996</v>
      </c>
      <c r="H26" s="5" t="str">
        <f t="shared" si="1"/>
        <v>Baron_etal_1996</v>
      </c>
      <c r="I26" s="5" t="str">
        <f t="shared" si="5"/>
        <v>ISBN%3A9783764353704</v>
      </c>
      <c r="J26" s="5" t="str">
        <f t="shared" si="2"/>
        <v>Baron_etal_1996_Table13</v>
      </c>
      <c r="K26" s="5" t="str">
        <f t="shared" si="3"/>
        <v>ISBN%3A9783764353704_Table13</v>
      </c>
      <c r="L26" s="5"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spans="1:33" ht="17.100000000000001" customHeight="1">
      <c r="A27" s="2" t="s">
        <v>124</v>
      </c>
      <c r="C27" s="1" t="s">
        <v>125</v>
      </c>
      <c r="D27" s="3" t="s">
        <v>134</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4"/>
        <v>1996</v>
      </c>
      <c r="H27" s="5" t="str">
        <f t="shared" si="1"/>
        <v>Baron_etal_1996</v>
      </c>
      <c r="I27" s="5" t="str">
        <f t="shared" si="5"/>
        <v>ISBN%3A9783764353704</v>
      </c>
      <c r="J27" s="5" t="str">
        <f t="shared" si="2"/>
        <v>Baron_etal_1996_Table16</v>
      </c>
      <c r="K27" s="5" t="str">
        <f t="shared" si="3"/>
        <v>ISBN%3A9783764353704_Table16</v>
      </c>
      <c r="L27" s="5"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spans="1:33" ht="17.100000000000001" customHeight="1">
      <c r="A28" s="2" t="s">
        <v>124</v>
      </c>
      <c r="C28" s="1" t="s">
        <v>125</v>
      </c>
      <c r="D28" s="3" t="s">
        <v>138</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4"/>
        <v>1996</v>
      </c>
      <c r="H28" s="5" t="str">
        <f t="shared" si="1"/>
        <v>Baron_etal_1996</v>
      </c>
      <c r="I28" s="5" t="str">
        <f t="shared" si="5"/>
        <v>ISBN%3A9783764353704</v>
      </c>
      <c r="J28" s="5" t="str">
        <f t="shared" si="2"/>
        <v>Baron_etal_1996_Table19</v>
      </c>
      <c r="K28" s="5" t="str">
        <f t="shared" si="3"/>
        <v>ISBN%3A9783764353704_Table19</v>
      </c>
      <c r="L28" s="5"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spans="1:33" ht="17.100000000000001" customHeight="1">
      <c r="A29" s="2" t="s">
        <v>124</v>
      </c>
      <c r="C29" s="1" t="s">
        <v>125</v>
      </c>
      <c r="D29" s="3" t="s">
        <v>70</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4"/>
        <v>1996</v>
      </c>
      <c r="H29" s="5" t="str">
        <f t="shared" si="1"/>
        <v>Baron_etal_1996</v>
      </c>
      <c r="I29" s="5" t="str">
        <f t="shared" si="5"/>
        <v>ISBN%3A9783764353704</v>
      </c>
      <c r="J29" s="5" t="str">
        <f t="shared" si="2"/>
        <v>Baron_etal_1996_Table2</v>
      </c>
      <c r="K29" s="5" t="str">
        <f t="shared" si="3"/>
        <v>ISBN%3A9783764353704_Table2</v>
      </c>
      <c r="L29" s="5"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spans="1:33" ht="17.100000000000001" customHeight="1">
      <c r="A30" s="2" t="s">
        <v>124</v>
      </c>
      <c r="C30" s="1" t="s">
        <v>125</v>
      </c>
      <c r="D30" s="3" t="s">
        <v>146</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4"/>
        <v>1996</v>
      </c>
      <c r="H30" s="5" t="str">
        <f t="shared" si="1"/>
        <v>Baron_etal_1996</v>
      </c>
      <c r="I30" s="5" t="str">
        <f t="shared" si="5"/>
        <v>ISBN%3A9783764353704</v>
      </c>
      <c r="J30" s="5" t="str">
        <f t="shared" si="2"/>
        <v>Baron_etal_1996_Table22</v>
      </c>
      <c r="K30" s="5" t="str">
        <f t="shared" si="3"/>
        <v>ISBN%3A9783764353704_Table22</v>
      </c>
      <c r="L30" s="5"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spans="1:33" ht="17.100000000000001" customHeight="1">
      <c r="A31" s="2" t="s">
        <v>124</v>
      </c>
      <c r="C31" s="1" t="s">
        <v>125</v>
      </c>
      <c r="D31" s="3" t="s">
        <v>150</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4"/>
        <v>1996</v>
      </c>
      <c r="H31" s="5" t="str">
        <f t="shared" si="1"/>
        <v>Baron_etal_1996</v>
      </c>
      <c r="I31" s="5" t="str">
        <f t="shared" si="5"/>
        <v>ISBN%3A9783764353704</v>
      </c>
      <c r="J31" s="5" t="str">
        <f t="shared" si="2"/>
        <v>Baron_etal_1996_Table25</v>
      </c>
      <c r="K31" s="5" t="str">
        <f t="shared" si="3"/>
        <v>ISBN%3A9783764353704_Table25</v>
      </c>
      <c r="L31" s="5"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spans="1:33" ht="17.100000000000001" customHeight="1">
      <c r="A32" s="2" t="s">
        <v>124</v>
      </c>
      <c r="C32" s="1" t="s">
        <v>125</v>
      </c>
      <c r="D32" s="3" t="s">
        <v>154</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4"/>
        <v>1996</v>
      </c>
      <c r="H32" s="5" t="str">
        <f t="shared" si="1"/>
        <v>Baron_etal_1996</v>
      </c>
      <c r="I32" s="5" t="str">
        <f t="shared" si="5"/>
        <v>ISBN%3A9783764353704</v>
      </c>
      <c r="J32" s="5" t="str">
        <f t="shared" si="2"/>
        <v>Baron_etal_1996_Table28</v>
      </c>
      <c r="K32" s="5" t="str">
        <f t="shared" si="3"/>
        <v>ISBN%3A9783764353704_Table28</v>
      </c>
      <c r="L32" s="5"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spans="1:33" ht="17.100000000000001" customHeight="1">
      <c r="A33" s="2" t="s">
        <v>124</v>
      </c>
      <c r="C33" s="1" t="s">
        <v>125</v>
      </c>
      <c r="D33" s="3" t="s">
        <v>158</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4"/>
        <v>1996</v>
      </c>
      <c r="H33" s="5" t="str">
        <f t="shared" si="1"/>
        <v>Baron_etal_1996</v>
      </c>
      <c r="I33" s="5" t="str">
        <f t="shared" si="5"/>
        <v>ISBN%3A9783764353704</v>
      </c>
      <c r="J33" s="5" t="str">
        <f t="shared" si="2"/>
        <v>Baron_etal_1996_Table30</v>
      </c>
      <c r="K33" s="5" t="str">
        <f t="shared" si="3"/>
        <v>ISBN%3A9783764353704_Table30</v>
      </c>
      <c r="L33" s="5"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spans="1:33" ht="17.100000000000001" customHeight="1">
      <c r="A34" s="2" t="s">
        <v>124</v>
      </c>
      <c r="C34" s="1" t="s">
        <v>125</v>
      </c>
      <c r="D34" s="1" t="s">
        <v>162</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4"/>
        <v>1996</v>
      </c>
      <c r="H34" s="5" t="str">
        <f t="shared" si="1"/>
        <v>Baron_etal_1996</v>
      </c>
      <c r="I34" s="5" t="str">
        <f t="shared" si="5"/>
        <v>ISBN%3A9783764353704</v>
      </c>
      <c r="J34" s="5" t="str">
        <f t="shared" si="2"/>
        <v>Baron_etal_1996_Table32</v>
      </c>
      <c r="K34" s="5" t="str">
        <f t="shared" si="3"/>
        <v>ISBN%3A9783764353704_Table32</v>
      </c>
      <c r="L34" s="5"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spans="1:33" ht="17.100000000000001" customHeight="1">
      <c r="A35" s="2" t="s">
        <v>124</v>
      </c>
      <c r="C35" s="1" t="s">
        <v>125</v>
      </c>
      <c r="D35" s="3" t="s">
        <v>163</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4"/>
        <v>1996</v>
      </c>
      <c r="H35" s="5" t="str">
        <f t="shared" si="1"/>
        <v>Baron_etal_1996</v>
      </c>
      <c r="I35" s="5" t="str">
        <f t="shared" si="5"/>
        <v>ISBN%3A9783764353704</v>
      </c>
      <c r="J35" s="5" t="str">
        <f t="shared" si="2"/>
        <v>Baron_etal_1996_Table35</v>
      </c>
      <c r="K35" s="5" t="str">
        <f t="shared" si="3"/>
        <v>ISBN%3A9783764353704_Table35</v>
      </c>
      <c r="L35" s="5"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spans="1:33" ht="17.100000000000001" customHeight="1">
      <c r="A36" s="2" t="s">
        <v>124</v>
      </c>
      <c r="C36" s="1" t="s">
        <v>125</v>
      </c>
      <c r="D36" s="3" t="s">
        <v>167</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4"/>
        <v>1996</v>
      </c>
      <c r="H36" s="5" t="str">
        <f t="shared" si="1"/>
        <v>Baron_etal_1996</v>
      </c>
      <c r="I36" s="5" t="str">
        <f t="shared" ref="I36:I59" si="6">_xlfn.LET(
_xlpm.doi,IF(C36&lt;&gt;"",C36,_xlfn.TEXTAFTER(A36,"https://doi.org/")),
SUBSTITUTE(
SUBSTITUTE(
SUBSTITUTE(
SUBSTITUTE(
_xlpm.doi,
"/","%2F"),
":","%3A"),
"&lt;","%3C"),
"&gt;","%3E")
)</f>
        <v>ISBN%3A9783764353704</v>
      </c>
      <c r="J36" s="5" t="str">
        <f t="shared" si="2"/>
        <v>Baron_etal_1996_Table36</v>
      </c>
      <c r="K36" s="5" t="str">
        <f t="shared" si="3"/>
        <v>ISBN%3A9783764353704_Table36</v>
      </c>
      <c r="L36" s="5"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spans="1:33" ht="17.100000000000001" customHeight="1">
      <c r="A37" s="2" t="s">
        <v>124</v>
      </c>
      <c r="C37" s="1" t="s">
        <v>125</v>
      </c>
      <c r="D37" s="3" t="s">
        <v>175</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4"/>
        <v>1996</v>
      </c>
      <c r="H37" s="5" t="str">
        <f t="shared" si="1"/>
        <v>Baron_etal_1996</v>
      </c>
      <c r="I37" s="5" t="str">
        <f t="shared" si="6"/>
        <v>ISBN%3A9783764353704</v>
      </c>
      <c r="J37" s="5" t="str">
        <f t="shared" si="2"/>
        <v>Baron_etal_1996_Table39</v>
      </c>
      <c r="K37" s="5" t="str">
        <f t="shared" si="3"/>
        <v>ISBN%3A9783764353704_Table39</v>
      </c>
      <c r="L37" s="5"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spans="1:33" ht="17.100000000000001" customHeight="1">
      <c r="A38" s="2" t="s">
        <v>124</v>
      </c>
      <c r="C38" s="1" t="s">
        <v>125</v>
      </c>
      <c r="D38" s="3" t="s">
        <v>178</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4"/>
        <v>1996</v>
      </c>
      <c r="H38" s="5" t="str">
        <f t="shared" si="1"/>
        <v>Baron_etal_1996</v>
      </c>
      <c r="I38" s="5" t="str">
        <f t="shared" si="6"/>
        <v>ISBN%3A9783764353704</v>
      </c>
      <c r="J38" s="5" t="str">
        <f t="shared" si="2"/>
        <v>Baron_etal_1996_Table42</v>
      </c>
      <c r="K38" s="5" t="str">
        <f t="shared" si="3"/>
        <v>ISBN%3A9783764353704_Table42</v>
      </c>
      <c r="L38" s="5"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spans="1:33" ht="17.100000000000001" customHeight="1">
      <c r="A39" s="2" t="s">
        <v>124</v>
      </c>
      <c r="C39" s="1" t="s">
        <v>125</v>
      </c>
      <c r="D39" s="3" t="s">
        <v>182</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4"/>
        <v>1996</v>
      </c>
      <c r="H39" s="5" t="str">
        <f t="shared" si="1"/>
        <v>Baron_etal_1996</v>
      </c>
      <c r="I39" s="5" t="str">
        <f t="shared" si="6"/>
        <v>ISBN%3A9783764353704</v>
      </c>
      <c r="J39" s="5" t="str">
        <f t="shared" si="2"/>
        <v>Baron_etal_1996_Table45</v>
      </c>
      <c r="K39" s="5" t="str">
        <f t="shared" si="3"/>
        <v>ISBN%3A9783764353704_Table45</v>
      </c>
      <c r="L39" s="5"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spans="1:33" ht="17.100000000000001" customHeight="1">
      <c r="A40" s="2" t="s">
        <v>124</v>
      </c>
      <c r="C40" s="1" t="s">
        <v>125</v>
      </c>
      <c r="D40" s="3" t="s">
        <v>186</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4"/>
        <v>1996</v>
      </c>
      <c r="H40" s="5" t="str">
        <f t="shared" si="1"/>
        <v>Baron_etal_1996</v>
      </c>
      <c r="I40" s="5" t="str">
        <f t="shared" si="6"/>
        <v>ISBN%3A9783764353704</v>
      </c>
      <c r="J40" s="5" t="str">
        <f t="shared" si="2"/>
        <v>Baron_etal_1996_Table48</v>
      </c>
      <c r="K40" s="5" t="str">
        <f t="shared" si="3"/>
        <v>ISBN%3A9783764353704_Table48</v>
      </c>
      <c r="L40" s="5"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spans="1:33" ht="17.100000000000001" customHeight="1">
      <c r="A41" s="2" t="s">
        <v>124</v>
      </c>
      <c r="C41" s="1" t="s">
        <v>125</v>
      </c>
      <c r="D41" s="3" t="s">
        <v>74</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4"/>
        <v>1996</v>
      </c>
      <c r="H41" s="5" t="str">
        <f t="shared" si="1"/>
        <v>Baron_etal_1996</v>
      </c>
      <c r="I41" s="5" t="str">
        <f t="shared" si="6"/>
        <v>ISBN%3A9783764353704</v>
      </c>
      <c r="J41" s="5" t="str">
        <f t="shared" si="2"/>
        <v>Baron_etal_1996_Table5</v>
      </c>
      <c r="K41" s="5" t="str">
        <f t="shared" si="3"/>
        <v>ISBN%3A9783764353704_Table5</v>
      </c>
      <c r="L41" s="5"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spans="1:33" ht="17.100000000000001" customHeight="1">
      <c r="A42" s="2" t="s">
        <v>124</v>
      </c>
      <c r="C42" s="1" t="s">
        <v>125</v>
      </c>
      <c r="D42" s="3" t="s">
        <v>193</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_xlfn.TEXTBEFORE(_xlfn.TEXTAFTER(A42, "("), ")")</f>
        <v>1996</v>
      </c>
      <c r="H42" s="5" t="str">
        <f t="shared" si="1"/>
        <v>Baron_etal_1996</v>
      </c>
      <c r="I42" s="5" t="str">
        <f t="shared" si="6"/>
        <v>ISBN%3A9783764353704</v>
      </c>
      <c r="J42" s="5" t="str">
        <f t="shared" si="2"/>
        <v>Baron_etal_1996_Table51</v>
      </c>
      <c r="K42" s="5" t="str">
        <f t="shared" si="3"/>
        <v>ISBN%3A9783764353704_Table51</v>
      </c>
      <c r="L42" s="5"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spans="1:33" ht="17.100000000000001" customHeight="1">
      <c r="A43" s="2" t="s">
        <v>124</v>
      </c>
      <c r="C43" s="1" t="s">
        <v>125</v>
      </c>
      <c r="D43" s="3" t="s">
        <v>197</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ref="G43:G68" si="7">_xlfn.TEXTBEFORE(_xlfn.TEXTAFTER(A43, "("), ")")</f>
        <v>1996</v>
      </c>
      <c r="H43" s="5" t="str">
        <f t="shared" si="1"/>
        <v>Baron_etal_1996</v>
      </c>
      <c r="I43" s="5" t="str">
        <f t="shared" si="6"/>
        <v>ISBN%3A9783764353704</v>
      </c>
      <c r="J43" s="5" t="str">
        <f t="shared" si="2"/>
        <v>Baron_etal_1996_Table8</v>
      </c>
      <c r="K43" s="5" t="str">
        <f t="shared" si="3"/>
        <v>ISBN%3A9783764353704_Table8</v>
      </c>
      <c r="L43" s="5"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spans="1:33" ht="17.100000000000001" customHeight="1">
      <c r="A44" s="1" t="s">
        <v>202</v>
      </c>
      <c r="D44" s="1" t="s">
        <v>81</v>
      </c>
      <c r="E44" s="5" t="str">
        <f t="shared" si="0"/>
        <v>Bauernfeind</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7"/>
        <v>2013</v>
      </c>
      <c r="H44" s="5" t="str">
        <f t="shared" si="1"/>
        <v>Bauernfeind_etal_2013</v>
      </c>
      <c r="I44" s="5" t="str">
        <f t="shared" si="6"/>
        <v>10.1016%2Fj.jhevol.2012.12.003</v>
      </c>
      <c r="J44" s="5" t="str">
        <f t="shared" si="2"/>
        <v>Bauernfeind_etal_2013_Table1</v>
      </c>
      <c r="K44" s="5" t="str">
        <f t="shared" si="3"/>
        <v>10.1016%2Fj.jhevol.2012.12.003_Table1</v>
      </c>
      <c r="L44" s="5"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spans="1:33" ht="17.100000000000001" customHeight="1">
      <c r="A45" s="1" t="s">
        <v>202</v>
      </c>
      <c r="D45" s="1" t="s">
        <v>70</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7"/>
        <v>2013</v>
      </c>
      <c r="H45" s="5" t="str">
        <f t="shared" si="1"/>
        <v>Bauernfeind_etal_2013</v>
      </c>
      <c r="I45" s="5" t="str">
        <f t="shared" si="6"/>
        <v>10.1016%2Fj.jhevol.2012.12.003</v>
      </c>
      <c r="J45" s="5" t="str">
        <f t="shared" si="2"/>
        <v>Bauernfeind_etal_2013_Table2</v>
      </c>
      <c r="K45" s="5" t="str">
        <f t="shared" si="3"/>
        <v>10.1016%2Fj.jhevol.2012.12.003_Table2</v>
      </c>
      <c r="L45" s="5"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spans="1:33" ht="17.100000000000001" customHeight="1">
      <c r="A46" s="1" t="s">
        <v>202</v>
      </c>
      <c r="D46" s="1" t="s">
        <v>72</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7"/>
        <v>2013</v>
      </c>
      <c r="H46" s="5" t="str">
        <f t="shared" si="1"/>
        <v>Bauernfeind_etal_2013</v>
      </c>
      <c r="I46" s="5" t="str">
        <f t="shared" si="6"/>
        <v>10.1016%2Fj.jhevol.2012.12.003</v>
      </c>
      <c r="J46" s="5" t="str">
        <f t="shared" si="2"/>
        <v>Bauernfeind_etal_2013_Table3</v>
      </c>
      <c r="K46" s="5" t="str">
        <f t="shared" si="3"/>
        <v>10.1016%2Fj.jhevol.2012.12.003_Table3</v>
      </c>
      <c r="L46" s="5"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spans="1:33" ht="17.100000000000001" customHeight="1">
      <c r="A47" s="3" t="s">
        <v>206</v>
      </c>
      <c r="B47" s="3"/>
      <c r="C47" s="3"/>
      <c r="D47" s="3" t="s">
        <v>81</v>
      </c>
      <c r="E47" s="5" t="str">
        <f t="shared" si="0"/>
        <v>Bianchi</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7"/>
        <v>2012</v>
      </c>
      <c r="H47" s="5" t="str">
        <f t="shared" si="1"/>
        <v>Bianchi_etal_2012</v>
      </c>
      <c r="I47" s="5" t="str">
        <f t="shared" si="6"/>
        <v>10.1093%2Fcercor%2Fbhs239</v>
      </c>
      <c r="J47" s="5" t="str">
        <f t="shared" si="2"/>
        <v>Bianchi_etal_2012_Table1</v>
      </c>
      <c r="K47" s="5" t="str">
        <f t="shared" si="3"/>
        <v>10.1093%2Fcercor%2Fbhs239_Table1</v>
      </c>
      <c r="L47" s="5"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spans="1:33" ht="17.100000000000001" customHeight="1">
      <c r="A48" s="3" t="s">
        <v>206</v>
      </c>
      <c r="B48" s="3"/>
      <c r="C48" s="3"/>
      <c r="D48" s="3" t="s">
        <v>70</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7"/>
        <v>2012</v>
      </c>
      <c r="H48" s="5" t="str">
        <f t="shared" si="1"/>
        <v>Bianchi_etal_2012</v>
      </c>
      <c r="I48" s="5" t="str">
        <f t="shared" si="6"/>
        <v>10.1093%2Fcercor%2Fbhs239</v>
      </c>
      <c r="J48" s="5" t="str">
        <f t="shared" si="2"/>
        <v>Bianchi_etal_2012_Table2</v>
      </c>
      <c r="K48" s="5" t="str">
        <f t="shared" si="3"/>
        <v>10.1093%2Fcercor%2Fbhs239_Table2</v>
      </c>
      <c r="L48" s="5"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spans="1:33" ht="17.100000000000001" customHeight="1">
      <c r="A49" s="1" t="s">
        <v>221</v>
      </c>
      <c r="D49" s="1" t="s">
        <v>81</v>
      </c>
      <c r="E49" s="5" t="str">
        <f t="shared" si="0"/>
        <v>Bortoff</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5" t="str">
        <f t="shared" si="7"/>
        <v>1993</v>
      </c>
      <c r="H49" s="5" t="str">
        <f t="shared" si="1"/>
        <v>Bortoff_Strick_1993</v>
      </c>
      <c r="I49" s="5" t="str">
        <f t="shared" si="6"/>
        <v>10.1523%2FJNEUROSCI.13-12-05105.1993</v>
      </c>
      <c r="J49" s="5" t="str">
        <f t="shared" si="2"/>
        <v>Bortoff_Strick_1993_Table1</v>
      </c>
      <c r="K49" s="5" t="str">
        <f t="shared" si="3"/>
        <v>10.1523%2FJNEUROSCI.13-12-05105.1993_Table1</v>
      </c>
      <c r="L49" s="5"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spans="1:33" ht="17.100000000000001" customHeight="1">
      <c r="A50" s="1" t="s">
        <v>232</v>
      </c>
      <c r="D50" s="1" t="s">
        <v>81</v>
      </c>
      <c r="E50" s="5" t="str">
        <f t="shared" si="0"/>
        <v>Boyer</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5" t="str">
        <f t="shared" si="7"/>
        <v>2018</v>
      </c>
      <c r="H50" s="5" t="str">
        <f t="shared" si="1"/>
        <v>Boyer_Harrington_2018</v>
      </c>
      <c r="I50" s="5" t="str">
        <f t="shared" si="6"/>
        <v>10.1016%2Fj.jhevol.2017.09.003</v>
      </c>
      <c r="J50" s="5" t="str">
        <f t="shared" si="2"/>
        <v>Boyer_Harrington_2018_Table1</v>
      </c>
      <c r="K50" s="5" t="str">
        <f t="shared" si="3"/>
        <v>10.1016%2Fj.jhevol.2017.09.003_Table1</v>
      </c>
      <c r="L50" s="5" t="str">
        <f t="array" ref="L50">IFERROR(INDEX(AUTO_Public_TSV_FileList!$A$1:$A$1000,MATCH(TRUE(),EXACT(K50,IFERROR(_xlfn.TEXTBEFORE(AUTO_Public_TSV_FileList!$A$1:$A$1000,".tsv"),"")),0)),"notfound")</f>
        <v>10.1016%2Fj.jhevol.2017.09.003_Table1.tsv</v>
      </c>
      <c r="M50" s="1" t="s">
        <v>233</v>
      </c>
      <c r="P50" s="1" t="s">
        <v>36</v>
      </c>
    </row>
    <row r="51" spans="1:33" ht="17.100000000000001" customHeight="1">
      <c r="A51" s="1" t="s">
        <v>234</v>
      </c>
      <c r="D51" s="1" t="s">
        <v>235</v>
      </c>
      <c r="E51" s="5" t="str">
        <f t="shared" si="0"/>
        <v>Boyer</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5" t="str">
        <f t="shared" si="7"/>
        <v>2019</v>
      </c>
      <c r="H51" s="5" t="str">
        <f t="shared" si="1"/>
        <v>Boyer_Harrington_2019</v>
      </c>
      <c r="I51" s="5" t="str">
        <f t="shared" si="6"/>
        <v>10.1016%2Fj.jhevol.2018.10.002</v>
      </c>
      <c r="J51" s="5" t="str">
        <f t="shared" si="2"/>
        <v>Boyer_Harrington_2019_SOMTableS6</v>
      </c>
      <c r="K51" s="5" t="str">
        <f t="shared" si="3"/>
        <v>10.1016%2Fj.jhevol.2018.10.002_SOMTableS6</v>
      </c>
      <c r="L51" s="5" t="str">
        <f t="array" ref="L51">IFERROR(INDEX(AUTO_Public_TSV_FileList!$A$1:$A$1000,MATCH(TRUE(),EXACT(K51,IFERROR(_xlfn.TEXTBEFORE(AUTO_Public_TSV_FileList!$A$1:$A$1000,".tsv"),"")),0)),"notfound")</f>
        <v>10.1016%2Fj.jhevol.2018.10.002_SOMTableS6.tsv</v>
      </c>
      <c r="P51" s="1" t="s">
        <v>36</v>
      </c>
    </row>
    <row r="52" spans="1:33" ht="17.100000000000001" customHeight="1">
      <c r="A52" s="2" t="s">
        <v>236</v>
      </c>
      <c r="C52" s="1" t="s">
        <v>237</v>
      </c>
      <c r="D52" s="1" t="s">
        <v>81</v>
      </c>
      <c r="E52" s="5" t="str">
        <f t="shared" si="0"/>
        <v>Brodmann</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5" t="str">
        <f t="shared" si="7"/>
        <v>1913</v>
      </c>
      <c r="H52" s="5" t="str">
        <f t="shared" si="1"/>
        <v>Brodmann__1913</v>
      </c>
      <c r="I52" s="5" t="str">
        <f t="shared" si="6"/>
        <v>OCLC%3A8777719</v>
      </c>
      <c r="J52" s="5" t="str">
        <f t="shared" si="2"/>
        <v>Brodmann__1913_Table1</v>
      </c>
      <c r="K52" s="5" t="str">
        <f t="shared" si="3"/>
        <v>OCLC%3A8777719_Table1</v>
      </c>
      <c r="L52" s="5"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spans="1:33" ht="17.100000000000001" customHeight="1">
      <c r="A53" s="1" t="s">
        <v>242</v>
      </c>
      <c r="C53" s="1" t="s">
        <v>243</v>
      </c>
      <c r="D53" s="1" t="s">
        <v>244</v>
      </c>
      <c r="E53" s="5" t="str">
        <f t="shared" si="0"/>
        <v>Brodmann</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5" t="str">
        <f t="shared" si="7"/>
        <v>1913</v>
      </c>
      <c r="H53" s="5" t="str">
        <f t="shared" si="1"/>
        <v>Brodmann__1913</v>
      </c>
      <c r="I53" s="5" t="str">
        <f t="shared" si="6"/>
        <v>10.0000%2Fplaceholder</v>
      </c>
      <c r="J53" s="5" t="str">
        <f t="shared" si="2"/>
        <v>Brodmann__1913_Tabelle1</v>
      </c>
      <c r="K53" s="5" t="str">
        <f t="shared" si="3"/>
        <v>10.0000%2Fplaceholder_Tabelle1</v>
      </c>
      <c r="L53" s="5" t="str">
        <f t="array" ref="L53">IFERROR(INDEX(AUTO_Public_TSV_FileList!$A$1:$A$1000,MATCH(TRUE(),EXACT(K53,IFERROR(_xlfn.TEXTBEFORE(AUTO_Public_TSV_FileList!$A$1:$A$1000,".tsv"),"")),0)),"notfound")</f>
        <v>notfound</v>
      </c>
      <c r="W53" s="1" t="s">
        <v>245</v>
      </c>
      <c r="X53" s="1" t="s">
        <v>171</v>
      </c>
      <c r="AB53" s="1" t="s">
        <v>171</v>
      </c>
      <c r="AE53" s="1" t="s">
        <v>66</v>
      </c>
      <c r="AF53" s="1"/>
    </row>
    <row r="54" spans="1:33" ht="17.100000000000001" customHeight="1">
      <c r="A54" s="1" t="s">
        <v>246</v>
      </c>
      <c r="D54" s="1" t="s">
        <v>247</v>
      </c>
      <c r="E54" s="5" t="str">
        <f t="shared" si="0"/>
        <v>Burger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5" t="str">
        <f t="shared" si="7"/>
        <v>2019</v>
      </c>
      <c r="H54" s="5" t="str">
        <f t="shared" si="1"/>
        <v>Burger_etal_2019</v>
      </c>
      <c r="I54" s="5" t="str">
        <f t="shared" si="6"/>
        <v>10.1093%2Fjmammal%2Fgyz043</v>
      </c>
      <c r="J54" s="5" t="str">
        <f t="shared" si="2"/>
        <v>Burger_etal_2019_SupplementaryDataSD1</v>
      </c>
      <c r="K54" s="5" t="str">
        <f t="shared" si="3"/>
        <v>10.1093%2Fjmammal%2Fgyz043_SupplementaryDataSD1</v>
      </c>
      <c r="L54" s="5"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spans="1:33" ht="17.100000000000001" customHeight="1">
      <c r="A55" s="1" t="s">
        <v>253</v>
      </c>
      <c r="D55" s="1" t="s">
        <v>254</v>
      </c>
      <c r="E55" s="5" t="str">
        <f t="shared" si="0"/>
        <v>Burish</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5" t="str">
        <f t="shared" si="7"/>
        <v>2010</v>
      </c>
      <c r="H55" s="5" t="str">
        <f t="shared" si="1"/>
        <v>Burish_etal_2010</v>
      </c>
      <c r="I55" s="5" t="str">
        <f t="shared" si="6"/>
        <v>10.1159%2F000319019</v>
      </c>
      <c r="J55" s="5" t="str">
        <f t="shared" si="2"/>
        <v>Burish_etal_2010_SupplementaryTable1</v>
      </c>
      <c r="K55" s="5" t="str">
        <f t="shared" si="3"/>
        <v>10.1159%2F000319019_SupplementaryTable1</v>
      </c>
      <c r="L55" s="5"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spans="1:33" ht="17.100000000000001" customHeight="1">
      <c r="A56" s="1" t="s">
        <v>253</v>
      </c>
      <c r="D56" s="1" t="s">
        <v>81</v>
      </c>
      <c r="E56" s="5" t="str">
        <f t="shared" si="0"/>
        <v>Burish</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5" t="str">
        <f t="shared" si="7"/>
        <v>2010</v>
      </c>
      <c r="H56" s="5" t="str">
        <f t="shared" si="1"/>
        <v>Burish_etal_2010</v>
      </c>
      <c r="I56" s="5" t="str">
        <f t="shared" si="6"/>
        <v>10.1159%2F000319019</v>
      </c>
      <c r="J56" s="5" t="str">
        <f t="shared" si="2"/>
        <v>Burish_etal_2010_Table1</v>
      </c>
      <c r="K56" s="5" t="str">
        <f t="shared" si="3"/>
        <v>10.1159%2F000319019_Table1</v>
      </c>
      <c r="L56" s="5"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spans="1:33" ht="17.100000000000001" customHeight="1">
      <c r="A57" s="1" t="s">
        <v>261</v>
      </c>
      <c r="D57" s="1" t="s">
        <v>81</v>
      </c>
      <c r="E57" s="5" t="str">
        <f t="shared" si="0"/>
        <v>Bush</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5" t="str">
        <f t="shared" si="7"/>
        <v>2003</v>
      </c>
      <c r="H57" s="5" t="str">
        <f t="shared" si="1"/>
        <v>Bush_Allman_2003</v>
      </c>
      <c r="I57" s="5" t="str">
        <f t="shared" si="6"/>
        <v>10.1159%2F000068880</v>
      </c>
      <c r="J57" s="5" t="str">
        <f t="shared" si="2"/>
        <v>Bush_Allman_2003_Table1</v>
      </c>
      <c r="K57" s="5" t="str">
        <f t="shared" si="3"/>
        <v>10.1159%2F000068880_Table1</v>
      </c>
      <c r="L57" s="5" t="str">
        <f t="array" ref="L57">IFERROR(INDEX(AUTO_Public_TSV_FileList!$A$1:$A$1000,MATCH(TRUE(),EXACT(K57,IFERROR(_xlfn.TEXTBEFORE(AUTO_Public_TSV_FileList!$A$1:$A$1000,".tsv"),"")),0)),"notfound")</f>
        <v>10.1159%2F000068880_Table1.tsv</v>
      </c>
      <c r="M57" s="1"/>
      <c r="P57" s="1" t="s">
        <v>36</v>
      </c>
      <c r="AC57" s="1" t="s">
        <v>262</v>
      </c>
      <c r="AD57" s="1" t="s">
        <v>263</v>
      </c>
    </row>
    <row r="58" spans="1:33" ht="17.100000000000001" customHeight="1">
      <c r="A58" s="1" t="s">
        <v>264</v>
      </c>
      <c r="B58" s="1" t="s">
        <v>265</v>
      </c>
      <c r="D58" s="1" t="s">
        <v>70</v>
      </c>
      <c r="E58" s="5" t="str">
        <f t="shared" si="0"/>
        <v>Bush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5" t="str">
        <f t="shared" si="7"/>
        <v>2004</v>
      </c>
      <c r="H58" s="5" t="str">
        <f t="shared" si="1"/>
        <v>Bush_Allman_2004_a</v>
      </c>
      <c r="I58" s="5" t="str">
        <f t="shared" si="6"/>
        <v>10.1073%2Fpnas.0305760101</v>
      </c>
      <c r="J58" s="5" t="str">
        <f t="shared" si="2"/>
        <v>Bush_Allman_2004_a_Table2</v>
      </c>
      <c r="K58" s="5" t="str">
        <f t="shared" si="3"/>
        <v>10.1073%2Fpnas.0305760101_Table2</v>
      </c>
      <c r="L58" s="5"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spans="1:33" ht="17.100000000000001" customHeight="1">
      <c r="A59" s="1" t="s">
        <v>269</v>
      </c>
      <c r="B59" s="1" t="s">
        <v>270</v>
      </c>
      <c r="D59" s="1" t="s">
        <v>58</v>
      </c>
      <c r="E59" s="5" t="str">
        <f t="shared" si="0"/>
        <v>Bush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5" t="str">
        <f t="shared" si="7"/>
        <v>2004</v>
      </c>
      <c r="H59" s="5" t="str">
        <f t="shared" si="1"/>
        <v>Bush_Allman_2004_b</v>
      </c>
      <c r="I59" s="5" t="str">
        <f t="shared" si="6"/>
        <v>10.1002%2Far.a.20114</v>
      </c>
      <c r="J59" s="5" t="str">
        <f t="shared" si="2"/>
        <v>Bush_Allman_2004_b_TABLE1</v>
      </c>
      <c r="K59" s="5" t="str">
        <f t="shared" si="3"/>
        <v>10.1002%2Far.a.20114_TABLE1</v>
      </c>
      <c r="L59" s="5"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spans="1:33" ht="17.100000000000001" customHeight="1">
      <c r="A60" s="2" t="s">
        <v>275</v>
      </c>
      <c r="D60" s="2" t="s">
        <v>81</v>
      </c>
      <c r="E60" s="6" t="str">
        <f t="shared" si="0"/>
        <v>Campos</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5" t="str">
        <f t="shared" si="7"/>
        <v>1976</v>
      </c>
      <c r="H60" s="6" t="str">
        <f t="shared" si="1"/>
        <v>Campos_Welker_1976</v>
      </c>
      <c r="I60" s="6" t="str">
        <f>_xlfn.LET(_xlpm.doi,IF(C60&lt;&gt;"",C60,_xlfn.TEXTAFTER(A60,"https://doi.org/")),SUBSTITUTE(SUBSTITUTE(SUBSTITUTE(SUBSTITUTE(_xlpm.doi,"/","%2F"),":","%3A"),"&lt;","%3C"),"&gt;","%3E"))</f>
        <v>10.1159%2F000123814</v>
      </c>
      <c r="J60" s="6" t="str">
        <f t="shared" si="2"/>
        <v>Campos_Welker_1976_Table1</v>
      </c>
      <c r="K60" s="6" t="str">
        <f t="shared" si="3"/>
        <v>10.1159%2F000123814_Table1</v>
      </c>
      <c r="L60" s="6" t="str">
        <f>IFERROR(INDEX(AUTO_Public_TSV_FileList!$A$1:$A$1000,MATCH(TRUE(),EXACT(K60,IFERROR(_xlfn.TEXTBEFORE(AUTO_Public_TSV_FileList!$A$1:$A$1000,".tsv"),"")),0)),"notfound")</f>
        <v>notfound</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spans="1:33" ht="17.100000000000001" customHeight="1">
      <c r="A61" s="1" t="s">
        <v>287</v>
      </c>
      <c r="D61" s="1" t="s">
        <v>288</v>
      </c>
      <c r="E61" s="5" t="str">
        <f t="shared" si="0"/>
        <v>Capellini</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5" t="str">
        <f t="shared" si="7"/>
        <v>2008</v>
      </c>
      <c r="H61" s="5" t="str">
        <f t="shared" si="1"/>
        <v>Capellini_etal_2008</v>
      </c>
      <c r="I61" s="5" t="str">
        <f t="shared" ref="I61:I101" si="8">_xlfn.LET(
_xlpm.doi,IF(C61&lt;&gt;"",C61,_xlfn.TEXTAFTER(A61,"https://doi.org/")),
SUBSTITUTE(
SUBSTITUTE(
SUBSTITUTE(
SUBSTITUTE(
_xlpm.doi,
"/","%2F"),
":","%3A"),
"&lt;","%3C"),
"&gt;","%3E")
)</f>
        <v>10.1111%2Fj.1558-5646.2008.00392.x</v>
      </c>
      <c r="J61" s="5" t="str">
        <f t="shared" si="2"/>
        <v>Capellini_etal_2008_sleep-dataFemale</v>
      </c>
      <c r="K61" s="5" t="str">
        <f t="shared" si="3"/>
        <v>10.1111%2Fj.1558-5646.2008.00392.x_sleep-dataFemale</v>
      </c>
      <c r="L61" s="5"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spans="1:33" ht="17.100000000000001" customHeight="1">
      <c r="A62" s="1" t="s">
        <v>287</v>
      </c>
      <c r="D62" s="1" t="s">
        <v>295</v>
      </c>
      <c r="E62" s="5" t="str">
        <f t="shared" si="0"/>
        <v>Capellini</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5" t="str">
        <f t="shared" si="7"/>
        <v>2008</v>
      </c>
      <c r="H62" s="5" t="str">
        <f t="shared" si="1"/>
        <v>Capellini_etal_2008</v>
      </c>
      <c r="I62" s="5" t="str">
        <f t="shared" si="8"/>
        <v>10.1111%2Fj.1558-5646.2008.00392.x</v>
      </c>
      <c r="J62" s="5" t="str">
        <f t="shared" si="2"/>
        <v>Capellini_etal_2008_sleep-dataMale</v>
      </c>
      <c r="K62" s="5" t="str">
        <f t="shared" si="3"/>
        <v>10.1111%2Fj.1558-5646.2008.00392.x_sleep-dataMale</v>
      </c>
      <c r="L62" s="5"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spans="1:33" ht="17.100000000000001" customHeight="1">
      <c r="A63" s="1" t="s">
        <v>287</v>
      </c>
      <c r="D63" s="1" t="s">
        <v>298</v>
      </c>
      <c r="E63" s="5" t="str">
        <f t="shared" si="0"/>
        <v>Capellini</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5" t="str">
        <f t="shared" si="7"/>
        <v>2008</v>
      </c>
      <c r="H63" s="5" t="str">
        <f t="shared" si="1"/>
        <v>Capellini_etal_2008</v>
      </c>
      <c r="I63" s="5" t="str">
        <f t="shared" si="8"/>
        <v>10.1111%2Fj.1558-5646.2008.00392.x</v>
      </c>
      <c r="J63" s="5" t="str">
        <f t="shared" si="2"/>
        <v>Capellini_etal_2008_sleep-dataMixed</v>
      </c>
      <c r="K63" s="5" t="str">
        <f t="shared" si="3"/>
        <v>10.1111%2Fj.1558-5646.2008.00392.x_sleep-dataMixed</v>
      </c>
      <c r="L63" s="5"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spans="1:33" ht="17.100000000000001" customHeight="1">
      <c r="A64" s="1" t="s">
        <v>301</v>
      </c>
      <c r="D64" s="1" t="s">
        <v>302</v>
      </c>
      <c r="E64" s="5" t="str">
        <f t="shared" si="0"/>
        <v>Caspar</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5" t="str">
        <f t="shared" si="7"/>
        <v>2022</v>
      </c>
      <c r="H64" s="5" t="str">
        <f t="shared" si="1"/>
        <v>Caspar_etal_2022</v>
      </c>
      <c r="I64" s="5" t="str">
        <f t="shared" si="8"/>
        <v>10.7554%2FeLife.77875</v>
      </c>
      <c r="J64" s="5" t="str">
        <f t="shared" si="2"/>
        <v>Caspar_etal_2022_Supplementaryfile3</v>
      </c>
      <c r="K64" s="5" t="str">
        <f t="shared" si="3"/>
        <v>10.7554%2FeLife.77875_Supplementaryfile3</v>
      </c>
      <c r="L64" s="5"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spans="1:33" ht="17.100000000000001" customHeight="1">
      <c r="A65" s="1" t="s">
        <v>301</v>
      </c>
      <c r="D65" s="1" t="s">
        <v>81</v>
      </c>
      <c r="E65" s="5" t="str">
        <f t="shared" si="0"/>
        <v>Caspar</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si="7"/>
        <v>2022</v>
      </c>
      <c r="H65" s="5" t="str">
        <f t="shared" si="1"/>
        <v>Caspar_etal_2022</v>
      </c>
      <c r="I65" s="5" t="str">
        <f t="shared" si="8"/>
        <v>10.7554%2FeLife.77875</v>
      </c>
      <c r="J65" s="5" t="str">
        <f t="shared" si="2"/>
        <v>Caspar_etal_2022_Table1</v>
      </c>
      <c r="K65" s="5" t="str">
        <f t="shared" si="3"/>
        <v>10.7554%2FeLife.77875_Table1</v>
      </c>
      <c r="L65" s="5"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spans="1:33" ht="17.100000000000001" customHeight="1">
      <c r="A66" s="1" t="s">
        <v>313</v>
      </c>
      <c r="D66" s="1" t="s">
        <v>314</v>
      </c>
      <c r="E66" s="5" t="str">
        <f t="shared" ref="E66:E129" si="9">SUBSTITUTE(SUBSTITUTE(_xlfn.TEXTBEFORE(A66,","), "-", ""), " ", "")</f>
        <v>Caves</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si="7"/>
        <v>2018</v>
      </c>
      <c r="H66" s="5" t="str">
        <f t="shared" ref="H66:H129" si="10">E66 &amp; IF(F66&lt;&gt;"", "_" &amp; F66, "_") &amp; IF(G66&lt;&gt;"", "_" &amp; G66, "_") &amp; IF(B66&lt;&gt;"", "_" &amp; B66, "")</f>
        <v>Caves_etal_2018</v>
      </c>
      <c r="I66" s="5" t="str">
        <f t="shared" si="8"/>
        <v>10.1016%2Fj.tree.2018.03.001</v>
      </c>
      <c r="J66" s="5" t="str">
        <f t="shared" ref="J66:J129" si="11">TRIM(_xlfn.TEXTJOIN("_",FALSE(),H66,(SUBSTITUTE(SUBSTITUTE(D66," ",""), "_", ""))))</f>
        <v>Caves_etal_2018_TableS1</v>
      </c>
      <c r="K66" s="5" t="str">
        <f t="shared" ref="K66:K129" si="12">I66 &amp; "_" &amp; SUBSTITUTE(SUBSTITUTE(SUBSTITUTE(D66,CHAR(160),"")," ",""),"_","")</f>
        <v>10.1016%2Fj.tree.2018.03.001_TableS1</v>
      </c>
      <c r="L66" s="5" t="str">
        <f t="array" ref="L66">IFERROR(INDEX(AUTO_Public_TSV_FileList!$A$1:$A$1000,MATCH(TRUE(),EXACT(K66,IFERROR(_xlfn.TEXTBEFORE(AUTO_Public_TSV_FileList!$A$1:$A$1000,".tsv"),"")),0)),"notfound")</f>
        <v>10.1016%2Fj.tree.2018.03.001_TableS1.tsv</v>
      </c>
      <c r="P66" s="1" t="s">
        <v>36</v>
      </c>
    </row>
    <row r="67" spans="1:33" ht="17.100000000000001" customHeight="1">
      <c r="A67" s="1" t="s">
        <v>315</v>
      </c>
      <c r="D67" s="1" t="s">
        <v>316</v>
      </c>
      <c r="E67" s="5" t="str">
        <f t="shared" si="9"/>
        <v>Changizi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5" t="str">
        <f t="shared" si="7"/>
        <v>2001</v>
      </c>
      <c r="H67" s="5" t="str">
        <f t="shared" si="10"/>
        <v>Changizi__2001</v>
      </c>
      <c r="I67" s="5" t="str">
        <f t="shared" si="8"/>
        <v>10.1007%2Fs004220000205</v>
      </c>
      <c r="J67" s="5" t="str">
        <f t="shared" si="11"/>
        <v>Changizi__2001_Figure3</v>
      </c>
      <c r="K67" s="5" t="str">
        <f t="shared" si="12"/>
        <v>10.1007%2Fs004220000205_Figure3</v>
      </c>
      <c r="L67" s="5"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spans="1:33" ht="17.100000000000001" customHeight="1">
      <c r="A68" s="4" t="s">
        <v>321</v>
      </c>
      <c r="B68" s="3"/>
      <c r="C68" s="3"/>
      <c r="D68" s="4" t="s">
        <v>81</v>
      </c>
      <c r="E68" s="5" t="str">
        <f t="shared" si="9"/>
        <v>Changizi</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5" t="str">
        <f t="shared" si="7"/>
        <v>2003</v>
      </c>
      <c r="H68" s="5" t="str">
        <f t="shared" si="10"/>
        <v>Changizi__2003</v>
      </c>
      <c r="I68" s="5" t="str">
        <f t="shared" si="8"/>
        <v>10.1006%2Fjtbi.2003.3125</v>
      </c>
      <c r="J68" s="5" t="str">
        <f t="shared" si="11"/>
        <v>Changizi__2003_Table1</v>
      </c>
      <c r="K68" s="5" t="str">
        <f t="shared" si="12"/>
        <v>10.1006%2Fjtbi.2003.3125_Table1</v>
      </c>
      <c r="L68" s="5"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spans="1:33" ht="17.100000000000001" customHeight="1">
      <c r="A69" s="1" t="s">
        <v>330</v>
      </c>
      <c r="D69" s="1" t="s">
        <v>81</v>
      </c>
      <c r="E69" s="5" t="str">
        <f t="shared" si="9"/>
        <v>Changizi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5" t="str">
        <f>_xlfn.TEXTBEFORE(_xlfn.TEXTAFTER(A69, "("), ")")</f>
        <v>2005</v>
      </c>
      <c r="H69" s="5" t="str">
        <f t="shared" si="10"/>
        <v>Changizi_Shimojo_2005</v>
      </c>
      <c r="I69" s="5" t="str">
        <f t="shared" si="8"/>
        <v>10.1159%2F000085942</v>
      </c>
      <c r="J69" s="5" t="str">
        <f t="shared" si="11"/>
        <v>Changizi_Shimojo_2005_Table1</v>
      </c>
      <c r="K69" s="5" t="str">
        <f t="shared" si="12"/>
        <v>10.1159%2F000085942_Table1</v>
      </c>
      <c r="L69" s="5"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spans="1:33" ht="17.100000000000001" customHeight="1">
      <c r="A70" s="1" t="s">
        <v>330</v>
      </c>
      <c r="D70" s="1" t="s">
        <v>70</v>
      </c>
      <c r="E70" s="5" t="str">
        <f t="shared" si="9"/>
        <v>Changizi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5" t="str">
        <f t="shared" ref="G70:G87" si="13">_xlfn.TEXTBEFORE(_xlfn.TEXTAFTER(A70, "("), ")")</f>
        <v>2005</v>
      </c>
      <c r="H70" s="5" t="str">
        <f t="shared" si="10"/>
        <v>Changizi_Shimojo_2005</v>
      </c>
      <c r="I70" s="5" t="str">
        <f t="shared" si="8"/>
        <v>10.1159%2F000085942</v>
      </c>
      <c r="J70" s="5" t="str">
        <f t="shared" si="11"/>
        <v>Changizi_Shimojo_2005_Table2</v>
      </c>
      <c r="K70" s="5" t="str">
        <f t="shared" si="12"/>
        <v>10.1159%2F000085942_Table2</v>
      </c>
      <c r="L70" s="5"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spans="1:33" ht="17.100000000000001" customHeight="1">
      <c r="A71" s="1" t="s">
        <v>330</v>
      </c>
      <c r="D71" s="1" t="s">
        <v>72</v>
      </c>
      <c r="E71" s="5" t="str">
        <f t="shared" si="9"/>
        <v>Changizi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5" t="str">
        <f t="shared" si="13"/>
        <v>2005</v>
      </c>
      <c r="H71" s="5" t="str">
        <f t="shared" si="10"/>
        <v>Changizi_Shimojo_2005</v>
      </c>
      <c r="I71" s="5" t="str">
        <f t="shared" si="8"/>
        <v>10.1159%2F000085942</v>
      </c>
      <c r="J71" s="5" t="str">
        <f t="shared" si="11"/>
        <v>Changizi_Shimojo_2005_Table3</v>
      </c>
      <c r="K71" s="5" t="str">
        <f t="shared" si="12"/>
        <v>10.1159%2F000085942_Table3</v>
      </c>
      <c r="L71" s="5"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spans="1:33" ht="17.100000000000001" customHeight="1">
      <c r="A72" s="1" t="s">
        <v>330</v>
      </c>
      <c r="D72" s="1" t="s">
        <v>34</v>
      </c>
      <c r="E72" s="5" t="str">
        <f t="shared" si="9"/>
        <v>Changizi</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5" t="str">
        <f t="shared" si="13"/>
        <v>2005</v>
      </c>
      <c r="H72" s="5" t="str">
        <f t="shared" si="10"/>
        <v>Changizi_Shimojo_2005</v>
      </c>
      <c r="I72" s="5" t="str">
        <f t="shared" si="8"/>
        <v>10.1159%2F000085942</v>
      </c>
      <c r="J72" s="5" t="str">
        <f t="shared" si="11"/>
        <v>Changizi_Shimojo_2005_Table4</v>
      </c>
      <c r="K72" s="5" t="str">
        <f t="shared" si="12"/>
        <v>10.1159%2F000085942_Table4</v>
      </c>
      <c r="L72" s="5"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spans="1:33" ht="17.100000000000001" customHeight="1">
      <c r="A73" s="1" t="s">
        <v>330</v>
      </c>
      <c r="D73" s="1" t="s">
        <v>74</v>
      </c>
      <c r="E73" s="5" t="str">
        <f t="shared" si="9"/>
        <v>Changizi</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5" t="str">
        <f t="shared" si="13"/>
        <v>2005</v>
      </c>
      <c r="H73" s="5" t="str">
        <f t="shared" si="10"/>
        <v>Changizi_Shimojo_2005</v>
      </c>
      <c r="I73" s="5" t="str">
        <f t="shared" si="8"/>
        <v>10.1159%2F000085942</v>
      </c>
      <c r="J73" s="5" t="str">
        <f t="shared" si="11"/>
        <v>Changizi_Shimojo_2005_Table5</v>
      </c>
      <c r="K73" s="5" t="str">
        <f t="shared" si="12"/>
        <v>10.1159%2F000085942_Table5</v>
      </c>
      <c r="L73" s="5"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spans="1:33" ht="17.100000000000001" customHeight="1">
      <c r="A74" s="2" t="s">
        <v>347</v>
      </c>
      <c r="D74" s="2" t="s">
        <v>348</v>
      </c>
      <c r="E74" s="5" t="str">
        <f t="shared" si="9"/>
        <v>Chaplin</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si="13"/>
        <v>2013</v>
      </c>
      <c r="H74" s="5" t="str">
        <f t="shared" si="10"/>
        <v>Chaplin_etal_2013</v>
      </c>
      <c r="I74" s="5" t="str">
        <f t="shared" si="8"/>
        <v>10.1523%2FJNEUROSCI.2909-13.2013</v>
      </c>
      <c r="J74" s="5" t="str">
        <f t="shared" si="11"/>
        <v>Chaplin_etal_2013_ResultsText</v>
      </c>
      <c r="K74" s="5" t="str">
        <f t="shared" si="12"/>
        <v>10.1523%2FJNEUROSCI.2909-13.2013_ResultsText</v>
      </c>
      <c r="L74" s="5"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spans="1:33" ht="17.100000000000001" customHeight="1">
      <c r="A75" s="1" t="s">
        <v>357</v>
      </c>
      <c r="D75" s="1" t="s">
        <v>358</v>
      </c>
      <c r="E75" s="5" t="str">
        <f t="shared" si="9"/>
        <v>Chen</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5" t="str">
        <f t="shared" si="13"/>
        <v>2020</v>
      </c>
      <c r="H75" s="5" t="str">
        <f t="shared" si="10"/>
        <v>Chen_Wiens_2020</v>
      </c>
      <c r="I75" s="5" t="str">
        <f t="shared" si="8"/>
        <v>10.1038%2Fs41467-020-14356-3</v>
      </c>
      <c r="J75" s="5" t="str">
        <f t="shared" si="11"/>
        <v>Chen_Wiens_2020_SupplementaryData3</v>
      </c>
      <c r="K75" s="5" t="str">
        <f t="shared" si="12"/>
        <v>10.1038%2Fs41467-020-14356-3_SupplementaryData3</v>
      </c>
      <c r="L75" s="5"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spans="1:33" ht="17.100000000000001" customHeight="1">
      <c r="A76" s="1" t="s">
        <v>365</v>
      </c>
      <c r="D76" s="1" t="s">
        <v>366</v>
      </c>
      <c r="E76" s="5" t="str">
        <f t="shared" si="9"/>
        <v>Collins</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5" t="str">
        <f t="shared" si="13"/>
        <v>2010</v>
      </c>
      <c r="H76" s="5" t="str">
        <f t="shared" si="10"/>
        <v>Collins_etal_2010</v>
      </c>
      <c r="I76" s="5" t="str">
        <f t="shared" si="8"/>
        <v>10.1073%2Fpnas.1010356107</v>
      </c>
      <c r="J76" s="5" t="str">
        <f t="shared" si="11"/>
        <v>Collins_etal_2010_DatasetS1</v>
      </c>
      <c r="K76" s="5" t="str">
        <f t="shared" si="12"/>
        <v>10.1073%2Fpnas.1010356107_DatasetS1</v>
      </c>
      <c r="L76" s="5"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spans="1:33" ht="17.100000000000001" customHeight="1">
      <c r="A77" s="1" t="s">
        <v>369</v>
      </c>
      <c r="D77" s="1" t="s">
        <v>81</v>
      </c>
      <c r="E77" s="5" t="str">
        <f t="shared" si="9"/>
        <v>Collins</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5" t="str">
        <f t="shared" si="13"/>
        <v>2016</v>
      </c>
      <c r="H77" s="5" t="str">
        <f t="shared" si="10"/>
        <v>Collins_etal_2016</v>
      </c>
      <c r="I77" s="5" t="str">
        <f t="shared" si="8"/>
        <v>10.1073%2Fpnas.1524208113</v>
      </c>
      <c r="J77" s="5" t="str">
        <f t="shared" si="11"/>
        <v>Collins_etal_2016_Table1</v>
      </c>
      <c r="K77" s="5" t="str">
        <f t="shared" si="12"/>
        <v>10.1073%2Fpnas.1524208113_Table1</v>
      </c>
      <c r="L77" s="5"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spans="1:33" ht="17.100000000000001" customHeight="1">
      <c r="A78" s="1" t="s">
        <v>373</v>
      </c>
      <c r="D78" s="1" t="s">
        <v>81</v>
      </c>
      <c r="E78" s="5" t="str">
        <f t="shared" si="9"/>
        <v>deJager</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5" t="str">
        <f t="shared" si="13"/>
        <v>2022</v>
      </c>
      <c r="H78" s="5" t="str">
        <f t="shared" si="10"/>
        <v>deJager_etal_2022</v>
      </c>
      <c r="I78" s="5" t="str">
        <f t="shared" si="8"/>
        <v>10.1111%2Fjoa.13681</v>
      </c>
      <c r="J78" s="5" t="str">
        <f t="shared" si="11"/>
        <v>deJager_etal_2022_Table1</v>
      </c>
      <c r="K78" s="5" t="str">
        <f t="shared" si="12"/>
        <v>10.1111%2Fjoa.13681_Table1</v>
      </c>
      <c r="L78" s="5" t="str">
        <f t="array" ref="L78">IFERROR(INDEX(AUTO_Public_TSV_FileList!$A$1:$A$1000,MATCH(TRUE(),EXACT(K78,IFERROR(_xlfn.TEXTBEFORE(AUTO_Public_TSV_FileList!$A$1:$A$1000,".tsv"),"")),0)),"notfound")</f>
        <v>10.1111%2Fjoa.13681_Table1.tsv</v>
      </c>
      <c r="P78" s="1" t="s">
        <v>36</v>
      </c>
    </row>
    <row r="79" spans="1:33" ht="17.100000000000001" customHeight="1">
      <c r="A79" s="1" t="s">
        <v>374</v>
      </c>
      <c r="D79" s="1" t="s">
        <v>81</v>
      </c>
      <c r="E79" s="5" t="str">
        <f t="shared" si="9"/>
        <v>deSousa</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5" t="str">
        <f t="shared" si="13"/>
        <v>2013</v>
      </c>
      <c r="H79" s="5" t="str">
        <f t="shared" si="10"/>
        <v>deSousa_etal_2013</v>
      </c>
      <c r="I79" s="5" t="str">
        <f t="shared" si="8"/>
        <v>10.1159%2F000346495</v>
      </c>
      <c r="J79" s="5" t="str">
        <f t="shared" si="11"/>
        <v>deSousa_etal_2013_Table1</v>
      </c>
      <c r="K79" s="5" t="str">
        <f t="shared" si="12"/>
        <v>10.1159%2F000346495_Table1</v>
      </c>
      <c r="L79" s="5" t="str">
        <f t="array" ref="L79">IFERROR(INDEX(AUTO_Public_TSV_FileList!$A$1:$A$1000,MATCH(TRUE(),EXACT(K79,IFERROR(_xlfn.TEXTBEFORE(AUTO_Public_TSV_FileList!$A$1:$A$1000,".tsv"),"")),0)),"notfound")</f>
        <v>10.1159%2F000346495_Table1.tsv</v>
      </c>
      <c r="M79" s="1" t="s">
        <v>375</v>
      </c>
      <c r="N79" s="1" t="s">
        <v>35</v>
      </c>
      <c r="P79" s="1" t="s">
        <v>36</v>
      </c>
      <c r="Q79" s="1"/>
      <c r="W79" s="1" t="s">
        <v>376</v>
      </c>
      <c r="X79" s="1" t="s">
        <v>377</v>
      </c>
      <c r="Z79" s="1" t="s">
        <v>83</v>
      </c>
      <c r="AA79" s="1" t="s">
        <v>123</v>
      </c>
      <c r="AB79" s="1" t="s">
        <v>90</v>
      </c>
      <c r="AC79" s="1" t="s">
        <v>378</v>
      </c>
      <c r="AD79" s="1" t="s">
        <v>379</v>
      </c>
      <c r="AE79" s="1" t="s">
        <v>66</v>
      </c>
      <c r="AF79" s="1"/>
    </row>
    <row r="80" spans="1:33" ht="17.100000000000001" customHeight="1">
      <c r="A80" s="1" t="s">
        <v>380</v>
      </c>
      <c r="D80" s="1" t="s">
        <v>381</v>
      </c>
      <c r="E80" s="5" t="str">
        <f t="shared" si="9"/>
        <v>deSousa</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5" t="str">
        <f t="shared" si="13"/>
        <v>2010</v>
      </c>
      <c r="H80" s="5" t="str">
        <f t="shared" si="10"/>
        <v>deSousa_etal_2010</v>
      </c>
      <c r="I80" s="5" t="str">
        <f t="shared" si="8"/>
        <v>10.1016%2Fj.jhevol.2009.11.011</v>
      </c>
      <c r="J80" s="6" t="str">
        <f t="shared" si="11"/>
        <v>deSousa_etal_2010_SupTable2</v>
      </c>
      <c r="K80" s="5" t="str">
        <f t="shared" si="12"/>
        <v>10.1016%2Fj.jhevol.2009.11.011_SupTable2</v>
      </c>
      <c r="L80" s="5" t="str">
        <f t="array" ref="L80">IFERROR(INDEX(AUTO_Public_TSV_FileList!$A$1:$A$1000,MATCH(TRUE(),EXACT(K80,IFERROR(_xlfn.TEXTBEFORE(AUTO_Public_TSV_FileList!$A$1:$A$1000,".tsv"),"")),0)),"notfound")</f>
        <v>10.1016%2Fj.jhevol.2009.11.011_SupTable2.tsv</v>
      </c>
      <c r="M80" s="1" t="s">
        <v>382</v>
      </c>
      <c r="N80" s="1" t="s">
        <v>35</v>
      </c>
      <c r="O80" s="1"/>
      <c r="P80" s="1" t="s">
        <v>36</v>
      </c>
      <c r="Q80" s="1"/>
      <c r="R80" s="1" t="s">
        <v>383</v>
      </c>
      <c r="S80" s="1" t="s">
        <v>384</v>
      </c>
      <c r="T80" s="1" t="s">
        <v>385</v>
      </c>
      <c r="U80" s="1" t="s">
        <v>386</v>
      </c>
      <c r="W80" s="1" t="s">
        <v>387</v>
      </c>
      <c r="X80" s="1" t="s">
        <v>388</v>
      </c>
      <c r="Z80" s="1" t="s">
        <v>83</v>
      </c>
      <c r="AA80" s="1" t="s">
        <v>123</v>
      </c>
      <c r="AB80" s="1" t="s">
        <v>90</v>
      </c>
      <c r="AC80" s="1" t="s">
        <v>378</v>
      </c>
      <c r="AD80" s="1" t="s">
        <v>379</v>
      </c>
      <c r="AE80" s="1" t="s">
        <v>66</v>
      </c>
      <c r="AF80" s="1"/>
      <c r="AG80" s="1" t="s">
        <v>389</v>
      </c>
    </row>
    <row r="81" spans="1:33" ht="17.100000000000001" customHeight="1">
      <c r="A81" s="1" t="s">
        <v>380</v>
      </c>
      <c r="D81" s="1" t="s">
        <v>81</v>
      </c>
      <c r="E81" s="5" t="str">
        <f t="shared" si="9"/>
        <v>deSousa</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5" t="str">
        <f t="shared" si="13"/>
        <v>2010</v>
      </c>
      <c r="H81" s="5" t="str">
        <f t="shared" si="10"/>
        <v>deSousa_etal_2010</v>
      </c>
      <c r="I81" s="5" t="str">
        <f t="shared" si="8"/>
        <v>10.1016%2Fj.jhevol.2009.11.011</v>
      </c>
      <c r="J81" s="5" t="str">
        <f t="shared" si="11"/>
        <v>deSousa_etal_2010_Table1</v>
      </c>
      <c r="K81" s="5" t="str">
        <f t="shared" si="12"/>
        <v>10.1016%2Fj.jhevol.2009.11.011_Table1</v>
      </c>
      <c r="L81" s="5" t="str">
        <f t="array" ref="L81">IFERROR(INDEX(AUTO_Public_TSV_FileList!$A$1:$A$1000,MATCH(TRUE(),EXACT(K81,IFERROR(_xlfn.TEXTBEFORE(AUTO_Public_TSV_FileList!$A$1:$A$1000,".tsv"),"")),0)),"notfound")</f>
        <v>10.1016%2Fj.jhevol.2009.11.011_Table1.tsv</v>
      </c>
      <c r="M81" s="1" t="s">
        <v>390</v>
      </c>
      <c r="N81" s="1" t="s">
        <v>35</v>
      </c>
      <c r="P81" s="1" t="s">
        <v>36</v>
      </c>
      <c r="W81" s="1" t="s">
        <v>387</v>
      </c>
      <c r="X81" s="1" t="s">
        <v>391</v>
      </c>
      <c r="Z81" s="1" t="s">
        <v>392</v>
      </c>
      <c r="AA81" s="1" t="s">
        <v>123</v>
      </c>
      <c r="AB81" s="1" t="s">
        <v>90</v>
      </c>
      <c r="AC81" s="1" t="s">
        <v>378</v>
      </c>
      <c r="AD81" s="1" t="s">
        <v>379</v>
      </c>
      <c r="AE81" s="1" t="s">
        <v>66</v>
      </c>
      <c r="AF81" s="1"/>
    </row>
    <row r="82" spans="1:33" ht="17.100000000000001" customHeight="1">
      <c r="A82" s="1" t="s">
        <v>393</v>
      </c>
      <c r="D82" s="1" t="s">
        <v>81</v>
      </c>
      <c r="E82" s="5" t="str">
        <f t="shared" si="9"/>
        <v>deSousa</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13"/>
        <v>2009</v>
      </c>
      <c r="H82" s="5" t="str">
        <f t="shared" si="10"/>
        <v>deSousa_etal_2009</v>
      </c>
      <c r="I82" s="5" t="str">
        <f t="shared" si="8"/>
        <v>10.1093%2Fcercor%2Fbhp158</v>
      </c>
      <c r="J82" s="5" t="str">
        <f t="shared" si="11"/>
        <v>deSousa_etal_2009_Table1</v>
      </c>
      <c r="K82" s="5" t="str">
        <f t="shared" si="12"/>
        <v>10.1093%2Fcercor%2Fbhp158_Table1</v>
      </c>
      <c r="L82" s="5" t="str">
        <f t="array" ref="L82">IFERROR(INDEX(AUTO_Public_TSV_FileList!$A$1:$A$1000,MATCH(TRUE(),EXACT(K82,IFERROR(_xlfn.TEXTBEFORE(AUTO_Public_TSV_FileList!$A$1:$A$1000,".tsv"),"")),0)),"notfound")</f>
        <v>10.1093%2Fcercor%2Fbhp158_Table1.tsv</v>
      </c>
      <c r="M82" s="1" t="s">
        <v>394</v>
      </c>
      <c r="N82" s="1" t="s">
        <v>35</v>
      </c>
      <c r="P82" s="2" t="s">
        <v>36</v>
      </c>
      <c r="R82" s="2" t="s">
        <v>395</v>
      </c>
      <c r="S82" s="2" t="s">
        <v>396</v>
      </c>
      <c r="U82" s="2" t="s">
        <v>397</v>
      </c>
      <c r="W82" s="2" t="s">
        <v>398</v>
      </c>
      <c r="X82" s="1" t="s">
        <v>399</v>
      </c>
      <c r="Z82" s="1" t="s">
        <v>83</v>
      </c>
      <c r="AA82" s="1" t="s">
        <v>400</v>
      </c>
      <c r="AB82" s="1" t="s">
        <v>401</v>
      </c>
      <c r="AC82" s="1" t="s">
        <v>378</v>
      </c>
      <c r="AD82" s="1" t="s">
        <v>378</v>
      </c>
      <c r="AE82" s="1" t="s">
        <v>172</v>
      </c>
      <c r="AF82" s="1"/>
      <c r="AG82" s="2" t="s">
        <v>402</v>
      </c>
    </row>
    <row r="83" spans="1:33" ht="17.100000000000001" customHeight="1">
      <c r="A83" s="1" t="s">
        <v>393</v>
      </c>
      <c r="D83" s="1" t="s">
        <v>70</v>
      </c>
      <c r="E83" s="5" t="str">
        <f t="shared" si="9"/>
        <v>deSousa</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5" t="str">
        <f t="shared" si="13"/>
        <v>2009</v>
      </c>
      <c r="H83" s="5" t="str">
        <f t="shared" si="10"/>
        <v>deSousa_etal_2009</v>
      </c>
      <c r="I83" s="5" t="str">
        <f t="shared" si="8"/>
        <v>10.1093%2Fcercor%2Fbhp158</v>
      </c>
      <c r="J83" s="5" t="str">
        <f t="shared" si="11"/>
        <v>deSousa_etal_2009_Table2</v>
      </c>
      <c r="K83" s="5" t="str">
        <f t="shared" si="12"/>
        <v>10.1093%2Fcercor%2Fbhp158_Table2</v>
      </c>
      <c r="L83" s="5" t="str">
        <f t="array" ref="L83">IFERROR(INDEX(AUTO_Public_TSV_FileList!$A$1:$A$1000,MATCH(TRUE(),EXACT(K83,IFERROR(_xlfn.TEXTBEFORE(AUTO_Public_TSV_FileList!$A$1:$A$1000,".tsv"),"")),0)),"notfound")</f>
        <v>10.1093%2Fcercor%2Fbhp158_Table2.tsv</v>
      </c>
      <c r="M83" s="1" t="s">
        <v>403</v>
      </c>
      <c r="N83" s="1" t="s">
        <v>35</v>
      </c>
      <c r="R83" s="2" t="s">
        <v>395</v>
      </c>
      <c r="S83" s="2" t="s">
        <v>396</v>
      </c>
      <c r="U83" s="2" t="s">
        <v>397</v>
      </c>
      <c r="W83" s="2" t="s">
        <v>398</v>
      </c>
      <c r="X83" s="1" t="s">
        <v>399</v>
      </c>
      <c r="Z83" s="1" t="s">
        <v>83</v>
      </c>
      <c r="AA83" s="1" t="s">
        <v>400</v>
      </c>
      <c r="AB83" s="1" t="s">
        <v>401</v>
      </c>
      <c r="AC83" s="1" t="s">
        <v>378</v>
      </c>
      <c r="AD83" s="1" t="s">
        <v>378</v>
      </c>
      <c r="AE83" s="1" t="s">
        <v>172</v>
      </c>
      <c r="AF83" s="1"/>
      <c r="AG83" s="2" t="s">
        <v>402</v>
      </c>
    </row>
    <row r="84" spans="1:33" ht="17.100000000000001" customHeight="1">
      <c r="A84" s="2" t="s">
        <v>404</v>
      </c>
      <c r="D84" s="2" t="s">
        <v>405</v>
      </c>
      <c r="E84" s="5" t="str">
        <f t="shared" si="9"/>
        <v>deSousa</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13"/>
        <v>2022</v>
      </c>
      <c r="H84" s="5" t="str">
        <f t="shared" si="10"/>
        <v>deSousa_etal_2022</v>
      </c>
      <c r="I84" s="5" t="str">
        <f t="shared" si="8"/>
        <v>10.1016%2Fj.neubiorev.2022.104550</v>
      </c>
      <c r="J84" s="5" t="str">
        <f t="shared" si="11"/>
        <v>deSousa_etal_2022_acuityblind.csv</v>
      </c>
      <c r="K84" s="5" t="str">
        <f t="shared" si="12"/>
        <v>10.1016%2Fj.neubiorev.2022.104550_acuityblind.csv</v>
      </c>
      <c r="L84" s="5" t="str">
        <f t="array" ref="L84">IFERROR(INDEX(AUTO_Public_TSV_FileList!$A$1:$A$1000,MATCH(TRUE(),EXACT(K84,IFERROR(_xlfn.TEXTBEFORE(AUTO_Public_TSV_FileList!$A$1:$A$1000,".tsv"),"")),0)),"notfound")</f>
        <v>10.1016%2Fj.neubiorev.2022.104550_acuityblind.csv.tsv</v>
      </c>
      <c r="M84" s="2" t="s">
        <v>405</v>
      </c>
    </row>
    <row r="85" spans="1:33" ht="17.100000000000001" customHeight="1">
      <c r="A85" s="4" t="s">
        <v>406</v>
      </c>
      <c r="B85" s="3"/>
      <c r="C85" s="3"/>
      <c r="D85" s="4" t="s">
        <v>81</v>
      </c>
      <c r="E85" s="5" t="str">
        <f t="shared" si="9"/>
        <v>Deaner</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13"/>
        <v>2006</v>
      </c>
      <c r="H85" s="5" t="str">
        <f t="shared" si="10"/>
        <v>Deaner_etal_2006</v>
      </c>
      <c r="I85" s="5" t="str">
        <f t="shared" si="8"/>
        <v>10.1177%2F147470490600400114</v>
      </c>
      <c r="J85" s="5" t="str">
        <f t="shared" si="11"/>
        <v>Deaner_etal_2006_Table1</v>
      </c>
      <c r="K85" s="5" t="str">
        <f t="shared" si="12"/>
        <v>10.1177%2F147470490600400114_Table1</v>
      </c>
      <c r="L85" s="5" t="str">
        <f t="array" ref="L85">IFERROR(INDEX(AUTO_Public_TSV_FileList!$A$1:$A$1000,MATCH(TRUE(),EXACT(K85,IFERROR(_xlfn.TEXTBEFORE(AUTO_Public_TSV_FileList!$A$1:$A$1000,".tsv"),"")),0)),"notfound")</f>
        <v>10.1177%2F147470490600400114_Table1.tsv</v>
      </c>
      <c r="M85" s="3" t="s">
        <v>407</v>
      </c>
      <c r="N85" s="1" t="s">
        <v>35</v>
      </c>
      <c r="Q85" s="3"/>
      <c r="R85" s="3"/>
      <c r="S85" s="3" t="s">
        <v>324</v>
      </c>
      <c r="T85" s="3" t="s">
        <v>325</v>
      </c>
      <c r="U85" s="3"/>
      <c r="V85" s="3" t="s">
        <v>326</v>
      </c>
      <c r="W85" s="4" t="s">
        <v>93</v>
      </c>
      <c r="X85" s="3" t="s">
        <v>408</v>
      </c>
      <c r="Y85" s="3" t="s">
        <v>408</v>
      </c>
      <c r="Z85" s="3"/>
      <c r="AA85" s="3"/>
      <c r="AB85" s="4" t="s">
        <v>409</v>
      </c>
      <c r="AD85" s="3"/>
      <c r="AE85" s="4" t="s">
        <v>66</v>
      </c>
      <c r="AF85" s="4"/>
      <c r="AG85" s="2" t="s">
        <v>410</v>
      </c>
    </row>
    <row r="86" spans="1:33" ht="17.100000000000001" customHeight="1">
      <c r="A86" s="1" t="s">
        <v>411</v>
      </c>
      <c r="D86" s="1" t="s">
        <v>412</v>
      </c>
      <c r="E86" s="5" t="str">
        <f t="shared" si="9"/>
        <v>DeCasien</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6" s="5" t="str">
        <f t="shared" si="13"/>
        <v>2019</v>
      </c>
      <c r="H86" s="5" t="str">
        <f t="shared" si="10"/>
        <v>DeCasien_Higham_2019</v>
      </c>
      <c r="I86" s="5" t="str">
        <f t="shared" si="8"/>
        <v>10.1038%2Fs41559-019-0969-0</v>
      </c>
      <c r="J86" s="5" t="str">
        <f t="shared" si="11"/>
        <v>DeCasien_Higham_2019_SupplementaryData1-ActivityPeriod</v>
      </c>
      <c r="K86" s="5" t="str">
        <f t="shared" si="12"/>
        <v>10.1038%2Fs41559-019-0969-0_SupplementaryData1-ActivityPeriod</v>
      </c>
      <c r="L86" s="5" t="str">
        <f t="array" ref="L86">IFERROR(INDEX(AUTO_Public_TSV_FileList!$A$1:$A$1000,MATCH(TRUE(),EXACT(K86,IFERROR(_xlfn.TEXTBEFORE(AUTO_Public_TSV_FileList!$A$1:$A$1000,".tsv"),"")),0)),"notfound")</f>
        <v>notfound</v>
      </c>
      <c r="M86" s="1" t="s">
        <v>412</v>
      </c>
      <c r="N86" s="1" t="s">
        <v>35</v>
      </c>
      <c r="R86" s="1" t="s">
        <v>413</v>
      </c>
      <c r="W86" s="1" t="s">
        <v>93</v>
      </c>
      <c r="X86" s="1" t="s">
        <v>414</v>
      </c>
      <c r="Z86" s="1" t="s">
        <v>83</v>
      </c>
      <c r="AB86" s="1" t="s">
        <v>415</v>
      </c>
      <c r="AE86" s="1" t="s">
        <v>172</v>
      </c>
      <c r="AF86" s="1"/>
    </row>
    <row r="87" spans="1:33" ht="17.100000000000001" customHeight="1">
      <c r="A87" s="1" t="s">
        <v>411</v>
      </c>
      <c r="D87" s="1" t="s">
        <v>416</v>
      </c>
      <c r="E87" s="5" t="str">
        <f t="shared" si="9"/>
        <v>DeCasien</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5" t="str">
        <f t="shared" si="13"/>
        <v>2019</v>
      </c>
      <c r="H87" s="5" t="str">
        <f t="shared" si="10"/>
        <v>DeCasien_Higham_2019</v>
      </c>
      <c r="I87" s="5" t="str">
        <f t="shared" si="8"/>
        <v>10.1038%2Fs41559-019-0969-0</v>
      </c>
      <c r="J87" s="5" t="str">
        <f t="shared" si="11"/>
        <v>DeCasien_Higham_2019_SupplementaryData1-BrainRegion</v>
      </c>
      <c r="K87" s="5" t="str">
        <f t="shared" si="12"/>
        <v>10.1038%2Fs41559-019-0969-0_SupplementaryData1-BrainRegion</v>
      </c>
      <c r="L87" s="5" t="str">
        <f t="array" ref="L87">IFERROR(INDEX(AUTO_Public_TSV_FileList!$A$1:$A$1000,MATCH(TRUE(),EXACT(K87,IFERROR(_xlfn.TEXTBEFORE(AUTO_Public_TSV_FileList!$A$1:$A$1000,".tsv"),"")),0)),"notfound")</f>
        <v>notfound</v>
      </c>
      <c r="M87" s="1" t="s">
        <v>416</v>
      </c>
      <c r="N87" s="1" t="s">
        <v>35</v>
      </c>
      <c r="R87" s="1" t="s">
        <v>413</v>
      </c>
      <c r="W87" s="1" t="s">
        <v>93</v>
      </c>
      <c r="X87" s="1" t="s">
        <v>417</v>
      </c>
      <c r="Z87" s="1" t="s">
        <v>83</v>
      </c>
      <c r="AB87" s="1" t="s">
        <v>90</v>
      </c>
      <c r="AE87" s="1" t="s">
        <v>418</v>
      </c>
      <c r="AF87" s="1" t="s">
        <v>419</v>
      </c>
    </row>
    <row r="88" spans="1:33" ht="17.100000000000001" customHeight="1">
      <c r="A88" s="1" t="s">
        <v>411</v>
      </c>
      <c r="D88" s="1" t="s">
        <v>420</v>
      </c>
      <c r="E88" s="5" t="str">
        <f t="shared" si="9"/>
        <v>DeCasien</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5" t="str">
        <f>_xlfn.TEXTBEFORE(_xlfn.TEXTAFTER(A88, "("), ")")</f>
        <v>2019</v>
      </c>
      <c r="H88" s="5" t="str">
        <f t="shared" si="10"/>
        <v>DeCasien_Higham_2019</v>
      </c>
      <c r="I88" s="5" t="str">
        <f t="shared" si="8"/>
        <v>10.1038%2Fs41559-019-0969-0</v>
      </c>
      <c r="J88" s="5" t="str">
        <f t="shared" si="11"/>
        <v>DeCasien_Higham_2019_SupplementaryData1-Diet</v>
      </c>
      <c r="K88" s="5" t="str">
        <f t="shared" si="12"/>
        <v>10.1038%2Fs41559-019-0969-0_SupplementaryData1-Diet</v>
      </c>
      <c r="L88" s="5" t="str">
        <f t="array" ref="L88">IFERROR(INDEX(AUTO_Public_TSV_FileList!$A$1:$A$1000,MATCH(TRUE(),EXACT(K88,IFERROR(_xlfn.TEXTBEFORE(AUTO_Public_TSV_FileList!$A$1:$A$1000,".tsv"),"")),0)),"notfound")</f>
        <v>notfound</v>
      </c>
      <c r="M88" s="1" t="s">
        <v>420</v>
      </c>
      <c r="N88" s="1" t="s">
        <v>35</v>
      </c>
      <c r="R88" s="1" t="s">
        <v>413</v>
      </c>
      <c r="W88" s="1" t="s">
        <v>93</v>
      </c>
      <c r="X88" s="1" t="s">
        <v>421</v>
      </c>
      <c r="Z88" s="1" t="s">
        <v>83</v>
      </c>
      <c r="AB88" s="1" t="s">
        <v>422</v>
      </c>
      <c r="AE88" s="1" t="s">
        <v>172</v>
      </c>
      <c r="AF88" s="1"/>
    </row>
    <row r="89" spans="1:33" ht="17.100000000000001" customHeight="1">
      <c r="A89" s="1" t="s">
        <v>411</v>
      </c>
      <c r="D89" s="1" t="s">
        <v>423</v>
      </c>
      <c r="E89" s="5" t="str">
        <f t="shared" si="9"/>
        <v>DeCasien</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5" t="str">
        <f t="shared" ref="G89:G108" si="14">_xlfn.TEXTBEFORE(_xlfn.TEXTAFTER(A89, "("), ")")</f>
        <v>2019</v>
      </c>
      <c r="H89" s="5" t="str">
        <f t="shared" si="10"/>
        <v>DeCasien_Higham_2019</v>
      </c>
      <c r="I89" s="5" t="str">
        <f t="shared" si="8"/>
        <v>10.1038%2Fs41559-019-0969-0</v>
      </c>
      <c r="J89" s="5" t="str">
        <f t="shared" si="11"/>
        <v>DeCasien_Higham_2019_SupplementaryData1-SocialSystem</v>
      </c>
      <c r="K89" s="5" t="str">
        <f t="shared" si="12"/>
        <v>10.1038%2Fs41559-019-0969-0_SupplementaryData1-SocialSystem</v>
      </c>
      <c r="L89" s="5" t="str">
        <f t="array" ref="L89">IFERROR(INDEX(AUTO_Public_TSV_FileList!$A$1:$A$1000,MATCH(TRUE(),EXACT(K89,IFERROR(_xlfn.TEXTBEFORE(AUTO_Public_TSV_FileList!$A$1:$A$1000,".tsv"),"")),0)),"notfound")</f>
        <v>notfound</v>
      </c>
      <c r="M89" s="1" t="s">
        <v>423</v>
      </c>
      <c r="N89" s="1" t="s">
        <v>35</v>
      </c>
      <c r="P89" s="2"/>
      <c r="R89" s="1" t="s">
        <v>413</v>
      </c>
      <c r="W89" s="1" t="s">
        <v>93</v>
      </c>
      <c r="X89" s="1" t="s">
        <v>424</v>
      </c>
      <c r="Z89" s="1" t="s">
        <v>83</v>
      </c>
      <c r="AB89" s="1" t="s">
        <v>425</v>
      </c>
      <c r="AE89" s="1" t="s">
        <v>66</v>
      </c>
      <c r="AF89" s="1"/>
    </row>
    <row r="90" spans="1:33" ht="17.100000000000001" customHeight="1">
      <c r="A90" s="2" t="s">
        <v>426</v>
      </c>
      <c r="D90" s="2" t="s">
        <v>427</v>
      </c>
      <c r="E90" s="5" t="str">
        <f t="shared" si="9"/>
        <v>Demirci</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 t="shared" si="14"/>
        <v>2023</v>
      </c>
      <c r="H90" s="5" t="str">
        <f t="shared" si="10"/>
        <v>Demirci_etal_2023</v>
      </c>
      <c r="I90" s="5" t="str">
        <f t="shared" si="8"/>
        <v>10.1016%2Fj.neuroimage.2023.120283</v>
      </c>
      <c r="J90" s="5" t="str">
        <f t="shared" si="11"/>
        <v>Demirci_etal_2023_Fig.1</v>
      </c>
      <c r="K90" s="5" t="str">
        <f t="shared" si="12"/>
        <v>10.1016%2Fj.neuroimage.2023.120283_Fig.1</v>
      </c>
      <c r="L90" s="5" t="str">
        <f t="array" ref="L90">IFERROR(INDEX(AUTO_Public_TSV_FileList!$A$1:$A$1000,MATCH(TRUE(),EXACT(K90,IFERROR(_xlfn.TEXTBEFORE(AUTO_Public_TSV_FileList!$A$1:$A$1000,".tsv"),"")),0)),"notfound")</f>
        <v>10.1016%2Fj.neuroimage.2023.120283_Fig.1.tsv</v>
      </c>
      <c r="M90" s="2" t="s">
        <v>428</v>
      </c>
    </row>
    <row r="91" spans="1:33" ht="17.100000000000001" customHeight="1">
      <c r="A91" s="1" t="s">
        <v>429</v>
      </c>
      <c r="D91" s="1" t="s">
        <v>81</v>
      </c>
      <c r="E91" s="5" t="str">
        <f t="shared" si="9"/>
        <v>DosSantos</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 t="shared" si="14"/>
        <v>2020</v>
      </c>
      <c r="H91" s="5" t="str">
        <f t="shared" si="10"/>
        <v>DosSantos_etal_2020</v>
      </c>
      <c r="I91" s="5" t="str">
        <f t="shared" si="8"/>
        <v>10.1523%2FJNEUROSCI.2339-19.2020</v>
      </c>
      <c r="J91" s="5" t="str">
        <f t="shared" si="11"/>
        <v>DosSantos_etal_2020_Table1</v>
      </c>
      <c r="K91" s="5" t="str">
        <f t="shared" si="12"/>
        <v>10.1523%2FJNEUROSCI.2339-19.2020_Table1</v>
      </c>
      <c r="L91" s="5" t="str">
        <f t="array" ref="L91">IFERROR(INDEX(AUTO_Public_TSV_FileList!$A$1:$A$1000,MATCH(TRUE(),EXACT(K91,IFERROR(_xlfn.TEXTBEFORE(AUTO_Public_TSV_FileList!$A$1:$A$1000,".tsv"),"")),0)),"notfound")</f>
        <v>10.1523%2FJNEUROSCI.2339-19.2020_Table1.tsv</v>
      </c>
      <c r="N91" s="1" t="s">
        <v>35</v>
      </c>
      <c r="P91" s="1" t="s">
        <v>36</v>
      </c>
      <c r="Q91" s="1"/>
      <c r="S91" s="1" t="s">
        <v>430</v>
      </c>
      <c r="U91" s="1" t="s">
        <v>431</v>
      </c>
      <c r="V91" s="1" t="s">
        <v>432</v>
      </c>
      <c r="W91" s="1" t="s">
        <v>131</v>
      </c>
      <c r="X91" s="1" t="s">
        <v>433</v>
      </c>
      <c r="AA91" s="1" t="s">
        <v>63</v>
      </c>
      <c r="AB91" s="1" t="s">
        <v>434</v>
      </c>
      <c r="AC91" s="1" t="s">
        <v>65</v>
      </c>
      <c r="AD91" s="1" t="s">
        <v>65</v>
      </c>
      <c r="AE91" s="1" t="s">
        <v>66</v>
      </c>
      <c r="AF91" s="1"/>
    </row>
    <row r="92" spans="1:33" ht="17.100000000000001" customHeight="1">
      <c r="A92" s="1" t="s">
        <v>429</v>
      </c>
      <c r="D92" s="1" t="s">
        <v>435</v>
      </c>
      <c r="E92" s="5" t="str">
        <f t="shared" si="9"/>
        <v>DosSantos</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14"/>
        <v>2020</v>
      </c>
      <c r="H92" s="5" t="str">
        <f t="shared" si="10"/>
        <v>DosSantos_etal_2020</v>
      </c>
      <c r="I92" s="5" t="str">
        <f t="shared" si="8"/>
        <v>10.1523%2FJNEUROSCI.2339-19.2020</v>
      </c>
      <c r="J92" s="5" t="str">
        <f t="shared" si="11"/>
        <v>DosSantos_etal_2020_unpublished</v>
      </c>
      <c r="K92" s="5" t="str">
        <f t="shared" si="12"/>
        <v>10.1523%2FJNEUROSCI.2339-19.2020_unpublished</v>
      </c>
      <c r="L92" s="5" t="str">
        <f t="array" ref="L92">IFERROR(INDEX(AUTO_Public_TSV_FileList!$A$1:$A$1000,MATCH(TRUE(),EXACT(K92,IFERROR(_xlfn.TEXTBEFORE(AUTO_Public_TSV_FileList!$A$1:$A$1000,".tsv"),"")),0)),"notfound")</f>
        <v>10.1523%2FJNEUROSCI.2339-19.2020_unpublished.tsv</v>
      </c>
      <c r="N92" s="1" t="s">
        <v>35</v>
      </c>
      <c r="P92" s="1" t="s">
        <v>36</v>
      </c>
      <c r="Q92" s="1"/>
      <c r="R92" s="1" t="s">
        <v>436</v>
      </c>
      <c r="S92" s="1" t="s">
        <v>437</v>
      </c>
      <c r="V92" s="1" t="s">
        <v>432</v>
      </c>
      <c r="W92" s="1" t="s">
        <v>131</v>
      </c>
      <c r="X92" s="1" t="s">
        <v>433</v>
      </c>
      <c r="AA92" s="1" t="s">
        <v>63</v>
      </c>
      <c r="AB92" s="1" t="s">
        <v>434</v>
      </c>
      <c r="AC92" s="1" t="s">
        <v>65</v>
      </c>
      <c r="AD92" s="1" t="s">
        <v>65</v>
      </c>
      <c r="AE92" s="1" t="s">
        <v>66</v>
      </c>
      <c r="AF92" s="1"/>
    </row>
    <row r="93" spans="1:33" ht="17.100000000000001" customHeight="1">
      <c r="A93" s="1" t="s">
        <v>438</v>
      </c>
      <c r="D93" s="1" t="s">
        <v>314</v>
      </c>
      <c r="E93" s="5" t="str">
        <f t="shared" si="9"/>
        <v>DosSantos</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14"/>
        <v>2017</v>
      </c>
      <c r="H93" s="5" t="str">
        <f t="shared" si="10"/>
        <v>DosSantos_etal_2017</v>
      </c>
      <c r="I93" s="5" t="str">
        <f t="shared" si="8"/>
        <v>10.1159%2F000452856</v>
      </c>
      <c r="J93" s="5" t="str">
        <f t="shared" si="11"/>
        <v>DosSantos_etal_2017_TableS1</v>
      </c>
      <c r="K93" s="5" t="str">
        <f t="shared" si="12"/>
        <v>10.1159%2F000452856_TableS1</v>
      </c>
      <c r="L93" s="5" t="str">
        <f t="array" ref="L93">IFERROR(INDEX(AUTO_Public_TSV_FileList!$A$1:$A$1000,MATCH(TRUE(),EXACT(K93,IFERROR(_xlfn.TEXTBEFORE(AUTO_Public_TSV_FileList!$A$1:$A$1000,".tsv"),"")),0)),"notfound")</f>
        <v>10.1159%2F000452856_TableS1.tsv</v>
      </c>
      <c r="N93" s="1" t="s">
        <v>439</v>
      </c>
      <c r="P93" s="1" t="s">
        <v>36</v>
      </c>
      <c r="Q93" s="1"/>
      <c r="R93" s="1" t="s">
        <v>440</v>
      </c>
      <c r="S93" s="1" t="s">
        <v>441</v>
      </c>
      <c r="W93" s="1" t="s">
        <v>442</v>
      </c>
      <c r="X93" s="1" t="s">
        <v>433</v>
      </c>
      <c r="AA93" s="1" t="s">
        <v>63</v>
      </c>
      <c r="AB93" s="1" t="s">
        <v>64</v>
      </c>
      <c r="AC93" s="1" t="s">
        <v>65</v>
      </c>
      <c r="AD93" s="1" t="s">
        <v>65</v>
      </c>
      <c r="AE93" s="1" t="s">
        <v>66</v>
      </c>
      <c r="AF93" s="1"/>
    </row>
    <row r="94" spans="1:33" ht="17.100000000000001" customHeight="1">
      <c r="A94" s="1" t="s">
        <v>443</v>
      </c>
      <c r="D94" s="1" t="s">
        <v>58</v>
      </c>
      <c r="E94" s="5" t="str">
        <f t="shared" si="9"/>
        <v>Eagleman</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94" s="5" t="str">
        <f t="shared" si="14"/>
        <v>2021</v>
      </c>
      <c r="H94" s="5" t="str">
        <f t="shared" si="10"/>
        <v>Eagleman_Vaughn_2021</v>
      </c>
      <c r="I94" s="5" t="str">
        <f t="shared" si="8"/>
        <v>10.3389%2Ffnins.2021.632853</v>
      </c>
      <c r="J94" s="5" t="str">
        <f t="shared" si="11"/>
        <v>Eagleman_Vaughn_2021_TABLE1</v>
      </c>
      <c r="K94" s="5" t="str">
        <f t="shared" si="12"/>
        <v>10.3389%2Ffnins.2021.632853_TABLE1</v>
      </c>
      <c r="L94" s="5" t="str">
        <f t="array" ref="L94">IFERROR(INDEX(AUTO_Public_TSV_FileList!$A$1:$A$1000,MATCH(TRUE(),EXACT(K94,IFERROR(_xlfn.TEXTBEFORE(AUTO_Public_TSV_FileList!$A$1:$A$1000,".tsv"),"")),0)),"notfound")</f>
        <v>10.3389%2Ffnins.2021.632853_TABLE1.tsv</v>
      </c>
      <c r="M94" s="1" t="s">
        <v>444</v>
      </c>
      <c r="P94" s="1" t="s">
        <v>36</v>
      </c>
      <c r="W94" s="1" t="s">
        <v>131</v>
      </c>
      <c r="X94" s="1" t="s">
        <v>445</v>
      </c>
      <c r="AB94" s="1" t="s">
        <v>446</v>
      </c>
      <c r="AE94" s="1" t="s">
        <v>172</v>
      </c>
      <c r="AF94" s="1"/>
    </row>
    <row r="95" spans="1:33" ht="17.100000000000001" customHeight="1">
      <c r="A95" s="1" t="s">
        <v>447</v>
      </c>
      <c r="D95" s="1" t="s">
        <v>448</v>
      </c>
      <c r="E95" s="5" t="str">
        <f t="shared" si="9"/>
        <v>Ebinger</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95" s="5" t="str">
        <f t="shared" si="14"/>
        <v>1974</v>
      </c>
      <c r="H95" s="5" t="str">
        <f t="shared" si="10"/>
        <v>Ebinger__1974</v>
      </c>
      <c r="I95" s="5" t="str">
        <f t="shared" si="8"/>
        <v>10.1007%2FBF00522811</v>
      </c>
      <c r="J95" s="5" t="str">
        <f t="shared" si="11"/>
        <v>Ebinger__1974_Tables3-4</v>
      </c>
      <c r="K95" s="5" t="str">
        <f t="shared" si="12"/>
        <v>10.1007%2FBF00522811_Tables3-4</v>
      </c>
      <c r="L95" s="5" t="str">
        <f t="array" ref="L95">IFERROR(INDEX(AUTO_Public_TSV_FileList!$A$1:$A$1000,MATCH(TRUE(),EXACT(K95,IFERROR(_xlfn.TEXTBEFORE(AUTO_Public_TSV_FileList!$A$1:$A$1000,".tsv"),"")),0)),"notfound")</f>
        <v>10.1007%2FBF00522811_Tables3-4.tsv</v>
      </c>
      <c r="M95" s="1" t="s">
        <v>449</v>
      </c>
      <c r="P95" s="1" t="s">
        <v>36</v>
      </c>
      <c r="W95" s="1"/>
      <c r="X95" s="1"/>
      <c r="AB95" s="1"/>
      <c r="AE95" s="1" t="s">
        <v>66</v>
      </c>
      <c r="AF95" s="1"/>
    </row>
    <row r="96" spans="1:33" ht="17.100000000000001" customHeight="1">
      <c r="A96" s="3" t="s">
        <v>450</v>
      </c>
      <c r="B96" s="3"/>
      <c r="C96" s="3"/>
      <c r="D96" s="3" t="s">
        <v>451</v>
      </c>
      <c r="E96" s="5" t="str">
        <f t="shared" si="9"/>
        <v>Elston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96" s="5" t="str">
        <f t="shared" si="14"/>
        <v>2000</v>
      </c>
      <c r="H96" s="5" t="str">
        <f t="shared" si="10"/>
        <v>Elston__2000</v>
      </c>
      <c r="I96" s="5" t="str">
        <f t="shared" si="8"/>
        <v>10.1523%2FJNEUROSCI.20-18-j0002.2000</v>
      </c>
      <c r="J96" s="5" t="str">
        <f t="shared" si="11"/>
        <v>Elston__2000_Nonumbereddatatables;Figure2</v>
      </c>
      <c r="K96" s="5" t="str">
        <f t="shared" si="12"/>
        <v>10.1523%2FJNEUROSCI.20-18-j0002.2000_Nonumbereddatatables;Figure2</v>
      </c>
      <c r="L96" s="5" t="str">
        <f t="array" ref="L96">IFERROR(INDEX(AUTO_Public_TSV_FileList!$A$1:$A$1000,MATCH(TRUE(),EXACT(K96,IFERROR(_xlfn.TEXTBEFORE(AUTO_Public_TSV_FileList!$A$1:$A$1000,".tsv"),"")),0)),"notfound")</f>
        <v>notfound</v>
      </c>
      <c r="N96" s="3" t="s">
        <v>208</v>
      </c>
      <c r="P96" s="3"/>
      <c r="Q96" s="3"/>
      <c r="R96" s="3" t="s">
        <v>452</v>
      </c>
      <c r="S96" s="3"/>
      <c r="T96" s="3" t="s">
        <v>210</v>
      </c>
      <c r="U96" s="3"/>
      <c r="V96" s="3" t="s">
        <v>211</v>
      </c>
      <c r="W96" s="3" t="s">
        <v>93</v>
      </c>
      <c r="X96" s="3" t="s">
        <v>212</v>
      </c>
      <c r="Y96" s="3" t="s">
        <v>453</v>
      </c>
      <c r="Z96" s="3"/>
      <c r="AA96" s="3" t="s">
        <v>214</v>
      </c>
      <c r="AB96" s="3" t="s">
        <v>215</v>
      </c>
      <c r="AC96" s="3"/>
      <c r="AD96" s="3"/>
      <c r="AE96" s="3" t="s">
        <v>454</v>
      </c>
      <c r="AF96" s="3"/>
      <c r="AG96" s="3" t="s">
        <v>455</v>
      </c>
    </row>
    <row r="97" spans="1:33" ht="17.100000000000001" customHeight="1">
      <c r="A97" s="3" t="s">
        <v>456</v>
      </c>
      <c r="B97" s="3"/>
      <c r="C97" s="3"/>
      <c r="D97" s="3" t="s">
        <v>81</v>
      </c>
      <c r="E97" s="5" t="str">
        <f t="shared" si="9"/>
        <v>Elston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5" t="str">
        <f t="shared" si="14"/>
        <v>2001</v>
      </c>
      <c r="H97" s="5" t="str">
        <f t="shared" si="10"/>
        <v>Elston_etal_2001</v>
      </c>
      <c r="I97" s="5" t="str">
        <f t="shared" si="8"/>
        <v>10.1523%2FJNEUROSCI.21-17-j0002.2001</v>
      </c>
      <c r="J97" s="5" t="str">
        <f t="shared" si="11"/>
        <v>Elston_etal_2001_Table1</v>
      </c>
      <c r="K97" s="5" t="str">
        <f t="shared" si="12"/>
        <v>10.1523%2FJNEUROSCI.21-17-j0002.2001_Table1</v>
      </c>
      <c r="L97" s="5" t="str">
        <f t="array" ref="L97">IFERROR(INDEX(AUTO_Public_TSV_FileList!$A$1:$A$1000,MATCH(TRUE(),EXACT(K97,IFERROR(_xlfn.TEXTBEFORE(AUTO_Public_TSV_FileList!$A$1:$A$1000,".tsv"),"")),0)),"notfound")</f>
        <v>notfound</v>
      </c>
      <c r="N97" s="3" t="s">
        <v>208</v>
      </c>
      <c r="P97" s="3"/>
      <c r="Q97" s="3"/>
      <c r="R97" s="3" t="s">
        <v>457</v>
      </c>
      <c r="S97" s="3"/>
      <c r="T97" s="3" t="s">
        <v>210</v>
      </c>
      <c r="U97" s="3"/>
      <c r="V97" s="3" t="s">
        <v>211</v>
      </c>
      <c r="W97" s="3" t="s">
        <v>93</v>
      </c>
      <c r="X97" s="3" t="s">
        <v>212</v>
      </c>
      <c r="Y97" s="3" t="s">
        <v>458</v>
      </c>
      <c r="Z97" s="3"/>
      <c r="AA97" s="3" t="s">
        <v>214</v>
      </c>
      <c r="AB97" s="3" t="s">
        <v>215</v>
      </c>
      <c r="AC97" s="3"/>
      <c r="AD97" s="3"/>
      <c r="AE97" s="4" t="s">
        <v>51</v>
      </c>
      <c r="AF97" s="4"/>
      <c r="AG97" s="3" t="s">
        <v>459</v>
      </c>
    </row>
    <row r="98" spans="1:33" ht="17.100000000000001" customHeight="1">
      <c r="A98" s="3" t="s">
        <v>460</v>
      </c>
      <c r="B98" s="3"/>
      <c r="C98" s="3"/>
      <c r="D98" s="3" t="s">
        <v>81</v>
      </c>
      <c r="E98" s="5" t="str">
        <f t="shared" si="9"/>
        <v>Elston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5" t="str">
        <f t="shared" si="14"/>
        <v>2006</v>
      </c>
      <c r="H98" s="5" t="str">
        <f t="shared" si="10"/>
        <v>Elston_etal_2006</v>
      </c>
      <c r="I98" s="5" t="str">
        <f t="shared" si="8"/>
        <v>10.1002%2Far.a.20278</v>
      </c>
      <c r="J98" s="5" t="str">
        <f t="shared" si="11"/>
        <v>Elston_etal_2006_Table1</v>
      </c>
      <c r="K98" s="5" t="str">
        <f t="shared" si="12"/>
        <v>10.1002%2Far.a.20278_Table1</v>
      </c>
      <c r="L98" s="5" t="str">
        <f t="array" ref="L98">IFERROR(INDEX(AUTO_Public_TSV_FileList!$A$1:$A$1000,MATCH(TRUE(),EXACT(K98,IFERROR(_xlfn.TEXTBEFORE(AUTO_Public_TSV_FileList!$A$1:$A$1000,".tsv"),"")),0)),"notfound")</f>
        <v>notfound</v>
      </c>
      <c r="N98" s="3" t="s">
        <v>208</v>
      </c>
      <c r="P98" s="3"/>
      <c r="Q98" s="3"/>
      <c r="R98" s="3" t="s">
        <v>461</v>
      </c>
      <c r="S98" s="3"/>
      <c r="T98" s="3" t="s">
        <v>210</v>
      </c>
      <c r="U98" s="3"/>
      <c r="V98" s="3" t="s">
        <v>211</v>
      </c>
      <c r="W98" s="3" t="s">
        <v>93</v>
      </c>
      <c r="X98" s="3" t="s">
        <v>212</v>
      </c>
      <c r="Y98" s="3" t="s">
        <v>462</v>
      </c>
      <c r="Z98" s="3"/>
      <c r="AA98" s="3" t="s">
        <v>214</v>
      </c>
      <c r="AB98" s="3" t="s">
        <v>215</v>
      </c>
      <c r="AC98" s="3"/>
      <c r="AD98" s="3"/>
      <c r="AE98" s="4" t="s">
        <v>51</v>
      </c>
      <c r="AF98" s="4"/>
      <c r="AG98" s="3" t="s">
        <v>463</v>
      </c>
    </row>
    <row r="99" spans="1:33" ht="17.100000000000001" customHeight="1">
      <c r="A99" s="2" t="s">
        <v>464</v>
      </c>
      <c r="D99" s="1" t="s">
        <v>58</v>
      </c>
      <c r="E99" s="5" t="str">
        <f t="shared" si="9"/>
        <v>Falcone</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5" t="str">
        <f t="shared" si="14"/>
        <v>2019</v>
      </c>
      <c r="H99" s="5" t="str">
        <f t="shared" si="10"/>
        <v>Falcone_etal_2019</v>
      </c>
      <c r="I99" s="5" t="str">
        <f t="shared" si="8"/>
        <v>10.1002%2Fcne.24605</v>
      </c>
      <c r="J99" s="5" t="str">
        <f t="shared" si="11"/>
        <v>Falcone_etal_2019_TABLE1</v>
      </c>
      <c r="K99" s="5" t="str">
        <f t="shared" si="12"/>
        <v>10.1002%2Fcne.24605_TABLE1</v>
      </c>
      <c r="L99" s="5" t="str">
        <f t="array" ref="L99">IFERROR(INDEX(AUTO_Public_TSV_FileList!$A$1:$A$1000,MATCH(TRUE(),EXACT(K99,IFERROR(_xlfn.TEXTBEFORE(AUTO_Public_TSV_FileList!$A$1:$A$1000,".tsv"),"")),0)),"notfound")</f>
        <v>10.1002%2Fcne.24605_TABLE1.tsv</v>
      </c>
      <c r="M99" s="1" t="s">
        <v>465</v>
      </c>
      <c r="P99" s="1" t="s">
        <v>36</v>
      </c>
      <c r="W99" s="1" t="s">
        <v>466</v>
      </c>
      <c r="X99" s="1" t="s">
        <v>467</v>
      </c>
      <c r="AB99" s="1" t="s">
        <v>468</v>
      </c>
      <c r="AE99" s="1" t="s">
        <v>66</v>
      </c>
      <c r="AF99" s="1"/>
    </row>
    <row r="100" spans="1:33" ht="17.100000000000001" customHeight="1">
      <c r="A100" s="2" t="s">
        <v>464</v>
      </c>
      <c r="D100" s="1" t="s">
        <v>103</v>
      </c>
      <c r="E100" s="5" t="str">
        <f t="shared" si="9"/>
        <v>Falcone</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5" t="str">
        <f t="shared" si="14"/>
        <v>2019</v>
      </c>
      <c r="H100" s="5" t="str">
        <f t="shared" si="10"/>
        <v>Falcone_etal_2019</v>
      </c>
      <c r="I100" s="5" t="str">
        <f t="shared" si="8"/>
        <v>10.1002%2Fcne.24605</v>
      </c>
      <c r="J100" s="5" t="str">
        <f t="shared" si="11"/>
        <v>Falcone_etal_2019_TABLE2</v>
      </c>
      <c r="K100" s="5" t="str">
        <f t="shared" si="12"/>
        <v>10.1002%2Fcne.24605_TABLE2</v>
      </c>
      <c r="L100" s="5" t="str">
        <f t="array" ref="L100">IFERROR(INDEX(AUTO_Public_TSV_FileList!$A$1:$A$1000,MATCH(TRUE(),EXACT(K100,IFERROR(_xlfn.TEXTBEFORE(AUTO_Public_TSV_FileList!$A$1:$A$1000,".tsv"),"")),0)),"notfound")</f>
        <v>10.1002%2Fcne.24605_TABLE2.tsv</v>
      </c>
      <c r="M100" s="1" t="s">
        <v>469</v>
      </c>
      <c r="P100" s="1" t="s">
        <v>36</v>
      </c>
      <c r="W100" s="1" t="s">
        <v>466</v>
      </c>
      <c r="X100" s="1" t="s">
        <v>467</v>
      </c>
      <c r="AB100" s="1" t="s">
        <v>468</v>
      </c>
      <c r="AE100" s="1" t="s">
        <v>66</v>
      </c>
      <c r="AF100" s="1"/>
    </row>
    <row r="101" spans="1:33" ht="17.100000000000001" customHeight="1">
      <c r="A101" s="1" t="s">
        <v>470</v>
      </c>
      <c r="D101" s="1" t="s">
        <v>471</v>
      </c>
      <c r="E101" s="5" t="str">
        <f t="shared" si="9"/>
        <v>Finlay</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1" s="5" t="str">
        <f t="shared" si="14"/>
        <v>2006</v>
      </c>
      <c r="H101" s="5" t="str">
        <f t="shared" si="10"/>
        <v>Finlay_etal_2006</v>
      </c>
      <c r="I101" s="5" t="str">
        <f t="shared" si="8"/>
        <v>10.1093%2Foso%2F9780198568742.003.0006</v>
      </c>
      <c r="J101" s="5" t="str">
        <f t="shared" si="11"/>
        <v>Finlay_etal_2006_Table6.1</v>
      </c>
      <c r="K101" s="5" t="str">
        <f t="shared" si="12"/>
        <v>10.1093%2Foso%2F9780198568742.003.0006_Table6.1</v>
      </c>
      <c r="L101" s="5" t="str">
        <f t="array" ref="L101">IFERROR(INDEX(AUTO_Public_TSV_FileList!$A$1:$A$1000,MATCH(TRUE(),EXACT(K101,IFERROR(_xlfn.TEXTBEFORE(AUTO_Public_TSV_FileList!$A$1:$A$1000,".tsv"),"")),0)),"notfound")</f>
        <v>10.1093%2Foso%2F9780198568742.003.0006_Table6.1.tsv</v>
      </c>
      <c r="N101" s="1" t="s">
        <v>35</v>
      </c>
      <c r="P101" s="1" t="s">
        <v>36</v>
      </c>
      <c r="Q101" s="1"/>
      <c r="R101" s="1" t="s">
        <v>472</v>
      </c>
      <c r="U101" s="2" t="s">
        <v>473</v>
      </c>
      <c r="V101" s="1"/>
      <c r="W101" s="1" t="s">
        <v>131</v>
      </c>
      <c r="X101" s="1" t="s">
        <v>474</v>
      </c>
      <c r="AB101" s="1" t="s">
        <v>475</v>
      </c>
      <c r="AE101" s="1" t="s">
        <v>172</v>
      </c>
      <c r="AF101" s="1"/>
      <c r="AG101" s="1" t="s">
        <v>320</v>
      </c>
    </row>
    <row r="102" spans="1:33" ht="17.100000000000001" customHeight="1">
      <c r="A102" s="3" t="s">
        <v>476</v>
      </c>
      <c r="B102" s="3"/>
      <c r="C102" s="3"/>
      <c r="D102" s="3" t="s">
        <v>477</v>
      </c>
      <c r="E102" s="6" t="str">
        <f t="shared" si="9"/>
        <v>Fox</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2" s="5" t="str">
        <f t="shared" si="14"/>
        <v>1986</v>
      </c>
      <c r="H102" s="6" t="str">
        <f t="shared" si="10"/>
        <v>Fox_Wilczynski_1986</v>
      </c>
      <c r="I102" s="6" t="str">
        <f>_xlfn.LET(_xlpm.doi,IF(C102&lt;&gt;"",C102,_xlfn.TEXTAFTER(A102,"https://doi.org/")),SUBSTITUTE(SUBSTITUTE(SUBSTITUTE(SUBSTITUTE(_xlpm.doi,"/","%2F"),":","%3A"),"&lt;","%3C"),"&gt;","%3E"))</f>
        <v>10.1159%2F000118700</v>
      </c>
      <c r="J102" s="6" t="str">
        <f t="shared" si="11"/>
        <v>Fox_Wilczynski_1986_TableI</v>
      </c>
      <c r="K102" s="6" t="str">
        <f t="shared" si="12"/>
        <v>10.1159%2F000118700_TableI</v>
      </c>
      <c r="L102" s="6" t="str">
        <f>IFERROR(INDEX(AUTO_Public_TSV_FileList!$A$1:$A$1000,MATCH(TRUE(),EXACT(K102,IFERROR(_xlfn.TEXTBEFORE(AUTO_Public_TSV_FileList!$A$1:$A$1000,".tsv"),"")),0)),"notfound")</f>
        <v>notfound</v>
      </c>
      <c r="N102" s="1" t="s">
        <v>35</v>
      </c>
      <c r="P102" s="3"/>
      <c r="Q102" s="3"/>
      <c r="R102" s="3"/>
      <c r="S102" s="3" t="s">
        <v>478</v>
      </c>
      <c r="T102" s="3" t="s">
        <v>479</v>
      </c>
      <c r="U102" s="3"/>
      <c r="V102" s="3" t="s">
        <v>480</v>
      </c>
      <c r="W102" s="3" t="s">
        <v>280</v>
      </c>
      <c r="X102" s="3" t="s">
        <v>481</v>
      </c>
      <c r="Y102" s="3"/>
      <c r="Z102" s="3"/>
      <c r="AA102" s="3" t="s">
        <v>482</v>
      </c>
      <c r="AB102" s="3" t="s">
        <v>483</v>
      </c>
      <c r="AD102" s="3"/>
      <c r="AE102" s="3" t="s">
        <v>484</v>
      </c>
      <c r="AF102" s="3"/>
      <c r="AG102" s="3" t="s">
        <v>485</v>
      </c>
    </row>
    <row r="103" spans="1:33" ht="17.100000000000001" customHeight="1">
      <c r="A103" s="1" t="s">
        <v>486</v>
      </c>
      <c r="C103" s="1" t="s">
        <v>487</v>
      </c>
      <c r="D103" s="1" t="s">
        <v>81</v>
      </c>
      <c r="E103" s="5" t="str">
        <f t="shared" si="9"/>
        <v>Frahm</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3" s="5" t="str">
        <f t="shared" si="14"/>
        <v>1994</v>
      </c>
      <c r="H103" s="5" t="str">
        <f t="shared" si="10"/>
        <v>Frahm_Zilles_1994</v>
      </c>
      <c r="I103" s="5" t="str">
        <f t="shared" ref="I103:I116" si="15">_xlfn.LET(
_xlpm.doi,IF(C103&lt;&gt;"",C103,_xlfn.TEXTAFTER(A103,"https://doi.org/")),
SUBSTITUTE(
SUBSTITUTE(
SUBSTITUTE(
SUBSTITUTE(
_xlpm.doi,
"/","%2F"),
":","%3A"),
"&lt;","%3C"),
"&gt;","%3E")
)</f>
        <v>PMID%3A7983368</v>
      </c>
      <c r="J103" s="5" t="str">
        <f t="shared" si="11"/>
        <v>Frahm_Zilles_1994_Table1</v>
      </c>
      <c r="K103" s="5" t="str">
        <f t="shared" si="12"/>
        <v>PMID%3A7983368_Table1</v>
      </c>
      <c r="L103" s="5" t="str">
        <f t="array" ref="L103">IFERROR(INDEX(AUTO_Public_TSV_FileList!$A$1:$A$1000,MATCH(TRUE(),EXACT(K103,IFERROR(_xlfn.TEXTBEFORE(AUTO_Public_TSV_FileList!$A$1:$A$1000,".tsv"),"")),0)),"notfound")</f>
        <v>PMID%3A7983368_Table1.tsv</v>
      </c>
      <c r="N103" s="1" t="s">
        <v>35</v>
      </c>
      <c r="P103" s="1" t="s">
        <v>36</v>
      </c>
      <c r="W103" s="1" t="s">
        <v>110</v>
      </c>
      <c r="X103" s="1" t="s">
        <v>488</v>
      </c>
      <c r="Z103" s="1" t="s">
        <v>83</v>
      </c>
      <c r="AA103" s="1" t="s">
        <v>123</v>
      </c>
      <c r="AB103" s="1" t="s">
        <v>90</v>
      </c>
      <c r="AC103" s="1" t="s">
        <v>112</v>
      </c>
      <c r="AD103" s="1" t="s">
        <v>112</v>
      </c>
      <c r="AE103" s="1" t="s">
        <v>66</v>
      </c>
      <c r="AF103" s="1"/>
    </row>
    <row r="104" spans="1:33" ht="17.100000000000001" customHeight="1">
      <c r="A104" s="1" t="s">
        <v>486</v>
      </c>
      <c r="C104" s="1" t="s">
        <v>487</v>
      </c>
      <c r="D104" s="1" t="s">
        <v>70</v>
      </c>
      <c r="E104" s="5" t="str">
        <f t="shared" si="9"/>
        <v>Frahm</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4" s="5" t="str">
        <f t="shared" si="14"/>
        <v>1994</v>
      </c>
      <c r="H104" s="5" t="str">
        <f t="shared" si="10"/>
        <v>Frahm_Zilles_1994</v>
      </c>
      <c r="I104" s="5" t="str">
        <f t="shared" si="15"/>
        <v>PMID%3A7983368</v>
      </c>
      <c r="J104" s="5" t="str">
        <f t="shared" si="11"/>
        <v>Frahm_Zilles_1994_Table2</v>
      </c>
      <c r="K104" s="5" t="str">
        <f t="shared" si="12"/>
        <v>PMID%3A7983368_Table2</v>
      </c>
      <c r="L104" s="5" t="str">
        <f t="array" ref="L104">IFERROR(INDEX(AUTO_Public_TSV_FileList!$A$1:$A$1000,MATCH(TRUE(),EXACT(K104,IFERROR(_xlfn.TEXTBEFORE(AUTO_Public_TSV_FileList!$A$1:$A$1000,".tsv"),"")),0)),"notfound")</f>
        <v>notfound</v>
      </c>
    </row>
    <row r="105" spans="1:33" ht="17.100000000000001" customHeight="1">
      <c r="A105" s="2" t="s">
        <v>489</v>
      </c>
      <c r="C105" s="1" t="s">
        <v>490</v>
      </c>
      <c r="D105" s="1" t="s">
        <v>81</v>
      </c>
      <c r="E105" s="5" t="str">
        <f t="shared" si="9"/>
        <v>Frahm</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5" t="str">
        <f t="shared" si="14"/>
        <v>1997</v>
      </c>
      <c r="H105" s="5" t="str">
        <f t="shared" si="10"/>
        <v>Frahm_etal_1997</v>
      </c>
      <c r="I105" s="5" t="str">
        <f t="shared" si="15"/>
        <v>PMID%3A9176733</v>
      </c>
      <c r="J105" s="5" t="str">
        <f t="shared" si="11"/>
        <v>Frahm_etal_1997_Table1</v>
      </c>
      <c r="K105" s="5" t="str">
        <f t="shared" si="12"/>
        <v>PMID%3A9176733_Table1</v>
      </c>
      <c r="L105" s="5" t="str">
        <f t="array" ref="L105">IFERROR(INDEX(AUTO_Public_TSV_FileList!$A$1:$A$1000,MATCH(TRUE(),EXACT(K105,IFERROR(_xlfn.TEXTBEFORE(AUTO_Public_TSV_FileList!$A$1:$A$1000,".tsv"),"")),0)),"notfound")</f>
        <v>PMID%3A9176733_Table1.tsv</v>
      </c>
      <c r="N105" s="1" t="s">
        <v>35</v>
      </c>
      <c r="P105" s="1" t="s">
        <v>36</v>
      </c>
      <c r="W105" s="1" t="s">
        <v>110</v>
      </c>
      <c r="X105" s="1" t="s">
        <v>491</v>
      </c>
      <c r="Z105" s="1" t="s">
        <v>83</v>
      </c>
      <c r="AA105" s="1" t="s">
        <v>123</v>
      </c>
      <c r="AB105" s="1" t="s">
        <v>90</v>
      </c>
      <c r="AC105" s="1" t="s">
        <v>112</v>
      </c>
      <c r="AD105" s="1" t="s">
        <v>112</v>
      </c>
      <c r="AE105" s="1" t="s">
        <v>66</v>
      </c>
      <c r="AF105" s="1"/>
    </row>
    <row r="106" spans="1:33" ht="17.100000000000001" customHeight="1">
      <c r="A106" s="1" t="s">
        <v>492</v>
      </c>
      <c r="C106" s="1" t="s">
        <v>493</v>
      </c>
      <c r="D106" s="1" t="s">
        <v>81</v>
      </c>
      <c r="E106" s="5" t="str">
        <f t="shared" si="9"/>
        <v>Frahm</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5" t="str">
        <f t="shared" si="14"/>
        <v>1984</v>
      </c>
      <c r="H106" s="5" t="str">
        <f t="shared" si="10"/>
        <v>Frahm_etal_1984</v>
      </c>
      <c r="I106" s="5" t="str">
        <f t="shared" si="15"/>
        <v>PMID%3A6501869</v>
      </c>
      <c r="J106" s="5" t="str">
        <f t="shared" si="11"/>
        <v>Frahm_etal_1984_Table1</v>
      </c>
      <c r="K106" s="5" t="str">
        <f t="shared" si="12"/>
        <v>PMID%3A6501869_Table1</v>
      </c>
      <c r="L106" s="5" t="str">
        <f t="array" ref="L106">IFERROR(INDEX(AUTO_Public_TSV_FileList!$A$1:$A$1000,MATCH(TRUE(),EXACT(K106,IFERROR(_xlfn.TEXTBEFORE(AUTO_Public_TSV_FileList!$A$1:$A$1000,".tsv"),"")),0)),"notfound")</f>
        <v>PMID%3A6501869_Table1.tsv</v>
      </c>
      <c r="M106" s="1" t="s">
        <v>494</v>
      </c>
      <c r="N106" s="1" t="s">
        <v>35</v>
      </c>
      <c r="P106" s="1" t="s">
        <v>36</v>
      </c>
      <c r="W106" s="1" t="s">
        <v>110</v>
      </c>
      <c r="X106" s="1" t="s">
        <v>495</v>
      </c>
      <c r="Z106" s="1" t="s">
        <v>83</v>
      </c>
      <c r="AA106" s="1" t="s">
        <v>123</v>
      </c>
      <c r="AB106" s="1" t="s">
        <v>90</v>
      </c>
      <c r="AC106" s="1" t="s">
        <v>112</v>
      </c>
      <c r="AD106" s="1" t="s">
        <v>112</v>
      </c>
      <c r="AE106" s="1" t="s">
        <v>66</v>
      </c>
      <c r="AF106" s="1"/>
    </row>
    <row r="107" spans="1:33" ht="17.100000000000001" customHeight="1">
      <c r="A107" s="1" t="s">
        <v>496</v>
      </c>
      <c r="C107" s="1" t="s">
        <v>497</v>
      </c>
      <c r="D107" s="1" t="s">
        <v>70</v>
      </c>
      <c r="E107" s="5" t="str">
        <f t="shared" si="9"/>
        <v>Frahm</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5" t="str">
        <f t="shared" si="14"/>
        <v>1982</v>
      </c>
      <c r="H107" s="5" t="str">
        <f t="shared" si="10"/>
        <v>Frahm_etal_1982</v>
      </c>
      <c r="I107" s="5" t="str">
        <f t="shared" si="15"/>
        <v>PMID%3A7161477</v>
      </c>
      <c r="J107" s="5" t="str">
        <f t="shared" si="11"/>
        <v>Frahm_etal_1982_Table2</v>
      </c>
      <c r="K107" s="5" t="str">
        <f t="shared" si="12"/>
        <v>PMID%3A7161477_Table2</v>
      </c>
      <c r="L107" s="5" t="str">
        <f t="array" ref="L107">IFERROR(INDEX(AUTO_Public_TSV_FileList!$A$1:$A$1000,MATCH(TRUE(),EXACT(K107,IFERROR(_xlfn.TEXTBEFORE(AUTO_Public_TSV_FileList!$A$1:$A$1000,".tsv"),"")),0)),"notfound")</f>
        <v>PMID%3A7161477_Table2.tsv</v>
      </c>
      <c r="M107" s="1" t="s">
        <v>498</v>
      </c>
      <c r="N107" s="1" t="s">
        <v>35</v>
      </c>
      <c r="P107" s="1" t="s">
        <v>36</v>
      </c>
      <c r="W107" s="1" t="s">
        <v>110</v>
      </c>
      <c r="X107" s="1" t="s">
        <v>499</v>
      </c>
      <c r="Z107" s="1" t="s">
        <v>83</v>
      </c>
      <c r="AA107" s="1" t="s">
        <v>123</v>
      </c>
      <c r="AB107" s="1" t="s">
        <v>90</v>
      </c>
      <c r="AC107" s="1" t="s">
        <v>112</v>
      </c>
      <c r="AD107" s="1" t="s">
        <v>112</v>
      </c>
      <c r="AE107" s="1" t="s">
        <v>66</v>
      </c>
      <c r="AF107" s="1"/>
    </row>
    <row r="108" spans="1:33" ht="17.100000000000001" customHeight="1">
      <c r="A108" s="1" t="s">
        <v>500</v>
      </c>
      <c r="C108" s="1" t="s">
        <v>501</v>
      </c>
      <c r="D108" s="1" t="s">
        <v>81</v>
      </c>
      <c r="E108" s="5" t="str">
        <f t="shared" si="9"/>
        <v>Frahm</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 t="shared" si="14"/>
        <v>1998</v>
      </c>
      <c r="H108" s="5" t="str">
        <f t="shared" si="10"/>
        <v>Frahm_etal_1998</v>
      </c>
      <c r="I108" s="5" t="str">
        <f t="shared" si="15"/>
        <v>PMID%3A9672110</v>
      </c>
      <c r="J108" s="5" t="str">
        <f t="shared" si="11"/>
        <v>Frahm_etal_1998_Table1</v>
      </c>
      <c r="K108" s="5" t="str">
        <f t="shared" si="12"/>
        <v>PMID%3A9672110_Table1</v>
      </c>
      <c r="L108" s="5" t="str">
        <f t="array" ref="L108">IFERROR(INDEX(AUTO_Public_TSV_FileList!$A$1:$A$1000,MATCH(TRUE(),EXACT(K108,IFERROR(_xlfn.TEXTBEFORE(AUTO_Public_TSV_FileList!$A$1:$A$1000,".tsv"),"")),0)),"notfound")</f>
        <v>PMID%3A9672110_Table1.tsv</v>
      </c>
      <c r="N108" s="1" t="s">
        <v>35</v>
      </c>
      <c r="P108" s="1" t="s">
        <v>36</v>
      </c>
      <c r="W108" s="1" t="s">
        <v>110</v>
      </c>
      <c r="X108" s="1" t="s">
        <v>502</v>
      </c>
      <c r="Z108" s="1" t="s">
        <v>83</v>
      </c>
      <c r="AA108" s="1" t="s">
        <v>123</v>
      </c>
      <c r="AB108" s="1" t="s">
        <v>90</v>
      </c>
      <c r="AC108" s="1" t="s">
        <v>112</v>
      </c>
      <c r="AD108" s="1" t="s">
        <v>112</v>
      </c>
      <c r="AE108" s="1" t="s">
        <v>66</v>
      </c>
      <c r="AF108" s="1"/>
    </row>
    <row r="109" spans="1:33" ht="17.100000000000001" customHeight="1">
      <c r="A109" s="1" t="s">
        <v>503</v>
      </c>
      <c r="D109" s="1" t="s">
        <v>504</v>
      </c>
      <c r="E109" s="5" t="str">
        <f t="shared" si="9"/>
        <v>Fritsches</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_xlfn.TEXTBEFORE(_xlfn.TEXTAFTER(A109, "("), ")")</f>
        <v>2005</v>
      </c>
      <c r="H109" s="5" t="str">
        <f t="shared" si="10"/>
        <v>Fritsches_etal_2005</v>
      </c>
      <c r="I109" s="5" t="str">
        <f t="shared" si="15"/>
        <v>10.1016%2Fj.cub.2004.12.064</v>
      </c>
      <c r="J109" s="5" t="str">
        <f t="shared" si="11"/>
        <v>Fritsches_etal_2005_Fig2</v>
      </c>
      <c r="K109" s="5" t="str">
        <f t="shared" si="12"/>
        <v>10.1016%2Fj.cub.2004.12.064_Fig2</v>
      </c>
      <c r="L109" s="5" t="str">
        <f t="array" ref="L109">IFERROR(INDEX(AUTO_Public_TSV_FileList!$A$1:$A$1000,MATCH(TRUE(),EXACT(K109,IFERROR(_xlfn.TEXTBEFORE(AUTO_Public_TSV_FileList!$A$1:$A$1000,".tsv"),"")),0)),"notfound")</f>
        <v>10.1016%2Fj.cub.2004.12.064_Fig2.tsv</v>
      </c>
      <c r="P109" s="1" t="s">
        <v>36</v>
      </c>
    </row>
    <row r="110" spans="1:33" ht="17.100000000000001" customHeight="1">
      <c r="A110" s="1" t="s">
        <v>505</v>
      </c>
      <c r="D110" s="1" t="s">
        <v>81</v>
      </c>
      <c r="E110" s="5" t="str">
        <f t="shared" si="9"/>
        <v>Fu</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ref="G110:G139" si="16">_xlfn.TEXTBEFORE(_xlfn.TEXTAFTER(A110, "("), ")")</f>
        <v>2013</v>
      </c>
      <c r="H110" s="5" t="str">
        <f t="shared" si="10"/>
        <v>Fu_etal_2013</v>
      </c>
      <c r="I110" s="5" t="str">
        <f t="shared" si="15"/>
        <v>10.1007%2Fs00429-012-0462-x</v>
      </c>
      <c r="J110" s="5" t="str">
        <f t="shared" si="11"/>
        <v>Fu_etal_2013_Table1</v>
      </c>
      <c r="K110" s="5" t="str">
        <f t="shared" si="12"/>
        <v>10.1007%2Fs00429-012-0462-x_Table1</v>
      </c>
      <c r="L110" s="5" t="str">
        <f t="array" ref="L110">IFERROR(INDEX(AUTO_Public_TSV_FileList!$A$1:$A$1000,MATCH(TRUE(),EXACT(K110,IFERROR(_xlfn.TEXTBEFORE(AUTO_Public_TSV_FileList!$A$1:$A$1000,".tsv"),"")),0)),"notfound")</f>
        <v>notfound</v>
      </c>
      <c r="M110" s="1" t="s">
        <v>506</v>
      </c>
      <c r="P110" s="1"/>
      <c r="W110" s="1"/>
      <c r="Y110" s="1" t="s">
        <v>257</v>
      </c>
      <c r="AB110" s="1"/>
      <c r="AE110" s="1"/>
      <c r="AF110" s="1"/>
    </row>
    <row r="111" spans="1:33" ht="17.100000000000001" customHeight="1">
      <c r="A111" s="1" t="s">
        <v>507</v>
      </c>
      <c r="D111" s="1" t="s">
        <v>314</v>
      </c>
      <c r="E111" s="5" t="str">
        <f t="shared" si="9"/>
        <v>Gabi</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16"/>
        <v>2016</v>
      </c>
      <c r="H111" s="5" t="str">
        <f t="shared" si="10"/>
        <v>Gabi_etal_2016</v>
      </c>
      <c r="I111" s="5" t="str">
        <f t="shared" si="15"/>
        <v>10.1073%2Fpnas.1610178113</v>
      </c>
      <c r="J111" s="5" t="str">
        <f t="shared" si="11"/>
        <v>Gabi_etal_2016_TableS1</v>
      </c>
      <c r="K111" s="5" t="str">
        <f t="shared" si="12"/>
        <v>10.1073%2Fpnas.1610178113_TableS1</v>
      </c>
      <c r="L111" s="5" t="str">
        <f t="array" ref="L111">IFERROR(INDEX(AUTO_Public_TSV_FileList!$A$1:$A$1000,MATCH(TRUE(),EXACT(K111,IFERROR(_xlfn.TEXTBEFORE(AUTO_Public_TSV_FileList!$A$1:$A$1000,".tsv"),"")),0)),"notfound")</f>
        <v>10.1073%2Fpnas.1610178113_TableS1.tsv</v>
      </c>
      <c r="N111" s="2" t="s">
        <v>35</v>
      </c>
      <c r="P111" s="2" t="s">
        <v>36</v>
      </c>
      <c r="W111" s="2" t="s">
        <v>508</v>
      </c>
      <c r="X111" s="2" t="s">
        <v>509</v>
      </c>
      <c r="AB111" s="2" t="s">
        <v>510</v>
      </c>
      <c r="AC111" s="2" t="s">
        <v>65</v>
      </c>
      <c r="AE111" s="2" t="s">
        <v>66</v>
      </c>
      <c r="AG111" s="2" t="s">
        <v>511</v>
      </c>
    </row>
    <row r="112" spans="1:33" ht="17.100000000000001" customHeight="1">
      <c r="A112" s="1" t="s">
        <v>512</v>
      </c>
      <c r="D112" s="1" t="s">
        <v>314</v>
      </c>
      <c r="E112" s="5" t="str">
        <f t="shared" si="9"/>
        <v>Garwicz</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 t="shared" si="16"/>
        <v>2009</v>
      </c>
      <c r="H112" s="5" t="str">
        <f t="shared" si="10"/>
        <v>Garwicz_etal_2009</v>
      </c>
      <c r="I112" s="5" t="str">
        <f t="shared" si="15"/>
        <v>10.1073%2Fpnas.0905777106</v>
      </c>
      <c r="J112" s="5" t="str">
        <f t="shared" si="11"/>
        <v>Garwicz_etal_2009_TableS1</v>
      </c>
      <c r="K112" s="5" t="str">
        <f t="shared" si="12"/>
        <v>10.1073%2Fpnas.0905777106_TableS1</v>
      </c>
      <c r="L112" s="5" t="str">
        <f t="array" ref="L112">IFERROR(INDEX(AUTO_Public_TSV_FileList!$A$1:$A$1000,MATCH(TRUE(),EXACT(K112,IFERROR(_xlfn.TEXTBEFORE(AUTO_Public_TSV_FileList!$A$1:$A$1000,".tsv"),"")),0)),"notfound")</f>
        <v>10.1073%2Fpnas.0905777106_TableS1.tsv</v>
      </c>
      <c r="M112" s="1" t="s">
        <v>513</v>
      </c>
      <c r="P112" s="2" t="s">
        <v>36</v>
      </c>
      <c r="R112" s="1" t="s">
        <v>514</v>
      </c>
      <c r="W112" s="1" t="s">
        <v>131</v>
      </c>
      <c r="AB112" s="1" t="s">
        <v>515</v>
      </c>
      <c r="AE112" s="1" t="s">
        <v>172</v>
      </c>
      <c r="AF112" s="1"/>
    </row>
    <row r="113" spans="1:33" ht="17.100000000000001" customHeight="1">
      <c r="A113" s="1" t="s">
        <v>512</v>
      </c>
      <c r="D113" s="1" t="s">
        <v>516</v>
      </c>
      <c r="E113" s="5" t="str">
        <f t="shared" si="9"/>
        <v>Garwicz</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5" t="str">
        <f t="shared" si="16"/>
        <v>2009</v>
      </c>
      <c r="H113" s="5" t="str">
        <f t="shared" si="10"/>
        <v>Garwicz_etal_2009</v>
      </c>
      <c r="I113" s="5" t="str">
        <f t="shared" si="15"/>
        <v>10.1073%2Fpnas.0905777106</v>
      </c>
      <c r="J113" s="5" t="str">
        <f t="shared" si="11"/>
        <v>Garwicz_etal_2009_TableS2</v>
      </c>
      <c r="K113" s="5" t="str">
        <f t="shared" si="12"/>
        <v>10.1073%2Fpnas.0905777106_TableS2</v>
      </c>
      <c r="L113" s="5" t="str">
        <f t="array" ref="L113">IFERROR(INDEX(AUTO_Public_TSV_FileList!$A$1:$A$1000,MATCH(TRUE(),EXACT(K113,IFERROR(_xlfn.TEXTBEFORE(AUTO_Public_TSV_FileList!$A$1:$A$1000,".tsv"),"")),0)),"notfound")</f>
        <v>notfound</v>
      </c>
      <c r="M113" s="1" t="s">
        <v>517</v>
      </c>
      <c r="R113" s="1" t="s">
        <v>514</v>
      </c>
      <c r="W113" s="1" t="s">
        <v>131</v>
      </c>
      <c r="AB113" s="1" t="s">
        <v>515</v>
      </c>
      <c r="AE113" s="1" t="s">
        <v>172</v>
      </c>
      <c r="AF113" s="1"/>
    </row>
    <row r="114" spans="1:33" ht="17.100000000000001" customHeight="1">
      <c r="A114" s="1" t="s">
        <v>518</v>
      </c>
      <c r="D114" s="1" t="s">
        <v>516</v>
      </c>
      <c r="E114" s="5" t="str">
        <f t="shared" si="9"/>
        <v>Genoud</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5" t="str">
        <f t="shared" si="16"/>
        <v>2018</v>
      </c>
      <c r="H114" s="5" t="str">
        <f t="shared" si="10"/>
        <v>Genoud_etal_2018</v>
      </c>
      <c r="I114" s="5" t="str">
        <f t="shared" si="15"/>
        <v>10.1111%2Fbrv.12350</v>
      </c>
      <c r="J114" s="5" t="str">
        <f t="shared" si="11"/>
        <v>Genoud_etal_2018_TableS2</v>
      </c>
      <c r="K114" s="5" t="str">
        <f t="shared" si="12"/>
        <v>10.1111%2Fbrv.12350_TableS2</v>
      </c>
      <c r="L114" s="5" t="str">
        <f t="array" ref="L114">IFERROR(INDEX(AUTO_Public_TSV_FileList!$A$1:$A$1000,MATCH(TRUE(),EXACT(K114,IFERROR(_xlfn.TEXTBEFORE(AUTO_Public_TSV_FileList!$A$1:$A$1000,".tsv"),"")),0)),"notfound")</f>
        <v>10.1111%2Fbrv.12350_TableS2.tsv</v>
      </c>
      <c r="M114" s="1" t="s">
        <v>519</v>
      </c>
      <c r="P114" s="2" t="s">
        <v>36</v>
      </c>
      <c r="W114" s="1"/>
      <c r="X114" s="1" t="s">
        <v>520</v>
      </c>
      <c r="AB114" s="1"/>
      <c r="AE114" s="1" t="s">
        <v>172</v>
      </c>
      <c r="AF114" s="1"/>
    </row>
    <row r="115" spans="1:33" ht="17.100000000000001" customHeight="1">
      <c r="A115" s="1" t="s">
        <v>521</v>
      </c>
      <c r="D115" s="1" t="s">
        <v>314</v>
      </c>
      <c r="E115" s="5" t="str">
        <f t="shared" si="9"/>
        <v>Granatosky</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5" t="str">
        <f t="shared" si="16"/>
        <v>2018</v>
      </c>
      <c r="H115" s="5" t="str">
        <f t="shared" si="10"/>
        <v>Granatosky__2018</v>
      </c>
      <c r="I115" s="5" t="str">
        <f t="shared" si="15"/>
        <v>10.1111%2Fjzo.12608</v>
      </c>
      <c r="J115" s="5" t="str">
        <f t="shared" si="11"/>
        <v>Granatosky__2018_TableS1</v>
      </c>
      <c r="K115" s="5" t="str">
        <f t="shared" si="12"/>
        <v>10.1111%2Fjzo.12608_TableS1</v>
      </c>
      <c r="L115" s="5" t="str">
        <f t="array" ref="L115">IFERROR(INDEX(AUTO_Public_TSV_FileList!$A$1:$A$1000,MATCH(TRUE(),EXACT(K115,IFERROR(_xlfn.TEXTBEFORE(AUTO_Public_TSV_FileList!$A$1:$A$1000,".tsv"),"")),0)),"notfound")</f>
        <v>10.1111%2Fjzo.12608_TableS1.tsv</v>
      </c>
      <c r="M115" s="1" t="s">
        <v>522</v>
      </c>
      <c r="P115" s="2" t="s">
        <v>36</v>
      </c>
      <c r="R115" s="1" t="s">
        <v>523</v>
      </c>
      <c r="W115" s="1" t="s">
        <v>131</v>
      </c>
      <c r="AB115" s="1" t="s">
        <v>524</v>
      </c>
      <c r="AE115" s="1" t="s">
        <v>172</v>
      </c>
      <c r="AF115" s="1"/>
    </row>
    <row r="116" spans="1:33" ht="17.100000000000001" customHeight="1">
      <c r="A116" s="1" t="s">
        <v>525</v>
      </c>
      <c r="D116" s="1" t="s">
        <v>526</v>
      </c>
      <c r="E116" s="5" t="str">
        <f t="shared" si="9"/>
        <v>Haarlem</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5" t="str">
        <f t="shared" si="16"/>
        <v>2026</v>
      </c>
      <c r="H116" s="5" t="str">
        <f t="shared" si="10"/>
        <v>Haarlem_etal_2026</v>
      </c>
      <c r="I116" s="5" t="str">
        <f t="shared" si="15"/>
        <v>10.1038%2Fs41559-026-02994-7</v>
      </c>
      <c r="J116" s="5" t="str">
        <f t="shared" si="11"/>
        <v>Haarlem_etal_2026_CFFdataset</v>
      </c>
      <c r="K116" s="5" t="str">
        <f t="shared" si="12"/>
        <v>10.1038%2Fs41559-026-02994-7_CFFdataset</v>
      </c>
      <c r="L116" s="5" t="str">
        <f t="array" ref="L116">IFERROR(INDEX(AUTO_Public_TSV_FileList!$A$1:$A$1000,MATCH(TRUE(),EXACT(K116,IFERROR(_xlfn.TEXTBEFORE(AUTO_Public_TSV_FileList!$A$1:$A$1000,".tsv"),"")),0)),"notfound")</f>
        <v>10.1038%2Fs41559-026-02994-7_CFFdataset.tsv</v>
      </c>
      <c r="O116" s="1" t="s">
        <v>526</v>
      </c>
      <c r="R116" s="1" t="s">
        <v>523</v>
      </c>
      <c r="W116" s="1"/>
      <c r="AB116" s="1"/>
      <c r="AE116" s="1"/>
      <c r="AF116" s="1"/>
    </row>
    <row r="117" spans="1:33" ht="17.100000000000001" customHeight="1">
      <c r="A117" s="3" t="s">
        <v>527</v>
      </c>
      <c r="B117" s="3"/>
      <c r="C117" s="3"/>
      <c r="D117" s="3" t="s">
        <v>70</v>
      </c>
      <c r="E117" s="6" t="str">
        <f t="shared" si="9"/>
        <v>Hakeem</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16"/>
        <v>2005</v>
      </c>
      <c r="H117" s="6" t="str">
        <f t="shared" si="10"/>
        <v>Hakeem_etal_2005</v>
      </c>
      <c r="I117" s="6" t="str">
        <f>_xlfn.LET(_xlpm.doi,IF(C117&lt;&gt;"",C117,_xlfn.TEXTAFTER(A117,"https://doi.org/")),SUBSTITUTE(SUBSTITUTE(SUBSTITUTE(SUBSTITUTE(_xlpm.doi,"/","%2F"),":","%3A"),"&lt;","%3C"),"&gt;","%3E"))</f>
        <v>10.1002%2Far.a.20255</v>
      </c>
      <c r="J117" s="6" t="str">
        <f t="shared" si="11"/>
        <v>Hakeem_etal_2005_Table2</v>
      </c>
      <c r="K117" s="6" t="str">
        <f t="shared" si="12"/>
        <v>10.1002%2Far.a.20255_Table2</v>
      </c>
      <c r="L117" s="6" t="str">
        <f>IFERROR(INDEX(AUTO_Public_TSV_FileList!$A$1:$A$1000,MATCH(TRUE(),EXACT(K117,IFERROR(_xlfn.TEXTBEFORE(AUTO_Public_TSV_FileList!$A$1:$A$1000,".tsv"),"")),0)),"notfound")</f>
        <v>notfound</v>
      </c>
      <c r="N117" s="1" t="s">
        <v>35</v>
      </c>
      <c r="P117" s="3"/>
      <c r="Q117" s="3"/>
      <c r="R117" s="3" t="s">
        <v>528</v>
      </c>
      <c r="S117" s="3" t="s">
        <v>478</v>
      </c>
      <c r="T117" s="3" t="s">
        <v>479</v>
      </c>
      <c r="U117" s="3"/>
      <c r="V117" s="3" t="s">
        <v>480</v>
      </c>
      <c r="W117" s="3" t="s">
        <v>529</v>
      </c>
      <c r="X117" s="3" t="s">
        <v>530</v>
      </c>
      <c r="Y117" s="3"/>
      <c r="Z117" s="3"/>
      <c r="AA117" s="3" t="s">
        <v>531</v>
      </c>
      <c r="AB117" s="3" t="s">
        <v>532</v>
      </c>
      <c r="AD117" s="3"/>
      <c r="AE117" s="3" t="s">
        <v>66</v>
      </c>
      <c r="AF117" s="3"/>
      <c r="AG117" s="3" t="s">
        <v>533</v>
      </c>
    </row>
    <row r="118" spans="1:33" ht="17.100000000000001" customHeight="1">
      <c r="A118" s="2" t="s">
        <v>534</v>
      </c>
      <c r="D118" s="2" t="s">
        <v>535</v>
      </c>
      <c r="E118" s="6" t="str">
        <f t="shared" si="9"/>
        <v>Halley</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18" s="5" t="str">
        <f t="shared" si="16"/>
        <v>2019</v>
      </c>
      <c r="H118" s="6" t="str">
        <f t="shared" si="10"/>
        <v>Halley_Krubitzer_2019</v>
      </c>
      <c r="I118" s="6" t="str">
        <f>_xlfn.LET(_xlpm.doi,IF(C118&lt;&gt;"",C118,_xlfn.TEXTAFTER(A118,"https://doi.org/")),SUBSTITUTE(SUBSTITUTE(SUBSTITUTE(SUBSTITUTE(_xlpm.doi,"/","%2F"),":","%3A"),"&lt;","%3C"),"&gt;","%3E"))</f>
        <v>10.1016%2Fj.conb.2018.12.003</v>
      </c>
      <c r="J118" s="6" t="str">
        <f t="shared" si="11"/>
        <v>Halley_Krubitzer_2019_Figure1</v>
      </c>
      <c r="K118" s="6" t="str">
        <f t="shared" si="12"/>
        <v>10.1016%2Fj.conb.2018.12.003_Figure1</v>
      </c>
      <c r="L118" s="6" t="str">
        <f>IFERROR(INDEX(AUTO_Public_TSV_FileList!$A$1:$A$1000,MATCH(TRUE(),EXACT(K118,IFERROR(_xlfn.TEXTBEFORE(AUTO_Public_TSV_FileList!$A$1:$A$1000,".tsv"),"")),0)),"notfound")</f>
        <v>notfound</v>
      </c>
      <c r="M118" s="2" t="s">
        <v>536</v>
      </c>
      <c r="N118" s="2" t="s">
        <v>537</v>
      </c>
      <c r="R118" s="2" t="s">
        <v>538</v>
      </c>
      <c r="T118" s="2" t="s">
        <v>539</v>
      </c>
      <c r="V118" s="2" t="s">
        <v>540</v>
      </c>
      <c r="W118" s="2" t="s">
        <v>131</v>
      </c>
      <c r="X118" s="2" t="s">
        <v>541</v>
      </c>
      <c r="Y118" s="2" t="s">
        <v>542</v>
      </c>
      <c r="AB118" s="2" t="s">
        <v>543</v>
      </c>
      <c r="AC118" s="2" t="s">
        <v>544</v>
      </c>
      <c r="AE118" s="2" t="s">
        <v>172</v>
      </c>
      <c r="AG118" s="2" t="s">
        <v>545</v>
      </c>
    </row>
    <row r="119" spans="1:33" ht="17.100000000000001" customHeight="1">
      <c r="A119" s="2" t="s">
        <v>546</v>
      </c>
      <c r="D119" s="2" t="s">
        <v>81</v>
      </c>
      <c r="E119" s="6" t="str">
        <f t="shared" si="9"/>
        <v>Heesy</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9" s="5" t="str">
        <f t="shared" si="16"/>
        <v>2004</v>
      </c>
      <c r="H119" s="6" t="str">
        <f t="shared" si="10"/>
        <v>Heesy__2004</v>
      </c>
      <c r="I119" s="6" t="str">
        <f>_xlfn.LET(_xlpm.doi,IF(C119&lt;&gt;"",C119,_xlfn.TEXTAFTER(A119,"https://doi.org/")),SUBSTITUTE(SUBSTITUTE(SUBSTITUTE(SUBSTITUTE(_xlpm.doi,"/","%2F"),":","%3A"),"&lt;","%3C"),"&gt;","%3E"))</f>
        <v>10.1002%2Far.a.20116</v>
      </c>
      <c r="J119" s="6" t="str">
        <f t="shared" si="11"/>
        <v>Heesy__2004_Table1</v>
      </c>
      <c r="K119" s="6" t="str">
        <f t="shared" si="12"/>
        <v>10.1002%2Far.a.20116_Table1</v>
      </c>
      <c r="L119" s="6" t="str">
        <f>IFERROR(INDEX(AUTO_Public_TSV_FileList!$A$1:$A$1000,MATCH(TRUE(),EXACT(K119,IFERROR(_xlfn.TEXTBEFORE(AUTO_Public_TSV_FileList!$A$1:$A$1000,".tsv"),"")),0)),"notfound")</f>
        <v>notfound</v>
      </c>
      <c r="M119" s="2" t="s">
        <v>547</v>
      </c>
      <c r="N119" s="1" t="s">
        <v>35</v>
      </c>
      <c r="O119" s="2" t="s">
        <v>548</v>
      </c>
      <c r="R119" s="2" t="s">
        <v>549</v>
      </c>
      <c r="V119" s="2" t="s">
        <v>550</v>
      </c>
      <c r="W119" s="3" t="s">
        <v>131</v>
      </c>
      <c r="X119" s="2" t="s">
        <v>551</v>
      </c>
      <c r="AA119" s="2" t="s">
        <v>552</v>
      </c>
      <c r="AB119" s="2" t="s">
        <v>553</v>
      </c>
      <c r="AE119" s="2" t="s">
        <v>51</v>
      </c>
    </row>
    <row r="120" spans="1:33" ht="17.100000000000001" customHeight="1">
      <c r="A120" s="2" t="s">
        <v>554</v>
      </c>
      <c r="B120" s="2" t="s">
        <v>265</v>
      </c>
      <c r="D120" s="2" t="s">
        <v>81</v>
      </c>
      <c r="E120" s="6" t="str">
        <f t="shared" si="9"/>
        <v>Heffner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0" s="5" t="str">
        <f t="shared" si="16"/>
        <v>1992</v>
      </c>
      <c r="H120" s="6" t="str">
        <f t="shared" si="10"/>
        <v>Heffner_Heffner_1992_a</v>
      </c>
      <c r="I120" s="6" t="str">
        <f>_xlfn.LET(_xlpm.doi,IF(C120&lt;&gt;"",C120,_xlfn.TEXTAFTER(A120,"https://doi.org/")),SUBSTITUTE(SUBSTITUTE(SUBSTITUTE(SUBSTITUTE(_xlpm.doi,"/","%2F"),":","%3A"),"&lt;","%3C"),"&gt;","%3E"))</f>
        <v>10.1002%2Fcne.903170302</v>
      </c>
      <c r="J120" s="6" t="str">
        <f t="shared" si="11"/>
        <v>Heffner_Heffner_1992_a_Table1</v>
      </c>
      <c r="K120" s="6" t="str">
        <f t="shared" si="12"/>
        <v>10.1002%2Fcne.903170302_Table1</v>
      </c>
      <c r="L120" s="6" t="str">
        <f>IFERROR(INDEX(AUTO_Public_TSV_FileList!$A$1:$A$1000,MATCH(TRUE(),EXACT(K120,IFERROR(_xlfn.TEXTBEFORE(AUTO_Public_TSV_FileList!$A$1:$A$1000,".tsv"),"")),0)),"notfound")</f>
        <v>notfound</v>
      </c>
      <c r="M120" s="2" t="s">
        <v>555</v>
      </c>
      <c r="N120" s="1" t="s">
        <v>35</v>
      </c>
      <c r="O120" s="2" t="s">
        <v>556</v>
      </c>
      <c r="W120" s="2" t="s">
        <v>557</v>
      </c>
      <c r="X120" s="2" t="s">
        <v>558</v>
      </c>
      <c r="AB120" s="2" t="s">
        <v>559</v>
      </c>
      <c r="AC120" s="2" t="s">
        <v>560</v>
      </c>
      <c r="AE120" s="2" t="s">
        <v>51</v>
      </c>
    </row>
    <row r="121" spans="1:33" ht="17.100000000000001" customHeight="1">
      <c r="A121" s="1" t="s">
        <v>561</v>
      </c>
      <c r="B121" s="2" t="s">
        <v>265</v>
      </c>
      <c r="D121" s="1" t="s">
        <v>477</v>
      </c>
      <c r="E121" s="5" t="str">
        <f t="shared" si="9"/>
        <v>Heffner</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1" s="5" t="str">
        <f t="shared" si="16"/>
        <v>1992</v>
      </c>
      <c r="H121" s="5" t="str">
        <f t="shared" si="10"/>
        <v>Heffner_Heffner_1992_a</v>
      </c>
      <c r="I121" s="5" t="str">
        <f>_xlfn.LET(
_xlpm.doi,IF(C121&lt;&gt;"",C121,_xlfn.TEXTAFTER(A121,"https://doi.org/")),
SUBSTITUTE(
SUBSTITUTE(
SUBSTITUTE(
SUBSTITUTE(
_xlpm.doi,
"/","%2F"),
":","%3A"),
"&lt;","%3C"),
"&gt;","%3E")
)</f>
        <v>10.1002%2Fcne.903170302</v>
      </c>
      <c r="J121" s="5" t="str">
        <f t="shared" si="11"/>
        <v>Heffner_Heffner_1992_a_TableI</v>
      </c>
      <c r="K121" s="5" t="str">
        <f t="shared" si="12"/>
        <v>10.1002%2Fcne.903170302_TableI</v>
      </c>
      <c r="L121" s="5" t="str">
        <f t="array" ref="L121">IFERROR(INDEX(AUTO_Public_TSV_FileList!$A$1:$A$1000,MATCH(TRUE(),EXACT(K121,IFERROR(_xlfn.TEXTBEFORE(AUTO_Public_TSV_FileList!$A$1:$A$1000,".tsv"),"")),0)),"notfound")</f>
        <v>notfound</v>
      </c>
      <c r="N121" s="1"/>
      <c r="P121" s="1"/>
      <c r="Q121" s="1"/>
      <c r="R121" s="1"/>
      <c r="V121" s="1"/>
      <c r="W121" s="1"/>
      <c r="X121" s="1"/>
      <c r="Y121" s="1"/>
      <c r="AB121" s="1"/>
      <c r="AE121" s="1"/>
      <c r="AF121" s="1"/>
    </row>
    <row r="122" spans="1:33" ht="17.100000000000001" customHeight="1">
      <c r="A122" s="1" t="s">
        <v>562</v>
      </c>
      <c r="D122" s="1" t="s">
        <v>477</v>
      </c>
      <c r="E122" s="5" t="str">
        <f t="shared" si="9"/>
        <v>Heffner</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22" s="5" t="str">
        <f t="shared" si="16"/>
        <v>1983</v>
      </c>
      <c r="H122" s="5" t="str">
        <f t="shared" si="10"/>
        <v>Heffner_Masterton_1983</v>
      </c>
      <c r="I122" s="5" t="str">
        <f>_xlfn.LET(
_xlpm.doi,IF(C122&lt;&gt;"",C122,_xlfn.TEXTAFTER(A122,"https://doi.org/")),
SUBSTITUTE(
SUBSTITUTE(
SUBSTITUTE(
SUBSTITUTE(
_xlpm.doi,
"/","%2F"),
":","%3A"),
"&lt;","%3C"),
"&gt;","%3E")
)</f>
        <v>10.1159%2F000121494</v>
      </c>
      <c r="J122" s="5" t="str">
        <f t="shared" si="11"/>
        <v>Heffner_Masterton_1983_TableI</v>
      </c>
      <c r="K122" s="5" t="str">
        <f t="shared" si="12"/>
        <v>10.1159%2F000121494_TableI</v>
      </c>
      <c r="L122" s="5" t="str">
        <f t="array" ref="L122">IFERROR(INDEX(AUTO_Public_TSV_FileList!$A$1:$A$1000,MATCH(TRUE(),EXACT(K122,IFERROR(_xlfn.TEXTBEFORE(AUTO_Public_TSV_FileList!$A$1:$A$1000,".tsv"),"")),0)),"notfound")</f>
        <v>10.1159%2F000121494_TableI.tsv</v>
      </c>
      <c r="N122" s="1" t="s">
        <v>35</v>
      </c>
      <c r="P122" s="2" t="s">
        <v>36</v>
      </c>
      <c r="R122" s="1" t="s">
        <v>523</v>
      </c>
      <c r="T122" s="1" t="s">
        <v>563</v>
      </c>
      <c r="V122" s="1"/>
      <c r="W122" s="1" t="s">
        <v>131</v>
      </c>
      <c r="X122" s="1" t="s">
        <v>564</v>
      </c>
      <c r="AB122" s="1" t="s">
        <v>565</v>
      </c>
      <c r="AE122" s="1" t="s">
        <v>172</v>
      </c>
      <c r="AF122" s="1"/>
    </row>
    <row r="123" spans="1:33" ht="17.100000000000001" customHeight="1">
      <c r="A123" s="1" t="s">
        <v>566</v>
      </c>
      <c r="D123" s="1" t="s">
        <v>316</v>
      </c>
      <c r="E123" s="5" t="str">
        <f t="shared" si="9"/>
        <v>Heffner</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16"/>
        <v>2020</v>
      </c>
      <c r="H123" s="5" t="str">
        <f t="shared" si="10"/>
        <v>Heffner_etal_2020</v>
      </c>
      <c r="I123" s="5" t="str">
        <f>_xlfn.LET(
_xlpm.doi,IF(C123&lt;&gt;"",C123,_xlfn.TEXTAFTER(A123,"https://doi.org/")),
SUBSTITUTE(
SUBSTITUTE(
SUBSTITUTE(
SUBSTITUTE(
_xlpm.doi,
"/","%2F"),
":","%3A"),
"&lt;","%3C"),
"&gt;","%3E")
)</f>
        <v>10.1007%2Fs00359-020-01424-8</v>
      </c>
      <c r="J123" s="5" t="str">
        <f t="shared" si="11"/>
        <v>Heffner_etal_2020_Figure3</v>
      </c>
      <c r="K123" s="5" t="str">
        <f t="shared" si="12"/>
        <v>10.1007%2Fs00359-020-01424-8_Figure3</v>
      </c>
      <c r="L123" s="5" t="str">
        <f t="array" ref="L123">IFERROR(INDEX(AUTO_Public_TSV_FileList!$A$1:$A$1000,MATCH(TRUE(),EXACT(K123,IFERROR(_xlfn.TEXTBEFORE(AUTO_Public_TSV_FileList!$A$1:$A$1000,".tsv"),"")),0)),"notfound")</f>
        <v>10.1007%2Fs00359-020-01424-8_Figure3.tsv</v>
      </c>
      <c r="M123" s="2" t="s">
        <v>567</v>
      </c>
      <c r="N123" s="1"/>
      <c r="P123" s="1"/>
      <c r="Q123" s="1"/>
      <c r="R123" s="1"/>
      <c r="V123" s="1"/>
      <c r="W123" s="1"/>
      <c r="X123" s="1"/>
      <c r="Y123" s="1"/>
      <c r="AB123" s="1"/>
      <c r="AE123" s="1"/>
      <c r="AF123" s="1"/>
    </row>
    <row r="124" spans="1:33" ht="17.100000000000001" customHeight="1">
      <c r="A124" s="2" t="s">
        <v>568</v>
      </c>
      <c r="D124" s="2" t="s">
        <v>316</v>
      </c>
      <c r="E124" s="6" t="str">
        <f t="shared" si="9"/>
        <v>Heffner</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16"/>
        <v>2020</v>
      </c>
      <c r="H124" s="6" t="str">
        <f t="shared" si="10"/>
        <v>Heffner_etal_2020</v>
      </c>
      <c r="I124" s="6" t="str">
        <f>_xlfn.LET(_xlpm.doi,IF(C124&lt;&gt;"",C124,_xlfn.TEXTAFTER(A124,"https://doi.org/")),SUBSTITUTE(SUBSTITUTE(SUBSTITUTE(SUBSTITUTE(_xlpm.doi,"/","%2F"),":","%3A"),"&lt;","%3C"),"&gt;","%3E"))</f>
        <v>10.1007%2Fs00359-020-01424-8</v>
      </c>
      <c r="J124" s="6" t="str">
        <f t="shared" si="11"/>
        <v>Heffner_etal_2020_Figure3</v>
      </c>
      <c r="K124" s="6" t="str">
        <f t="shared" si="12"/>
        <v>10.1007%2Fs00359-020-01424-8_Figure3</v>
      </c>
      <c r="L124" s="6" t="str">
        <f>IFERROR(INDEX(AUTO_Public_TSV_FileList!$A$1:$A$1000,MATCH(TRUE(),EXACT(K124,IFERROR(_xlfn.TEXTBEFORE(AUTO_Public_TSV_FileList!$A$1:$A$1000,".tsv"),"")),0)),"notfound")</f>
        <v>notfound</v>
      </c>
      <c r="M124" s="2" t="s">
        <v>567</v>
      </c>
      <c r="N124" s="1" t="s">
        <v>537</v>
      </c>
      <c r="O124" s="2" t="s">
        <v>569</v>
      </c>
      <c r="W124" s="2" t="s">
        <v>570</v>
      </c>
      <c r="X124" s="2" t="s">
        <v>571</v>
      </c>
      <c r="AB124" s="2" t="s">
        <v>559</v>
      </c>
      <c r="AC124" s="2" t="s">
        <v>560</v>
      </c>
      <c r="AE124" s="2" t="s">
        <v>51</v>
      </c>
    </row>
    <row r="125" spans="1:33" ht="17.100000000000001" customHeight="1">
      <c r="A125" s="1" t="s">
        <v>572</v>
      </c>
      <c r="D125" s="1" t="s">
        <v>477</v>
      </c>
      <c r="E125" s="5" t="str">
        <f t="shared" si="9"/>
        <v>Heffner</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25" s="5" t="str">
        <f t="shared" si="16"/>
        <v>1975</v>
      </c>
      <c r="H125" s="5" t="str">
        <f t="shared" si="10"/>
        <v>Heffner_Masterton_1975</v>
      </c>
      <c r="I125" s="5" t="str">
        <f t="shared" ref="I125:I136" si="17">_xlfn.LET(
_xlpm.doi,IF(C125&lt;&gt;"",C125,_xlfn.TEXTAFTER(A125,"https://doi.org/")),
SUBSTITUTE(
SUBSTITUTE(
SUBSTITUTE(
SUBSTITUTE(
_xlpm.doi,
"/","%2F"),
":","%3A"),
"&lt;","%3C"),
"&gt;","%3E")
)</f>
        <v>10.1159%2F000124401</v>
      </c>
      <c r="J125" s="5" t="str">
        <f t="shared" si="11"/>
        <v>Heffner_Masterton_1975_TableI</v>
      </c>
      <c r="K125" s="5" t="str">
        <f t="shared" si="12"/>
        <v>10.1159%2F000124401_TableI</v>
      </c>
      <c r="L125" s="5" t="str">
        <f t="array" ref="L125">IFERROR(INDEX(AUTO_Public_TSV_FileList!$A$1:$A$1000,MATCH(TRUE(),EXACT(K125,IFERROR(_xlfn.TEXTBEFORE(AUTO_Public_TSV_FileList!$A$1:$A$1000,".tsv"),"")),0)),"notfound")</f>
        <v>10.1159%2F000124401_TableI.tsv</v>
      </c>
      <c r="N125" s="1" t="s">
        <v>35</v>
      </c>
      <c r="P125" s="1" t="s">
        <v>36</v>
      </c>
      <c r="Q125" s="1"/>
      <c r="R125" s="1" t="s">
        <v>523</v>
      </c>
      <c r="V125" s="1"/>
      <c r="W125" s="1" t="s">
        <v>131</v>
      </c>
      <c r="X125" s="1" t="s">
        <v>564</v>
      </c>
      <c r="Y125" s="1" t="s">
        <v>573</v>
      </c>
      <c r="AB125" s="1" t="s">
        <v>574</v>
      </c>
      <c r="AE125" s="1" t="s">
        <v>51</v>
      </c>
      <c r="AF125" s="1"/>
    </row>
    <row r="126" spans="1:33" ht="17.100000000000001" customHeight="1">
      <c r="A126" s="1" t="s">
        <v>575</v>
      </c>
      <c r="C126" s="1" t="s">
        <v>576</v>
      </c>
      <c r="D126" s="1" t="s">
        <v>58</v>
      </c>
      <c r="E126" s="5" t="str">
        <f t="shared" si="9"/>
        <v>Heiss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16"/>
        <v>2004</v>
      </c>
      <c r="H126" s="5" t="str">
        <f t="shared" si="10"/>
        <v>Heiss_etal_2004</v>
      </c>
      <c r="I126" s="5" t="str">
        <f t="shared" si="17"/>
        <v>PMID%3A15534048</v>
      </c>
      <c r="J126" s="5" t="str">
        <f t="shared" si="11"/>
        <v>Heiss_etal_2004_TABLE1</v>
      </c>
      <c r="K126" s="5" t="str">
        <f t="shared" si="12"/>
        <v>PMID%3A15534048_TABLE1</v>
      </c>
      <c r="L126" s="5" t="str">
        <f t="array" ref="L126">IFERROR(INDEX(AUTO_Public_TSV_FileList!$A$1:$A$1000,MATCH(TRUE(),EXACT(K126,IFERROR(_xlfn.TEXTBEFORE(AUTO_Public_TSV_FileList!$A$1:$A$1000,".tsv"),"")),0)),"notfound")</f>
        <v>PMID%3A15534048_TABLE1.tsv</v>
      </c>
      <c r="M126" s="1" t="s">
        <v>577</v>
      </c>
      <c r="O126" s="1"/>
      <c r="P126" s="2" t="s">
        <v>36</v>
      </c>
      <c r="R126" s="1" t="s">
        <v>523</v>
      </c>
      <c r="W126" s="1" t="s">
        <v>578</v>
      </c>
      <c r="X126" s="1" t="s">
        <v>579</v>
      </c>
      <c r="AB126" s="1" t="s">
        <v>580</v>
      </c>
      <c r="AE126" s="1" t="s">
        <v>66</v>
      </c>
      <c r="AF126" s="1"/>
    </row>
    <row r="127" spans="1:33" ht="17.100000000000001" customHeight="1">
      <c r="A127" s="1" t="s">
        <v>581</v>
      </c>
      <c r="D127" s="1" t="s">
        <v>314</v>
      </c>
      <c r="E127" s="5" t="str">
        <f t="shared" si="9"/>
        <v>Heldstab</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 t="shared" si="16"/>
        <v>2016</v>
      </c>
      <c r="H127" s="5" t="str">
        <f t="shared" si="10"/>
        <v>Heldstab_etal_2016</v>
      </c>
      <c r="I127" s="5" t="str">
        <f t="shared" si="17"/>
        <v>10.1038%2Fsrep24528</v>
      </c>
      <c r="J127" s="5" t="str">
        <f t="shared" si="11"/>
        <v>Heldstab_etal_2016_TableS1</v>
      </c>
      <c r="K127" s="5" t="str">
        <f t="shared" si="12"/>
        <v>10.1038%2Fsrep24528_TableS1</v>
      </c>
      <c r="L127" s="5" t="str">
        <f t="array" ref="L127">IFERROR(INDEX(AUTO_Public_TSV_FileList!$A$1:$A$1000,MATCH(TRUE(),EXACT(K127,IFERROR(_xlfn.TEXTBEFORE(AUTO_Public_TSV_FileList!$A$1:$A$1000,".tsv"),"")),0)),"notfound")</f>
        <v>10.1038%2Fsrep24528_TableS1.tsv</v>
      </c>
      <c r="N127" s="1" t="s">
        <v>35</v>
      </c>
      <c r="P127" s="2" t="s">
        <v>36</v>
      </c>
      <c r="R127" s="1" t="s">
        <v>523</v>
      </c>
      <c r="V127" s="1"/>
      <c r="W127" s="1" t="s">
        <v>93</v>
      </c>
      <c r="X127" s="1" t="s">
        <v>582</v>
      </c>
      <c r="AB127" s="1" t="s">
        <v>583</v>
      </c>
      <c r="AE127" s="1" t="s">
        <v>172</v>
      </c>
      <c r="AF127" s="1"/>
    </row>
    <row r="128" spans="1:33" ht="17.100000000000001" customHeight="1">
      <c r="A128" s="1" t="s">
        <v>584</v>
      </c>
      <c r="D128" s="1" t="s">
        <v>81</v>
      </c>
      <c r="E128" s="5" t="str">
        <f t="shared" si="9"/>
        <v>HerculanoHouzel</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8" s="5" t="str">
        <f t="shared" si="16"/>
        <v>2015</v>
      </c>
      <c r="H128" s="5" t="str">
        <f t="shared" si="10"/>
        <v>HerculanoHouzel__2015</v>
      </c>
      <c r="I128" s="5" t="str">
        <f t="shared" si="17"/>
        <v>10.1098%2Frspb.2015.1853</v>
      </c>
      <c r="J128" s="5" t="str">
        <f t="shared" si="11"/>
        <v>HerculanoHouzel__2015_Table1</v>
      </c>
      <c r="K128" s="5" t="str">
        <f t="shared" si="12"/>
        <v>10.1098%2Frspb.2015.1853_Table1</v>
      </c>
      <c r="L128" s="5" t="str">
        <f t="array" ref="L128">IFERROR(INDEX(AUTO_Public_TSV_FileList!$A$1:$A$1000,MATCH(TRUE(),EXACT(K128,IFERROR(_xlfn.TEXTBEFORE(AUTO_Public_TSV_FileList!$A$1:$A$1000,".tsv"),"")),0)),"notfound")</f>
        <v>10.1098%2Frspb.2015.1853_Table1.tsv</v>
      </c>
      <c r="N128" s="1" t="s">
        <v>35</v>
      </c>
      <c r="P128" s="2" t="s">
        <v>36</v>
      </c>
      <c r="W128" s="1" t="s">
        <v>131</v>
      </c>
      <c r="X128" s="1" t="s">
        <v>585</v>
      </c>
      <c r="AB128" s="1" t="s">
        <v>586</v>
      </c>
      <c r="AE128" s="1" t="s">
        <v>51</v>
      </c>
      <c r="AF128" s="1"/>
    </row>
    <row r="129" spans="1:33" ht="17.100000000000001" customHeight="1">
      <c r="A129" s="1" t="s">
        <v>584</v>
      </c>
      <c r="D129" s="1" t="s">
        <v>70</v>
      </c>
      <c r="E129" s="5" t="str">
        <f t="shared" si="9"/>
        <v>HerculanoHouzel</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9" s="5" t="str">
        <f t="shared" si="16"/>
        <v>2015</v>
      </c>
      <c r="H129" s="5" t="str">
        <f t="shared" si="10"/>
        <v>HerculanoHouzel__2015</v>
      </c>
      <c r="I129" s="5" t="str">
        <f t="shared" si="17"/>
        <v>10.1098%2Frspb.2015.1853</v>
      </c>
      <c r="J129" s="5" t="str">
        <f t="shared" si="11"/>
        <v>HerculanoHouzel__2015_Table2</v>
      </c>
      <c r="K129" s="5" t="str">
        <f t="shared" si="12"/>
        <v>10.1098%2Frspb.2015.1853_Table2</v>
      </c>
      <c r="L129" s="5" t="str">
        <f t="array" ref="L129">IFERROR(INDEX(AUTO_Public_TSV_FileList!$A$1:$A$1000,MATCH(TRUE(),EXACT(K129,IFERROR(_xlfn.TEXTBEFORE(AUTO_Public_TSV_FileList!$A$1:$A$1000,".tsv"),"")),0)),"notfound")</f>
        <v>10.1098%2Frspb.2015.1853_Table2.tsv</v>
      </c>
      <c r="M129" s="1" t="s">
        <v>587</v>
      </c>
      <c r="N129" s="1" t="s">
        <v>35</v>
      </c>
      <c r="O129" s="1"/>
      <c r="P129" s="2" t="s">
        <v>36</v>
      </c>
      <c r="W129" s="1" t="s">
        <v>131</v>
      </c>
      <c r="X129" s="1" t="s">
        <v>588</v>
      </c>
      <c r="AB129" s="1" t="s">
        <v>589</v>
      </c>
      <c r="AE129" s="1" t="s">
        <v>51</v>
      </c>
      <c r="AF129" s="1"/>
    </row>
    <row r="130" spans="1:33" ht="17.100000000000001" customHeight="1">
      <c r="A130" s="1" t="s">
        <v>590</v>
      </c>
      <c r="D130" s="1" t="s">
        <v>81</v>
      </c>
      <c r="E130" s="5" t="str">
        <f t="shared" ref="E130:E193" si="18">SUBSTITUTE(SUBSTITUTE(_xlfn.TEXTBEFORE(A130,","), "-", ""), " ", "")</f>
        <v>HerculanoHouzel</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5" t="str">
        <f t="shared" si="16"/>
        <v>2015</v>
      </c>
      <c r="H130" s="5" t="str">
        <f t="shared" ref="H130:H193" si="19">E130 &amp; IF(F130&lt;&gt;"", "_" &amp; F130, "_") &amp; IF(G130&lt;&gt;"", "_" &amp; G130, "_") &amp; IF(B130&lt;&gt;"", "_" &amp; B130, "")</f>
        <v>HerculanoHouzel_etal_2015</v>
      </c>
      <c r="I130" s="5" t="str">
        <f t="shared" si="17"/>
        <v>10.1159%2F000437413</v>
      </c>
      <c r="J130" s="5" t="str">
        <f t="shared" ref="J130:J193" si="20">TRIM(_xlfn.TEXTJOIN("_",FALSE(),H130,(SUBSTITUTE(SUBSTITUTE(D130," ",""), "_", ""))))</f>
        <v>HerculanoHouzel_etal_2015_Table1</v>
      </c>
      <c r="K130" s="5" t="str">
        <f t="shared" ref="K130:K193" si="21">I130 &amp; "_" &amp; SUBSTITUTE(SUBSTITUTE(SUBSTITUTE(D130,CHAR(160),"")," ",""),"_","")</f>
        <v>10.1159%2F000437413_Table1</v>
      </c>
      <c r="L130" s="5" t="str">
        <f t="array" ref="L130">IFERROR(INDEX(AUTO_Public_TSV_FileList!$A$1:$A$1000,MATCH(TRUE(),EXACT(K130,IFERROR(_xlfn.TEXTBEFORE(AUTO_Public_TSV_FileList!$A$1:$A$1000,".tsv"),"")),0)),"notfound")</f>
        <v>10.1159%2F000437413_Table1.tsv</v>
      </c>
      <c r="M130" s="1" t="s">
        <v>591</v>
      </c>
      <c r="N130" s="1" t="s">
        <v>35</v>
      </c>
      <c r="O130" s="1"/>
      <c r="P130" s="1" t="s">
        <v>36</v>
      </c>
      <c r="Q130" s="1"/>
      <c r="R130" s="1" t="s">
        <v>523</v>
      </c>
      <c r="S130" s="1" t="s">
        <v>592</v>
      </c>
      <c r="W130" s="1" t="s">
        <v>593</v>
      </c>
      <c r="X130" s="1" t="s">
        <v>433</v>
      </c>
      <c r="AA130" s="1" t="s">
        <v>63</v>
      </c>
      <c r="AB130" s="1" t="s">
        <v>64</v>
      </c>
      <c r="AC130" s="1" t="s">
        <v>65</v>
      </c>
      <c r="AD130" s="1" t="s">
        <v>65</v>
      </c>
      <c r="AE130" s="1" t="s">
        <v>66</v>
      </c>
      <c r="AF130" s="1"/>
    </row>
    <row r="131" spans="1:33" ht="17.100000000000001" customHeight="1">
      <c r="A131" s="1" t="s">
        <v>590</v>
      </c>
      <c r="D131" s="1" t="s">
        <v>70</v>
      </c>
      <c r="E131" s="5" t="str">
        <f t="shared" si="18"/>
        <v>HerculanoHouzel</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5" t="str">
        <f t="shared" si="16"/>
        <v>2015</v>
      </c>
      <c r="H131" s="5" t="str">
        <f t="shared" si="19"/>
        <v>HerculanoHouzel_etal_2015</v>
      </c>
      <c r="I131" s="5" t="str">
        <f t="shared" si="17"/>
        <v>10.1159%2F000437413</v>
      </c>
      <c r="J131" s="5" t="str">
        <f t="shared" si="20"/>
        <v>HerculanoHouzel_etal_2015_Table2</v>
      </c>
      <c r="K131" s="5" t="str">
        <f t="shared" si="21"/>
        <v>10.1159%2F000437413_Table2</v>
      </c>
      <c r="L131" s="5" t="str">
        <f t="array" ref="L131">IFERROR(INDEX(AUTO_Public_TSV_FileList!$A$1:$A$1000,MATCH(TRUE(),EXACT(K131,IFERROR(_xlfn.TEXTBEFORE(AUTO_Public_TSV_FileList!$A$1:$A$1000,".tsv"),"")),0)),"notfound")</f>
        <v>10.1159%2F000437413_Table2.tsv</v>
      </c>
      <c r="M131" s="1" t="s">
        <v>594</v>
      </c>
      <c r="N131" s="1" t="s">
        <v>35</v>
      </c>
      <c r="O131" s="1"/>
      <c r="P131" s="1" t="s">
        <v>36</v>
      </c>
      <c r="Q131" s="1"/>
      <c r="R131" s="1" t="s">
        <v>523</v>
      </c>
      <c r="W131" s="1" t="s">
        <v>593</v>
      </c>
      <c r="X131" s="1" t="s">
        <v>433</v>
      </c>
      <c r="AA131" s="1" t="s">
        <v>63</v>
      </c>
      <c r="AB131" s="1" t="s">
        <v>64</v>
      </c>
      <c r="AC131" s="1" t="s">
        <v>65</v>
      </c>
      <c r="AD131" s="1" t="s">
        <v>65</v>
      </c>
      <c r="AE131" s="1" t="s">
        <v>66</v>
      </c>
      <c r="AF131" s="1"/>
    </row>
    <row r="132" spans="1:33" ht="17.100000000000001" customHeight="1">
      <c r="A132" s="1" t="s">
        <v>590</v>
      </c>
      <c r="D132" s="1" t="s">
        <v>72</v>
      </c>
      <c r="E132" s="5" t="str">
        <f t="shared" si="18"/>
        <v>HerculanoHouzel</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si="16"/>
        <v>2015</v>
      </c>
      <c r="H132" s="5" t="str">
        <f t="shared" si="19"/>
        <v>HerculanoHouzel_etal_2015</v>
      </c>
      <c r="I132" s="5" t="str">
        <f t="shared" si="17"/>
        <v>10.1159%2F000437413</v>
      </c>
      <c r="J132" s="5" t="str">
        <f t="shared" si="20"/>
        <v>HerculanoHouzel_etal_2015_Table3</v>
      </c>
      <c r="K132" s="5" t="str">
        <f t="shared" si="21"/>
        <v>10.1159%2F000437413_Table3</v>
      </c>
      <c r="L132" s="5" t="str">
        <f t="array" ref="L132">IFERROR(INDEX(AUTO_Public_TSV_FileList!$A$1:$A$1000,MATCH(TRUE(),EXACT(K132,IFERROR(_xlfn.TEXTBEFORE(AUTO_Public_TSV_FileList!$A$1:$A$1000,".tsv"),"")),0)),"notfound")</f>
        <v>10.1159%2F000437413_Table3.tsv</v>
      </c>
      <c r="M132" s="1" t="s">
        <v>595</v>
      </c>
      <c r="N132" s="1" t="s">
        <v>35</v>
      </c>
      <c r="O132" s="1"/>
      <c r="P132" s="1" t="s">
        <v>36</v>
      </c>
      <c r="Q132" s="1"/>
      <c r="R132" s="1" t="s">
        <v>523</v>
      </c>
      <c r="W132" s="1" t="s">
        <v>593</v>
      </c>
      <c r="X132" s="1" t="s">
        <v>433</v>
      </c>
      <c r="AA132" s="1" t="s">
        <v>63</v>
      </c>
      <c r="AB132" s="1" t="s">
        <v>64</v>
      </c>
      <c r="AC132" s="1" t="s">
        <v>65</v>
      </c>
      <c r="AD132" s="1" t="s">
        <v>65</v>
      </c>
      <c r="AE132" s="1" t="s">
        <v>66</v>
      </c>
      <c r="AF132" s="1"/>
    </row>
    <row r="133" spans="1:33" ht="17.100000000000001" customHeight="1">
      <c r="A133" s="1" t="s">
        <v>590</v>
      </c>
      <c r="D133" s="1" t="s">
        <v>34</v>
      </c>
      <c r="E133" s="5" t="str">
        <f t="shared" si="18"/>
        <v>HerculanoHouzel</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16"/>
        <v>2015</v>
      </c>
      <c r="H133" s="5" t="str">
        <f t="shared" si="19"/>
        <v>HerculanoHouzel_etal_2015</v>
      </c>
      <c r="I133" s="5" t="str">
        <f t="shared" si="17"/>
        <v>10.1159%2F000437413</v>
      </c>
      <c r="J133" s="5" t="str">
        <f t="shared" si="20"/>
        <v>HerculanoHouzel_etal_2015_Table4</v>
      </c>
      <c r="K133" s="5" t="str">
        <f t="shared" si="21"/>
        <v>10.1159%2F000437413_Table4</v>
      </c>
      <c r="L133" s="5" t="str">
        <f t="array" ref="L133">IFERROR(INDEX(AUTO_Public_TSV_FileList!$A$1:$A$1000,MATCH(TRUE(),EXACT(K133,IFERROR(_xlfn.TEXTBEFORE(AUTO_Public_TSV_FileList!$A$1:$A$1000,".tsv"),"")),0)),"notfound")</f>
        <v>10.1159%2F000437413_Table4.tsv</v>
      </c>
      <c r="M133" s="1" t="s">
        <v>596</v>
      </c>
      <c r="N133" s="1" t="s">
        <v>35</v>
      </c>
      <c r="O133" s="1"/>
      <c r="P133" s="1" t="s">
        <v>36</v>
      </c>
      <c r="Q133" s="1"/>
      <c r="R133" s="1" t="s">
        <v>523</v>
      </c>
      <c r="W133" s="1" t="s">
        <v>593</v>
      </c>
      <c r="X133" s="1" t="s">
        <v>433</v>
      </c>
      <c r="AA133" s="1" t="s">
        <v>63</v>
      </c>
      <c r="AB133" s="1" t="s">
        <v>64</v>
      </c>
      <c r="AC133" s="1" t="s">
        <v>65</v>
      </c>
      <c r="AD133" s="1" t="s">
        <v>65</v>
      </c>
      <c r="AE133" s="1" t="s">
        <v>66</v>
      </c>
      <c r="AF133" s="1"/>
    </row>
    <row r="134" spans="1:33" ht="17.100000000000001" customHeight="1">
      <c r="A134" s="1" t="s">
        <v>590</v>
      </c>
      <c r="D134" s="1" t="s">
        <v>74</v>
      </c>
      <c r="E134" s="5" t="str">
        <f t="shared" si="18"/>
        <v>HerculanoHouzel</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 t="shared" si="16"/>
        <v>2015</v>
      </c>
      <c r="H134" s="5" t="str">
        <f t="shared" si="19"/>
        <v>HerculanoHouzel_etal_2015</v>
      </c>
      <c r="I134" s="5" t="str">
        <f t="shared" si="17"/>
        <v>10.1159%2F000437413</v>
      </c>
      <c r="J134" s="5" t="str">
        <f t="shared" si="20"/>
        <v>HerculanoHouzel_etal_2015_Table5</v>
      </c>
      <c r="K134" s="5" t="str">
        <f t="shared" si="21"/>
        <v>10.1159%2F000437413_Table5</v>
      </c>
      <c r="L134" s="5" t="str">
        <f t="array" ref="L134">IFERROR(INDEX(AUTO_Public_TSV_FileList!$A$1:$A$1000,MATCH(TRUE(),EXACT(K134,IFERROR(_xlfn.TEXTBEFORE(AUTO_Public_TSV_FileList!$A$1:$A$1000,".tsv"),"")),0)),"notfound")</f>
        <v>10.1159%2F000437413_Table5.tsv</v>
      </c>
      <c r="M134" s="1" t="s">
        <v>597</v>
      </c>
      <c r="N134" s="1" t="s">
        <v>35</v>
      </c>
      <c r="O134" s="1"/>
      <c r="P134" s="1" t="s">
        <v>36</v>
      </c>
      <c r="Q134" s="1"/>
      <c r="R134" s="1" t="s">
        <v>523</v>
      </c>
      <c r="W134" s="1" t="s">
        <v>593</v>
      </c>
      <c r="X134" s="1" t="s">
        <v>433</v>
      </c>
      <c r="AA134" s="1" t="s">
        <v>63</v>
      </c>
      <c r="AB134" s="1" t="s">
        <v>64</v>
      </c>
      <c r="AC134" s="1" t="s">
        <v>65</v>
      </c>
      <c r="AD134" s="1" t="s">
        <v>65</v>
      </c>
      <c r="AE134" s="1" t="s">
        <v>66</v>
      </c>
      <c r="AF134" s="1"/>
    </row>
    <row r="135" spans="1:33" ht="17.100000000000001" customHeight="1">
      <c r="A135" s="1" t="s">
        <v>598</v>
      </c>
      <c r="D135" s="1" t="s">
        <v>58</v>
      </c>
      <c r="E135" s="5" t="str">
        <f t="shared" si="18"/>
        <v>HerculanoHouzel</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 t="shared" si="16"/>
        <v>2020</v>
      </c>
      <c r="H135" s="5" t="str">
        <f t="shared" si="19"/>
        <v>HerculanoHouzel_etal_2020</v>
      </c>
      <c r="I135" s="5" t="str">
        <f t="shared" si="17"/>
        <v>10.1002%2Fcne.24985</v>
      </c>
      <c r="J135" s="5" t="str">
        <f t="shared" si="20"/>
        <v>HerculanoHouzel_etal_2020_TABLE1</v>
      </c>
      <c r="K135" s="5" t="str">
        <f t="shared" si="21"/>
        <v>10.1002%2Fcne.24985_TABLE1</v>
      </c>
      <c r="L135" s="5" t="str">
        <f t="array" ref="L135">IFERROR(INDEX(AUTO_Public_TSV_FileList!$A$1:$A$1000,MATCH(TRUE(),EXACT(K135,IFERROR(_xlfn.TEXTBEFORE(AUTO_Public_TSV_FileList!$A$1:$A$1000,".tsv"),"")),0)),"notfound")</f>
        <v>10.1002%2Fcne.24985_TABLE1.tsv</v>
      </c>
      <c r="M135" s="1" t="s">
        <v>599</v>
      </c>
      <c r="N135" s="1" t="s">
        <v>35</v>
      </c>
      <c r="O135" s="1"/>
      <c r="P135" s="1" t="s">
        <v>36</v>
      </c>
      <c r="Q135" s="1"/>
      <c r="R135" s="1" t="s">
        <v>600</v>
      </c>
      <c r="S135" s="1" t="s">
        <v>260</v>
      </c>
      <c r="W135" s="1" t="s">
        <v>601</v>
      </c>
      <c r="X135" s="1" t="s">
        <v>602</v>
      </c>
      <c r="AA135" s="1" t="s">
        <v>63</v>
      </c>
      <c r="AB135" s="1" t="s">
        <v>603</v>
      </c>
      <c r="AC135" s="1" t="s">
        <v>65</v>
      </c>
      <c r="AD135" s="1" t="s">
        <v>65</v>
      </c>
      <c r="AE135" s="1" t="s">
        <v>66</v>
      </c>
      <c r="AF135" s="1"/>
    </row>
    <row r="136" spans="1:33" ht="17.100000000000001" customHeight="1">
      <c r="A136" s="1" t="s">
        <v>598</v>
      </c>
      <c r="D136" s="1" t="s">
        <v>103</v>
      </c>
      <c r="E136" s="5" t="str">
        <f t="shared" si="18"/>
        <v>HerculanoHouzel</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 t="shared" si="16"/>
        <v>2020</v>
      </c>
      <c r="H136" s="5" t="str">
        <f t="shared" si="19"/>
        <v>HerculanoHouzel_etal_2020</v>
      </c>
      <c r="I136" s="5" t="str">
        <f t="shared" si="17"/>
        <v>10.1002%2Fcne.24985</v>
      </c>
      <c r="J136" s="5" t="str">
        <f t="shared" si="20"/>
        <v>HerculanoHouzel_etal_2020_TABLE2</v>
      </c>
      <c r="K136" s="5" t="str">
        <f t="shared" si="21"/>
        <v>10.1002%2Fcne.24985_TABLE2</v>
      </c>
      <c r="L136" s="5" t="str">
        <f t="array" ref="L136">IFERROR(INDEX(AUTO_Public_TSV_FileList!$A$1:$A$1000,MATCH(TRUE(),EXACT(K136,IFERROR(_xlfn.TEXTBEFORE(AUTO_Public_TSV_FileList!$A$1:$A$1000,".tsv"),"")),0)),"notfound")</f>
        <v>10.1002%2Fcne.24985_TABLE2.tsv</v>
      </c>
      <c r="M136" s="1" t="s">
        <v>604</v>
      </c>
      <c r="N136" s="1" t="s">
        <v>35</v>
      </c>
      <c r="O136" s="1"/>
      <c r="P136" s="1" t="s">
        <v>36</v>
      </c>
      <c r="Q136" s="1"/>
      <c r="R136" s="1" t="s">
        <v>600</v>
      </c>
      <c r="S136" s="1" t="s">
        <v>260</v>
      </c>
      <c r="W136" s="1" t="s">
        <v>601</v>
      </c>
      <c r="X136" s="1" t="s">
        <v>605</v>
      </c>
      <c r="AA136" s="1" t="s">
        <v>63</v>
      </c>
      <c r="AB136" s="1" t="s">
        <v>64</v>
      </c>
      <c r="AC136" s="1" t="s">
        <v>65</v>
      </c>
      <c r="AD136" s="1" t="s">
        <v>65</v>
      </c>
      <c r="AE136" s="1" t="s">
        <v>66</v>
      </c>
      <c r="AF136" s="1"/>
    </row>
    <row r="137" spans="1:33" ht="17.100000000000001" customHeight="1">
      <c r="A137" s="2" t="s">
        <v>606</v>
      </c>
      <c r="D137" s="2" t="s">
        <v>70</v>
      </c>
      <c r="E137" s="6" t="str">
        <f t="shared" si="18"/>
        <v>HerculanoHouzel</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16"/>
        <v>2016</v>
      </c>
      <c r="H137" s="6" t="str">
        <f t="shared" si="19"/>
        <v>HerculanoHouzel_etal_2016</v>
      </c>
      <c r="I137" s="6" t="str">
        <f>_xlfn.LET(_xlpm.doi,IF(C137&lt;&gt;"",C137,_xlfn.TEXTAFTER(A137,"https://doi.org/")),SUBSTITUTE(SUBSTITUTE(SUBSTITUTE(SUBSTITUTE(_xlpm.doi,"/","%2F"),":","%3A"),"&lt;","%3C"),"&gt;","%3E"))</f>
        <v>10.1002%2Fcne.23792</v>
      </c>
      <c r="J137" s="6" t="str">
        <f t="shared" si="20"/>
        <v>HerculanoHouzel_etal_2016_Table2</v>
      </c>
      <c r="K137" s="5" t="str">
        <f t="shared" si="21"/>
        <v>10.1002%2Fcne.23792_Table2</v>
      </c>
      <c r="L137" s="5" t="str">
        <f t="array" ref="L137">IFERROR(INDEX(AUTO_Public_TSV_FileList!$A$1:$A$1000,MATCH(TRUE(),EXACT(K137,IFERROR(_xlfn.TEXTBEFORE(AUTO_Public_TSV_FileList!$A$1:$A$1000,".tsv"),"")),0)),"notfound")</f>
        <v>10.1002%2Fcne.23792_Table2.tsv</v>
      </c>
      <c r="M137" s="2" t="s">
        <v>607</v>
      </c>
      <c r="N137" s="2" t="s">
        <v>35</v>
      </c>
      <c r="P137" s="2" t="s">
        <v>36</v>
      </c>
      <c r="W137" s="2" t="s">
        <v>93</v>
      </c>
      <c r="X137" s="2" t="s">
        <v>608</v>
      </c>
      <c r="Y137" s="2" t="s">
        <v>609</v>
      </c>
      <c r="Z137" s="2" t="s">
        <v>610</v>
      </c>
      <c r="AA137" s="2" t="s">
        <v>611</v>
      </c>
      <c r="AB137" s="2" t="s">
        <v>64</v>
      </c>
      <c r="AE137" s="2" t="s">
        <v>612</v>
      </c>
      <c r="AF137" s="2" t="s">
        <v>613</v>
      </c>
    </row>
    <row r="138" spans="1:33" ht="17.100000000000001" customHeight="1">
      <c r="A138" s="1" t="s">
        <v>614</v>
      </c>
      <c r="D138" s="1" t="s">
        <v>615</v>
      </c>
      <c r="E138" s="5" t="str">
        <f t="shared" si="18"/>
        <v>HerculanoHouzel</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16"/>
        <v>2013</v>
      </c>
      <c r="H138" s="5" t="str">
        <f t="shared" si="19"/>
        <v>HerculanoHouzel_etal_2013</v>
      </c>
      <c r="I138" s="5" t="str">
        <f t="shared" ref="I138:I172" si="22">_xlfn.LET(
_xlpm.doi,IF(C138&lt;&gt;"",C138,_xlfn.TEXTAFTER(A138,"https://doi.org/")),
SUBSTITUTE(
SUBSTITUTE(
SUBSTITUTE(
SUBSTITUTE(
_xlpm.doi,
"/","%2F"),
":","%3A"),
"&lt;","%3C"),
"&gt;","%3E")
)</f>
        <v>10.3389%2Ffnana.2013.00035</v>
      </c>
      <c r="J138" s="5" t="str">
        <f t="shared" si="20"/>
        <v>HerculanoHouzel_etal_2013_Figure2TopLeft</v>
      </c>
      <c r="K138" s="5" t="str">
        <f t="shared" si="21"/>
        <v>10.3389%2Ffnana.2013.00035_Figure2TopLeft</v>
      </c>
      <c r="L138" s="5" t="str">
        <f t="array" ref="L138">IFERROR(INDEX(AUTO_Public_TSV_FileList!$A$1:$A$1000,MATCH(TRUE(),EXACT(K138,IFERROR(_xlfn.TEXTBEFORE(AUTO_Public_TSV_FileList!$A$1:$A$1000,".tsv"),"")),0)),"notfound")</f>
        <v>10.3389%2Ffnana.2013.00035_Figure2TopLeft.tsv</v>
      </c>
      <c r="P138" s="1" t="s">
        <v>36</v>
      </c>
      <c r="W138" s="1" t="s">
        <v>131</v>
      </c>
      <c r="X138" s="1" t="s">
        <v>616</v>
      </c>
      <c r="AA138" s="1" t="s">
        <v>63</v>
      </c>
      <c r="AB138" s="1" t="s">
        <v>64</v>
      </c>
      <c r="AC138" s="1" t="s">
        <v>65</v>
      </c>
      <c r="AD138" s="1" t="s">
        <v>65</v>
      </c>
      <c r="AE138" s="1" t="s">
        <v>66</v>
      </c>
      <c r="AF138" s="1"/>
    </row>
    <row r="139" spans="1:33" ht="17.100000000000001" customHeight="1">
      <c r="A139" s="1" t="s">
        <v>614</v>
      </c>
      <c r="D139" s="1" t="s">
        <v>617</v>
      </c>
      <c r="E139" s="5" t="str">
        <f t="shared" si="18"/>
        <v>HerculanoHouzel</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16"/>
        <v>2013</v>
      </c>
      <c r="H139" s="5" t="str">
        <f t="shared" si="19"/>
        <v>HerculanoHouzel_etal_2013</v>
      </c>
      <c r="I139" s="5" t="str">
        <f t="shared" si="22"/>
        <v>10.3389%2Ffnana.2013.00035</v>
      </c>
      <c r="J139" s="5" t="str">
        <f t="shared" si="20"/>
        <v>HerculanoHouzel_etal_2013_Table1-a</v>
      </c>
      <c r="K139" s="5" t="str">
        <f t="shared" si="21"/>
        <v>10.3389%2Ffnana.2013.00035_Table1-a</v>
      </c>
      <c r="L139" s="5" t="str">
        <f t="array" ref="L139">IFERROR(INDEX(AUTO_Public_TSV_FileList!$A$1:$A$1000,MATCH(TRUE(),EXACT(K139,IFERROR(_xlfn.TEXTBEFORE(AUTO_Public_TSV_FileList!$A$1:$A$1000,".tsv"),"")),0)),"notfound")</f>
        <v>10.3389%2Ffnana.2013.00035_Table1-a.tsv</v>
      </c>
      <c r="N139" s="1" t="s">
        <v>35</v>
      </c>
      <c r="P139" s="1" t="s">
        <v>36</v>
      </c>
      <c r="W139" s="1" t="s">
        <v>131</v>
      </c>
      <c r="X139" s="1" t="s">
        <v>616</v>
      </c>
      <c r="AA139" s="1" t="s">
        <v>63</v>
      </c>
      <c r="AB139" s="1" t="s">
        <v>64</v>
      </c>
      <c r="AC139" s="1" t="s">
        <v>65</v>
      </c>
      <c r="AD139" s="1" t="s">
        <v>65</v>
      </c>
      <c r="AE139" s="1" t="s">
        <v>66</v>
      </c>
      <c r="AF139" s="1"/>
    </row>
    <row r="140" spans="1:33" ht="17.100000000000001" customHeight="1">
      <c r="A140" s="1" t="s">
        <v>614</v>
      </c>
      <c r="D140" s="1" t="s">
        <v>618</v>
      </c>
      <c r="E140" s="5" t="str">
        <f t="shared" si="18"/>
        <v>HerculanoHouzel</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_xlfn.TEXTBEFORE(_xlfn.TEXTAFTER(A140, "("), ")")</f>
        <v>2013</v>
      </c>
      <c r="H140" s="5" t="str">
        <f t="shared" si="19"/>
        <v>HerculanoHouzel_etal_2013</v>
      </c>
      <c r="I140" s="5" t="str">
        <f t="shared" si="22"/>
        <v>10.3389%2Ffnana.2013.00035</v>
      </c>
      <c r="J140" s="5" t="str">
        <f t="shared" si="20"/>
        <v>HerculanoHouzel_etal_2013_Table1-b</v>
      </c>
      <c r="K140" s="5" t="str">
        <f t="shared" si="21"/>
        <v>10.3389%2Ffnana.2013.00035_Table1-b</v>
      </c>
      <c r="L140" s="5" t="str">
        <f t="array" ref="L140">IFERROR(INDEX(AUTO_Public_TSV_FileList!$A$1:$A$1000,MATCH(TRUE(),EXACT(K140,IFERROR(_xlfn.TEXTBEFORE(AUTO_Public_TSV_FileList!$A$1:$A$1000,".tsv"),"")),0)),"notfound")</f>
        <v>10.3389%2Ffnana.2013.00035_Table1-b.tsv</v>
      </c>
      <c r="N140" s="1" t="s">
        <v>35</v>
      </c>
      <c r="P140" s="1" t="s">
        <v>36</v>
      </c>
      <c r="W140" s="1" t="s">
        <v>131</v>
      </c>
      <c r="X140" s="1" t="s">
        <v>616</v>
      </c>
      <c r="AA140" s="1" t="s">
        <v>63</v>
      </c>
      <c r="AB140" s="1" t="s">
        <v>64</v>
      </c>
      <c r="AC140" s="1" t="s">
        <v>65</v>
      </c>
      <c r="AD140" s="1" t="s">
        <v>65</v>
      </c>
      <c r="AE140" s="1" t="s">
        <v>66</v>
      </c>
      <c r="AF140" s="1"/>
    </row>
    <row r="141" spans="1:33" ht="17.100000000000001" customHeight="1">
      <c r="A141" s="1" t="s">
        <v>619</v>
      </c>
      <c r="D141" s="1" t="s">
        <v>620</v>
      </c>
      <c r="E141" s="5" t="str">
        <f t="shared" si="18"/>
        <v>Heuer</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 t="shared" ref="G141:G157" si="23">_xlfn.TEXTBEFORE(_xlfn.TEXTAFTER(A141, "("), ")")</f>
        <v>2019</v>
      </c>
      <c r="H141" s="5" t="str">
        <f t="shared" si="19"/>
        <v>Heuer_etal_2019</v>
      </c>
      <c r="I141" s="5" t="str">
        <f t="shared" si="22"/>
        <v>10.1016%2Fj.cortex.2019.04.011</v>
      </c>
      <c r="J141" s="5" t="str">
        <f t="shared" si="20"/>
        <v>Heuer_etal_2019_S1</v>
      </c>
      <c r="K141" s="5" t="str">
        <f t="shared" si="21"/>
        <v>10.1016%2Fj.cortex.2019.04.011_S1</v>
      </c>
      <c r="L141" s="5" t="str">
        <f t="array" ref="L141">IFERROR(INDEX(AUTO_Public_TSV_FileList!$A$1:$A$1000,MATCH(TRUE(),EXACT(K141,IFERROR(_xlfn.TEXTBEFORE(AUTO_Public_TSV_FileList!$A$1:$A$1000,".tsv"),"")),0)),"notfound")</f>
        <v>10.1016%2Fj.cortex.2019.04.011_S1.tsv</v>
      </c>
      <c r="N141" s="1" t="s">
        <v>35</v>
      </c>
      <c r="P141" s="1" t="s">
        <v>36</v>
      </c>
      <c r="Q141" s="1" t="s">
        <v>621</v>
      </c>
      <c r="W141" s="1" t="s">
        <v>93</v>
      </c>
      <c r="X141" s="1" t="s">
        <v>622</v>
      </c>
      <c r="AB141" s="1" t="s">
        <v>623</v>
      </c>
      <c r="AC141" s="1" t="s">
        <v>624</v>
      </c>
      <c r="AE141" s="1" t="s">
        <v>172</v>
      </c>
      <c r="AF141" s="1"/>
      <c r="AG141" s="1" t="s">
        <v>625</v>
      </c>
    </row>
    <row r="142" spans="1:33" ht="17.100000000000001" customHeight="1">
      <c r="A142" s="1" t="s">
        <v>619</v>
      </c>
      <c r="D142" s="1" t="s">
        <v>81</v>
      </c>
      <c r="E142" s="5" t="str">
        <f t="shared" si="18"/>
        <v>Heuer</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23"/>
        <v>2019</v>
      </c>
      <c r="H142" s="5" t="str">
        <f t="shared" si="19"/>
        <v>Heuer_etal_2019</v>
      </c>
      <c r="I142" s="5" t="str">
        <f t="shared" si="22"/>
        <v>10.1016%2Fj.cortex.2019.04.011</v>
      </c>
      <c r="J142" s="5" t="str">
        <f t="shared" si="20"/>
        <v>Heuer_etal_2019_Table1</v>
      </c>
      <c r="K142" s="5" t="str">
        <f t="shared" si="21"/>
        <v>10.1016%2Fj.cortex.2019.04.011_Table1</v>
      </c>
      <c r="L142" s="5" t="str">
        <f t="array" ref="L142">IFERROR(INDEX(AUTO_Public_TSV_FileList!$A$1:$A$1000,MATCH(TRUE(),EXACT(K142,IFERROR(_xlfn.TEXTBEFORE(AUTO_Public_TSV_FileList!$A$1:$A$1000,".tsv"),"")),0)),"notfound")</f>
        <v>10.1016%2Fj.cortex.2019.04.011_Table1.tsv</v>
      </c>
      <c r="N142" s="1" t="s">
        <v>35</v>
      </c>
      <c r="P142" s="1" t="s">
        <v>36</v>
      </c>
      <c r="Q142" s="1"/>
      <c r="W142" s="1" t="s">
        <v>93</v>
      </c>
      <c r="X142" s="1" t="s">
        <v>626</v>
      </c>
      <c r="AA142" s="1"/>
      <c r="AB142" s="1"/>
      <c r="AC142" s="1" t="s">
        <v>624</v>
      </c>
      <c r="AD142" s="1"/>
      <c r="AE142" s="1" t="s">
        <v>172</v>
      </c>
      <c r="AF142" s="1"/>
      <c r="AG142" s="1" t="s">
        <v>627</v>
      </c>
    </row>
    <row r="143" spans="1:33" ht="17.100000000000001" customHeight="1">
      <c r="A143" s="1" t="s">
        <v>628</v>
      </c>
      <c r="D143" s="1" t="s">
        <v>629</v>
      </c>
      <c r="E143" s="5" t="str">
        <f t="shared" si="18"/>
        <v>Heuer</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5" t="str">
        <f t="shared" si="23"/>
        <v>2023</v>
      </c>
      <c r="H143" s="5" t="str">
        <f t="shared" si="19"/>
        <v>Heuer_etal_2023</v>
      </c>
      <c r="I143" s="5" t="str">
        <f t="shared" si="22"/>
        <v>10.7554%2FeLife.85907</v>
      </c>
      <c r="J143" s="5" t="str">
        <f t="shared" si="20"/>
        <v>Heuer_etal_2023_Data</v>
      </c>
      <c r="K143" s="5" t="str">
        <f t="shared" si="21"/>
        <v>10.7554%2FeLife.85907_Data</v>
      </c>
      <c r="L143" s="5" t="str">
        <f t="array" ref="L143">IFERROR(INDEX(AUTO_Public_TSV_FileList!$A$1:$A$1000,MATCH(TRUE(),EXACT(K143,IFERROR(_xlfn.TEXTBEFORE(AUTO_Public_TSV_FileList!$A$1:$A$1000,".tsv"),"")),0)),"notfound")</f>
        <v>10.7554%2FeLife.85907_Data.tsv</v>
      </c>
      <c r="N143" s="1" t="s">
        <v>35</v>
      </c>
      <c r="O143" s="1" t="s">
        <v>630</v>
      </c>
      <c r="P143" s="1" t="s">
        <v>36</v>
      </c>
      <c r="Q143" s="1" t="s">
        <v>631</v>
      </c>
      <c r="R143" s="1" t="s">
        <v>632</v>
      </c>
      <c r="V143" s="1" t="s">
        <v>633</v>
      </c>
      <c r="W143" s="1" t="s">
        <v>131</v>
      </c>
      <c r="X143" s="1" t="s">
        <v>634</v>
      </c>
      <c r="Y143" s="1" t="s">
        <v>635</v>
      </c>
      <c r="Z143" s="1"/>
      <c r="AA143" s="1" t="s">
        <v>636</v>
      </c>
      <c r="AB143" s="1" t="s">
        <v>637</v>
      </c>
      <c r="AC143" s="1" t="s">
        <v>624</v>
      </c>
      <c r="AE143" s="1" t="s">
        <v>66</v>
      </c>
      <c r="AF143" s="1"/>
      <c r="AG143" s="1" t="s">
        <v>638</v>
      </c>
    </row>
    <row r="144" spans="1:33" ht="17.100000000000001" customHeight="1">
      <c r="A144" s="1" t="s">
        <v>639</v>
      </c>
      <c r="D144" s="1" t="s">
        <v>70</v>
      </c>
      <c r="E144" s="5" t="str">
        <f t="shared" si="18"/>
        <v>Isler</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23"/>
        <v>2008</v>
      </c>
      <c r="H144" s="5" t="str">
        <f t="shared" si="19"/>
        <v>Isler_etal_2008</v>
      </c>
      <c r="I144" s="5" t="str">
        <f t="shared" si="22"/>
        <v>10.1016%2Fj.jhevol.2008.08.004</v>
      </c>
      <c r="J144" s="5" t="str">
        <f t="shared" si="20"/>
        <v>Isler_etal_2008_Table2</v>
      </c>
      <c r="K144" s="5" t="str">
        <f t="shared" si="21"/>
        <v>10.1016%2Fj.jhevol.2008.08.004_Table2</v>
      </c>
      <c r="L144" s="5" t="str">
        <f t="array" ref="L144">IFERROR(INDEX(AUTO_Public_TSV_FileList!$A$1:$A$1000,MATCH(TRUE(),EXACT(K144,IFERROR(_xlfn.TEXTBEFORE(AUTO_Public_TSV_FileList!$A$1:$A$1000,".tsv"),"")),0)),"notfound")</f>
        <v>10.1016%2Fj.jhevol.2008.08.004_Table2.tsv</v>
      </c>
      <c r="N144" s="1" t="s">
        <v>35</v>
      </c>
      <c r="P144" s="1" t="s">
        <v>36</v>
      </c>
      <c r="W144" s="1" t="s">
        <v>93</v>
      </c>
      <c r="X144" s="1" t="s">
        <v>640</v>
      </c>
      <c r="AB144" s="1" t="s">
        <v>641</v>
      </c>
      <c r="AE144" s="1" t="s">
        <v>172</v>
      </c>
      <c r="AF144" s="1"/>
    </row>
    <row r="145" spans="1:33" ht="17.100000000000001" customHeight="1">
      <c r="A145" s="1" t="s">
        <v>639</v>
      </c>
      <c r="D145" s="1" t="s">
        <v>642</v>
      </c>
      <c r="E145" s="5" t="str">
        <f t="shared" si="18"/>
        <v>Isler</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 t="shared" si="23"/>
        <v>2008</v>
      </c>
      <c r="H145" s="5" t="str">
        <f t="shared" si="19"/>
        <v>Isler_etal_2008</v>
      </c>
      <c r="I145" s="5" t="str">
        <f t="shared" si="22"/>
        <v>10.1016%2Fj.jhevol.2008.08.004</v>
      </c>
      <c r="J145" s="5" t="str">
        <f t="shared" si="20"/>
        <v>Isler_etal_2008_Table7</v>
      </c>
      <c r="K145" s="5" t="str">
        <f t="shared" si="21"/>
        <v>10.1016%2Fj.jhevol.2008.08.004_Table7</v>
      </c>
      <c r="L145" s="5" t="str">
        <f t="array" ref="L145">IFERROR(INDEX(AUTO_Public_TSV_FileList!$A$1:$A$1000,MATCH(TRUE(),EXACT(K145,IFERROR(_xlfn.TEXTBEFORE(AUTO_Public_TSV_FileList!$A$1:$A$1000,".tsv"),"")),0)),"notfound")</f>
        <v>10.1016%2Fj.jhevol.2008.08.004_Table7.tsv</v>
      </c>
      <c r="N145" s="1" t="s">
        <v>35</v>
      </c>
      <c r="P145" s="1" t="s">
        <v>36</v>
      </c>
      <c r="W145" s="1" t="s">
        <v>93</v>
      </c>
      <c r="X145" s="1" t="s">
        <v>640</v>
      </c>
      <c r="AB145" s="1" t="s">
        <v>641</v>
      </c>
      <c r="AE145" s="1" t="s">
        <v>172</v>
      </c>
      <c r="AF145" s="1"/>
    </row>
    <row r="146" spans="1:33" ht="17.100000000000001" customHeight="1">
      <c r="A146" s="1" t="s">
        <v>639</v>
      </c>
      <c r="D146" s="1" t="s">
        <v>314</v>
      </c>
      <c r="E146" s="5" t="str">
        <f t="shared" si="18"/>
        <v>Isler</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 t="shared" si="23"/>
        <v>2008</v>
      </c>
      <c r="H146" s="5" t="str">
        <f t="shared" si="19"/>
        <v>Isler_etal_2008</v>
      </c>
      <c r="I146" s="5" t="str">
        <f t="shared" si="22"/>
        <v>10.1016%2Fj.jhevol.2008.08.004</v>
      </c>
      <c r="J146" s="5" t="str">
        <f t="shared" si="20"/>
        <v>Isler_etal_2008_TableS1</v>
      </c>
      <c r="K146" s="5" t="str">
        <f t="shared" si="21"/>
        <v>10.1016%2Fj.jhevol.2008.08.004_TableS1</v>
      </c>
      <c r="L146" s="5" t="str">
        <f t="array" ref="L146">IFERROR(INDEX(AUTO_Public_TSV_FileList!$A$1:$A$1000,MATCH(TRUE(),EXACT(K146,IFERROR(_xlfn.TEXTBEFORE(AUTO_Public_TSV_FileList!$A$1:$A$1000,".tsv"),"")),0)),"notfound")</f>
        <v>10.1016%2Fj.jhevol.2008.08.004_TableS1.tsv</v>
      </c>
      <c r="N146" s="1" t="s">
        <v>35</v>
      </c>
      <c r="P146" s="1" t="s">
        <v>36</v>
      </c>
      <c r="W146" s="1" t="s">
        <v>93</v>
      </c>
      <c r="X146" s="1" t="s">
        <v>640</v>
      </c>
      <c r="AB146" s="1" t="s">
        <v>641</v>
      </c>
      <c r="AE146" s="1" t="s">
        <v>172</v>
      </c>
      <c r="AF146" s="1"/>
    </row>
    <row r="147" spans="1:33" ht="17.100000000000001" customHeight="1">
      <c r="A147" s="1" t="s">
        <v>639</v>
      </c>
      <c r="D147" s="1" t="s">
        <v>516</v>
      </c>
      <c r="E147" s="5" t="str">
        <f t="shared" si="18"/>
        <v>Isler</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5" t="str">
        <f t="shared" si="23"/>
        <v>2008</v>
      </c>
      <c r="H147" s="5" t="str">
        <f t="shared" si="19"/>
        <v>Isler_etal_2008</v>
      </c>
      <c r="I147" s="5" t="str">
        <f t="shared" si="22"/>
        <v>10.1016%2Fj.jhevol.2008.08.004</v>
      </c>
      <c r="J147" s="5" t="str">
        <f t="shared" si="20"/>
        <v>Isler_etal_2008_TableS2</v>
      </c>
      <c r="K147" s="5" t="str">
        <f t="shared" si="21"/>
        <v>10.1016%2Fj.jhevol.2008.08.004_TableS2</v>
      </c>
      <c r="L147" s="5" t="str">
        <f t="array" ref="L147">IFERROR(INDEX(AUTO_Public_TSV_FileList!$A$1:$A$1000,MATCH(TRUE(),EXACT(K147,IFERROR(_xlfn.TEXTBEFORE(AUTO_Public_TSV_FileList!$A$1:$A$1000,".tsv"),"")),0)),"notfound")</f>
        <v>10.1016%2Fj.jhevol.2008.08.004_TableS2.tsv</v>
      </c>
      <c r="N147" s="1" t="s">
        <v>35</v>
      </c>
      <c r="P147" s="1" t="s">
        <v>36</v>
      </c>
      <c r="W147" s="1" t="s">
        <v>93</v>
      </c>
      <c r="X147" s="1" t="s">
        <v>640</v>
      </c>
      <c r="AB147" s="1" t="s">
        <v>641</v>
      </c>
      <c r="AE147" s="1" t="s">
        <v>172</v>
      </c>
      <c r="AF147" s="1"/>
    </row>
    <row r="148" spans="1:33" ht="17.100000000000001" customHeight="1">
      <c r="A148" s="1" t="s">
        <v>639</v>
      </c>
      <c r="D148" s="1" t="s">
        <v>643</v>
      </c>
      <c r="E148" s="5" t="str">
        <f t="shared" si="18"/>
        <v>Isler</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5" t="str">
        <f t="shared" si="23"/>
        <v>2008</v>
      </c>
      <c r="H148" s="5" t="str">
        <f t="shared" si="19"/>
        <v>Isler_etal_2008</v>
      </c>
      <c r="I148" s="5" t="str">
        <f t="shared" si="22"/>
        <v>10.1016%2Fj.jhevol.2008.08.004</v>
      </c>
      <c r="J148" s="5" t="str">
        <f t="shared" si="20"/>
        <v>Isler_etal_2008_TableS3</v>
      </c>
      <c r="K148" s="5" t="str">
        <f t="shared" si="21"/>
        <v>10.1016%2Fj.jhevol.2008.08.004_TableS3</v>
      </c>
      <c r="L148" s="5" t="str">
        <f t="array" ref="L148">IFERROR(INDEX(AUTO_Public_TSV_FileList!$A$1:$A$1000,MATCH(TRUE(),EXACT(K148,IFERROR(_xlfn.TEXTBEFORE(AUTO_Public_TSV_FileList!$A$1:$A$1000,".tsv"),"")),0)),"notfound")</f>
        <v>10.1016%2Fj.jhevol.2008.08.004_TableS3.tsv</v>
      </c>
      <c r="N148" s="1" t="s">
        <v>35</v>
      </c>
      <c r="P148" s="1" t="s">
        <v>36</v>
      </c>
      <c r="W148" s="1" t="s">
        <v>93</v>
      </c>
      <c r="X148" s="1" t="s">
        <v>640</v>
      </c>
      <c r="AB148" s="1" t="s">
        <v>641</v>
      </c>
      <c r="AE148" s="1" t="s">
        <v>172</v>
      </c>
      <c r="AF148" s="1"/>
    </row>
    <row r="149" spans="1:33" ht="17.100000000000001" customHeight="1">
      <c r="A149" s="1" t="s">
        <v>639</v>
      </c>
      <c r="D149" s="1" t="s">
        <v>644</v>
      </c>
      <c r="E149" s="5" t="str">
        <f t="shared" si="18"/>
        <v>Isler</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5" t="str">
        <f t="shared" si="23"/>
        <v>2008</v>
      </c>
      <c r="H149" s="5" t="str">
        <f t="shared" si="19"/>
        <v>Isler_etal_2008</v>
      </c>
      <c r="I149" s="5" t="str">
        <f t="shared" si="22"/>
        <v>10.1016%2Fj.jhevol.2008.08.004</v>
      </c>
      <c r="J149" s="5" t="str">
        <f t="shared" si="20"/>
        <v>Isler_etal_2008_Tree.nex</v>
      </c>
      <c r="K149" s="5" t="str">
        <f t="shared" si="21"/>
        <v>10.1016%2Fj.jhevol.2008.08.004_Tree.nex</v>
      </c>
      <c r="L149" s="5" t="str">
        <f t="array" ref="L149">IFERROR(INDEX(AUTO_Public_TSV_FileList!$A$1:$A$1000,MATCH(TRUE(),EXACT(K149,IFERROR(_xlfn.TEXTBEFORE(AUTO_Public_TSV_FileList!$A$1:$A$1000,".tsv"),"")),0)),"notfound")</f>
        <v>notfound</v>
      </c>
      <c r="N149" s="1" t="s">
        <v>645</v>
      </c>
      <c r="W149" s="1" t="s">
        <v>93</v>
      </c>
      <c r="X149" s="1" t="s">
        <v>646</v>
      </c>
      <c r="AB149" s="1" t="s">
        <v>647</v>
      </c>
      <c r="AE149" s="1" t="s">
        <v>172</v>
      </c>
      <c r="AF149" s="1"/>
    </row>
    <row r="150" spans="1:33" ht="17.100000000000001" customHeight="1">
      <c r="A150" s="1" t="s">
        <v>648</v>
      </c>
      <c r="D150" s="1" t="s">
        <v>81</v>
      </c>
      <c r="E150" s="5" t="str">
        <f t="shared" si="18"/>
        <v>Iwaniuk</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5" t="str">
        <f t="shared" si="23"/>
        <v>2001</v>
      </c>
      <c r="H150" s="5" t="str">
        <f t="shared" si="19"/>
        <v>Iwaniuk_etal_2001</v>
      </c>
      <c r="I150" s="5" t="str">
        <f t="shared" si="22"/>
        <v>10.1037%2F0735-7036.115.1.29</v>
      </c>
      <c r="J150" s="5" t="str">
        <f t="shared" si="20"/>
        <v>Iwaniuk_etal_2001_Table1</v>
      </c>
      <c r="K150" s="5" t="str">
        <f t="shared" si="21"/>
        <v>10.1037%2F0735-7036.115.1.29_Table1</v>
      </c>
      <c r="L150" s="5" t="str">
        <f t="array" ref="L150">IFERROR(INDEX(AUTO_Public_TSV_FileList!$A$1:$A$1000,MATCH(TRUE(),EXACT(K150,IFERROR(_xlfn.TEXTBEFORE(AUTO_Public_TSV_FileList!$A$1:$A$1000,".tsv"),"")),0)),"notfound")</f>
        <v>10.1037%2F0735-7036.115.1.29_Table1.tsv</v>
      </c>
      <c r="M150" s="1" t="s">
        <v>649</v>
      </c>
      <c r="N150" s="1" t="s">
        <v>35</v>
      </c>
      <c r="P150" s="1" t="s">
        <v>36</v>
      </c>
      <c r="V150" s="1"/>
      <c r="W150" s="1" t="s">
        <v>131</v>
      </c>
      <c r="X150" s="1" t="s">
        <v>650</v>
      </c>
      <c r="AB150" s="1" t="s">
        <v>651</v>
      </c>
      <c r="AE150" s="1" t="s">
        <v>172</v>
      </c>
      <c r="AF150" s="1"/>
    </row>
    <row r="151" spans="1:33" ht="17.100000000000001" customHeight="1">
      <c r="A151" s="1" t="s">
        <v>648</v>
      </c>
      <c r="D151" s="1" t="s">
        <v>70</v>
      </c>
      <c r="E151" s="5" t="str">
        <f t="shared" si="18"/>
        <v>Iwaniuk</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5" t="str">
        <f t="shared" si="23"/>
        <v>2001</v>
      </c>
      <c r="H151" s="5" t="str">
        <f t="shared" si="19"/>
        <v>Iwaniuk_etal_2001</v>
      </c>
      <c r="I151" s="5" t="str">
        <f t="shared" si="22"/>
        <v>10.1037%2F0735-7036.115.1.29</v>
      </c>
      <c r="J151" s="5" t="str">
        <f t="shared" si="20"/>
        <v>Iwaniuk_etal_2001_Table2</v>
      </c>
      <c r="K151" s="5" t="str">
        <f t="shared" si="21"/>
        <v>10.1037%2F0735-7036.115.1.29_Table2</v>
      </c>
      <c r="L151" s="5" t="str">
        <f t="array" ref="L151">IFERROR(INDEX(AUTO_Public_TSV_FileList!$A$1:$A$1000,MATCH(TRUE(),EXACT(K151,IFERROR(_xlfn.TEXTBEFORE(AUTO_Public_TSV_FileList!$A$1:$A$1000,".tsv"),"")),0)),"notfound")</f>
        <v>10.1037%2F0735-7036.115.1.29_Table2.tsv</v>
      </c>
      <c r="M151" s="1" t="s">
        <v>652</v>
      </c>
      <c r="N151" s="1" t="s">
        <v>35</v>
      </c>
      <c r="P151" s="1" t="s">
        <v>36</v>
      </c>
      <c r="V151" s="1"/>
      <c r="W151" s="1" t="s">
        <v>131</v>
      </c>
      <c r="X151" s="1" t="s">
        <v>650</v>
      </c>
      <c r="AB151" s="1" t="s">
        <v>651</v>
      </c>
      <c r="AE151" s="1" t="s">
        <v>172</v>
      </c>
      <c r="AF151" s="1"/>
    </row>
    <row r="152" spans="1:33" ht="17.100000000000001" customHeight="1">
      <c r="A152" s="1" t="s">
        <v>648</v>
      </c>
      <c r="D152" s="1" t="s">
        <v>72</v>
      </c>
      <c r="E152" s="5" t="str">
        <f t="shared" si="18"/>
        <v>Iwaniuk</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 t="shared" si="23"/>
        <v>2001</v>
      </c>
      <c r="H152" s="5" t="str">
        <f t="shared" si="19"/>
        <v>Iwaniuk_etal_2001</v>
      </c>
      <c r="I152" s="5" t="str">
        <f t="shared" si="22"/>
        <v>10.1037%2F0735-7036.115.1.29</v>
      </c>
      <c r="J152" s="5" t="str">
        <f t="shared" si="20"/>
        <v>Iwaniuk_etal_2001_Table3</v>
      </c>
      <c r="K152" s="5" t="str">
        <f t="shared" si="21"/>
        <v>10.1037%2F0735-7036.115.1.29_Table3</v>
      </c>
      <c r="L152" s="5" t="str">
        <f t="array" ref="L152">IFERROR(INDEX(AUTO_Public_TSV_FileList!$A$1:$A$1000,MATCH(TRUE(),EXACT(K152,IFERROR(_xlfn.TEXTBEFORE(AUTO_Public_TSV_FileList!$A$1:$A$1000,".tsv"),"")),0)),"notfound")</f>
        <v>10.1037%2F0735-7036.115.1.29_Table3.tsv</v>
      </c>
      <c r="M152" s="1" t="s">
        <v>653</v>
      </c>
      <c r="N152" s="1" t="s">
        <v>35</v>
      </c>
      <c r="P152" s="1" t="s">
        <v>36</v>
      </c>
      <c r="V152" s="1"/>
      <c r="W152" s="1" t="s">
        <v>131</v>
      </c>
      <c r="X152" s="1" t="s">
        <v>650</v>
      </c>
      <c r="AB152" s="1" t="s">
        <v>651</v>
      </c>
      <c r="AE152" s="1" t="s">
        <v>172</v>
      </c>
      <c r="AF152" s="1"/>
    </row>
    <row r="153" spans="1:33" ht="17.100000000000001" customHeight="1">
      <c r="A153" s="1" t="s">
        <v>648</v>
      </c>
      <c r="D153" s="1" t="s">
        <v>34</v>
      </c>
      <c r="E153" s="5" t="str">
        <f t="shared" si="18"/>
        <v>Iwaniuk</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5" t="str">
        <f t="shared" si="23"/>
        <v>2001</v>
      </c>
      <c r="H153" s="5" t="str">
        <f t="shared" si="19"/>
        <v>Iwaniuk_etal_2001</v>
      </c>
      <c r="I153" s="5" t="str">
        <f t="shared" si="22"/>
        <v>10.1037%2F0735-7036.115.1.29</v>
      </c>
      <c r="J153" s="5" t="str">
        <f t="shared" si="20"/>
        <v>Iwaniuk_etal_2001_Table4</v>
      </c>
      <c r="K153" s="5" t="str">
        <f t="shared" si="21"/>
        <v>10.1037%2F0735-7036.115.1.29_Table4</v>
      </c>
      <c r="L153" s="5" t="str">
        <f t="array" ref="L153">IFERROR(INDEX(AUTO_Public_TSV_FileList!$A$1:$A$1000,MATCH(TRUE(),EXACT(K153,IFERROR(_xlfn.TEXTBEFORE(AUTO_Public_TSV_FileList!$A$1:$A$1000,".tsv"),"")),0)),"notfound")</f>
        <v>10.1037%2F0735-7036.115.1.29_Table4.tsv</v>
      </c>
      <c r="M153" s="1" t="s">
        <v>654</v>
      </c>
      <c r="N153" s="1" t="s">
        <v>35</v>
      </c>
      <c r="P153" s="1" t="s">
        <v>36</v>
      </c>
      <c r="V153" s="1"/>
      <c r="W153" s="1" t="s">
        <v>131</v>
      </c>
      <c r="X153" s="1" t="s">
        <v>650</v>
      </c>
      <c r="AB153" s="1" t="s">
        <v>651</v>
      </c>
      <c r="AE153" s="1" t="s">
        <v>172</v>
      </c>
      <c r="AF153" s="1"/>
    </row>
    <row r="154" spans="1:33" ht="17.100000000000001" customHeight="1">
      <c r="A154" s="1" t="s">
        <v>655</v>
      </c>
      <c r="D154" s="1" t="s">
        <v>656</v>
      </c>
      <c r="E154" s="5" t="str">
        <f t="shared" si="18"/>
        <v>Iwaniuk</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5" t="str">
        <f t="shared" si="23"/>
        <v>1999</v>
      </c>
      <c r="H154" s="5" t="str">
        <f t="shared" si="19"/>
        <v>Iwaniuk_etal_1999</v>
      </c>
      <c r="I154" s="5" t="str">
        <f t="shared" si="22"/>
        <v>10.1016%2Fs0166-4328(98)00151-x</v>
      </c>
      <c r="J154" s="5" t="str">
        <f t="shared" si="20"/>
        <v>Iwaniuk_etal_1999_References</v>
      </c>
      <c r="K154" s="5" t="str">
        <f t="shared" si="21"/>
        <v>10.1016%2Fs0166-4328(98)00151-x_References</v>
      </c>
      <c r="L154" s="5" t="str">
        <f t="array" ref="L154">IFERROR(INDEX(AUTO_Public_TSV_FileList!$A$1:$A$1000,MATCH(TRUE(),EXACT(K154,IFERROR(_xlfn.TEXTBEFORE(AUTO_Public_TSV_FileList!$A$1:$A$1000,".tsv"),"")),0)),"notfound")</f>
        <v>10.1016%2Fs0166-4328(98)00151-x_References.tsv</v>
      </c>
      <c r="M154" s="1" t="s">
        <v>656</v>
      </c>
      <c r="N154" s="1" t="s">
        <v>657</v>
      </c>
      <c r="P154" s="1" t="s">
        <v>36</v>
      </c>
      <c r="W154" s="1" t="s">
        <v>131</v>
      </c>
      <c r="X154" s="1" t="s">
        <v>658</v>
      </c>
      <c r="AB154" s="1" t="s">
        <v>659</v>
      </c>
      <c r="AE154" s="1" t="s">
        <v>172</v>
      </c>
      <c r="AF154" s="1"/>
    </row>
    <row r="155" spans="1:33" ht="17.100000000000001" customHeight="1">
      <c r="A155" s="1" t="s">
        <v>655</v>
      </c>
      <c r="D155" s="1" t="s">
        <v>81</v>
      </c>
      <c r="E155" s="5" t="str">
        <f t="shared" si="18"/>
        <v>Iwaniuk</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5" t="str">
        <f t="shared" si="23"/>
        <v>1999</v>
      </c>
      <c r="H155" s="5" t="str">
        <f t="shared" si="19"/>
        <v>Iwaniuk_etal_1999</v>
      </c>
      <c r="I155" s="5" t="str">
        <f t="shared" si="22"/>
        <v>10.1016%2Fs0166-4328(98)00151-x</v>
      </c>
      <c r="J155" s="5" t="str">
        <f t="shared" si="20"/>
        <v>Iwaniuk_etal_1999_Table1</v>
      </c>
      <c r="K155" s="5" t="str">
        <f t="shared" si="21"/>
        <v>10.1016%2Fs0166-4328(98)00151-x_Table1</v>
      </c>
      <c r="L155" s="5" t="str">
        <f t="array" ref="L155">IFERROR(INDEX(AUTO_Public_TSV_FileList!$A$1:$A$1000,MATCH(TRUE(),EXACT(K155,IFERROR(_xlfn.TEXTBEFORE(AUTO_Public_TSV_FileList!$A$1:$A$1000,".tsv"),"")),0)),"notfound")</f>
        <v>10.1016%2Fs0166-4328(98)00151-x_Table1.tsv</v>
      </c>
      <c r="M155" s="1" t="s">
        <v>660</v>
      </c>
      <c r="N155" s="1" t="s">
        <v>35</v>
      </c>
      <c r="P155" s="1" t="s">
        <v>36</v>
      </c>
      <c r="W155" s="1" t="s">
        <v>131</v>
      </c>
      <c r="X155" s="1" t="s">
        <v>658</v>
      </c>
      <c r="AB155" s="1" t="s">
        <v>659</v>
      </c>
      <c r="AE155" s="1" t="s">
        <v>172</v>
      </c>
      <c r="AF155" s="1"/>
    </row>
    <row r="156" spans="1:33" ht="17.100000000000001" customHeight="1">
      <c r="A156" s="3" t="s">
        <v>661</v>
      </c>
      <c r="B156" s="3"/>
      <c r="C156" s="3"/>
      <c r="D156" s="3" t="s">
        <v>81</v>
      </c>
      <c r="E156" s="5" t="str">
        <f t="shared" si="18"/>
        <v>Jacobs</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5" t="str">
        <f t="shared" si="23"/>
        <v>1997</v>
      </c>
      <c r="H156" s="5" t="str">
        <f t="shared" si="19"/>
        <v>Jacobs_etal_1997</v>
      </c>
      <c r="I156" s="5" t="str">
        <f t="shared" si="22"/>
        <v>10.1002%2F(sici)1096-9861(19971006)386%3A4%3C661%3A%3AAid-cne11%3E3.0.Co;2-n</v>
      </c>
      <c r="J156" s="5" t="str">
        <f t="shared" si="20"/>
        <v>Jacobs_etal_1997_Table1</v>
      </c>
      <c r="K156" s="5" t="str">
        <f t="shared" si="21"/>
        <v>10.1002%2F(sici)1096-9861(19971006)386%3A4%3C661%3A%3AAid-cne11%3E3.0.Co;2-n_Table1</v>
      </c>
      <c r="L156" s="5" t="str">
        <f t="array" ref="L156">IFERROR(INDEX(AUTO_Public_TSV_FileList!$A$1:$A$1000,MATCH(TRUE(),EXACT(K156,IFERROR(_xlfn.TEXTBEFORE(AUTO_Public_TSV_FileList!$A$1:$A$1000,".tsv"),"")),0)),"notfound")</f>
        <v>notfound</v>
      </c>
      <c r="N156" s="3" t="s">
        <v>208</v>
      </c>
      <c r="O156" s="3"/>
      <c r="P156" s="3"/>
      <c r="Q156" s="3"/>
      <c r="R156" s="3" t="s">
        <v>662</v>
      </c>
      <c r="S156" s="3"/>
      <c r="T156" s="3" t="s">
        <v>210</v>
      </c>
      <c r="U156" s="3"/>
      <c r="V156" s="3" t="s">
        <v>211</v>
      </c>
      <c r="W156" s="3" t="s">
        <v>93</v>
      </c>
      <c r="X156" s="3" t="s">
        <v>212</v>
      </c>
      <c r="Y156" s="3" t="s">
        <v>663</v>
      </c>
      <c r="Z156" s="3"/>
      <c r="AA156" s="3" t="s">
        <v>214</v>
      </c>
      <c r="AB156" s="3" t="s">
        <v>215</v>
      </c>
      <c r="AC156" s="3"/>
      <c r="AD156" s="3"/>
      <c r="AE156" s="3" t="s">
        <v>66</v>
      </c>
      <c r="AF156" s="3"/>
      <c r="AG156" s="3" t="s">
        <v>664</v>
      </c>
    </row>
    <row r="157" spans="1:33" ht="17.100000000000001" customHeight="1">
      <c r="A157" s="3" t="s">
        <v>661</v>
      </c>
      <c r="B157" s="3"/>
      <c r="C157" s="3"/>
      <c r="D157" s="3" t="s">
        <v>70</v>
      </c>
      <c r="E157" s="5" t="str">
        <f t="shared" si="18"/>
        <v>Jacobs</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5" t="str">
        <f t="shared" si="23"/>
        <v>1997</v>
      </c>
      <c r="H157" s="5" t="str">
        <f t="shared" si="19"/>
        <v>Jacobs_etal_1997</v>
      </c>
      <c r="I157" s="5" t="str">
        <f t="shared" si="22"/>
        <v>10.1002%2F(sici)1096-9861(19971006)386%3A4%3C661%3A%3AAid-cne11%3E3.0.Co;2-n</v>
      </c>
      <c r="J157" s="5" t="str">
        <f t="shared" si="20"/>
        <v>Jacobs_etal_1997_Table2</v>
      </c>
      <c r="K157" s="5" t="str">
        <f t="shared" si="21"/>
        <v>10.1002%2F(sici)1096-9861(19971006)386%3A4%3C661%3A%3AAid-cne11%3E3.0.Co;2-n_Table2</v>
      </c>
      <c r="L157" s="5" t="str">
        <f t="array" ref="L157">IFERROR(INDEX(AUTO_Public_TSV_FileList!$A$1:$A$1000,MATCH(TRUE(),EXACT(K157,IFERROR(_xlfn.TEXTBEFORE(AUTO_Public_TSV_FileList!$A$1:$A$1000,".tsv"),"")),0)),"notfound")</f>
        <v>notfound</v>
      </c>
      <c r="N157" s="3" t="s">
        <v>208</v>
      </c>
      <c r="P157" s="3"/>
      <c r="Q157" s="3"/>
      <c r="R157" s="3" t="s">
        <v>662</v>
      </c>
      <c r="S157" s="3"/>
      <c r="T157" s="3" t="s">
        <v>210</v>
      </c>
      <c r="U157" s="3"/>
      <c r="V157" s="3" t="s">
        <v>211</v>
      </c>
      <c r="W157" s="3" t="s">
        <v>93</v>
      </c>
      <c r="X157" s="3" t="s">
        <v>212</v>
      </c>
      <c r="Y157" s="3" t="s">
        <v>665</v>
      </c>
      <c r="Z157" s="3"/>
      <c r="AA157" s="3" t="s">
        <v>214</v>
      </c>
      <c r="AB157" s="3" t="s">
        <v>215</v>
      </c>
      <c r="AC157" s="3"/>
      <c r="AD157" s="3"/>
      <c r="AE157" s="3" t="s">
        <v>66</v>
      </c>
      <c r="AF157" s="3"/>
      <c r="AG157" s="3" t="s">
        <v>666</v>
      </c>
    </row>
    <row r="158" spans="1:33" ht="17.100000000000001" customHeight="1">
      <c r="A158" s="1" t="s">
        <v>667</v>
      </c>
      <c r="D158" s="1" t="s">
        <v>72</v>
      </c>
      <c r="E158" s="5" t="str">
        <f t="shared" si="18"/>
        <v>Jacobs</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_xlfn.TEXTBEFORE(_xlfn.TEXTAFTER(A158, "("), ")")</f>
        <v>2018</v>
      </c>
      <c r="H158" s="5" t="str">
        <f t="shared" si="19"/>
        <v>Jacobs_etal_2018</v>
      </c>
      <c r="I158" s="5" t="str">
        <f t="shared" si="22"/>
        <v>10.1002%2Fcne.24349</v>
      </c>
      <c r="J158" s="5" t="str">
        <f t="shared" si="20"/>
        <v>Jacobs_etal_2018_Table3</v>
      </c>
      <c r="K158" s="5" t="str">
        <f t="shared" si="21"/>
        <v>10.1002%2Fcne.24349_Table3</v>
      </c>
      <c r="L158" s="5" t="str">
        <f t="array" ref="L158">IFERROR(INDEX(AUTO_Public_TSV_FileList!$A$1:$A$1000,MATCH(TRUE(),EXACT(K158,IFERROR(_xlfn.TEXTBEFORE(AUTO_Public_TSV_FileList!$A$1:$A$1000,".tsv"),"")),0)),"notfound")</f>
        <v>10.1002%2Fcne.24349_Table3.tsv</v>
      </c>
      <c r="N158" s="1" t="s">
        <v>35</v>
      </c>
      <c r="P158" s="1" t="s">
        <v>36</v>
      </c>
      <c r="Q158" s="1"/>
      <c r="W158" s="1" t="s">
        <v>668</v>
      </c>
      <c r="X158" s="1" t="s">
        <v>669</v>
      </c>
      <c r="AB158" s="1" t="s">
        <v>670</v>
      </c>
      <c r="AC158" s="1" t="s">
        <v>671</v>
      </c>
      <c r="AE158" s="1" t="s">
        <v>66</v>
      </c>
      <c r="AF158" s="1"/>
      <c r="AG158" s="1" t="s">
        <v>672</v>
      </c>
    </row>
    <row r="159" spans="1:33" ht="17.100000000000001" customHeight="1">
      <c r="A159" s="1" t="s">
        <v>667</v>
      </c>
      <c r="D159" s="1" t="s">
        <v>74</v>
      </c>
      <c r="E159" s="5" t="str">
        <f t="shared" si="18"/>
        <v>Jacobs</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 t="shared" ref="G159:G178" si="24">_xlfn.TEXTBEFORE(_xlfn.TEXTAFTER(A159, "("), ")")</f>
        <v>2018</v>
      </c>
      <c r="H159" s="5" t="str">
        <f t="shared" si="19"/>
        <v>Jacobs_etal_2018</v>
      </c>
      <c r="I159" s="5" t="str">
        <f t="shared" si="22"/>
        <v>10.1002%2Fcne.24349</v>
      </c>
      <c r="J159" s="5" t="str">
        <f t="shared" si="20"/>
        <v>Jacobs_etal_2018_Table5</v>
      </c>
      <c r="K159" s="5" t="str">
        <f t="shared" si="21"/>
        <v>10.1002%2Fcne.24349_Table5</v>
      </c>
      <c r="L159" s="5" t="str">
        <f t="array" ref="L159">IFERROR(INDEX(AUTO_Public_TSV_FileList!$A$1:$A$1000,MATCH(TRUE(),EXACT(K159,IFERROR(_xlfn.TEXTBEFORE(AUTO_Public_TSV_FileList!$A$1:$A$1000,".tsv"),"")),0)),"notfound")</f>
        <v>10.1002%2Fcne.24349_Table5.tsv</v>
      </c>
      <c r="N159" s="1" t="s">
        <v>35</v>
      </c>
      <c r="P159" s="1" t="s">
        <v>36</v>
      </c>
      <c r="Q159" s="1"/>
      <c r="W159" s="1" t="s">
        <v>673</v>
      </c>
      <c r="X159" s="1" t="s">
        <v>674</v>
      </c>
      <c r="AB159" s="1" t="s">
        <v>675</v>
      </c>
      <c r="AC159" s="1" t="s">
        <v>671</v>
      </c>
      <c r="AE159" s="1" t="s">
        <v>66</v>
      </c>
      <c r="AF159" s="1"/>
      <c r="AG159" s="1" t="s">
        <v>676</v>
      </c>
    </row>
    <row r="160" spans="1:33" ht="17.100000000000001" customHeight="1">
      <c r="A160" s="1" t="s">
        <v>677</v>
      </c>
      <c r="D160" s="1" t="s">
        <v>81</v>
      </c>
      <c r="E160" s="5" t="str">
        <f t="shared" si="18"/>
        <v>Jacobs</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 t="shared" si="24"/>
        <v>2015</v>
      </c>
      <c r="H160" s="5" t="str">
        <f t="shared" si="19"/>
        <v>Jacobs_etal_2015</v>
      </c>
      <c r="I160" s="5" t="str">
        <f t="shared" si="22"/>
        <v>10.1007%2Fs00429-014-0830-9</v>
      </c>
      <c r="J160" s="5" t="str">
        <f t="shared" si="20"/>
        <v>Jacobs_etal_2015_Table1</v>
      </c>
      <c r="K160" s="5" t="str">
        <f t="shared" si="21"/>
        <v>10.1007%2Fs00429-014-0830-9_Table1</v>
      </c>
      <c r="L160" s="5" t="str">
        <f t="array" ref="L160">IFERROR(INDEX(AUTO_Public_TSV_FileList!$A$1:$A$1000,MATCH(TRUE(),EXACT(K160,IFERROR(_xlfn.TEXTBEFORE(AUTO_Public_TSV_FileList!$A$1:$A$1000,".tsv"),"")),0)),"notfound")</f>
        <v>10.1007%2Fs00429-014-0830-9_Table1.tsv</v>
      </c>
      <c r="M160" s="1" t="s">
        <v>678</v>
      </c>
      <c r="P160" s="1" t="s">
        <v>36</v>
      </c>
    </row>
    <row r="161" spans="1:33" ht="17.100000000000001" customHeight="1">
      <c r="A161" s="1" t="s">
        <v>677</v>
      </c>
      <c r="D161" s="1" t="s">
        <v>72</v>
      </c>
      <c r="E161" s="5" t="str">
        <f t="shared" si="18"/>
        <v>Jacobs</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 t="shared" si="24"/>
        <v>2015</v>
      </c>
      <c r="H161" s="5" t="str">
        <f t="shared" si="19"/>
        <v>Jacobs_etal_2015</v>
      </c>
      <c r="I161" s="5" t="str">
        <f t="shared" si="22"/>
        <v>10.1007%2Fs00429-014-0830-9</v>
      </c>
      <c r="J161" s="5" t="str">
        <f t="shared" si="20"/>
        <v>Jacobs_etal_2015_Table3</v>
      </c>
      <c r="K161" s="5" t="str">
        <f t="shared" si="21"/>
        <v>10.1007%2Fs00429-014-0830-9_Table3</v>
      </c>
      <c r="L161" s="5" t="str">
        <f t="array" ref="L161">IFERROR(INDEX(AUTO_Public_TSV_FileList!$A$1:$A$1000,MATCH(TRUE(),EXACT(K161,IFERROR(_xlfn.TEXTBEFORE(AUTO_Public_TSV_FileList!$A$1:$A$1000,".tsv"),"")),0)),"notfound")</f>
        <v>notfound</v>
      </c>
      <c r="M161" s="2" t="s">
        <v>679</v>
      </c>
    </row>
    <row r="162" spans="1:33" ht="17.100000000000001" customHeight="1">
      <c r="A162" s="1" t="s">
        <v>677</v>
      </c>
      <c r="D162" s="2" t="s">
        <v>34</v>
      </c>
      <c r="E162" s="5" t="str">
        <f t="shared" si="18"/>
        <v>Jacobs</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 t="shared" si="24"/>
        <v>2015</v>
      </c>
      <c r="H162" s="5" t="str">
        <f t="shared" si="19"/>
        <v>Jacobs_etal_2015</v>
      </c>
      <c r="I162" s="5" t="str">
        <f t="shared" si="22"/>
        <v>10.1007%2Fs00429-014-0830-9</v>
      </c>
      <c r="J162" s="5" t="str">
        <f t="shared" si="20"/>
        <v>Jacobs_etal_2015_Table4</v>
      </c>
      <c r="K162" s="5" t="str">
        <f t="shared" si="21"/>
        <v>10.1007%2Fs00429-014-0830-9_Table4</v>
      </c>
      <c r="L162" s="5" t="str">
        <f t="array" ref="L162">IFERROR(INDEX(AUTO_Public_TSV_FileList!$A$1:$A$1000,MATCH(TRUE(),EXACT(K162,IFERROR(_xlfn.TEXTBEFORE(AUTO_Public_TSV_FileList!$A$1:$A$1000,".tsv"),"")),0)),"notfound")</f>
        <v>notfound</v>
      </c>
      <c r="M162" s="2" t="s">
        <v>680</v>
      </c>
    </row>
    <row r="163" spans="1:33" ht="17.100000000000001" customHeight="1">
      <c r="A163" s="2" t="s">
        <v>681</v>
      </c>
      <c r="D163" s="2" t="s">
        <v>81</v>
      </c>
      <c r="E163" s="5" t="str">
        <f t="shared" si="18"/>
        <v>Jacobs</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 t="shared" si="24"/>
        <v>2016</v>
      </c>
      <c r="H163" s="5" t="str">
        <f t="shared" si="19"/>
        <v>Jacobs_etal_2016</v>
      </c>
      <c r="I163" s="5" t="str">
        <f t="shared" si="22"/>
        <v>10.1002%2Fcne.23841</v>
      </c>
      <c r="J163" s="5" t="str">
        <f t="shared" si="20"/>
        <v>Jacobs_etal_2016_Table1</v>
      </c>
      <c r="K163" s="5" t="str">
        <f t="shared" si="21"/>
        <v>10.1002%2Fcne.23841_Table1</v>
      </c>
      <c r="L163" s="5" t="str">
        <f t="array" ref="L163">IFERROR(INDEX(AUTO_Public_TSV_FileList!$A$1:$A$1000,MATCH(TRUE(),EXACT(K163,IFERROR(_xlfn.TEXTBEFORE(AUTO_Public_TSV_FileList!$A$1:$A$1000,".tsv"),"")),0)),"notfound")</f>
        <v>10.1002%2Fcne.23841_Table1.tsv</v>
      </c>
      <c r="N163" s="1" t="s">
        <v>35</v>
      </c>
      <c r="P163" s="2" t="s">
        <v>36</v>
      </c>
      <c r="R163" s="2" t="s">
        <v>682</v>
      </c>
      <c r="V163" s="2" t="s">
        <v>683</v>
      </c>
      <c r="W163" s="2" t="s">
        <v>684</v>
      </c>
      <c r="X163" s="2" t="s">
        <v>685</v>
      </c>
      <c r="AB163" s="2" t="s">
        <v>686</v>
      </c>
      <c r="AE163" s="2" t="s">
        <v>66</v>
      </c>
    </row>
    <row r="164" spans="1:33" ht="17.100000000000001" customHeight="1">
      <c r="A164" s="1" t="s">
        <v>681</v>
      </c>
      <c r="D164" s="1" t="s">
        <v>81</v>
      </c>
      <c r="E164" s="5" t="str">
        <f t="shared" si="18"/>
        <v>Jacobs</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 t="shared" si="24"/>
        <v>2016</v>
      </c>
      <c r="H164" s="5" t="str">
        <f t="shared" si="19"/>
        <v>Jacobs_etal_2016</v>
      </c>
      <c r="I164" s="5" t="str">
        <f t="shared" si="22"/>
        <v>10.1002%2Fcne.23841</v>
      </c>
      <c r="J164" s="5" t="str">
        <f t="shared" si="20"/>
        <v>Jacobs_etal_2016_Table1</v>
      </c>
      <c r="K164" s="5" t="str">
        <f t="shared" si="21"/>
        <v>10.1002%2Fcne.23841_Table1</v>
      </c>
      <c r="L164" s="5" t="str">
        <f t="array" ref="L164">IFERROR(INDEX(AUTO_Public_TSV_FileList!$A$1:$A$1000,MATCH(TRUE(),EXACT(K164,IFERROR(_xlfn.TEXTBEFORE(AUTO_Public_TSV_FileList!$A$1:$A$1000,".tsv"),"")),0)),"notfound")</f>
        <v>10.1002%2Fcne.23841_Table1.tsv</v>
      </c>
      <c r="N164" s="1" t="s">
        <v>35</v>
      </c>
      <c r="P164" s="1" t="s">
        <v>36</v>
      </c>
      <c r="R164" s="2" t="s">
        <v>682</v>
      </c>
      <c r="V164" s="1" t="s">
        <v>683</v>
      </c>
      <c r="W164" s="1" t="s">
        <v>684</v>
      </c>
      <c r="X164" s="1" t="s">
        <v>685</v>
      </c>
      <c r="AB164" s="1" t="s">
        <v>686</v>
      </c>
      <c r="AE164" s="1" t="s">
        <v>66</v>
      </c>
      <c r="AF164" s="1"/>
    </row>
    <row r="165" spans="1:33" ht="17.100000000000001" customHeight="1">
      <c r="A165" s="3" t="s">
        <v>687</v>
      </c>
      <c r="B165" s="3"/>
      <c r="C165" s="3"/>
      <c r="D165" s="3" t="s">
        <v>81</v>
      </c>
      <c r="E165" s="5" t="str">
        <f t="shared" si="18"/>
        <v>Jacobs</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24"/>
        <v>2001</v>
      </c>
      <c r="H165" s="5" t="str">
        <f t="shared" si="19"/>
        <v>Jacobs_etal_2001</v>
      </c>
      <c r="I165" s="5" t="str">
        <f t="shared" si="22"/>
        <v>10.1093%2Fcercor%2F11.6.558</v>
      </c>
      <c r="J165" s="5" t="str">
        <f t="shared" si="20"/>
        <v>Jacobs_etal_2001_Table1</v>
      </c>
      <c r="K165" s="5" t="str">
        <f t="shared" si="21"/>
        <v>10.1093%2Fcercor%2F11.6.558_Table1</v>
      </c>
      <c r="L165" s="5" t="str">
        <f t="array" ref="L165">IFERROR(INDEX(AUTO_Public_TSV_FileList!$A$1:$A$1000,MATCH(TRUE(),EXACT(K165,IFERROR(_xlfn.TEXTBEFORE(AUTO_Public_TSV_FileList!$A$1:$A$1000,".tsv"),"")),0)),"notfound")</f>
        <v>notfound</v>
      </c>
      <c r="N165" s="3" t="s">
        <v>208</v>
      </c>
      <c r="O165" s="3"/>
      <c r="P165" s="3"/>
      <c r="Q165" s="3"/>
      <c r="R165" s="3" t="s">
        <v>688</v>
      </c>
      <c r="S165" s="3"/>
      <c r="T165" s="3" t="s">
        <v>210</v>
      </c>
      <c r="U165" s="3"/>
      <c r="V165" s="3" t="s">
        <v>211</v>
      </c>
      <c r="W165" s="3" t="s">
        <v>93</v>
      </c>
      <c r="X165" s="3" t="s">
        <v>212</v>
      </c>
      <c r="Y165" s="3" t="s">
        <v>663</v>
      </c>
      <c r="Z165" s="3"/>
      <c r="AA165" s="3" t="s">
        <v>214</v>
      </c>
      <c r="AB165" s="3" t="s">
        <v>215</v>
      </c>
      <c r="AC165" s="3"/>
      <c r="AD165" s="3"/>
      <c r="AE165" s="3" t="s">
        <v>689</v>
      </c>
      <c r="AF165" s="3"/>
      <c r="AG165" s="3" t="s">
        <v>690</v>
      </c>
    </row>
    <row r="166" spans="1:33" ht="17.100000000000001" customHeight="1">
      <c r="A166" s="3" t="s">
        <v>687</v>
      </c>
      <c r="B166" s="3"/>
      <c r="C166" s="3"/>
      <c r="D166" s="3" t="s">
        <v>70</v>
      </c>
      <c r="E166" s="5" t="str">
        <f t="shared" si="18"/>
        <v>Jacobs</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24"/>
        <v>2001</v>
      </c>
      <c r="H166" s="5" t="str">
        <f t="shared" si="19"/>
        <v>Jacobs_etal_2001</v>
      </c>
      <c r="I166" s="5" t="str">
        <f t="shared" si="22"/>
        <v>10.1093%2Fcercor%2F11.6.558</v>
      </c>
      <c r="J166" s="5" t="str">
        <f t="shared" si="20"/>
        <v>Jacobs_etal_2001_Table2</v>
      </c>
      <c r="K166" s="5" t="str">
        <f t="shared" si="21"/>
        <v>10.1093%2Fcercor%2F11.6.558_Table2</v>
      </c>
      <c r="L166" s="5" t="str">
        <f t="array" ref="L166">IFERROR(INDEX(AUTO_Public_TSV_FileList!$A$1:$A$1000,MATCH(TRUE(),EXACT(K166,IFERROR(_xlfn.TEXTBEFORE(AUTO_Public_TSV_FileList!$A$1:$A$1000,".tsv"),"")),0)),"notfound")</f>
        <v>notfound</v>
      </c>
      <c r="N166" s="3" t="s">
        <v>208</v>
      </c>
      <c r="P166" s="3"/>
      <c r="Q166" s="3"/>
      <c r="R166" s="3" t="s">
        <v>688</v>
      </c>
      <c r="S166" s="3"/>
      <c r="T166" s="3" t="s">
        <v>210</v>
      </c>
      <c r="U166" s="3"/>
      <c r="V166" s="3" t="s">
        <v>211</v>
      </c>
      <c r="W166" s="3" t="s">
        <v>93</v>
      </c>
      <c r="X166" s="3" t="s">
        <v>212</v>
      </c>
      <c r="Y166" s="3" t="s">
        <v>691</v>
      </c>
      <c r="Z166" s="3"/>
      <c r="AA166" s="3" t="s">
        <v>214</v>
      </c>
      <c r="AB166" s="3" t="s">
        <v>215</v>
      </c>
      <c r="AC166" s="3"/>
      <c r="AD166" s="3"/>
      <c r="AE166" s="3" t="s">
        <v>66</v>
      </c>
      <c r="AF166" s="3"/>
      <c r="AG166" s="3" t="s">
        <v>692</v>
      </c>
    </row>
    <row r="167" spans="1:33" ht="17.100000000000001" customHeight="1">
      <c r="A167" s="1" t="s">
        <v>693</v>
      </c>
      <c r="D167" s="1" t="s">
        <v>81</v>
      </c>
      <c r="E167" s="5" t="str">
        <f t="shared" si="18"/>
        <v>JardimMesseder</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24"/>
        <v>2017</v>
      </c>
      <c r="H167" s="5" t="str">
        <f t="shared" si="19"/>
        <v>JardimMesseder_etal_2017</v>
      </c>
      <c r="I167" s="5" t="str">
        <f t="shared" si="22"/>
        <v>10.3389%2Ffnana.2017.00118</v>
      </c>
      <c r="J167" s="5" t="str">
        <f t="shared" si="20"/>
        <v>JardimMesseder_etal_2017_Table1</v>
      </c>
      <c r="K167" s="5" t="str">
        <f t="shared" si="21"/>
        <v>10.3389%2Ffnana.2017.00118_Table1</v>
      </c>
      <c r="L167" s="5" t="str">
        <f t="array" ref="L167">IFERROR(INDEX(AUTO_Public_TSV_FileList!$A$1:$A$1000,MATCH(TRUE(),EXACT(K167,IFERROR(_xlfn.TEXTBEFORE(AUTO_Public_TSV_FileList!$A$1:$A$1000,".tsv"),"")),0)),"notfound")</f>
        <v>10.3389%2Ffnana.2017.00118_Table1.tsv</v>
      </c>
      <c r="M167" s="1" t="s">
        <v>694</v>
      </c>
      <c r="N167" s="1" t="s">
        <v>35</v>
      </c>
      <c r="P167" s="1" t="s">
        <v>36</v>
      </c>
      <c r="Q167" s="1"/>
      <c r="R167" s="1" t="s">
        <v>695</v>
      </c>
      <c r="W167" s="1" t="s">
        <v>696</v>
      </c>
      <c r="X167" s="1" t="s">
        <v>433</v>
      </c>
      <c r="AA167" s="1" t="s">
        <v>63</v>
      </c>
      <c r="AB167" s="1" t="s">
        <v>64</v>
      </c>
      <c r="AC167" s="1" t="s">
        <v>65</v>
      </c>
      <c r="AD167" s="1" t="s">
        <v>65</v>
      </c>
      <c r="AE167" s="1" t="s">
        <v>66</v>
      </c>
      <c r="AF167" s="1"/>
    </row>
    <row r="168" spans="1:33" ht="17.100000000000001" customHeight="1">
      <c r="A168" s="1" t="s">
        <v>697</v>
      </c>
      <c r="D168" s="1" t="s">
        <v>70</v>
      </c>
      <c r="E168" s="5" t="str">
        <f t="shared" si="18"/>
        <v>Johansen</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24"/>
        <v>2024</v>
      </c>
      <c r="H168" s="5" t="str">
        <f t="shared" si="19"/>
        <v>Johansen_etal_2024</v>
      </c>
      <c r="I168" s="5" t="str">
        <f t="shared" si="22"/>
        <v>10.1523%2FJNEUROSCI.1750-23.2024</v>
      </c>
      <c r="J168" s="5" t="str">
        <f t="shared" si="20"/>
        <v>Johansen_etal_2024_Table2</v>
      </c>
      <c r="K168" s="5" t="str">
        <f t="shared" si="21"/>
        <v>10.1523%2FJNEUROSCI.1750-23.2024_Table2</v>
      </c>
      <c r="L168" s="5" t="str">
        <f t="array" ref="L168">IFERROR(INDEX(AUTO_Public_TSV_FileList!$A$1:$A$1000,MATCH(TRUE(),EXACT(K168,IFERROR(_xlfn.TEXTBEFORE(AUTO_Public_TSV_FileList!$A$1:$A$1000,".tsv"),"")),0)),"notfound")</f>
        <v>10.1523%2FJNEUROSCI.1750-23.2024_Table2.tsv</v>
      </c>
      <c r="M168" s="1" t="s">
        <v>698</v>
      </c>
      <c r="N168" s="1" t="s">
        <v>35</v>
      </c>
      <c r="P168" s="1" t="s">
        <v>36</v>
      </c>
      <c r="W168" s="1" t="s">
        <v>699</v>
      </c>
      <c r="X168" s="1" t="s">
        <v>700</v>
      </c>
      <c r="AB168" s="1" t="s">
        <v>701</v>
      </c>
      <c r="AE168" s="1" t="s">
        <v>66</v>
      </c>
      <c r="AF168" s="1"/>
    </row>
    <row r="169" spans="1:33" ht="17.100000000000001" customHeight="1">
      <c r="A169" s="2" t="s">
        <v>702</v>
      </c>
      <c r="D169" s="2" t="s">
        <v>81</v>
      </c>
      <c r="E169" s="5" t="str">
        <f t="shared" si="18"/>
        <v>Johnson</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 t="shared" si="24"/>
        <v>2016</v>
      </c>
      <c r="H169" s="5" t="str">
        <f t="shared" si="19"/>
        <v>Johnson_etal_2016</v>
      </c>
      <c r="I169" s="5" t="str">
        <f t="shared" si="22"/>
        <v>10.1002%2Fcne.24022</v>
      </c>
      <c r="J169" s="5" t="str">
        <f t="shared" si="20"/>
        <v>Johnson_etal_2016_Table1</v>
      </c>
      <c r="K169" s="5" t="str">
        <f t="shared" si="21"/>
        <v>10.1002%2Fcne.24022_Table1</v>
      </c>
      <c r="L169" s="5" t="str">
        <f t="array" ref="L169">IFERROR(INDEX(AUTO_Public_TSV_FileList!$A$1:$A$1000,MATCH(TRUE(),EXACT(K169,IFERROR(_xlfn.TEXTBEFORE(AUTO_Public_TSV_FileList!$A$1:$A$1000,".tsv"),"")),0)),"notfound")</f>
        <v>10.1002%2Fcne.24022_Table1.tsv</v>
      </c>
      <c r="N169" s="1" t="s">
        <v>35</v>
      </c>
      <c r="P169" s="2" t="s">
        <v>36</v>
      </c>
      <c r="R169" s="2" t="s">
        <v>703</v>
      </c>
      <c r="V169" s="2" t="s">
        <v>683</v>
      </c>
      <c r="W169" s="2" t="s">
        <v>704</v>
      </c>
      <c r="X169" s="2" t="s">
        <v>685</v>
      </c>
      <c r="AB169" s="2" t="s">
        <v>686</v>
      </c>
      <c r="AE169" s="2" t="s">
        <v>66</v>
      </c>
    </row>
    <row r="170" spans="1:33" ht="17.100000000000001" customHeight="1">
      <c r="A170" s="1" t="s">
        <v>702</v>
      </c>
      <c r="D170" s="1" t="s">
        <v>81</v>
      </c>
      <c r="E170" s="5" t="str">
        <f t="shared" si="18"/>
        <v>Johnson</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24"/>
        <v>2016</v>
      </c>
      <c r="H170" s="5" t="str">
        <f t="shared" si="19"/>
        <v>Johnson_etal_2016</v>
      </c>
      <c r="I170" s="5" t="str">
        <f t="shared" si="22"/>
        <v>10.1002%2Fcne.24022</v>
      </c>
      <c r="J170" s="5" t="str">
        <f t="shared" si="20"/>
        <v>Johnson_etal_2016_Table1</v>
      </c>
      <c r="K170" s="5" t="str">
        <f t="shared" si="21"/>
        <v>10.1002%2Fcne.24022_Table1</v>
      </c>
      <c r="L170" s="5" t="str">
        <f t="array" ref="L170">IFERROR(INDEX(AUTO_Public_TSV_FileList!$A$1:$A$1000,MATCH(TRUE(),EXACT(K170,IFERROR(_xlfn.TEXTBEFORE(AUTO_Public_TSV_FileList!$A$1:$A$1000,".tsv"),"")),0)),"notfound")</f>
        <v>10.1002%2Fcne.24022_Table1.tsv</v>
      </c>
      <c r="N170" s="1" t="s">
        <v>35</v>
      </c>
      <c r="P170" s="1" t="s">
        <v>36</v>
      </c>
      <c r="R170" s="2" t="s">
        <v>703</v>
      </c>
      <c r="V170" s="1" t="s">
        <v>683</v>
      </c>
      <c r="W170" s="1" t="s">
        <v>704</v>
      </c>
      <c r="X170" s="1" t="s">
        <v>685</v>
      </c>
      <c r="AB170" s="1" t="s">
        <v>686</v>
      </c>
      <c r="AE170" s="1" t="s">
        <v>66</v>
      </c>
      <c r="AF170" s="1"/>
    </row>
    <row r="171" spans="1:33" ht="17.100000000000001" customHeight="1">
      <c r="A171" s="1" t="s">
        <v>702</v>
      </c>
      <c r="C171" s="1"/>
      <c r="D171" s="1" t="s">
        <v>81</v>
      </c>
      <c r="E171" s="5" t="str">
        <f t="shared" si="18"/>
        <v>Johnson</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24"/>
        <v>2016</v>
      </c>
      <c r="H171" s="5" t="str">
        <f t="shared" si="19"/>
        <v>Johnson_etal_2016</v>
      </c>
      <c r="I171" s="5" t="str">
        <f t="shared" si="22"/>
        <v>10.1002%2Fcne.24022</v>
      </c>
      <c r="J171" s="5" t="str">
        <f t="shared" si="20"/>
        <v>Johnson_etal_2016_Table1</v>
      </c>
      <c r="K171" s="5" t="str">
        <f t="shared" si="21"/>
        <v>10.1002%2Fcne.24022_Table1</v>
      </c>
      <c r="L171" s="5" t="str">
        <f t="array" ref="L171">IFERROR(INDEX(AUTO_Public_TSV_FileList!$A$1:$A$1000,MATCH(TRUE(),EXACT(K171,IFERROR(_xlfn.TEXTBEFORE(AUTO_Public_TSV_FileList!$A$1:$A$1000,".tsv"),"")),0)),"notfound")</f>
        <v>10.1002%2Fcne.24022_Table1.tsv</v>
      </c>
      <c r="N171" s="1" t="s">
        <v>35</v>
      </c>
      <c r="P171" s="2" t="s">
        <v>36</v>
      </c>
      <c r="R171" s="2" t="s">
        <v>703</v>
      </c>
      <c r="V171" s="2" t="s">
        <v>683</v>
      </c>
      <c r="W171" s="1" t="s">
        <v>704</v>
      </c>
      <c r="X171" s="1" t="s">
        <v>685</v>
      </c>
      <c r="Z171" s="1"/>
      <c r="AA171" s="1" t="s">
        <v>123</v>
      </c>
      <c r="AB171" s="1" t="s">
        <v>686</v>
      </c>
      <c r="AC171" s="1" t="s">
        <v>112</v>
      </c>
      <c r="AD171" s="1" t="s">
        <v>378</v>
      </c>
      <c r="AE171" s="1" t="s">
        <v>66</v>
      </c>
      <c r="AF171" s="1"/>
    </row>
    <row r="172" spans="1:33" ht="17.100000000000001" customHeight="1">
      <c r="A172" s="4" t="s">
        <v>705</v>
      </c>
      <c r="B172" s="3"/>
      <c r="C172" s="3"/>
      <c r="D172" s="4" t="s">
        <v>81</v>
      </c>
      <c r="E172" s="5" t="str">
        <f t="shared" si="18"/>
        <v>Johnson</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 t="shared" si="24"/>
        <v>2002</v>
      </c>
      <c r="H172" s="5" t="str">
        <f t="shared" si="19"/>
        <v>Johnson_etal_2002</v>
      </c>
      <c r="I172" s="5" t="str">
        <f t="shared" si="22"/>
        <v>10.1198%2F016214502753479185</v>
      </c>
      <c r="J172" s="5" t="str">
        <f t="shared" si="20"/>
        <v>Johnson_etal_2002_Table1</v>
      </c>
      <c r="K172" s="5" t="str">
        <f t="shared" si="21"/>
        <v>10.1198%2F016214502753479185_Table1</v>
      </c>
      <c r="L172" s="5" t="str">
        <f t="array" ref="L172">IFERROR(INDEX(AUTO_Public_TSV_FileList!$A$1:$A$1000,MATCH(TRUE(),EXACT(K172,IFERROR(_xlfn.TEXTBEFORE(AUTO_Public_TSV_FileList!$A$1:$A$1000,".tsv"),"")),0)),"notfound")</f>
        <v>notfound</v>
      </c>
      <c r="N172" s="1" t="s">
        <v>35</v>
      </c>
      <c r="Q172" s="3"/>
      <c r="R172" s="3" t="s">
        <v>706</v>
      </c>
      <c r="S172" s="3" t="s">
        <v>324</v>
      </c>
      <c r="T172" s="3" t="s">
        <v>325</v>
      </c>
      <c r="U172" s="3"/>
      <c r="V172" s="3" t="s">
        <v>707</v>
      </c>
      <c r="W172" s="4" t="s">
        <v>93</v>
      </c>
      <c r="X172" s="3" t="s">
        <v>708</v>
      </c>
      <c r="Y172" s="3" t="s">
        <v>708</v>
      </c>
      <c r="Z172" s="3"/>
      <c r="AA172" s="3"/>
      <c r="AB172" s="4"/>
      <c r="AC172" s="3"/>
      <c r="AD172" s="3"/>
      <c r="AE172" s="4" t="s">
        <v>66</v>
      </c>
      <c r="AF172" s="4"/>
      <c r="AG172" s="2" t="s">
        <v>709</v>
      </c>
    </row>
    <row r="173" spans="1:33" ht="17.100000000000001" customHeight="1">
      <c r="A173" s="2" t="s">
        <v>710</v>
      </c>
      <c r="D173" s="2" t="s">
        <v>314</v>
      </c>
      <c r="E173" s="6" t="str">
        <f t="shared" si="18"/>
        <v>Jorstad</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 t="shared" si="24"/>
        <v>2023</v>
      </c>
      <c r="H173" s="6" t="str">
        <f t="shared" si="19"/>
        <v>Jorstad_etal_2023</v>
      </c>
      <c r="I173" s="6" t="str">
        <f t="shared" ref="I173:I179" si="25">_xlfn.LET(_xlpm.doi,IF(C173&lt;&gt;"",C173,_xlfn.TEXTAFTER(A173,"https://doi.org/")),SUBSTITUTE(SUBSTITUTE(SUBSTITUTE(SUBSTITUTE(_xlpm.doi,"/","%2F"),":","%3A"),"&lt;","%3C"),"&gt;","%3E"))</f>
        <v>10.1126%2Fscience.adf6812</v>
      </c>
      <c r="J173" s="6" t="str">
        <f t="shared" si="20"/>
        <v>Jorstad_etal_2023_TableS1</v>
      </c>
      <c r="K173" s="5" t="str">
        <f t="shared" si="21"/>
        <v>10.1126%2Fscience.adf6812_TableS1</v>
      </c>
      <c r="L173" s="5" t="str">
        <f t="array" ref="L173">IFERROR(INDEX(AUTO_Public_TSV_FileList!$A$1:$A$1000,MATCH(TRUE(),EXACT(K173,IFERROR(_xlfn.TEXTBEFORE(AUTO_Public_TSV_FileList!$A$1:$A$1000,".tsv"),"")),0)),"notfound")</f>
        <v>notfound</v>
      </c>
      <c r="M173" s="2" t="s">
        <v>711</v>
      </c>
      <c r="N173" s="1" t="s">
        <v>35</v>
      </c>
      <c r="P173" s="2" t="s">
        <v>36</v>
      </c>
      <c r="Q173" s="2" t="s">
        <v>712</v>
      </c>
      <c r="R173" s="2" t="s">
        <v>713</v>
      </c>
      <c r="S173" s="2" t="s">
        <v>714</v>
      </c>
      <c r="T173" s="2" t="s">
        <v>715</v>
      </c>
      <c r="U173" s="2" t="s">
        <v>716</v>
      </c>
      <c r="W173" s="2" t="s">
        <v>93</v>
      </c>
      <c r="X173" s="2" t="s">
        <v>717</v>
      </c>
      <c r="Y173" s="2" t="s">
        <v>718</v>
      </c>
      <c r="AA173" s="2" t="s">
        <v>719</v>
      </c>
      <c r="AB173" s="2" t="s">
        <v>720</v>
      </c>
      <c r="AC173" s="2" t="s">
        <v>721</v>
      </c>
      <c r="AE173" s="2" t="s">
        <v>722</v>
      </c>
    </row>
    <row r="174" spans="1:33" ht="17.100000000000001" customHeight="1">
      <c r="A174" s="2" t="s">
        <v>710</v>
      </c>
      <c r="D174" s="2" t="s">
        <v>516</v>
      </c>
      <c r="E174" s="6" t="str">
        <f t="shared" si="18"/>
        <v>Jorstad</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24"/>
        <v>2023</v>
      </c>
      <c r="H174" s="6" t="str">
        <f t="shared" si="19"/>
        <v>Jorstad_etal_2023</v>
      </c>
      <c r="I174" s="6" t="str">
        <f t="shared" si="25"/>
        <v>10.1126%2Fscience.adf6812</v>
      </c>
      <c r="J174" s="6" t="str">
        <f t="shared" si="20"/>
        <v>Jorstad_etal_2023_TableS2</v>
      </c>
      <c r="K174" s="5" t="str">
        <f t="shared" si="21"/>
        <v>10.1126%2Fscience.adf6812_TableS2</v>
      </c>
      <c r="L174" s="5" t="str">
        <f t="array" ref="L174">IFERROR(INDEX(AUTO_Public_TSV_FileList!$A$1:$A$1000,MATCH(TRUE(),EXACT(K174,IFERROR(_xlfn.TEXTBEFORE(AUTO_Public_TSV_FileList!$A$1:$A$1000,".tsv"),"")),0)),"notfound")</f>
        <v>notfound</v>
      </c>
      <c r="M174" s="2" t="s">
        <v>723</v>
      </c>
      <c r="N174" s="1" t="s">
        <v>35</v>
      </c>
      <c r="P174" s="2" t="s">
        <v>36</v>
      </c>
      <c r="Q174" s="2" t="s">
        <v>712</v>
      </c>
      <c r="R174" s="2" t="s">
        <v>713</v>
      </c>
      <c r="S174" s="2" t="s">
        <v>714</v>
      </c>
      <c r="T174" s="2" t="s">
        <v>715</v>
      </c>
      <c r="U174" s="2" t="s">
        <v>716</v>
      </c>
      <c r="W174" s="2" t="s">
        <v>93</v>
      </c>
      <c r="X174" s="2" t="s">
        <v>717</v>
      </c>
      <c r="Y174" s="2" t="s">
        <v>718</v>
      </c>
      <c r="AA174" s="2" t="s">
        <v>719</v>
      </c>
      <c r="AB174" s="2" t="s">
        <v>720</v>
      </c>
      <c r="AC174" s="2" t="s">
        <v>721</v>
      </c>
      <c r="AE174" s="2" t="s">
        <v>724</v>
      </c>
    </row>
    <row r="175" spans="1:33" ht="17.100000000000001" customHeight="1">
      <c r="A175" s="2" t="s">
        <v>710</v>
      </c>
      <c r="D175" s="2" t="s">
        <v>643</v>
      </c>
      <c r="E175" s="6" t="str">
        <f t="shared" si="18"/>
        <v>Jorstad</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24"/>
        <v>2023</v>
      </c>
      <c r="H175" s="6" t="str">
        <f t="shared" si="19"/>
        <v>Jorstad_etal_2023</v>
      </c>
      <c r="I175" s="6" t="str">
        <f t="shared" si="25"/>
        <v>10.1126%2Fscience.adf6812</v>
      </c>
      <c r="J175" s="6" t="str">
        <f t="shared" si="20"/>
        <v>Jorstad_etal_2023_TableS3</v>
      </c>
      <c r="K175" s="5" t="str">
        <f t="shared" si="21"/>
        <v>10.1126%2Fscience.adf6812_TableS3</v>
      </c>
      <c r="L175" s="5" t="str">
        <f t="array" ref="L175">IFERROR(INDEX(AUTO_Public_TSV_FileList!$A$1:$A$1000,MATCH(TRUE(),EXACT(K175,IFERROR(_xlfn.TEXTBEFORE(AUTO_Public_TSV_FileList!$A$1:$A$1000,".tsv"),"")),0)),"notfound")</f>
        <v>notfound</v>
      </c>
      <c r="M175" s="2" t="s">
        <v>725</v>
      </c>
      <c r="N175" s="1" t="s">
        <v>35</v>
      </c>
      <c r="P175" s="2" t="s">
        <v>36</v>
      </c>
      <c r="Q175" s="2" t="s">
        <v>712</v>
      </c>
      <c r="R175" s="2" t="s">
        <v>713</v>
      </c>
      <c r="S175" s="2" t="s">
        <v>714</v>
      </c>
      <c r="T175" s="2" t="s">
        <v>715</v>
      </c>
      <c r="U175" s="2" t="s">
        <v>716</v>
      </c>
      <c r="W175" s="2" t="s">
        <v>93</v>
      </c>
      <c r="X175" s="2" t="s">
        <v>717</v>
      </c>
      <c r="Y175" s="2" t="s">
        <v>718</v>
      </c>
      <c r="AA175" s="2" t="s">
        <v>719</v>
      </c>
      <c r="AB175" s="2" t="s">
        <v>720</v>
      </c>
      <c r="AC175" s="2" t="s">
        <v>721</v>
      </c>
      <c r="AE175" s="2" t="s">
        <v>726</v>
      </c>
    </row>
    <row r="176" spans="1:33" ht="17.100000000000001" customHeight="1">
      <c r="A176" s="2" t="s">
        <v>710</v>
      </c>
      <c r="D176" s="2" t="s">
        <v>727</v>
      </c>
      <c r="E176" s="6" t="str">
        <f t="shared" si="18"/>
        <v>Jorstad</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24"/>
        <v>2023</v>
      </c>
      <c r="H176" s="6" t="str">
        <f t="shared" si="19"/>
        <v>Jorstad_etal_2023</v>
      </c>
      <c r="I176" s="6" t="str">
        <f t="shared" si="25"/>
        <v>10.1126%2Fscience.adf6812</v>
      </c>
      <c r="J176" s="6" t="str">
        <f t="shared" si="20"/>
        <v>Jorstad_etal_2023_TableS4</v>
      </c>
      <c r="K176" s="5" t="str">
        <f t="shared" si="21"/>
        <v>10.1126%2Fscience.adf6812_TableS4</v>
      </c>
      <c r="L176" s="5" t="str">
        <f t="array" ref="L176">IFERROR(INDEX(AUTO_Public_TSV_FileList!$A$1:$A$1000,MATCH(TRUE(),EXACT(K176,IFERROR(_xlfn.TEXTBEFORE(AUTO_Public_TSV_FileList!$A$1:$A$1000,".tsv"),"")),0)),"notfound")</f>
        <v>notfound</v>
      </c>
      <c r="M176" s="2" t="s">
        <v>728</v>
      </c>
      <c r="N176" s="1" t="s">
        <v>35</v>
      </c>
      <c r="P176" s="2" t="s">
        <v>36</v>
      </c>
      <c r="Q176" s="2" t="s">
        <v>712</v>
      </c>
      <c r="R176" s="2" t="s">
        <v>713</v>
      </c>
      <c r="S176" s="2" t="s">
        <v>714</v>
      </c>
      <c r="T176" s="2" t="s">
        <v>715</v>
      </c>
      <c r="U176" s="2" t="s">
        <v>716</v>
      </c>
      <c r="W176" s="2" t="s">
        <v>93</v>
      </c>
      <c r="X176" s="2" t="s">
        <v>717</v>
      </c>
      <c r="Y176" s="2" t="s">
        <v>718</v>
      </c>
      <c r="AA176" s="2" t="s">
        <v>719</v>
      </c>
      <c r="AB176" s="2" t="s">
        <v>720</v>
      </c>
      <c r="AC176" s="2" t="s">
        <v>721</v>
      </c>
      <c r="AE176" s="2" t="s">
        <v>729</v>
      </c>
    </row>
    <row r="177" spans="1:32" ht="17.100000000000001" customHeight="1">
      <c r="A177" s="2" t="s">
        <v>730</v>
      </c>
      <c r="D177" s="2" t="s">
        <v>731</v>
      </c>
      <c r="E177" s="6" t="str">
        <f t="shared" si="18"/>
        <v>Jung</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24"/>
        <v>2022</v>
      </c>
      <c r="H177" s="6" t="str">
        <f t="shared" si="19"/>
        <v>Jung_etal_2022</v>
      </c>
      <c r="I177" s="6" t="str">
        <f t="shared" si="25"/>
        <v>10.1126%2Fsciadv.abn0954</v>
      </c>
      <c r="J177" s="6" t="str">
        <f t="shared" si="20"/>
        <v>Jung_etal_2022_Reportedresults</v>
      </c>
      <c r="K177" s="5" t="str">
        <f t="shared" si="21"/>
        <v>10.1126%2Fsciadv.abn0954_Reportedresults</v>
      </c>
      <c r="L177" s="5" t="str">
        <f t="array" ref="L177">IFERROR(INDEX(AUTO_Public_TSV_FileList!$A$1:$A$1000,MATCH(TRUE(),EXACT(K177,IFERROR(_xlfn.TEXTBEFORE(AUTO_Public_TSV_FileList!$A$1:$A$1000,".tsv"),"")),0)),"notfound")</f>
        <v>10.1126%2Fsciadv.abn0954_Reportedresults.tsv</v>
      </c>
      <c r="M177" s="2" t="s">
        <v>732</v>
      </c>
      <c r="N177" s="1" t="s">
        <v>35</v>
      </c>
      <c r="P177" s="2" t="s">
        <v>36</v>
      </c>
      <c r="R177" s="2" t="s">
        <v>733</v>
      </c>
      <c r="W177" s="1" t="s">
        <v>131</v>
      </c>
      <c r="X177" s="2" t="s">
        <v>734</v>
      </c>
      <c r="AE177" s="2" t="s">
        <v>51</v>
      </c>
    </row>
    <row r="178" spans="1:32" ht="17.100000000000001" customHeight="1">
      <c r="A178" s="2" t="s">
        <v>730</v>
      </c>
      <c r="D178" s="2" t="s">
        <v>314</v>
      </c>
      <c r="E178" s="6" t="str">
        <f t="shared" si="18"/>
        <v>Jung</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24"/>
        <v>2022</v>
      </c>
      <c r="H178" s="6" t="str">
        <f t="shared" si="19"/>
        <v>Jung_etal_2022</v>
      </c>
      <c r="I178" s="6" t="str">
        <f t="shared" si="25"/>
        <v>10.1126%2Fsciadv.abn0954</v>
      </c>
      <c r="J178" s="6" t="str">
        <f t="shared" si="20"/>
        <v>Jung_etal_2022_TableS1</v>
      </c>
      <c r="K178" s="6" t="str">
        <f t="shared" si="21"/>
        <v>10.1126%2Fsciadv.abn0954_TableS1</v>
      </c>
      <c r="L178" s="6" t="str">
        <f>IFERROR(INDEX(AUTO_Public_TSV_FileList!$A$1:$A$1000,MATCH(TRUE(),EXACT(K178,IFERROR(_xlfn.TEXTBEFORE(AUTO_Public_TSV_FileList!$A$1:$A$1000,".tsv"),"")),0)),"notfound")</f>
        <v>notfound</v>
      </c>
      <c r="M178" s="2" t="s">
        <v>735</v>
      </c>
      <c r="N178" s="1" t="s">
        <v>35</v>
      </c>
      <c r="R178" s="2" t="s">
        <v>733</v>
      </c>
      <c r="W178" s="1" t="s">
        <v>131</v>
      </c>
      <c r="X178" s="2" t="s">
        <v>734</v>
      </c>
      <c r="AE178" s="2" t="s">
        <v>51</v>
      </c>
    </row>
    <row r="179" spans="1:32" ht="17.100000000000001" customHeight="1">
      <c r="A179" s="2" t="s">
        <v>730</v>
      </c>
      <c r="D179" s="2" t="s">
        <v>516</v>
      </c>
      <c r="E179" s="6" t="str">
        <f t="shared" si="18"/>
        <v>Jung</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_xlfn.TEXTBEFORE(_xlfn.TEXTAFTER(A179, "("), ")")</f>
        <v>2022</v>
      </c>
      <c r="H179" s="6" t="str">
        <f t="shared" si="19"/>
        <v>Jung_etal_2022</v>
      </c>
      <c r="I179" s="6" t="str">
        <f t="shared" si="25"/>
        <v>10.1126%2Fsciadv.abn0954</v>
      </c>
      <c r="J179" s="6" t="str">
        <f t="shared" si="20"/>
        <v>Jung_etal_2022_TableS2</v>
      </c>
      <c r="K179" s="6" t="str">
        <f t="shared" si="21"/>
        <v>10.1126%2Fsciadv.abn0954_TableS2</v>
      </c>
      <c r="L179" s="6" t="str">
        <f>IFERROR(INDEX(AUTO_Public_TSV_FileList!$A$1:$A$1000,MATCH(TRUE(),EXACT(K179,IFERROR(_xlfn.TEXTBEFORE(AUTO_Public_TSV_FileList!$A$1:$A$1000,".tsv"),"")),0)),"notfound")</f>
        <v>notfound</v>
      </c>
      <c r="M179" s="2" t="s">
        <v>736</v>
      </c>
      <c r="N179" s="1" t="s">
        <v>35</v>
      </c>
      <c r="R179" s="2" t="s">
        <v>733</v>
      </c>
      <c r="W179" s="1" t="s">
        <v>131</v>
      </c>
      <c r="X179" s="2" t="s">
        <v>734</v>
      </c>
      <c r="AE179" s="2" t="s">
        <v>51</v>
      </c>
    </row>
    <row r="180" spans="1:32" ht="17.100000000000001" customHeight="1">
      <c r="A180" s="1" t="s">
        <v>737</v>
      </c>
      <c r="D180" s="1" t="s">
        <v>81</v>
      </c>
      <c r="E180" s="5" t="str">
        <f t="shared" si="18"/>
        <v>Karbowski</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0" s="5" t="str">
        <f t="shared" ref="G180:G208" si="26">_xlfn.TEXTBEFORE(_xlfn.TEXTAFTER(A180, "("), ")")</f>
        <v>2007</v>
      </c>
      <c r="H180" s="5" t="str">
        <f t="shared" si="19"/>
        <v>Karbowski__2007</v>
      </c>
      <c r="I180" s="5" t="str">
        <f t="shared" ref="I180:I211" si="27">_xlfn.LET(
_xlpm.doi,IF(C180&lt;&gt;"",C180,_xlfn.TEXTAFTER(A180,"https://doi.org/")),
SUBSTITUTE(
SUBSTITUTE(
SUBSTITUTE(
SUBSTITUTE(
_xlpm.doi,
"/","%2F"),
":","%3A"),
"&lt;","%3C"),
"&gt;","%3E")
)</f>
        <v>10.1186%2F1741-7007-5-18</v>
      </c>
      <c r="J180" s="5" t="str">
        <f t="shared" si="20"/>
        <v>Karbowski__2007_Table1</v>
      </c>
      <c r="K180" s="5" t="str">
        <f t="shared" si="21"/>
        <v>10.1186%2F1741-7007-5-18_Table1</v>
      </c>
      <c r="L180" s="5" t="str">
        <f t="array" ref="L180">IFERROR(INDEX(AUTO_Public_TSV_FileList!$A$1:$A$1000,MATCH(TRUE(),EXACT(K180,IFERROR(_xlfn.TEXTBEFORE(AUTO_Public_TSV_FileList!$A$1:$A$1000,".tsv"),"")),0)),"notfound")</f>
        <v>notfound</v>
      </c>
      <c r="N180" s="1" t="s">
        <v>35</v>
      </c>
      <c r="W180" s="1" t="s">
        <v>131</v>
      </c>
      <c r="X180" s="1" t="s">
        <v>738</v>
      </c>
      <c r="AA180" s="1"/>
      <c r="AB180" s="1" t="s">
        <v>739</v>
      </c>
      <c r="AE180" s="1" t="s">
        <v>172</v>
      </c>
      <c r="AF180" s="1"/>
    </row>
    <row r="181" spans="1:32" ht="17.100000000000001" customHeight="1">
      <c r="A181" s="1" t="s">
        <v>737</v>
      </c>
      <c r="D181" s="1" t="s">
        <v>314</v>
      </c>
      <c r="E181" s="5" t="str">
        <f t="shared" si="18"/>
        <v>Karbowski</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1" s="5" t="str">
        <f t="shared" si="26"/>
        <v>2007</v>
      </c>
      <c r="H181" s="5" t="str">
        <f t="shared" si="19"/>
        <v>Karbowski__2007</v>
      </c>
      <c r="I181" s="5" t="str">
        <f t="shared" si="27"/>
        <v>10.1186%2F1741-7007-5-18</v>
      </c>
      <c r="J181" s="5" t="str">
        <f t="shared" si="20"/>
        <v>Karbowski__2007_TableS1</v>
      </c>
      <c r="K181" s="5" t="str">
        <f t="shared" si="21"/>
        <v>10.1186%2F1741-7007-5-18_TableS1</v>
      </c>
      <c r="L181" s="5" t="str">
        <f t="array" ref="L181">IFERROR(INDEX(AUTO_Public_TSV_FileList!$A$1:$A$1000,MATCH(TRUE(),EXACT(K181,IFERROR(_xlfn.TEXTBEFORE(AUTO_Public_TSV_FileList!$A$1:$A$1000,".tsv"),"")),0)),"notfound")</f>
        <v>10.1186%2F1741-7007-5-18_TableS1.tsv</v>
      </c>
      <c r="M181" s="1" t="s">
        <v>740</v>
      </c>
      <c r="N181" s="1" t="s">
        <v>35</v>
      </c>
      <c r="P181" s="1" t="s">
        <v>36</v>
      </c>
      <c r="W181" s="1" t="s">
        <v>131</v>
      </c>
      <c r="X181" s="1" t="s">
        <v>741</v>
      </c>
      <c r="AA181" s="1"/>
      <c r="AB181" s="1" t="s">
        <v>742</v>
      </c>
      <c r="AE181" s="1" t="s">
        <v>172</v>
      </c>
      <c r="AF181" s="1"/>
    </row>
    <row r="182" spans="1:32" ht="17.100000000000001" customHeight="1">
      <c r="A182" s="1" t="s">
        <v>737</v>
      </c>
      <c r="D182" s="1" t="s">
        <v>743</v>
      </c>
      <c r="E182" s="5" t="str">
        <f t="shared" si="18"/>
        <v>Karbowski</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2" s="5" t="str">
        <f t="shared" si="26"/>
        <v>2007</v>
      </c>
      <c r="H182" s="5" t="str">
        <f t="shared" si="19"/>
        <v>Karbowski__2007</v>
      </c>
      <c r="I182" s="5" t="str">
        <f t="shared" si="27"/>
        <v>10.1186%2F1741-7007-5-18</v>
      </c>
      <c r="J182" s="5" t="str">
        <f t="shared" si="20"/>
        <v>Karbowski__2007_TableS10</v>
      </c>
      <c r="K182" s="5" t="str">
        <f t="shared" si="21"/>
        <v>10.1186%2F1741-7007-5-18_TableS10</v>
      </c>
      <c r="L182" s="5" t="str">
        <f t="array" ref="L182">IFERROR(INDEX(AUTO_Public_TSV_FileList!$A$1:$A$1000,MATCH(TRUE(),EXACT(K182,IFERROR(_xlfn.TEXTBEFORE(AUTO_Public_TSV_FileList!$A$1:$A$1000,".tsv"),"")),0)),"notfound")</f>
        <v>10.1186%2F1741-7007-5-18_TableS10.tsv</v>
      </c>
      <c r="M182" s="1" t="s">
        <v>744</v>
      </c>
      <c r="N182" s="1" t="s">
        <v>35</v>
      </c>
      <c r="P182" s="1" t="s">
        <v>36</v>
      </c>
      <c r="W182" s="1" t="s">
        <v>131</v>
      </c>
      <c r="X182" s="1" t="s">
        <v>745</v>
      </c>
      <c r="AA182" s="1"/>
      <c r="AB182" s="1" t="s">
        <v>742</v>
      </c>
      <c r="AE182" s="1" t="s">
        <v>172</v>
      </c>
      <c r="AF182" s="1"/>
    </row>
    <row r="183" spans="1:32" ht="17.100000000000001" customHeight="1">
      <c r="A183" s="1" t="s">
        <v>737</v>
      </c>
      <c r="D183" s="1" t="s">
        <v>746</v>
      </c>
      <c r="E183" s="5" t="str">
        <f t="shared" si="18"/>
        <v>Karbowski</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3" s="5" t="str">
        <f t="shared" si="26"/>
        <v>2007</v>
      </c>
      <c r="H183" s="5" t="str">
        <f t="shared" si="19"/>
        <v>Karbowski__2007</v>
      </c>
      <c r="I183" s="5" t="str">
        <f t="shared" si="27"/>
        <v>10.1186%2F1741-7007-5-18</v>
      </c>
      <c r="J183" s="5" t="str">
        <f t="shared" si="20"/>
        <v>Karbowski__2007_TableS11</v>
      </c>
      <c r="K183" s="5" t="str">
        <f t="shared" si="21"/>
        <v>10.1186%2F1741-7007-5-18_TableS11</v>
      </c>
      <c r="L183" s="5" t="str">
        <f t="array" ref="L183">IFERROR(INDEX(AUTO_Public_TSV_FileList!$A$1:$A$1000,MATCH(TRUE(),EXACT(K183,IFERROR(_xlfn.TEXTBEFORE(AUTO_Public_TSV_FileList!$A$1:$A$1000,".tsv"),"")),0)),"notfound")</f>
        <v>10.1186%2F1741-7007-5-18_TableS11.tsv</v>
      </c>
      <c r="M183" s="1" t="s">
        <v>747</v>
      </c>
      <c r="N183" s="1" t="s">
        <v>35</v>
      </c>
      <c r="P183" s="1" t="s">
        <v>36</v>
      </c>
      <c r="W183" s="1" t="s">
        <v>131</v>
      </c>
      <c r="X183" s="1" t="s">
        <v>745</v>
      </c>
      <c r="AA183" s="1"/>
      <c r="AB183" s="1" t="s">
        <v>742</v>
      </c>
      <c r="AE183" s="1" t="s">
        <v>172</v>
      </c>
      <c r="AF183" s="1"/>
    </row>
    <row r="184" spans="1:32" ht="17.100000000000001" customHeight="1">
      <c r="A184" s="1" t="s">
        <v>737</v>
      </c>
      <c r="D184" s="1" t="s">
        <v>748</v>
      </c>
      <c r="E184" s="5" t="str">
        <f t="shared" si="18"/>
        <v>Karbowski</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4" s="5" t="str">
        <f t="shared" si="26"/>
        <v>2007</v>
      </c>
      <c r="H184" s="5" t="str">
        <f t="shared" si="19"/>
        <v>Karbowski__2007</v>
      </c>
      <c r="I184" s="5" t="str">
        <f t="shared" si="27"/>
        <v>10.1186%2F1741-7007-5-18</v>
      </c>
      <c r="J184" s="5" t="str">
        <f t="shared" si="20"/>
        <v>Karbowski__2007_TableS12</v>
      </c>
      <c r="K184" s="5" t="str">
        <f t="shared" si="21"/>
        <v>10.1186%2F1741-7007-5-18_TableS12</v>
      </c>
      <c r="L184" s="5" t="str">
        <f t="array" ref="L184">IFERROR(INDEX(AUTO_Public_TSV_FileList!$A$1:$A$1000,MATCH(TRUE(),EXACT(K184,IFERROR(_xlfn.TEXTBEFORE(AUTO_Public_TSV_FileList!$A$1:$A$1000,".tsv"),"")),0)),"notfound")</f>
        <v>10.1186%2F1741-7007-5-18_TableS12.tsv</v>
      </c>
      <c r="M184" s="1" t="s">
        <v>749</v>
      </c>
      <c r="N184" s="1" t="s">
        <v>35</v>
      </c>
      <c r="P184" s="1" t="s">
        <v>36</v>
      </c>
      <c r="W184" s="1" t="s">
        <v>131</v>
      </c>
      <c r="X184" s="1" t="s">
        <v>745</v>
      </c>
      <c r="AA184" s="1"/>
      <c r="AB184" s="1" t="s">
        <v>742</v>
      </c>
      <c r="AE184" s="1" t="s">
        <v>172</v>
      </c>
      <c r="AF184" s="1"/>
    </row>
    <row r="185" spans="1:32" ht="17.100000000000001" customHeight="1">
      <c r="A185" s="1" t="s">
        <v>737</v>
      </c>
      <c r="D185" s="1" t="s">
        <v>750</v>
      </c>
      <c r="E185" s="5" t="str">
        <f t="shared" si="18"/>
        <v>Karbowski</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5" s="5" t="str">
        <f t="shared" si="26"/>
        <v>2007</v>
      </c>
      <c r="H185" s="5" t="str">
        <f t="shared" si="19"/>
        <v>Karbowski__2007</v>
      </c>
      <c r="I185" s="5" t="str">
        <f t="shared" si="27"/>
        <v>10.1186%2F1741-7007-5-18</v>
      </c>
      <c r="J185" s="5" t="str">
        <f t="shared" si="20"/>
        <v>Karbowski__2007_TableS13</v>
      </c>
      <c r="K185" s="5" t="str">
        <f t="shared" si="21"/>
        <v>10.1186%2F1741-7007-5-18_TableS13</v>
      </c>
      <c r="L185" s="5" t="str">
        <f t="array" ref="L185">IFERROR(INDEX(AUTO_Public_TSV_FileList!$A$1:$A$1000,MATCH(TRUE(),EXACT(K185,IFERROR(_xlfn.TEXTBEFORE(AUTO_Public_TSV_FileList!$A$1:$A$1000,".tsv"),"")),0)),"notfound")</f>
        <v>10.1186%2F1741-7007-5-18_TableS13.tsv</v>
      </c>
      <c r="M185" s="1" t="s">
        <v>751</v>
      </c>
      <c r="N185" s="1" t="s">
        <v>35</v>
      </c>
      <c r="P185" s="1" t="s">
        <v>36</v>
      </c>
      <c r="W185" s="1" t="s">
        <v>131</v>
      </c>
      <c r="X185" s="1" t="s">
        <v>745</v>
      </c>
      <c r="AA185" s="1"/>
      <c r="AB185" s="1" t="s">
        <v>742</v>
      </c>
      <c r="AE185" s="1" t="s">
        <v>172</v>
      </c>
      <c r="AF185" s="1"/>
    </row>
    <row r="186" spans="1:32" ht="17.100000000000001" customHeight="1">
      <c r="A186" s="1" t="s">
        <v>737</v>
      </c>
      <c r="D186" s="1" t="s">
        <v>752</v>
      </c>
      <c r="E186" s="5" t="str">
        <f t="shared" si="18"/>
        <v>Karbowski</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6" s="5" t="str">
        <f t="shared" si="26"/>
        <v>2007</v>
      </c>
      <c r="H186" s="5" t="str">
        <f t="shared" si="19"/>
        <v>Karbowski__2007</v>
      </c>
      <c r="I186" s="5" t="str">
        <f t="shared" si="27"/>
        <v>10.1186%2F1741-7007-5-18</v>
      </c>
      <c r="J186" s="5" t="str">
        <f t="shared" si="20"/>
        <v>Karbowski__2007_TableS14</v>
      </c>
      <c r="K186" s="5" t="str">
        <f t="shared" si="21"/>
        <v>10.1186%2F1741-7007-5-18_TableS14</v>
      </c>
      <c r="L186" s="5" t="str">
        <f t="array" ref="L186">IFERROR(INDEX(AUTO_Public_TSV_FileList!$A$1:$A$1000,MATCH(TRUE(),EXACT(K186,IFERROR(_xlfn.TEXTBEFORE(AUTO_Public_TSV_FileList!$A$1:$A$1000,".tsv"),"")),0)),"notfound")</f>
        <v>10.1186%2F1741-7007-5-18_TableS14.tsv</v>
      </c>
      <c r="M186" s="1" t="s">
        <v>753</v>
      </c>
      <c r="N186" s="1" t="s">
        <v>35</v>
      </c>
      <c r="P186" s="1" t="s">
        <v>36</v>
      </c>
      <c r="W186" s="1" t="s">
        <v>131</v>
      </c>
      <c r="X186" s="1" t="s">
        <v>745</v>
      </c>
      <c r="AA186" s="1"/>
      <c r="AB186" s="1" t="s">
        <v>742</v>
      </c>
      <c r="AE186" s="1" t="s">
        <v>172</v>
      </c>
      <c r="AF186" s="1"/>
    </row>
    <row r="187" spans="1:32" ht="17.100000000000001" customHeight="1">
      <c r="A187" s="1" t="s">
        <v>737</v>
      </c>
      <c r="D187" s="1" t="s">
        <v>754</v>
      </c>
      <c r="E187" s="5" t="str">
        <f t="shared" si="18"/>
        <v>Karbowski</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7" s="5" t="str">
        <f t="shared" si="26"/>
        <v>2007</v>
      </c>
      <c r="H187" s="5" t="str">
        <f t="shared" si="19"/>
        <v>Karbowski__2007</v>
      </c>
      <c r="I187" s="5" t="str">
        <f t="shared" si="27"/>
        <v>10.1186%2F1741-7007-5-18</v>
      </c>
      <c r="J187" s="5" t="str">
        <f t="shared" si="20"/>
        <v>Karbowski__2007_TableS15</v>
      </c>
      <c r="K187" s="5" t="str">
        <f t="shared" si="21"/>
        <v>10.1186%2F1741-7007-5-18_TableS15</v>
      </c>
      <c r="L187" s="5" t="str">
        <f t="array" ref="L187">IFERROR(INDEX(AUTO_Public_TSV_FileList!$A$1:$A$1000,MATCH(TRUE(),EXACT(K187,IFERROR(_xlfn.TEXTBEFORE(AUTO_Public_TSV_FileList!$A$1:$A$1000,".tsv"),"")),0)),"notfound")</f>
        <v>10.1186%2F1741-7007-5-18_TableS15.tsv</v>
      </c>
      <c r="M187" s="1" t="s">
        <v>755</v>
      </c>
      <c r="N187" s="1" t="s">
        <v>35</v>
      </c>
      <c r="P187" s="1" t="s">
        <v>36</v>
      </c>
      <c r="W187" s="1" t="s">
        <v>131</v>
      </c>
      <c r="X187" s="1" t="s">
        <v>745</v>
      </c>
      <c r="AA187" s="1"/>
      <c r="AB187" s="1" t="s">
        <v>742</v>
      </c>
      <c r="AE187" s="1" t="s">
        <v>172</v>
      </c>
      <c r="AF187" s="1"/>
    </row>
    <row r="188" spans="1:32" ht="17.100000000000001" customHeight="1">
      <c r="A188" s="1" t="s">
        <v>737</v>
      </c>
      <c r="D188" s="1" t="s">
        <v>756</v>
      </c>
      <c r="E188" s="5" t="str">
        <f t="shared" si="18"/>
        <v>Karbowski</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8" s="5" t="str">
        <f t="shared" si="26"/>
        <v>2007</v>
      </c>
      <c r="H188" s="5" t="str">
        <f t="shared" si="19"/>
        <v>Karbowski__2007</v>
      </c>
      <c r="I188" s="5" t="str">
        <f t="shared" si="27"/>
        <v>10.1186%2F1741-7007-5-18</v>
      </c>
      <c r="J188" s="5" t="str">
        <f t="shared" si="20"/>
        <v>Karbowski__2007_TableS16</v>
      </c>
      <c r="K188" s="5" t="str">
        <f t="shared" si="21"/>
        <v>10.1186%2F1741-7007-5-18_TableS16</v>
      </c>
      <c r="L188" s="5" t="str">
        <f t="array" ref="L188">IFERROR(INDEX(AUTO_Public_TSV_FileList!$A$1:$A$1000,MATCH(TRUE(),EXACT(K188,IFERROR(_xlfn.TEXTBEFORE(AUTO_Public_TSV_FileList!$A$1:$A$1000,".tsv"),"")),0)),"notfound")</f>
        <v>10.1186%2F1741-7007-5-18_TableS16.tsv</v>
      </c>
      <c r="M188" s="1" t="s">
        <v>757</v>
      </c>
      <c r="N188" s="1" t="s">
        <v>35</v>
      </c>
      <c r="P188" s="1" t="s">
        <v>36</v>
      </c>
      <c r="W188" s="1" t="s">
        <v>131</v>
      </c>
      <c r="X188" s="1" t="s">
        <v>745</v>
      </c>
      <c r="AA188" s="1"/>
      <c r="AB188" s="1" t="s">
        <v>742</v>
      </c>
      <c r="AE188" s="1" t="s">
        <v>172</v>
      </c>
      <c r="AF188" s="1"/>
    </row>
    <row r="189" spans="1:32" ht="17.100000000000001" customHeight="1">
      <c r="A189" s="1" t="s">
        <v>737</v>
      </c>
      <c r="D189" s="1" t="s">
        <v>758</v>
      </c>
      <c r="E189" s="5" t="str">
        <f t="shared" si="18"/>
        <v>Karbowski</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9" s="5" t="str">
        <f t="shared" si="26"/>
        <v>2007</v>
      </c>
      <c r="H189" s="5" t="str">
        <f t="shared" si="19"/>
        <v>Karbowski__2007</v>
      </c>
      <c r="I189" s="5" t="str">
        <f t="shared" si="27"/>
        <v>10.1186%2F1741-7007-5-18</v>
      </c>
      <c r="J189" s="5" t="str">
        <f t="shared" si="20"/>
        <v>Karbowski__2007_TableS17</v>
      </c>
      <c r="K189" s="5" t="str">
        <f t="shared" si="21"/>
        <v>10.1186%2F1741-7007-5-18_TableS17</v>
      </c>
      <c r="L189" s="5" t="str">
        <f t="array" ref="L189">IFERROR(INDEX(AUTO_Public_TSV_FileList!$A$1:$A$1000,MATCH(TRUE(),EXACT(K189,IFERROR(_xlfn.TEXTBEFORE(AUTO_Public_TSV_FileList!$A$1:$A$1000,".tsv"),"")),0)),"notfound")</f>
        <v>10.1186%2F1741-7007-5-18_TableS17.tsv</v>
      </c>
      <c r="M189" s="1" t="s">
        <v>759</v>
      </c>
      <c r="N189" s="1" t="s">
        <v>35</v>
      </c>
      <c r="P189" s="1" t="s">
        <v>36</v>
      </c>
      <c r="W189" s="1" t="s">
        <v>131</v>
      </c>
      <c r="X189" s="1" t="s">
        <v>745</v>
      </c>
      <c r="AA189" s="1"/>
      <c r="AB189" s="1" t="s">
        <v>742</v>
      </c>
      <c r="AE189" s="1" t="s">
        <v>172</v>
      </c>
      <c r="AF189" s="1"/>
    </row>
    <row r="190" spans="1:32" ht="17.100000000000001" customHeight="1">
      <c r="A190" s="1" t="s">
        <v>737</v>
      </c>
      <c r="D190" s="1" t="s">
        <v>760</v>
      </c>
      <c r="E190" s="5" t="str">
        <f t="shared" si="18"/>
        <v>Karbowski</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0" s="5" t="str">
        <f t="shared" si="26"/>
        <v>2007</v>
      </c>
      <c r="H190" s="5" t="str">
        <f t="shared" si="19"/>
        <v>Karbowski__2007</v>
      </c>
      <c r="I190" s="5" t="str">
        <f t="shared" si="27"/>
        <v>10.1186%2F1741-7007-5-18</v>
      </c>
      <c r="J190" s="5" t="str">
        <f t="shared" si="20"/>
        <v>Karbowski__2007_TableS18</v>
      </c>
      <c r="K190" s="5" t="str">
        <f t="shared" si="21"/>
        <v>10.1186%2F1741-7007-5-18_TableS18</v>
      </c>
      <c r="L190" s="5" t="str">
        <f t="array" ref="L190">IFERROR(INDEX(AUTO_Public_TSV_FileList!$A$1:$A$1000,MATCH(TRUE(),EXACT(K190,IFERROR(_xlfn.TEXTBEFORE(AUTO_Public_TSV_FileList!$A$1:$A$1000,".tsv"),"")),0)),"notfound")</f>
        <v>10.1186%2F1741-7007-5-18_TableS18.tsv</v>
      </c>
      <c r="M190" s="1" t="s">
        <v>761</v>
      </c>
      <c r="N190" s="1" t="s">
        <v>35</v>
      </c>
      <c r="P190" s="1" t="s">
        <v>36</v>
      </c>
      <c r="W190" s="1" t="s">
        <v>131</v>
      </c>
      <c r="X190" s="1" t="s">
        <v>745</v>
      </c>
      <c r="AA190" s="1"/>
      <c r="AB190" s="1" t="s">
        <v>742</v>
      </c>
      <c r="AE190" s="1" t="s">
        <v>172</v>
      </c>
      <c r="AF190" s="1"/>
    </row>
    <row r="191" spans="1:32" ht="17.100000000000001" customHeight="1">
      <c r="A191" s="1" t="s">
        <v>737</v>
      </c>
      <c r="D191" s="1" t="s">
        <v>762</v>
      </c>
      <c r="E191" s="5" t="str">
        <f t="shared" si="18"/>
        <v>Karbowski</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1" s="5" t="str">
        <f t="shared" si="26"/>
        <v>2007</v>
      </c>
      <c r="H191" s="5" t="str">
        <f t="shared" si="19"/>
        <v>Karbowski__2007</v>
      </c>
      <c r="I191" s="5" t="str">
        <f t="shared" si="27"/>
        <v>10.1186%2F1741-7007-5-18</v>
      </c>
      <c r="J191" s="5" t="str">
        <f t="shared" si="20"/>
        <v>Karbowski__2007_TableS19</v>
      </c>
      <c r="K191" s="5" t="str">
        <f t="shared" si="21"/>
        <v>10.1186%2F1741-7007-5-18_TableS19</v>
      </c>
      <c r="L191" s="5" t="str">
        <f t="array" ref="L191">IFERROR(INDEX(AUTO_Public_TSV_FileList!$A$1:$A$1000,MATCH(TRUE(),EXACT(K191,IFERROR(_xlfn.TEXTBEFORE(AUTO_Public_TSV_FileList!$A$1:$A$1000,".tsv"),"")),0)),"notfound")</f>
        <v>10.1186%2F1741-7007-5-18_TableS19.tsv</v>
      </c>
      <c r="M191" s="1" t="s">
        <v>763</v>
      </c>
      <c r="N191" s="1" t="s">
        <v>35</v>
      </c>
      <c r="P191" s="1" t="s">
        <v>36</v>
      </c>
      <c r="W191" s="1" t="s">
        <v>131</v>
      </c>
      <c r="X191" s="1" t="s">
        <v>745</v>
      </c>
      <c r="AA191" s="1"/>
      <c r="AB191" s="1" t="s">
        <v>742</v>
      </c>
      <c r="AE191" s="1" t="s">
        <v>172</v>
      </c>
      <c r="AF191" s="1"/>
    </row>
    <row r="192" spans="1:32" ht="17.100000000000001" customHeight="1">
      <c r="A192" s="1" t="s">
        <v>737</v>
      </c>
      <c r="D192" s="1" t="s">
        <v>516</v>
      </c>
      <c r="E192" s="5" t="str">
        <f t="shared" si="18"/>
        <v>Karbowski</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2" s="5" t="str">
        <f t="shared" si="26"/>
        <v>2007</v>
      </c>
      <c r="H192" s="5" t="str">
        <f t="shared" si="19"/>
        <v>Karbowski__2007</v>
      </c>
      <c r="I192" s="5" t="str">
        <f t="shared" si="27"/>
        <v>10.1186%2F1741-7007-5-18</v>
      </c>
      <c r="J192" s="5" t="str">
        <f t="shared" si="20"/>
        <v>Karbowski__2007_TableS2</v>
      </c>
      <c r="K192" s="5" t="str">
        <f t="shared" si="21"/>
        <v>10.1186%2F1741-7007-5-18_TableS2</v>
      </c>
      <c r="L192" s="5" t="str">
        <f t="array" ref="L192">IFERROR(INDEX(AUTO_Public_TSV_FileList!$A$1:$A$1000,MATCH(TRUE(),EXACT(K192,IFERROR(_xlfn.TEXTBEFORE(AUTO_Public_TSV_FileList!$A$1:$A$1000,".tsv"),"")),0)),"notfound")</f>
        <v>10.1186%2F1741-7007-5-18_TableS2.tsv</v>
      </c>
      <c r="M192" s="1" t="s">
        <v>764</v>
      </c>
      <c r="N192" s="1" t="s">
        <v>35</v>
      </c>
      <c r="P192" s="1" t="s">
        <v>36</v>
      </c>
      <c r="W192" s="1" t="s">
        <v>131</v>
      </c>
      <c r="X192" s="1" t="s">
        <v>745</v>
      </c>
      <c r="AA192" s="1"/>
      <c r="AB192" s="1" t="s">
        <v>742</v>
      </c>
      <c r="AE192" s="1" t="s">
        <v>172</v>
      </c>
      <c r="AF192" s="1"/>
    </row>
    <row r="193" spans="1:32" ht="17.100000000000001" customHeight="1">
      <c r="A193" s="1" t="s">
        <v>737</v>
      </c>
      <c r="D193" s="1" t="s">
        <v>765</v>
      </c>
      <c r="E193" s="5" t="str">
        <f t="shared" si="18"/>
        <v>Karbowski</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3" s="5" t="str">
        <f t="shared" si="26"/>
        <v>2007</v>
      </c>
      <c r="H193" s="5" t="str">
        <f t="shared" si="19"/>
        <v>Karbowski__2007</v>
      </c>
      <c r="I193" s="5" t="str">
        <f t="shared" si="27"/>
        <v>10.1186%2F1741-7007-5-18</v>
      </c>
      <c r="J193" s="5" t="str">
        <f t="shared" si="20"/>
        <v>Karbowski__2007_TableS20</v>
      </c>
      <c r="K193" s="5" t="str">
        <f t="shared" si="21"/>
        <v>10.1186%2F1741-7007-5-18_TableS20</v>
      </c>
      <c r="L193" s="5" t="str">
        <f t="array" ref="L193">IFERROR(INDEX(AUTO_Public_TSV_FileList!$A$1:$A$1000,MATCH(TRUE(),EXACT(K193,IFERROR(_xlfn.TEXTBEFORE(AUTO_Public_TSV_FileList!$A$1:$A$1000,".tsv"),"")),0)),"notfound")</f>
        <v>10.1186%2F1741-7007-5-18_TableS20.tsv</v>
      </c>
      <c r="M193" s="1" t="s">
        <v>766</v>
      </c>
      <c r="N193" s="1" t="s">
        <v>35</v>
      </c>
      <c r="P193" s="1" t="s">
        <v>36</v>
      </c>
      <c r="W193" s="1" t="s">
        <v>131</v>
      </c>
      <c r="X193" s="1" t="s">
        <v>745</v>
      </c>
      <c r="AA193" s="1"/>
      <c r="AB193" s="1" t="s">
        <v>742</v>
      </c>
      <c r="AE193" s="1" t="s">
        <v>172</v>
      </c>
      <c r="AF193" s="1"/>
    </row>
    <row r="194" spans="1:32" ht="17.100000000000001" customHeight="1">
      <c r="A194" s="1" t="s">
        <v>737</v>
      </c>
      <c r="D194" s="1" t="s">
        <v>767</v>
      </c>
      <c r="E194" s="5" t="str">
        <f t="shared" ref="E194:E257" si="28">SUBSTITUTE(SUBSTITUTE(_xlfn.TEXTBEFORE(A194,","), "-", ""), " ", "")</f>
        <v>Karbowski</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4" s="5" t="str">
        <f t="shared" si="26"/>
        <v>2007</v>
      </c>
      <c r="H194" s="5" t="str">
        <f t="shared" ref="H194:H257" si="29">E194 &amp; IF(F194&lt;&gt;"", "_" &amp; F194, "_") &amp; IF(G194&lt;&gt;"", "_" &amp; G194, "_") &amp; IF(B194&lt;&gt;"", "_" &amp; B194, "")</f>
        <v>Karbowski__2007</v>
      </c>
      <c r="I194" s="5" t="str">
        <f t="shared" si="27"/>
        <v>10.1186%2F1741-7007-5-18</v>
      </c>
      <c r="J194" s="5" t="str">
        <f t="shared" ref="J194:J257" si="30">TRIM(_xlfn.TEXTJOIN("_",FALSE(),H194,(SUBSTITUTE(SUBSTITUTE(D194," ",""), "_", ""))))</f>
        <v>Karbowski__2007_TableS21</v>
      </c>
      <c r="K194" s="5" t="str">
        <f t="shared" ref="K194:K257" si="31">I194 &amp; "_" &amp; SUBSTITUTE(SUBSTITUTE(SUBSTITUTE(D194,CHAR(160),"")," ",""),"_","")</f>
        <v>10.1186%2F1741-7007-5-18_TableS21</v>
      </c>
      <c r="L194" s="5" t="str">
        <f t="array" ref="L194">IFERROR(INDEX(AUTO_Public_TSV_FileList!$A$1:$A$1000,MATCH(TRUE(),EXACT(K194,IFERROR(_xlfn.TEXTBEFORE(AUTO_Public_TSV_FileList!$A$1:$A$1000,".tsv"),"")),0)),"notfound")</f>
        <v>10.1186%2F1741-7007-5-18_TableS21.tsv</v>
      </c>
      <c r="M194" s="1" t="s">
        <v>768</v>
      </c>
      <c r="N194" s="1" t="s">
        <v>35</v>
      </c>
      <c r="P194" s="1" t="s">
        <v>36</v>
      </c>
      <c r="W194" s="1" t="s">
        <v>131</v>
      </c>
      <c r="X194" s="1" t="s">
        <v>745</v>
      </c>
      <c r="AA194" s="1"/>
      <c r="AB194" s="1" t="s">
        <v>742</v>
      </c>
      <c r="AE194" s="1" t="s">
        <v>172</v>
      </c>
      <c r="AF194" s="1"/>
    </row>
    <row r="195" spans="1:32" ht="17.100000000000001" customHeight="1">
      <c r="A195" s="1" t="s">
        <v>737</v>
      </c>
      <c r="D195" s="1" t="s">
        <v>769</v>
      </c>
      <c r="E195" s="5" t="str">
        <f t="shared" si="28"/>
        <v>Karbowski</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5" t="str">
        <f t="shared" si="26"/>
        <v>2007</v>
      </c>
      <c r="H195" s="5" t="str">
        <f t="shared" si="29"/>
        <v>Karbowski__2007</v>
      </c>
      <c r="I195" s="5" t="str">
        <f t="shared" si="27"/>
        <v>10.1186%2F1741-7007-5-18</v>
      </c>
      <c r="J195" s="5" t="str">
        <f t="shared" si="30"/>
        <v>Karbowski__2007_TableS22</v>
      </c>
      <c r="K195" s="5" t="str">
        <f t="shared" si="31"/>
        <v>10.1186%2F1741-7007-5-18_TableS22</v>
      </c>
      <c r="L195" s="5" t="str">
        <f t="array" ref="L195">IFERROR(INDEX(AUTO_Public_TSV_FileList!$A$1:$A$1000,MATCH(TRUE(),EXACT(K195,IFERROR(_xlfn.TEXTBEFORE(AUTO_Public_TSV_FileList!$A$1:$A$1000,".tsv"),"")),0)),"notfound")</f>
        <v>10.1186%2F1741-7007-5-18_TableS22.tsv</v>
      </c>
      <c r="M195" s="1" t="s">
        <v>770</v>
      </c>
      <c r="N195" s="1" t="s">
        <v>35</v>
      </c>
      <c r="P195" s="1" t="s">
        <v>36</v>
      </c>
      <c r="W195" s="1" t="s">
        <v>131</v>
      </c>
      <c r="X195" s="1" t="s">
        <v>745</v>
      </c>
      <c r="AA195" s="1"/>
      <c r="AB195" s="1" t="s">
        <v>742</v>
      </c>
      <c r="AE195" s="1" t="s">
        <v>172</v>
      </c>
      <c r="AF195" s="1"/>
    </row>
    <row r="196" spans="1:32" ht="17.100000000000001" customHeight="1">
      <c r="A196" s="1" t="s">
        <v>737</v>
      </c>
      <c r="D196" s="1" t="s">
        <v>771</v>
      </c>
      <c r="E196" s="5" t="str">
        <f t="shared" si="28"/>
        <v>Karbowski</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5" t="str">
        <f t="shared" si="26"/>
        <v>2007</v>
      </c>
      <c r="H196" s="5" t="str">
        <f t="shared" si="29"/>
        <v>Karbowski__2007</v>
      </c>
      <c r="I196" s="5" t="str">
        <f t="shared" si="27"/>
        <v>10.1186%2F1741-7007-5-18</v>
      </c>
      <c r="J196" s="5" t="str">
        <f t="shared" si="30"/>
        <v>Karbowski__2007_TableS23</v>
      </c>
      <c r="K196" s="5" t="str">
        <f t="shared" si="31"/>
        <v>10.1186%2F1741-7007-5-18_TableS23</v>
      </c>
      <c r="L196" s="5" t="str">
        <f t="array" ref="L196">IFERROR(INDEX(AUTO_Public_TSV_FileList!$A$1:$A$1000,MATCH(TRUE(),EXACT(K196,IFERROR(_xlfn.TEXTBEFORE(AUTO_Public_TSV_FileList!$A$1:$A$1000,".tsv"),"")),0)),"notfound")</f>
        <v>10.1186%2F1741-7007-5-18_TableS23.tsv</v>
      </c>
      <c r="M196" s="1" t="s">
        <v>772</v>
      </c>
      <c r="N196" s="1" t="s">
        <v>35</v>
      </c>
      <c r="P196" s="1" t="s">
        <v>36</v>
      </c>
      <c r="W196" s="1" t="s">
        <v>131</v>
      </c>
      <c r="X196" s="1" t="s">
        <v>745</v>
      </c>
      <c r="AA196" s="1"/>
      <c r="AB196" s="1" t="s">
        <v>742</v>
      </c>
      <c r="AE196" s="1" t="s">
        <v>172</v>
      </c>
      <c r="AF196" s="1"/>
    </row>
    <row r="197" spans="1:32" ht="17.100000000000001" customHeight="1">
      <c r="A197" s="1" t="s">
        <v>737</v>
      </c>
      <c r="D197" s="1" t="s">
        <v>643</v>
      </c>
      <c r="E197" s="5" t="str">
        <f t="shared" si="28"/>
        <v>Karbowski</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5" t="str">
        <f t="shared" si="26"/>
        <v>2007</v>
      </c>
      <c r="H197" s="5" t="str">
        <f t="shared" si="29"/>
        <v>Karbowski__2007</v>
      </c>
      <c r="I197" s="5" t="str">
        <f t="shared" si="27"/>
        <v>10.1186%2F1741-7007-5-18</v>
      </c>
      <c r="J197" s="5" t="str">
        <f t="shared" si="30"/>
        <v>Karbowski__2007_TableS3</v>
      </c>
      <c r="K197" s="5" t="str">
        <f t="shared" si="31"/>
        <v>10.1186%2F1741-7007-5-18_TableS3</v>
      </c>
      <c r="L197" s="5" t="str">
        <f t="array" ref="L197">IFERROR(INDEX(AUTO_Public_TSV_FileList!$A$1:$A$1000,MATCH(TRUE(),EXACT(K197,IFERROR(_xlfn.TEXTBEFORE(AUTO_Public_TSV_FileList!$A$1:$A$1000,".tsv"),"")),0)),"notfound")</f>
        <v>10.1186%2F1741-7007-5-18_TableS3.tsv</v>
      </c>
      <c r="M197" s="1" t="s">
        <v>773</v>
      </c>
      <c r="N197" s="1" t="s">
        <v>35</v>
      </c>
      <c r="P197" s="1" t="s">
        <v>36</v>
      </c>
      <c r="W197" s="1" t="s">
        <v>131</v>
      </c>
      <c r="X197" s="1" t="s">
        <v>745</v>
      </c>
      <c r="AA197" s="1"/>
      <c r="AB197" s="1" t="s">
        <v>742</v>
      </c>
      <c r="AE197" s="1" t="s">
        <v>172</v>
      </c>
      <c r="AF197" s="1"/>
    </row>
    <row r="198" spans="1:32" ht="17.100000000000001" customHeight="1">
      <c r="A198" s="1" t="s">
        <v>737</v>
      </c>
      <c r="D198" s="1" t="s">
        <v>727</v>
      </c>
      <c r="E198" s="5" t="str">
        <f t="shared" si="28"/>
        <v>Karbowski</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5" t="str">
        <f t="shared" si="26"/>
        <v>2007</v>
      </c>
      <c r="H198" s="5" t="str">
        <f t="shared" si="29"/>
        <v>Karbowski__2007</v>
      </c>
      <c r="I198" s="5" t="str">
        <f t="shared" si="27"/>
        <v>10.1186%2F1741-7007-5-18</v>
      </c>
      <c r="J198" s="5" t="str">
        <f t="shared" si="30"/>
        <v>Karbowski__2007_TableS4</v>
      </c>
      <c r="K198" s="5" t="str">
        <f t="shared" si="31"/>
        <v>10.1186%2F1741-7007-5-18_TableS4</v>
      </c>
      <c r="L198" s="5" t="str">
        <f t="array" ref="L198">IFERROR(INDEX(AUTO_Public_TSV_FileList!$A$1:$A$1000,MATCH(TRUE(),EXACT(K198,IFERROR(_xlfn.TEXTBEFORE(AUTO_Public_TSV_FileList!$A$1:$A$1000,".tsv"),"")),0)),"notfound")</f>
        <v>10.1186%2F1741-7007-5-18_TableS4.tsv</v>
      </c>
      <c r="M198" s="1" t="s">
        <v>774</v>
      </c>
      <c r="N198" s="1" t="s">
        <v>35</v>
      </c>
      <c r="P198" s="1" t="s">
        <v>36</v>
      </c>
      <c r="W198" s="1" t="s">
        <v>131</v>
      </c>
      <c r="X198" s="1" t="s">
        <v>745</v>
      </c>
      <c r="AA198" s="1"/>
      <c r="AB198" s="1" t="s">
        <v>742</v>
      </c>
      <c r="AE198" s="1" t="s">
        <v>172</v>
      </c>
      <c r="AF198" s="1"/>
    </row>
    <row r="199" spans="1:32" ht="17.100000000000001" customHeight="1">
      <c r="A199" s="1" t="s">
        <v>737</v>
      </c>
      <c r="D199" s="1" t="s">
        <v>775</v>
      </c>
      <c r="E199" s="5" t="str">
        <f t="shared" si="28"/>
        <v>Karbowski</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5" t="str">
        <f t="shared" si="26"/>
        <v>2007</v>
      </c>
      <c r="H199" s="5" t="str">
        <f t="shared" si="29"/>
        <v>Karbowski__2007</v>
      </c>
      <c r="I199" s="5" t="str">
        <f t="shared" si="27"/>
        <v>10.1186%2F1741-7007-5-18</v>
      </c>
      <c r="J199" s="5" t="str">
        <f t="shared" si="30"/>
        <v>Karbowski__2007_TableS5</v>
      </c>
      <c r="K199" s="5" t="str">
        <f t="shared" si="31"/>
        <v>10.1186%2F1741-7007-5-18_TableS5</v>
      </c>
      <c r="L199" s="5" t="str">
        <f t="array" ref="L199">IFERROR(INDEX(AUTO_Public_TSV_FileList!$A$1:$A$1000,MATCH(TRUE(),EXACT(K199,IFERROR(_xlfn.TEXTBEFORE(AUTO_Public_TSV_FileList!$A$1:$A$1000,".tsv"),"")),0)),"notfound")</f>
        <v>10.1186%2F1741-7007-5-18_TableS5.tsv</v>
      </c>
      <c r="M199" s="1" t="s">
        <v>776</v>
      </c>
      <c r="N199" s="1" t="s">
        <v>35</v>
      </c>
      <c r="P199" s="1" t="s">
        <v>36</v>
      </c>
      <c r="W199" s="1" t="s">
        <v>131</v>
      </c>
      <c r="X199" s="1" t="s">
        <v>745</v>
      </c>
      <c r="AA199" s="1"/>
      <c r="AB199" s="1" t="s">
        <v>742</v>
      </c>
      <c r="AE199" s="1" t="s">
        <v>172</v>
      </c>
      <c r="AF199" s="1"/>
    </row>
    <row r="200" spans="1:32" ht="17.100000000000001" customHeight="1">
      <c r="A200" s="1" t="s">
        <v>737</v>
      </c>
      <c r="D200" s="1" t="s">
        <v>777</v>
      </c>
      <c r="E200" s="5" t="str">
        <f t="shared" si="28"/>
        <v>Karbowski</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5" t="str">
        <f t="shared" si="26"/>
        <v>2007</v>
      </c>
      <c r="H200" s="5" t="str">
        <f t="shared" si="29"/>
        <v>Karbowski__2007</v>
      </c>
      <c r="I200" s="5" t="str">
        <f t="shared" si="27"/>
        <v>10.1186%2F1741-7007-5-18</v>
      </c>
      <c r="J200" s="5" t="str">
        <f t="shared" si="30"/>
        <v>Karbowski__2007_TableS6</v>
      </c>
      <c r="K200" s="5" t="str">
        <f t="shared" si="31"/>
        <v>10.1186%2F1741-7007-5-18_TableS6</v>
      </c>
      <c r="L200" s="5" t="str">
        <f t="array" ref="L200">IFERROR(INDEX(AUTO_Public_TSV_FileList!$A$1:$A$1000,MATCH(TRUE(),EXACT(K200,IFERROR(_xlfn.TEXTBEFORE(AUTO_Public_TSV_FileList!$A$1:$A$1000,".tsv"),"")),0)),"notfound")</f>
        <v>10.1186%2F1741-7007-5-18_TableS6.tsv</v>
      </c>
      <c r="M200" s="1" t="s">
        <v>778</v>
      </c>
      <c r="N200" s="1" t="s">
        <v>35</v>
      </c>
      <c r="P200" s="1" t="s">
        <v>36</v>
      </c>
      <c r="W200" s="1" t="s">
        <v>131</v>
      </c>
      <c r="X200" s="1" t="s">
        <v>745</v>
      </c>
      <c r="AA200" s="1"/>
      <c r="AB200" s="1" t="s">
        <v>742</v>
      </c>
      <c r="AE200" s="1" t="s">
        <v>172</v>
      </c>
      <c r="AF200" s="1"/>
    </row>
    <row r="201" spans="1:32" ht="17.100000000000001" customHeight="1">
      <c r="A201" s="1" t="s">
        <v>737</v>
      </c>
      <c r="D201" s="1" t="s">
        <v>779</v>
      </c>
      <c r="E201" s="5" t="str">
        <f t="shared" si="28"/>
        <v>Karbowski</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5" t="str">
        <f t="shared" si="26"/>
        <v>2007</v>
      </c>
      <c r="H201" s="5" t="str">
        <f t="shared" si="29"/>
        <v>Karbowski__2007</v>
      </c>
      <c r="I201" s="5" t="str">
        <f t="shared" si="27"/>
        <v>10.1186%2F1741-7007-5-18</v>
      </c>
      <c r="J201" s="5" t="str">
        <f t="shared" si="30"/>
        <v>Karbowski__2007_TableS7</v>
      </c>
      <c r="K201" s="5" t="str">
        <f t="shared" si="31"/>
        <v>10.1186%2F1741-7007-5-18_TableS7</v>
      </c>
      <c r="L201" s="5" t="str">
        <f t="array" ref="L201">IFERROR(INDEX(AUTO_Public_TSV_FileList!$A$1:$A$1000,MATCH(TRUE(),EXACT(K201,IFERROR(_xlfn.TEXTBEFORE(AUTO_Public_TSV_FileList!$A$1:$A$1000,".tsv"),"")),0)),"notfound")</f>
        <v>10.1186%2F1741-7007-5-18_TableS7.tsv</v>
      </c>
      <c r="M201" s="1" t="s">
        <v>780</v>
      </c>
      <c r="N201" s="1" t="s">
        <v>35</v>
      </c>
      <c r="P201" s="1" t="s">
        <v>36</v>
      </c>
      <c r="W201" s="1" t="s">
        <v>131</v>
      </c>
      <c r="X201" s="1" t="s">
        <v>745</v>
      </c>
      <c r="AA201" s="1"/>
      <c r="AB201" s="1" t="s">
        <v>742</v>
      </c>
      <c r="AE201" s="1" t="s">
        <v>172</v>
      </c>
      <c r="AF201" s="1"/>
    </row>
    <row r="202" spans="1:32" ht="17.100000000000001" customHeight="1">
      <c r="A202" s="1" t="s">
        <v>737</v>
      </c>
      <c r="D202" s="1" t="s">
        <v>781</v>
      </c>
      <c r="E202" s="5" t="str">
        <f t="shared" si="28"/>
        <v>Karbowski</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5" t="str">
        <f t="shared" si="26"/>
        <v>2007</v>
      </c>
      <c r="H202" s="5" t="str">
        <f t="shared" si="29"/>
        <v>Karbowski__2007</v>
      </c>
      <c r="I202" s="5" t="str">
        <f t="shared" si="27"/>
        <v>10.1186%2F1741-7007-5-18</v>
      </c>
      <c r="J202" s="5" t="str">
        <f t="shared" si="30"/>
        <v>Karbowski__2007_TableS8</v>
      </c>
      <c r="K202" s="5" t="str">
        <f t="shared" si="31"/>
        <v>10.1186%2F1741-7007-5-18_TableS8</v>
      </c>
      <c r="L202" s="5" t="str">
        <f t="array" ref="L202">IFERROR(INDEX(AUTO_Public_TSV_FileList!$A$1:$A$1000,MATCH(TRUE(),EXACT(K202,IFERROR(_xlfn.TEXTBEFORE(AUTO_Public_TSV_FileList!$A$1:$A$1000,".tsv"),"")),0)),"notfound")</f>
        <v>10.1186%2F1741-7007-5-18_TableS8.tsv</v>
      </c>
      <c r="M202" s="1" t="s">
        <v>782</v>
      </c>
      <c r="N202" s="1" t="s">
        <v>35</v>
      </c>
      <c r="P202" s="1" t="s">
        <v>36</v>
      </c>
      <c r="W202" s="1" t="s">
        <v>131</v>
      </c>
      <c r="X202" s="1" t="s">
        <v>745</v>
      </c>
      <c r="AA202" s="1"/>
      <c r="AB202" s="1" t="s">
        <v>742</v>
      </c>
      <c r="AE202" s="1" t="s">
        <v>172</v>
      </c>
      <c r="AF202" s="1"/>
    </row>
    <row r="203" spans="1:32" ht="17.100000000000001" customHeight="1">
      <c r="A203" s="1" t="s">
        <v>737</v>
      </c>
      <c r="D203" s="1" t="s">
        <v>783</v>
      </c>
      <c r="E203" s="5" t="str">
        <f t="shared" si="28"/>
        <v>Karbowski</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5" t="str">
        <f t="shared" si="26"/>
        <v>2007</v>
      </c>
      <c r="H203" s="5" t="str">
        <f t="shared" si="29"/>
        <v>Karbowski__2007</v>
      </c>
      <c r="I203" s="5" t="str">
        <f t="shared" si="27"/>
        <v>10.1186%2F1741-7007-5-18</v>
      </c>
      <c r="J203" s="5" t="str">
        <f t="shared" si="30"/>
        <v>Karbowski__2007_TableS9</v>
      </c>
      <c r="K203" s="5" t="str">
        <f t="shared" si="31"/>
        <v>10.1186%2F1741-7007-5-18_TableS9</v>
      </c>
      <c r="L203" s="5" t="str">
        <f t="array" ref="L203">IFERROR(INDEX(AUTO_Public_TSV_FileList!$A$1:$A$1000,MATCH(TRUE(),EXACT(K203,IFERROR(_xlfn.TEXTBEFORE(AUTO_Public_TSV_FileList!$A$1:$A$1000,".tsv"),"")),0)),"notfound")</f>
        <v>10.1186%2F1741-7007-5-18_TableS9.tsv</v>
      </c>
      <c r="M203" s="1" t="s">
        <v>784</v>
      </c>
      <c r="N203" s="1" t="s">
        <v>35</v>
      </c>
      <c r="P203" s="1" t="s">
        <v>36</v>
      </c>
      <c r="W203" s="1" t="s">
        <v>131</v>
      </c>
      <c r="X203" s="1" t="s">
        <v>745</v>
      </c>
      <c r="AA203" s="1"/>
      <c r="AB203" s="1" t="s">
        <v>742</v>
      </c>
      <c r="AE203" s="1" t="s">
        <v>172</v>
      </c>
      <c r="AF203" s="1"/>
    </row>
    <row r="204" spans="1:32" ht="17.100000000000001" customHeight="1">
      <c r="A204" s="1" t="s">
        <v>785</v>
      </c>
      <c r="D204" s="1" t="s">
        <v>58</v>
      </c>
      <c r="E204" s="5" t="str">
        <f t="shared" si="28"/>
        <v>Karl</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 t="shared" si="26"/>
        <v>2024</v>
      </c>
      <c r="H204" s="5" t="str">
        <f t="shared" si="29"/>
        <v>Karl_etal_2024</v>
      </c>
      <c r="I204" s="5" t="str">
        <f t="shared" si="27"/>
        <v>10.1002%2Fcne.25669</v>
      </c>
      <c r="J204" s="5" t="str">
        <f t="shared" si="30"/>
        <v>Karl_etal_2024_TABLE1</v>
      </c>
      <c r="K204" s="5" t="str">
        <f t="shared" si="31"/>
        <v>10.1002%2Fcne.25669_TABLE1</v>
      </c>
      <c r="L204" s="5" t="str">
        <f t="array" ref="L204">IFERROR(INDEX(AUTO_Public_TSV_FileList!$A$1:$A$1000,MATCH(TRUE(),EXACT(K204,IFERROR(_xlfn.TEXTBEFORE(AUTO_Public_TSV_FileList!$A$1:$A$1000,".tsv"),"")),0)),"notfound")</f>
        <v>10.1002%2Fcne.25669_TABLE1.tsv</v>
      </c>
      <c r="M204" s="1" t="s">
        <v>786</v>
      </c>
      <c r="N204" s="1" t="s">
        <v>35</v>
      </c>
      <c r="P204" s="1" t="s">
        <v>36</v>
      </c>
      <c r="W204" s="1" t="s">
        <v>131</v>
      </c>
      <c r="X204" s="1" t="s">
        <v>787</v>
      </c>
      <c r="AB204" s="1" t="s">
        <v>787</v>
      </c>
      <c r="AE204" s="1" t="s">
        <v>66</v>
      </c>
      <c r="AF204" s="1"/>
    </row>
    <row r="205" spans="1:32" ht="17.100000000000001" customHeight="1">
      <c r="A205" s="2" t="s">
        <v>788</v>
      </c>
      <c r="D205" s="2" t="s">
        <v>789</v>
      </c>
      <c r="E205" s="5" t="str">
        <f t="shared" si="28"/>
        <v>Kaskan</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 t="shared" si="26"/>
        <v>2005</v>
      </c>
      <c r="H205" s="5" t="str">
        <f t="shared" si="29"/>
        <v>Kaskan_etal_2005</v>
      </c>
      <c r="I205" s="5" t="str">
        <f t="shared" si="27"/>
        <v>10.1098%2Frspb.2004.2925</v>
      </c>
      <c r="J205" s="5" t="str">
        <f t="shared" si="30"/>
        <v>Kaskan_etal_2005_Figure2</v>
      </c>
      <c r="K205" s="5" t="str">
        <f t="shared" si="31"/>
        <v>10.1098%2Frspb.2004.2925_Figure2</v>
      </c>
      <c r="L205" s="5" t="str">
        <f t="array" ref="L205">IFERROR(INDEX(AUTO_Public_TSV_FileList!$A$1:$A$1000,MATCH(TRUE(),EXACT(K205,IFERROR(_xlfn.TEXTBEFORE(AUTO_Public_TSV_FileList!$A$1:$A$1000,".tsv"),"")),0)),"notfound")</f>
        <v>notfound</v>
      </c>
      <c r="M205" s="2" t="s">
        <v>790</v>
      </c>
    </row>
    <row r="206" spans="1:32" ht="17.100000000000001" customHeight="1">
      <c r="A206" s="2" t="s">
        <v>788</v>
      </c>
      <c r="D206" s="2" t="s">
        <v>316</v>
      </c>
      <c r="E206" s="5" t="str">
        <f t="shared" si="28"/>
        <v>Kaskan</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 t="shared" si="26"/>
        <v>2005</v>
      </c>
      <c r="H206" s="5" t="str">
        <f t="shared" si="29"/>
        <v>Kaskan_etal_2005</v>
      </c>
      <c r="I206" s="5" t="str">
        <f t="shared" si="27"/>
        <v>10.1098%2Frspb.2004.2925</v>
      </c>
      <c r="J206" s="5" t="str">
        <f t="shared" si="30"/>
        <v>Kaskan_etal_2005_Figure3</v>
      </c>
      <c r="K206" s="5" t="str">
        <f t="shared" si="31"/>
        <v>10.1098%2Frspb.2004.2925_Figure3</v>
      </c>
      <c r="L206" s="5" t="str">
        <f t="array" ref="L206">IFERROR(INDEX(AUTO_Public_TSV_FileList!$A$1:$A$1000,MATCH(TRUE(),EXACT(K206,IFERROR(_xlfn.TEXTBEFORE(AUTO_Public_TSV_FileList!$A$1:$A$1000,".tsv"),"")),0)),"notfound")</f>
        <v>notfound</v>
      </c>
      <c r="M206" s="2" t="s">
        <v>791</v>
      </c>
    </row>
    <row r="207" spans="1:32" ht="17.100000000000001" customHeight="1">
      <c r="A207" s="1" t="s">
        <v>792</v>
      </c>
      <c r="C207" s="1" t="s">
        <v>793</v>
      </c>
      <c r="D207" s="1" t="s">
        <v>794</v>
      </c>
      <c r="E207" s="5" t="str">
        <f t="shared" si="28"/>
        <v>Kaufman</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5" t="str">
        <f t="shared" si="26"/>
        <v>2004</v>
      </c>
      <c r="H207" s="5" t="str">
        <f t="shared" si="29"/>
        <v>Kaufman__2004</v>
      </c>
      <c r="I207" s="5" t="str">
        <f t="shared" si="27"/>
        <v>UMI%3A3147447</v>
      </c>
      <c r="J207" s="5" t="str">
        <f t="shared" si="30"/>
        <v>Kaufman__2004_TableA1</v>
      </c>
      <c r="K207" s="5" t="str">
        <f t="shared" si="31"/>
        <v>UMI%3A3147447_TableA1</v>
      </c>
      <c r="L207" s="5" t="str">
        <f t="array" ref="L207">IFERROR(INDEX(AUTO_Public_TSV_FileList!$A$1:$A$1000,MATCH(TRUE(),EXACT(K207,IFERROR(_xlfn.TEXTBEFORE(AUTO_Public_TSV_FileList!$A$1:$A$1000,".tsv"),"")),0)),"notfound")</f>
        <v>UMI%3A3147447_TableA1.tsv</v>
      </c>
      <c r="M207" s="1" t="s">
        <v>795</v>
      </c>
      <c r="N207" s="1" t="s">
        <v>35</v>
      </c>
      <c r="P207" s="1" t="s">
        <v>36</v>
      </c>
      <c r="Q207" s="1"/>
      <c r="W207" s="1" t="s">
        <v>131</v>
      </c>
      <c r="X207" s="1" t="s">
        <v>796</v>
      </c>
      <c r="AB207" s="1" t="s">
        <v>797</v>
      </c>
      <c r="AE207" s="1" t="s">
        <v>172</v>
      </c>
      <c r="AF207" s="1"/>
    </row>
    <row r="208" spans="1:32" ht="17.100000000000001" customHeight="1">
      <c r="A208" s="1" t="s">
        <v>792</v>
      </c>
      <c r="C208" s="1" t="s">
        <v>793</v>
      </c>
      <c r="D208" s="1" t="s">
        <v>798</v>
      </c>
      <c r="E208" s="5" t="str">
        <f t="shared" si="28"/>
        <v>Kaufman</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5" t="str">
        <f t="shared" si="26"/>
        <v>2004</v>
      </c>
      <c r="H208" s="5" t="str">
        <f t="shared" si="29"/>
        <v>Kaufman__2004</v>
      </c>
      <c r="I208" s="5" t="str">
        <f t="shared" si="27"/>
        <v>UMI%3A3147447</v>
      </c>
      <c r="J208" s="5" t="str">
        <f t="shared" si="30"/>
        <v>Kaufman__2004_TableA10</v>
      </c>
      <c r="K208" s="5" t="str">
        <f t="shared" si="31"/>
        <v>UMI%3A3147447_TableA10</v>
      </c>
      <c r="L208" s="5" t="str">
        <f t="array" ref="L208">IFERROR(INDEX(AUTO_Public_TSV_FileList!$A$1:$A$1000,MATCH(TRUE(),EXACT(K208,IFERROR(_xlfn.TEXTBEFORE(AUTO_Public_TSV_FileList!$A$1:$A$1000,".tsv"),"")),0)),"notfound")</f>
        <v>UMI%3A3147447_TableA10.tsv</v>
      </c>
      <c r="M208" s="1" t="s">
        <v>799</v>
      </c>
      <c r="N208" s="1" t="s">
        <v>35</v>
      </c>
      <c r="P208" s="1" t="s">
        <v>36</v>
      </c>
      <c r="Q208" s="1"/>
      <c r="W208" s="1" t="s">
        <v>131</v>
      </c>
      <c r="X208" s="1" t="s">
        <v>796</v>
      </c>
      <c r="AB208" s="1" t="s">
        <v>797</v>
      </c>
      <c r="AE208" s="1" t="s">
        <v>172</v>
      </c>
      <c r="AF208" s="1"/>
    </row>
    <row r="209" spans="1:33" ht="17.100000000000001" customHeight="1">
      <c r="A209" s="1" t="s">
        <v>792</v>
      </c>
      <c r="C209" s="1" t="s">
        <v>793</v>
      </c>
      <c r="D209" s="1" t="s">
        <v>800</v>
      </c>
      <c r="E209" s="5" t="str">
        <f t="shared" si="28"/>
        <v>Kaufman</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5" t="str">
        <f>_xlfn.TEXTBEFORE(_xlfn.TEXTAFTER(A209, "("), ")")</f>
        <v>2004</v>
      </c>
      <c r="H209" s="5" t="str">
        <f t="shared" si="29"/>
        <v>Kaufman__2004</v>
      </c>
      <c r="I209" s="5" t="str">
        <f t="shared" si="27"/>
        <v>UMI%3A3147447</v>
      </c>
      <c r="J209" s="5" t="str">
        <f t="shared" si="30"/>
        <v>Kaufman__2004_TableA11</v>
      </c>
      <c r="K209" s="5" t="str">
        <f t="shared" si="31"/>
        <v>UMI%3A3147447_TableA11</v>
      </c>
      <c r="L209" s="5" t="str">
        <f t="array" ref="L209">IFERROR(INDEX(AUTO_Public_TSV_FileList!$A$1:$A$1000,MATCH(TRUE(),EXACT(K209,IFERROR(_xlfn.TEXTBEFORE(AUTO_Public_TSV_FileList!$A$1:$A$1000,".tsv"),"")),0)),"notfound")</f>
        <v>UMI%3A3147447_TableA11.tsv</v>
      </c>
      <c r="M209" s="1" t="s">
        <v>801</v>
      </c>
      <c r="N209" s="1" t="s">
        <v>35</v>
      </c>
      <c r="P209" s="1" t="s">
        <v>36</v>
      </c>
      <c r="Q209" s="1"/>
      <c r="W209" s="1" t="s">
        <v>131</v>
      </c>
      <c r="X209" s="1" t="s">
        <v>796</v>
      </c>
      <c r="AB209" s="1" t="s">
        <v>797</v>
      </c>
      <c r="AE209" s="1" t="s">
        <v>172</v>
      </c>
      <c r="AF209" s="1"/>
    </row>
    <row r="210" spans="1:33" ht="17.100000000000001" customHeight="1">
      <c r="A210" s="1" t="s">
        <v>792</v>
      </c>
      <c r="C210" s="1" t="s">
        <v>793</v>
      </c>
      <c r="D210" s="1" t="s">
        <v>802</v>
      </c>
      <c r="E210" s="5" t="str">
        <f t="shared" si="28"/>
        <v>Kaufman</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5" t="str">
        <f t="shared" ref="G210:G222" si="32">_xlfn.TEXTBEFORE(_xlfn.TEXTAFTER(A210, "("), ")")</f>
        <v>2004</v>
      </c>
      <c r="H210" s="5" t="str">
        <f t="shared" si="29"/>
        <v>Kaufman__2004</v>
      </c>
      <c r="I210" s="5" t="str">
        <f t="shared" si="27"/>
        <v>UMI%3A3147447</v>
      </c>
      <c r="J210" s="5" t="str">
        <f t="shared" si="30"/>
        <v>Kaufman__2004_TableA12</v>
      </c>
      <c r="K210" s="5" t="str">
        <f t="shared" si="31"/>
        <v>UMI%3A3147447_TableA12</v>
      </c>
      <c r="L210" s="5" t="str">
        <f t="array" ref="L210">IFERROR(INDEX(AUTO_Public_TSV_FileList!$A$1:$A$1000,MATCH(TRUE(),EXACT(K210,IFERROR(_xlfn.TEXTBEFORE(AUTO_Public_TSV_FileList!$A$1:$A$1000,".tsv"),"")),0)),"notfound")</f>
        <v>UMI%3A3147447_TableA12.tsv</v>
      </c>
      <c r="M210" s="1" t="s">
        <v>803</v>
      </c>
      <c r="N210" s="1" t="s">
        <v>35</v>
      </c>
      <c r="P210" s="1" t="s">
        <v>36</v>
      </c>
      <c r="Q210" s="1"/>
      <c r="W210" s="1" t="s">
        <v>131</v>
      </c>
      <c r="X210" s="1" t="s">
        <v>796</v>
      </c>
      <c r="AB210" s="1" t="s">
        <v>797</v>
      </c>
      <c r="AE210" s="1" t="s">
        <v>172</v>
      </c>
      <c r="AF210" s="1"/>
    </row>
    <row r="211" spans="1:33" ht="17.100000000000001" customHeight="1">
      <c r="A211" s="1" t="s">
        <v>792</v>
      </c>
      <c r="C211" s="1" t="s">
        <v>793</v>
      </c>
      <c r="D211" s="1" t="s">
        <v>804</v>
      </c>
      <c r="E211" s="5" t="str">
        <f t="shared" si="28"/>
        <v>Kaufman</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5" t="str">
        <f t="shared" si="32"/>
        <v>2004</v>
      </c>
      <c r="H211" s="5" t="str">
        <f t="shared" si="29"/>
        <v>Kaufman__2004</v>
      </c>
      <c r="I211" s="5" t="str">
        <f t="shared" si="27"/>
        <v>UMI%3A3147447</v>
      </c>
      <c r="J211" s="5" t="str">
        <f t="shared" si="30"/>
        <v>Kaufman__2004_TableA13</v>
      </c>
      <c r="K211" s="5" t="str">
        <f t="shared" si="31"/>
        <v>UMI%3A3147447_TableA13</v>
      </c>
      <c r="L211" s="5" t="str">
        <f t="array" ref="L211">IFERROR(INDEX(AUTO_Public_TSV_FileList!$A$1:$A$1000,MATCH(TRUE(),EXACT(K211,IFERROR(_xlfn.TEXTBEFORE(AUTO_Public_TSV_FileList!$A$1:$A$1000,".tsv"),"")),0)),"notfound")</f>
        <v>UMI%3A3147447_TableA13.tsv</v>
      </c>
      <c r="M211" s="1" t="s">
        <v>805</v>
      </c>
      <c r="N211" s="1" t="s">
        <v>35</v>
      </c>
      <c r="P211" s="1" t="s">
        <v>36</v>
      </c>
      <c r="Q211" s="1"/>
      <c r="W211" s="1" t="s">
        <v>131</v>
      </c>
      <c r="X211" s="1" t="s">
        <v>796</v>
      </c>
      <c r="AB211" s="1" t="s">
        <v>797</v>
      </c>
      <c r="AE211" s="1" t="s">
        <v>172</v>
      </c>
      <c r="AF211" s="1"/>
    </row>
    <row r="212" spans="1:33" ht="17.100000000000001" customHeight="1">
      <c r="A212" s="1" t="s">
        <v>792</v>
      </c>
      <c r="C212" s="1" t="s">
        <v>793</v>
      </c>
      <c r="D212" s="1" t="s">
        <v>806</v>
      </c>
      <c r="E212" s="5" t="str">
        <f t="shared" si="28"/>
        <v>Kaufman</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5" t="str">
        <f t="shared" si="32"/>
        <v>2004</v>
      </c>
      <c r="H212" s="5" t="str">
        <f t="shared" si="29"/>
        <v>Kaufman__2004</v>
      </c>
      <c r="I212" s="5" t="str">
        <f t="shared" ref="I212:I233" si="33">_xlfn.LET(
_xlpm.doi,IF(C212&lt;&gt;"",C212,_xlfn.TEXTAFTER(A212,"https://doi.org/")),
SUBSTITUTE(
SUBSTITUTE(
SUBSTITUTE(
SUBSTITUTE(
_xlpm.doi,
"/","%2F"),
":","%3A"),
"&lt;","%3C"),
"&gt;","%3E")
)</f>
        <v>UMI%3A3147447</v>
      </c>
      <c r="J212" s="5" t="str">
        <f t="shared" si="30"/>
        <v>Kaufman__2004_TableA14</v>
      </c>
      <c r="K212" s="5" t="str">
        <f t="shared" si="31"/>
        <v>UMI%3A3147447_TableA14</v>
      </c>
      <c r="L212" s="5" t="str">
        <f t="array" ref="L212">IFERROR(INDEX(AUTO_Public_TSV_FileList!$A$1:$A$1000,MATCH(TRUE(),EXACT(K212,IFERROR(_xlfn.TEXTBEFORE(AUTO_Public_TSV_FileList!$A$1:$A$1000,".tsv"),"")),0)),"notfound")</f>
        <v>UMI%3A3147447_TableA14.tsv</v>
      </c>
      <c r="M212" s="1" t="s">
        <v>807</v>
      </c>
      <c r="N212" s="1" t="s">
        <v>35</v>
      </c>
      <c r="P212" s="1" t="s">
        <v>36</v>
      </c>
      <c r="Q212" s="1"/>
      <c r="W212" s="1" t="s">
        <v>131</v>
      </c>
      <c r="X212" s="1" t="s">
        <v>796</v>
      </c>
      <c r="AB212" s="1" t="s">
        <v>797</v>
      </c>
      <c r="AE212" s="1" t="s">
        <v>172</v>
      </c>
      <c r="AF212" s="1"/>
    </row>
    <row r="213" spans="1:33" ht="17.100000000000001" customHeight="1">
      <c r="A213" s="1" t="s">
        <v>792</v>
      </c>
      <c r="C213" s="1" t="s">
        <v>793</v>
      </c>
      <c r="D213" s="1" t="s">
        <v>808</v>
      </c>
      <c r="E213" s="5" t="str">
        <f t="shared" si="28"/>
        <v>Kaufman</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5" t="str">
        <f t="shared" si="32"/>
        <v>2004</v>
      </c>
      <c r="H213" s="5" t="str">
        <f t="shared" si="29"/>
        <v>Kaufman__2004</v>
      </c>
      <c r="I213" s="5" t="str">
        <f t="shared" si="33"/>
        <v>UMI%3A3147447</v>
      </c>
      <c r="J213" s="5" t="str">
        <f t="shared" si="30"/>
        <v>Kaufman__2004_TableA15</v>
      </c>
      <c r="K213" s="5" t="str">
        <f t="shared" si="31"/>
        <v>UMI%3A3147447_TableA15</v>
      </c>
      <c r="L213" s="5" t="str">
        <f t="array" ref="L213">IFERROR(INDEX(AUTO_Public_TSV_FileList!$A$1:$A$1000,MATCH(TRUE(),EXACT(K213,IFERROR(_xlfn.TEXTBEFORE(AUTO_Public_TSV_FileList!$A$1:$A$1000,".tsv"),"")),0)),"notfound")</f>
        <v>UMI%3A3147447_TableA15.tsv</v>
      </c>
      <c r="M213" s="1" t="s">
        <v>809</v>
      </c>
      <c r="N213" s="1" t="s">
        <v>35</v>
      </c>
      <c r="P213" s="1" t="s">
        <v>36</v>
      </c>
      <c r="Q213" s="1"/>
      <c r="W213" s="1" t="s">
        <v>131</v>
      </c>
      <c r="X213" s="1" t="s">
        <v>796</v>
      </c>
      <c r="AB213" s="1" t="s">
        <v>797</v>
      </c>
      <c r="AE213" s="1" t="s">
        <v>172</v>
      </c>
      <c r="AF213" s="1"/>
    </row>
    <row r="214" spans="1:33" ht="17.100000000000001" customHeight="1">
      <c r="A214" s="1" t="s">
        <v>792</v>
      </c>
      <c r="C214" s="1" t="s">
        <v>793</v>
      </c>
      <c r="D214" s="1" t="s">
        <v>810</v>
      </c>
      <c r="E214" s="5" t="str">
        <f t="shared" si="28"/>
        <v>Kaufman</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5" t="str">
        <f t="shared" si="32"/>
        <v>2004</v>
      </c>
      <c r="H214" s="5" t="str">
        <f t="shared" si="29"/>
        <v>Kaufman__2004</v>
      </c>
      <c r="I214" s="5" t="str">
        <f t="shared" si="33"/>
        <v>UMI%3A3147447</v>
      </c>
      <c r="J214" s="5" t="str">
        <f t="shared" si="30"/>
        <v>Kaufman__2004_TableA2</v>
      </c>
      <c r="K214" s="5" t="str">
        <f t="shared" si="31"/>
        <v>UMI%3A3147447_TableA2</v>
      </c>
      <c r="L214" s="5" t="str">
        <f t="array" ref="L214">IFERROR(INDEX(AUTO_Public_TSV_FileList!$A$1:$A$1000,MATCH(TRUE(),EXACT(K214,IFERROR(_xlfn.TEXTBEFORE(AUTO_Public_TSV_FileList!$A$1:$A$1000,".tsv"),"")),0)),"notfound")</f>
        <v>UMI%3A3147447_TableA2.tsv</v>
      </c>
      <c r="M214" s="1" t="s">
        <v>811</v>
      </c>
      <c r="N214" s="1" t="s">
        <v>35</v>
      </c>
      <c r="P214" s="1" t="s">
        <v>36</v>
      </c>
      <c r="Q214" s="1"/>
      <c r="W214" s="1" t="s">
        <v>131</v>
      </c>
      <c r="X214" s="1" t="s">
        <v>796</v>
      </c>
      <c r="AB214" s="1" t="s">
        <v>797</v>
      </c>
      <c r="AE214" s="1" t="s">
        <v>172</v>
      </c>
      <c r="AF214" s="1"/>
    </row>
    <row r="215" spans="1:33" ht="17.100000000000001" customHeight="1">
      <c r="A215" s="1" t="s">
        <v>792</v>
      </c>
      <c r="C215" s="1" t="s">
        <v>793</v>
      </c>
      <c r="D215" s="1" t="s">
        <v>812</v>
      </c>
      <c r="E215" s="5" t="str">
        <f t="shared" si="28"/>
        <v>Kaufman</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5" t="str">
        <f t="shared" si="32"/>
        <v>2004</v>
      </c>
      <c r="H215" s="5" t="str">
        <f t="shared" si="29"/>
        <v>Kaufman__2004</v>
      </c>
      <c r="I215" s="5" t="str">
        <f t="shared" si="33"/>
        <v>UMI%3A3147447</v>
      </c>
      <c r="J215" s="5" t="str">
        <f t="shared" si="30"/>
        <v>Kaufman__2004_TableA3</v>
      </c>
      <c r="K215" s="5" t="str">
        <f t="shared" si="31"/>
        <v>UMI%3A3147447_TableA3</v>
      </c>
      <c r="L215" s="5" t="str">
        <f t="array" ref="L215">IFERROR(INDEX(AUTO_Public_TSV_FileList!$A$1:$A$1000,MATCH(TRUE(),EXACT(K215,IFERROR(_xlfn.TEXTBEFORE(AUTO_Public_TSV_FileList!$A$1:$A$1000,".tsv"),"")),0)),"notfound")</f>
        <v>UMI%3A3147447_TableA3.tsv</v>
      </c>
      <c r="M215" s="1" t="s">
        <v>813</v>
      </c>
      <c r="N215" s="1" t="s">
        <v>35</v>
      </c>
      <c r="P215" s="1" t="s">
        <v>36</v>
      </c>
      <c r="Q215" s="1"/>
      <c r="W215" s="1" t="s">
        <v>131</v>
      </c>
      <c r="X215" s="1" t="s">
        <v>796</v>
      </c>
      <c r="AB215" s="1" t="s">
        <v>797</v>
      </c>
      <c r="AE215" s="1" t="s">
        <v>172</v>
      </c>
      <c r="AF215" s="1"/>
    </row>
    <row r="216" spans="1:33" ht="17.100000000000001" customHeight="1">
      <c r="A216" s="1" t="s">
        <v>792</v>
      </c>
      <c r="C216" s="1" t="s">
        <v>793</v>
      </c>
      <c r="D216" s="1" t="s">
        <v>814</v>
      </c>
      <c r="E216" s="5" t="str">
        <f t="shared" si="28"/>
        <v>Kaufman</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5" t="str">
        <f t="shared" si="32"/>
        <v>2004</v>
      </c>
      <c r="H216" s="5" t="str">
        <f t="shared" si="29"/>
        <v>Kaufman__2004</v>
      </c>
      <c r="I216" s="5" t="str">
        <f t="shared" si="33"/>
        <v>UMI%3A3147447</v>
      </c>
      <c r="J216" s="5" t="str">
        <f t="shared" si="30"/>
        <v>Kaufman__2004_TableA4</v>
      </c>
      <c r="K216" s="5" t="str">
        <f t="shared" si="31"/>
        <v>UMI%3A3147447_TableA4</v>
      </c>
      <c r="L216" s="5" t="str">
        <f t="array" ref="L216">IFERROR(INDEX(AUTO_Public_TSV_FileList!$A$1:$A$1000,MATCH(TRUE(),EXACT(K216,IFERROR(_xlfn.TEXTBEFORE(AUTO_Public_TSV_FileList!$A$1:$A$1000,".tsv"),"")),0)),"notfound")</f>
        <v>UMI%3A3147447_TableA4.tsv</v>
      </c>
      <c r="M216" s="1" t="s">
        <v>815</v>
      </c>
      <c r="N216" s="1" t="s">
        <v>35</v>
      </c>
      <c r="P216" s="1" t="s">
        <v>36</v>
      </c>
      <c r="Q216" s="1"/>
      <c r="W216" s="1" t="s">
        <v>131</v>
      </c>
      <c r="X216" s="1" t="s">
        <v>796</v>
      </c>
      <c r="AB216" s="1" t="s">
        <v>797</v>
      </c>
      <c r="AE216" s="1" t="s">
        <v>172</v>
      </c>
      <c r="AF216" s="1"/>
    </row>
    <row r="217" spans="1:33" ht="17.100000000000001" customHeight="1">
      <c r="A217" s="1" t="s">
        <v>792</v>
      </c>
      <c r="C217" s="1" t="s">
        <v>793</v>
      </c>
      <c r="D217" s="1" t="s">
        <v>816</v>
      </c>
      <c r="E217" s="5" t="str">
        <f t="shared" si="28"/>
        <v>Kaufman</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5" t="str">
        <f t="shared" si="32"/>
        <v>2004</v>
      </c>
      <c r="H217" s="5" t="str">
        <f t="shared" si="29"/>
        <v>Kaufman__2004</v>
      </c>
      <c r="I217" s="5" t="str">
        <f t="shared" si="33"/>
        <v>UMI%3A3147447</v>
      </c>
      <c r="J217" s="5" t="str">
        <f t="shared" si="30"/>
        <v>Kaufman__2004_TableA5</v>
      </c>
      <c r="K217" s="5" t="str">
        <f t="shared" si="31"/>
        <v>UMI%3A3147447_TableA5</v>
      </c>
      <c r="L217" s="5" t="str">
        <f t="array" ref="L217">IFERROR(INDEX(AUTO_Public_TSV_FileList!$A$1:$A$1000,MATCH(TRUE(),EXACT(K217,IFERROR(_xlfn.TEXTBEFORE(AUTO_Public_TSV_FileList!$A$1:$A$1000,".tsv"),"")),0)),"notfound")</f>
        <v>UMI%3A3147447_TableA5.tsv</v>
      </c>
      <c r="M217" s="1" t="s">
        <v>817</v>
      </c>
      <c r="N217" s="1" t="s">
        <v>35</v>
      </c>
      <c r="P217" s="1" t="s">
        <v>36</v>
      </c>
      <c r="Q217" s="1"/>
      <c r="W217" s="1" t="s">
        <v>131</v>
      </c>
      <c r="X217" s="1" t="s">
        <v>796</v>
      </c>
      <c r="AB217" s="1" t="s">
        <v>797</v>
      </c>
      <c r="AE217" s="1" t="s">
        <v>172</v>
      </c>
      <c r="AF217" s="1"/>
    </row>
    <row r="218" spans="1:33" ht="17.100000000000001" customHeight="1">
      <c r="A218" s="1" t="s">
        <v>792</v>
      </c>
      <c r="C218" s="1" t="s">
        <v>793</v>
      </c>
      <c r="D218" s="1" t="s">
        <v>818</v>
      </c>
      <c r="E218" s="5" t="str">
        <f t="shared" si="28"/>
        <v>Kaufman</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5" t="str">
        <f t="shared" si="32"/>
        <v>2004</v>
      </c>
      <c r="H218" s="5" t="str">
        <f t="shared" si="29"/>
        <v>Kaufman__2004</v>
      </c>
      <c r="I218" s="5" t="str">
        <f t="shared" si="33"/>
        <v>UMI%3A3147447</v>
      </c>
      <c r="J218" s="5" t="str">
        <f t="shared" si="30"/>
        <v>Kaufman__2004_TableA6</v>
      </c>
      <c r="K218" s="5" t="str">
        <f t="shared" si="31"/>
        <v>UMI%3A3147447_TableA6</v>
      </c>
      <c r="L218" s="5" t="str">
        <f t="array" ref="L218">IFERROR(INDEX(AUTO_Public_TSV_FileList!$A$1:$A$1000,MATCH(TRUE(),EXACT(K218,IFERROR(_xlfn.TEXTBEFORE(AUTO_Public_TSV_FileList!$A$1:$A$1000,".tsv"),"")),0)),"notfound")</f>
        <v>UMI%3A3147447_TableA6.tsv</v>
      </c>
      <c r="M218" s="1" t="s">
        <v>819</v>
      </c>
      <c r="N218" s="1" t="s">
        <v>35</v>
      </c>
      <c r="P218" s="1" t="s">
        <v>36</v>
      </c>
      <c r="Q218" s="1"/>
      <c r="W218" s="1" t="s">
        <v>131</v>
      </c>
      <c r="X218" s="1" t="s">
        <v>796</v>
      </c>
      <c r="AB218" s="1" t="s">
        <v>797</v>
      </c>
      <c r="AE218" s="1" t="s">
        <v>172</v>
      </c>
      <c r="AF218" s="1"/>
    </row>
    <row r="219" spans="1:33" ht="17.100000000000001" customHeight="1">
      <c r="A219" s="1" t="s">
        <v>792</v>
      </c>
      <c r="C219" s="1" t="s">
        <v>793</v>
      </c>
      <c r="D219" s="1" t="s">
        <v>820</v>
      </c>
      <c r="E219" s="5" t="str">
        <f t="shared" si="28"/>
        <v>Kaufman</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5" t="str">
        <f t="shared" si="32"/>
        <v>2004</v>
      </c>
      <c r="H219" s="5" t="str">
        <f t="shared" si="29"/>
        <v>Kaufman__2004</v>
      </c>
      <c r="I219" s="5" t="str">
        <f t="shared" si="33"/>
        <v>UMI%3A3147447</v>
      </c>
      <c r="J219" s="5" t="str">
        <f t="shared" si="30"/>
        <v>Kaufman__2004_TableA7</v>
      </c>
      <c r="K219" s="5" t="str">
        <f t="shared" si="31"/>
        <v>UMI%3A3147447_TableA7</v>
      </c>
      <c r="L219" s="5" t="str">
        <f t="array" ref="L219">IFERROR(INDEX(AUTO_Public_TSV_FileList!$A$1:$A$1000,MATCH(TRUE(),EXACT(K219,IFERROR(_xlfn.TEXTBEFORE(AUTO_Public_TSV_FileList!$A$1:$A$1000,".tsv"),"")),0)),"notfound")</f>
        <v>UMI%3A3147447_TableA7.tsv</v>
      </c>
      <c r="M219" s="1" t="s">
        <v>821</v>
      </c>
      <c r="N219" s="1" t="s">
        <v>35</v>
      </c>
      <c r="P219" s="1" t="s">
        <v>36</v>
      </c>
      <c r="Q219" s="1"/>
      <c r="W219" s="1" t="s">
        <v>131</v>
      </c>
      <c r="X219" s="1" t="s">
        <v>796</v>
      </c>
      <c r="AB219" s="1" t="s">
        <v>797</v>
      </c>
      <c r="AE219" s="1" t="s">
        <v>172</v>
      </c>
      <c r="AF219" s="1"/>
    </row>
    <row r="220" spans="1:33" ht="17.100000000000001" customHeight="1">
      <c r="A220" s="1" t="s">
        <v>792</v>
      </c>
      <c r="C220" s="1" t="s">
        <v>793</v>
      </c>
      <c r="D220" s="1" t="s">
        <v>822</v>
      </c>
      <c r="E220" s="5" t="str">
        <f t="shared" si="28"/>
        <v>Kaufman</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5" t="str">
        <f t="shared" si="32"/>
        <v>2004</v>
      </c>
      <c r="H220" s="5" t="str">
        <f t="shared" si="29"/>
        <v>Kaufman__2004</v>
      </c>
      <c r="I220" s="5" t="str">
        <f t="shared" si="33"/>
        <v>UMI%3A3147447</v>
      </c>
      <c r="J220" s="5" t="str">
        <f t="shared" si="30"/>
        <v>Kaufman__2004_TableA8</v>
      </c>
      <c r="K220" s="5" t="str">
        <f t="shared" si="31"/>
        <v>UMI%3A3147447_TableA8</v>
      </c>
      <c r="L220" s="5" t="str">
        <f t="array" ref="L220">IFERROR(INDEX(AUTO_Public_TSV_FileList!$A$1:$A$1000,MATCH(TRUE(),EXACT(K220,IFERROR(_xlfn.TEXTBEFORE(AUTO_Public_TSV_FileList!$A$1:$A$1000,".tsv"),"")),0)),"notfound")</f>
        <v>UMI%3A3147447_TableA8.tsv</v>
      </c>
      <c r="M220" s="1" t="s">
        <v>823</v>
      </c>
      <c r="N220" s="1" t="s">
        <v>35</v>
      </c>
      <c r="P220" s="1" t="s">
        <v>36</v>
      </c>
      <c r="Q220" s="1"/>
      <c r="W220" s="1" t="s">
        <v>131</v>
      </c>
      <c r="X220" s="1" t="s">
        <v>796</v>
      </c>
      <c r="AB220" s="1" t="s">
        <v>797</v>
      </c>
      <c r="AE220" s="1" t="s">
        <v>172</v>
      </c>
      <c r="AF220" s="1"/>
    </row>
    <row r="221" spans="1:33" ht="17.100000000000001" customHeight="1">
      <c r="A221" s="1" t="s">
        <v>792</v>
      </c>
      <c r="C221" s="1" t="s">
        <v>793</v>
      </c>
      <c r="D221" s="1" t="s">
        <v>824</v>
      </c>
      <c r="E221" s="5" t="str">
        <f t="shared" si="28"/>
        <v>Kaufman</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5" t="str">
        <f t="shared" si="32"/>
        <v>2004</v>
      </c>
      <c r="H221" s="5" t="str">
        <f t="shared" si="29"/>
        <v>Kaufman__2004</v>
      </c>
      <c r="I221" s="5" t="str">
        <f t="shared" si="33"/>
        <v>UMI%3A3147447</v>
      </c>
      <c r="J221" s="5" t="str">
        <f t="shared" si="30"/>
        <v>Kaufman__2004_TableA9</v>
      </c>
      <c r="K221" s="5" t="str">
        <f t="shared" si="31"/>
        <v>UMI%3A3147447_TableA9</v>
      </c>
      <c r="L221" s="5" t="str">
        <f t="array" ref="L221">IFERROR(INDEX(AUTO_Public_TSV_FileList!$A$1:$A$1000,MATCH(TRUE(),EXACT(K221,IFERROR(_xlfn.TEXTBEFORE(AUTO_Public_TSV_FileList!$A$1:$A$1000,".tsv"),"")),0)),"notfound")</f>
        <v>UMI%3A3147447_TableA9.tsv</v>
      </c>
      <c r="M221" s="1" t="s">
        <v>825</v>
      </c>
      <c r="N221" s="1" t="s">
        <v>35</v>
      </c>
      <c r="P221" s="1" t="s">
        <v>36</v>
      </c>
      <c r="Q221" s="1"/>
      <c r="W221" s="1" t="s">
        <v>131</v>
      </c>
      <c r="X221" s="1" t="s">
        <v>796</v>
      </c>
      <c r="AB221" s="1" t="s">
        <v>797</v>
      </c>
      <c r="AE221" s="1" t="s">
        <v>172</v>
      </c>
      <c r="AF221" s="1"/>
    </row>
    <row r="222" spans="1:33" ht="17.100000000000001" customHeight="1">
      <c r="A222" s="1" t="s">
        <v>826</v>
      </c>
      <c r="D222" s="1" t="s">
        <v>81</v>
      </c>
      <c r="E222" s="5" t="str">
        <f t="shared" si="28"/>
        <v>Kazu</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5" t="str">
        <f t="shared" si="32"/>
        <v>2014</v>
      </c>
      <c r="H222" s="5" t="str">
        <f t="shared" si="29"/>
        <v>Kazu_etal_2014</v>
      </c>
      <c r="I222" s="5" t="str">
        <f t="shared" si="33"/>
        <v>10.3389%2Ffnana.2014.00128</v>
      </c>
      <c r="J222" s="5" t="str">
        <f t="shared" si="30"/>
        <v>Kazu_etal_2014_Table1</v>
      </c>
      <c r="K222" s="5" t="str">
        <f t="shared" si="31"/>
        <v>10.3389%2Ffnana.2014.00128_Table1</v>
      </c>
      <c r="L222" s="5" t="str">
        <f t="array" ref="L222">IFERROR(INDEX(AUTO_Public_TSV_FileList!$A$1:$A$1000,MATCH(TRUE(),EXACT(K222,IFERROR(_xlfn.TEXTBEFORE(AUTO_Public_TSV_FileList!$A$1:$A$1000,".tsv"),"")),0)),"notfound")</f>
        <v>10.3389%2Ffnana.2014.00128_Table1.tsv</v>
      </c>
      <c r="N222" s="1" t="s">
        <v>35</v>
      </c>
      <c r="P222" s="1" t="s">
        <v>36</v>
      </c>
      <c r="Q222" s="1"/>
      <c r="U222" s="2" t="s">
        <v>827</v>
      </c>
      <c r="W222" s="1" t="s">
        <v>828</v>
      </c>
      <c r="X222" s="1" t="s">
        <v>829</v>
      </c>
      <c r="AA222" s="1" t="s">
        <v>63</v>
      </c>
      <c r="AB222" s="1" t="s">
        <v>64</v>
      </c>
      <c r="AC222" s="1" t="s">
        <v>65</v>
      </c>
      <c r="AE222" s="1" t="s">
        <v>66</v>
      </c>
      <c r="AF222" s="1"/>
      <c r="AG222" s="1" t="s">
        <v>830</v>
      </c>
    </row>
    <row r="223" spans="1:33" ht="17.100000000000001" customHeight="1">
      <c r="A223" s="1" t="s">
        <v>831</v>
      </c>
      <c r="D223" s="1" t="s">
        <v>58</v>
      </c>
      <c r="E223" s="5" t="str">
        <f t="shared" si="28"/>
        <v>Kazu</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5" t="str">
        <f t="shared" ref="G223:G286" si="34">_xlfn.TEXTBEFORE(_xlfn.TEXTAFTER(A223, "("), ")")</f>
        <v>2015</v>
      </c>
      <c r="H223" s="5" t="str">
        <f t="shared" si="29"/>
        <v>Kazu_etal_2015</v>
      </c>
      <c r="I223" s="5" t="str">
        <f t="shared" si="33"/>
        <v>10.3389%2Ffnana.2015.00039</v>
      </c>
      <c r="J223" s="5" t="str">
        <f t="shared" si="30"/>
        <v>Kazu_etal_2015_TABLE1</v>
      </c>
      <c r="K223" s="5" t="str">
        <f t="shared" si="31"/>
        <v>10.3389%2Ffnana.2015.00039_TABLE1</v>
      </c>
      <c r="L223" s="5" t="str">
        <f t="array" ref="L223">IFERROR(INDEX(AUTO_Public_TSV_FileList!$A$1:$A$1000,MATCH(TRUE(),EXACT(K223,IFERROR(_xlfn.TEXTBEFORE(AUTO_Public_TSV_FileList!$A$1:$A$1000,".tsv"),"")),0)),"notfound")</f>
        <v>10.3389%2Ffnana.2015.00039_TABLE1.tsv</v>
      </c>
      <c r="M223" s="1" t="s">
        <v>832</v>
      </c>
      <c r="N223" s="2" t="s">
        <v>35</v>
      </c>
      <c r="P223" s="2" t="s">
        <v>36</v>
      </c>
      <c r="W223" s="2" t="s">
        <v>828</v>
      </c>
      <c r="X223" s="2" t="s">
        <v>833</v>
      </c>
      <c r="AA223" s="1" t="s">
        <v>63</v>
      </c>
      <c r="AB223" s="1" t="s">
        <v>64</v>
      </c>
      <c r="AC223" s="2" t="s">
        <v>65</v>
      </c>
      <c r="AE223" s="2" t="s">
        <v>66</v>
      </c>
      <c r="AG223" s="2" t="s">
        <v>834</v>
      </c>
    </row>
    <row r="224" spans="1:33" ht="17.100000000000001" customHeight="1">
      <c r="A224" s="1" t="s">
        <v>835</v>
      </c>
      <c r="D224" s="1" t="s">
        <v>81</v>
      </c>
      <c r="E224" s="5" t="str">
        <f t="shared" si="28"/>
        <v>Kirk</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24" s="5" t="str">
        <f t="shared" si="34"/>
        <v>2004</v>
      </c>
      <c r="H224" s="5" t="str">
        <f t="shared" si="29"/>
        <v>Kirk_Kay_2004</v>
      </c>
      <c r="I224" s="5" t="str">
        <f t="shared" si="33"/>
        <v>10.1007%2F978-1-4419-8873-7_20</v>
      </c>
      <c r="J224" s="5" t="str">
        <f t="shared" si="30"/>
        <v>Kirk_Kay_2004_Table1</v>
      </c>
      <c r="K224" s="5" t="str">
        <f t="shared" si="31"/>
        <v>10.1007%2F978-1-4419-8873-7_20_Table1</v>
      </c>
      <c r="L224" s="5" t="str">
        <f t="array" ref="L224">IFERROR(INDEX(AUTO_Public_TSV_FileList!$A$1:$A$1000,MATCH(TRUE(),EXACT(K224,IFERROR(_xlfn.TEXTBEFORE(AUTO_Public_TSV_FileList!$A$1:$A$1000,".tsv"),"")),0)),"notfound")</f>
        <v>10.1007%2F978-1-4419-8873-7_20_Table1.tsv</v>
      </c>
      <c r="M224" s="1" t="s">
        <v>836</v>
      </c>
    </row>
    <row r="225" spans="1:33" ht="17.100000000000001" customHeight="1">
      <c r="A225" s="1" t="s">
        <v>835</v>
      </c>
      <c r="D225" s="1" t="s">
        <v>70</v>
      </c>
      <c r="E225" s="5" t="str">
        <f t="shared" si="28"/>
        <v>Kirk</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25" s="5" t="str">
        <f t="shared" si="34"/>
        <v>2004</v>
      </c>
      <c r="H225" s="5" t="str">
        <f t="shared" si="29"/>
        <v>Kirk_Kay_2004</v>
      </c>
      <c r="I225" s="5" t="str">
        <f t="shared" si="33"/>
        <v>10.1007%2F978-1-4419-8873-7_20</v>
      </c>
      <c r="J225" s="5" t="str">
        <f t="shared" si="30"/>
        <v>Kirk_Kay_2004_Table2</v>
      </c>
      <c r="K225" s="5" t="str">
        <f t="shared" si="31"/>
        <v>10.1007%2F978-1-4419-8873-7_20_Table2</v>
      </c>
      <c r="L225" s="5" t="str">
        <f t="array" ref="L225">IFERROR(INDEX(AUTO_Public_TSV_FileList!$A$1:$A$1000,MATCH(TRUE(),EXACT(K225,IFERROR(_xlfn.TEXTBEFORE(AUTO_Public_TSV_FileList!$A$1:$A$1000,".tsv"),"")),0)),"notfound")</f>
        <v>10.1007%2F978-1-4419-8873-7_20_Table2.tsv</v>
      </c>
      <c r="M225" s="1" t="s">
        <v>837</v>
      </c>
    </row>
    <row r="226" spans="1:33" ht="17.100000000000001" customHeight="1">
      <c r="A226" s="1" t="s">
        <v>838</v>
      </c>
      <c r="D226" s="1" t="s">
        <v>839</v>
      </c>
      <c r="E226" s="5" t="str">
        <f t="shared" si="28"/>
        <v>Koay</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5" t="str">
        <f t="shared" si="34"/>
        <v>1998</v>
      </c>
      <c r="H226" s="5" t="str">
        <f t="shared" si="29"/>
        <v>Koay_etal_1998</v>
      </c>
      <c r="I226" s="5" t="str">
        <f t="shared" si="33"/>
        <v>10.1037%2F0735-7036.112.4.371</v>
      </c>
      <c r="J226" s="5" t="str">
        <f t="shared" si="30"/>
        <v>Koay_etal_1998_Figure6</v>
      </c>
      <c r="K226" s="5" t="str">
        <f t="shared" si="31"/>
        <v>10.1037%2F0735-7036.112.4.371_Figure6</v>
      </c>
      <c r="L226" s="5" t="str">
        <f t="array" ref="L226">IFERROR(INDEX(AUTO_Public_TSV_FileList!$A$1:$A$1000,MATCH(TRUE(),EXACT(K226,IFERROR(_xlfn.TEXTBEFORE(AUTO_Public_TSV_FileList!$A$1:$A$1000,".tsv"),"")),0)),"notfound")</f>
        <v>10.1037%2F0735-7036.112.4.371_Figure6.tsv</v>
      </c>
      <c r="M226" s="1"/>
    </row>
    <row r="227" spans="1:33" ht="17.100000000000001" customHeight="1">
      <c r="A227" s="1" t="s">
        <v>840</v>
      </c>
      <c r="C227" s="1"/>
      <c r="D227" s="1" t="s">
        <v>841</v>
      </c>
      <c r="E227" s="5" t="str">
        <f t="shared" si="28"/>
        <v>Kochiyama</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7" s="5" t="str">
        <f t="shared" si="34"/>
        <v>2018</v>
      </c>
      <c r="H227" s="5" t="str">
        <f t="shared" si="29"/>
        <v>Kochiyama_etal_2018</v>
      </c>
      <c r="I227" s="5" t="str">
        <f t="shared" si="33"/>
        <v>10.1038%2Fs41598-018-24331-0</v>
      </c>
      <c r="J227" s="5" t="str">
        <f t="shared" si="30"/>
        <v>Kochiyama_etal_2018_ExtendedDataFigure4</v>
      </c>
      <c r="K227" s="5" t="str">
        <f t="shared" si="31"/>
        <v>10.1038%2Fs41598-018-24331-0_ExtendedDataFigure4</v>
      </c>
      <c r="L227" s="5" t="str">
        <f t="array" ref="L227">IFERROR(INDEX(AUTO_Public_TSV_FileList!$A$1:$A$1000,MATCH(TRUE(),EXACT(K227,IFERROR(_xlfn.TEXTBEFORE(AUTO_Public_TSV_FileList!$A$1:$A$1000,".tsv"),"")),0)),"notfound")</f>
        <v>10.1038%2Fs41598-018-24331-0_ExtendedDataFigure4.tsv</v>
      </c>
      <c r="M227" s="1" t="s">
        <v>842</v>
      </c>
      <c r="N227" s="1" t="s">
        <v>537</v>
      </c>
      <c r="P227" s="2" t="s">
        <v>36</v>
      </c>
    </row>
    <row r="228" spans="1:33" ht="17.100000000000001" customHeight="1">
      <c r="A228" s="1" t="s">
        <v>840</v>
      </c>
      <c r="C228" s="1"/>
      <c r="D228" s="1" t="s">
        <v>843</v>
      </c>
      <c r="E228" s="5" t="str">
        <f t="shared" si="28"/>
        <v>Kochiyama</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8" s="5" t="str">
        <f t="shared" si="34"/>
        <v>2018</v>
      </c>
      <c r="H228" s="5" t="str">
        <f t="shared" si="29"/>
        <v>Kochiyama_etal_2018</v>
      </c>
      <c r="I228" s="5" t="str">
        <f t="shared" si="33"/>
        <v>10.1038%2Fs41598-018-24331-0</v>
      </c>
      <c r="J228" s="5" t="str">
        <f t="shared" si="30"/>
        <v>Kochiyama_etal_2018_ExtendedDataTable1</v>
      </c>
      <c r="K228" s="5" t="str">
        <f t="shared" si="31"/>
        <v>10.1038%2Fs41598-018-24331-0_ExtendedDataTable1</v>
      </c>
      <c r="L228" s="5" t="str">
        <f t="array" ref="L228">IFERROR(INDEX(AUTO_Public_TSV_FileList!$A$1:$A$1000,MATCH(TRUE(),EXACT(K228,IFERROR(_xlfn.TEXTBEFORE(AUTO_Public_TSV_FileList!$A$1:$A$1000,".tsv"),"")),0)),"notfound")</f>
        <v>10.1038%2Fs41598-018-24331-0_ExtendedDataTable1.tsv</v>
      </c>
      <c r="M228" s="1" t="s">
        <v>844</v>
      </c>
      <c r="N228" s="1" t="s">
        <v>35</v>
      </c>
      <c r="P228" s="2" t="s">
        <v>36</v>
      </c>
    </row>
    <row r="229" spans="1:33" ht="17.100000000000001" customHeight="1">
      <c r="A229" s="1" t="s">
        <v>840</v>
      </c>
      <c r="C229" s="1"/>
      <c r="D229" s="1" t="s">
        <v>845</v>
      </c>
      <c r="E229" s="5" t="str">
        <f t="shared" si="28"/>
        <v>Kochiyama</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9" s="5" t="str">
        <f t="shared" si="34"/>
        <v>2018</v>
      </c>
      <c r="H229" s="5" t="str">
        <f t="shared" si="29"/>
        <v>Kochiyama_etal_2018</v>
      </c>
      <c r="I229" s="5" t="str">
        <f t="shared" si="33"/>
        <v>10.1038%2Fs41598-018-24331-0</v>
      </c>
      <c r="J229" s="5" t="str">
        <f t="shared" si="30"/>
        <v>Kochiyama_etal_2018_ExtendedDataTable3</v>
      </c>
      <c r="K229" s="5" t="str">
        <f t="shared" si="31"/>
        <v>10.1038%2Fs41598-018-24331-0_ExtendedDataTable3</v>
      </c>
      <c r="L229" s="5" t="str">
        <f t="array" ref="L229">IFERROR(INDEX(AUTO_Public_TSV_FileList!$A$1:$A$1000,MATCH(TRUE(),EXACT(K229,IFERROR(_xlfn.TEXTBEFORE(AUTO_Public_TSV_FileList!$A$1:$A$1000,".tsv"),"")),0)),"notfound")</f>
        <v>10.1038%2Fs41598-018-24331-0_ExtendedDataTable3.tsv</v>
      </c>
      <c r="M229" s="1" t="s">
        <v>846</v>
      </c>
      <c r="N229" s="1" t="s">
        <v>35</v>
      </c>
      <c r="P229" s="2" t="s">
        <v>36</v>
      </c>
    </row>
    <row r="230" spans="1:33" ht="17.100000000000001" customHeight="1">
      <c r="A230" s="1" t="s">
        <v>840</v>
      </c>
      <c r="C230" s="1"/>
      <c r="D230" s="1" t="s">
        <v>847</v>
      </c>
      <c r="E230" s="5" t="str">
        <f t="shared" si="28"/>
        <v>Kochiyama</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0" s="5" t="str">
        <f t="shared" si="34"/>
        <v>2018</v>
      </c>
      <c r="H230" s="5" t="str">
        <f t="shared" si="29"/>
        <v>Kochiyama_etal_2018</v>
      </c>
      <c r="I230" s="5" t="str">
        <f t="shared" si="33"/>
        <v>10.1038%2Fs41598-018-24331-0</v>
      </c>
      <c r="J230" s="5" t="str">
        <f t="shared" si="30"/>
        <v>Kochiyama_etal_2018_Figure3legend</v>
      </c>
      <c r="K230" s="5" t="str">
        <f t="shared" si="31"/>
        <v>10.1038%2Fs41598-018-24331-0_Figure3legend</v>
      </c>
      <c r="L230" s="5" t="str">
        <f t="array" ref="L230">IFERROR(INDEX(AUTO_Public_TSV_FileList!$A$1:$A$1000,MATCH(TRUE(),EXACT(K230,IFERROR(_xlfn.TEXTBEFORE(AUTO_Public_TSV_FileList!$A$1:$A$1000,".tsv"),"")),0)),"notfound")</f>
        <v>10.1038%2Fs41598-018-24331-0_Figure3legend.tsv</v>
      </c>
      <c r="M230" s="1" t="s">
        <v>848</v>
      </c>
      <c r="N230" s="1" t="s">
        <v>849</v>
      </c>
      <c r="P230" s="2" t="s">
        <v>36</v>
      </c>
    </row>
    <row r="231" spans="1:33" ht="17.100000000000001" customHeight="1">
      <c r="A231" s="1" t="s">
        <v>840</v>
      </c>
      <c r="C231" s="1"/>
      <c r="D231" s="1" t="s">
        <v>850</v>
      </c>
      <c r="E231" s="5" t="str">
        <f t="shared" si="28"/>
        <v>Kochiyama</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1" s="5" t="str">
        <f t="shared" si="34"/>
        <v>2018</v>
      </c>
      <c r="H231" s="5" t="str">
        <f t="shared" si="29"/>
        <v>Kochiyama_etal_2018</v>
      </c>
      <c r="I231" s="5" t="str">
        <f t="shared" si="33"/>
        <v>10.1038%2Fs41598-018-24331-0</v>
      </c>
      <c r="J231" s="5" t="str">
        <f t="shared" si="30"/>
        <v>Kochiyama_etal_2018_Figure3A</v>
      </c>
      <c r="K231" s="5" t="str">
        <f t="shared" si="31"/>
        <v>10.1038%2Fs41598-018-24331-0_Figure3A</v>
      </c>
      <c r="L231" s="5" t="str">
        <f t="array" ref="L231">IFERROR(INDEX(AUTO_Public_TSV_FileList!$A$1:$A$1000,MATCH(TRUE(),EXACT(K231,IFERROR(_xlfn.TEXTBEFORE(AUTO_Public_TSV_FileList!$A$1:$A$1000,".tsv"),"")),0)),"notfound")</f>
        <v>10.1038%2Fs41598-018-24331-0_Figure3A.tsv</v>
      </c>
      <c r="M231" s="1" t="s">
        <v>848</v>
      </c>
      <c r="N231" s="1" t="s">
        <v>537</v>
      </c>
      <c r="P231" s="2" t="s">
        <v>36</v>
      </c>
    </row>
    <row r="232" spans="1:33" ht="17.100000000000001" customHeight="1">
      <c r="A232" s="1" t="s">
        <v>840</v>
      </c>
      <c r="C232" s="1"/>
      <c r="D232" s="1" t="s">
        <v>851</v>
      </c>
      <c r="E232" s="5" t="str">
        <f t="shared" si="28"/>
        <v>Kochiyama</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2" s="5" t="str">
        <f t="shared" si="34"/>
        <v>2018</v>
      </c>
      <c r="H232" s="5" t="str">
        <f t="shared" si="29"/>
        <v>Kochiyama_etal_2018</v>
      </c>
      <c r="I232" s="5" t="str">
        <f t="shared" si="33"/>
        <v>10.1038%2Fs41598-018-24331-0</v>
      </c>
      <c r="J232" s="5" t="str">
        <f t="shared" si="30"/>
        <v>Kochiyama_etal_2018_Figure3B</v>
      </c>
      <c r="K232" s="5" t="str">
        <f t="shared" si="31"/>
        <v>10.1038%2Fs41598-018-24331-0_Figure3B</v>
      </c>
      <c r="L232" s="5" t="str">
        <f t="array" ref="L232">IFERROR(INDEX(AUTO_Public_TSV_FileList!$A$1:$A$1000,MATCH(TRUE(),EXACT(K232,IFERROR(_xlfn.TEXTBEFORE(AUTO_Public_TSV_FileList!$A$1:$A$1000,".tsv"),"")),0)),"notfound")</f>
        <v>10.1038%2Fs41598-018-24331-0_Figure3B.tsv</v>
      </c>
      <c r="M232" s="1" t="s">
        <v>848</v>
      </c>
      <c r="N232" s="1" t="s">
        <v>537</v>
      </c>
      <c r="P232" s="2" t="s">
        <v>36</v>
      </c>
    </row>
    <row r="233" spans="1:33" ht="17.100000000000001" customHeight="1">
      <c r="A233" s="1" t="s">
        <v>840</v>
      </c>
      <c r="C233" s="1"/>
      <c r="D233" s="1" t="s">
        <v>852</v>
      </c>
      <c r="E233" s="5" t="str">
        <f t="shared" si="28"/>
        <v>Kochiyama</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3" s="5" t="str">
        <f t="shared" si="34"/>
        <v>2018</v>
      </c>
      <c r="H233" s="5" t="str">
        <f t="shared" si="29"/>
        <v>Kochiyama_etal_2018</v>
      </c>
      <c r="I233" s="5" t="str">
        <f t="shared" si="33"/>
        <v>10.1038%2Fs41598-018-24331-0</v>
      </c>
      <c r="J233" s="5" t="str">
        <f t="shared" si="30"/>
        <v>Kochiyama_etal_2018_FossilSpecimensText</v>
      </c>
      <c r="K233" s="5" t="str">
        <f t="shared" si="31"/>
        <v>10.1038%2Fs41598-018-24331-0_FossilSpecimensText</v>
      </c>
      <c r="L233" s="5" t="str">
        <f t="array" ref="L233">IFERROR(INDEX(AUTO_Public_TSV_FileList!$A$1:$A$1000,MATCH(TRUE(),EXACT(K233,IFERROR(_xlfn.TEXTBEFORE(AUTO_Public_TSV_FileList!$A$1:$A$1000,".tsv"),"")),0)),"notfound")</f>
        <v>10.1038%2Fs41598-018-24331-0_FossilSpecimensText.tsv</v>
      </c>
      <c r="M233" s="1" t="s">
        <v>853</v>
      </c>
      <c r="N233" s="1" t="s">
        <v>35</v>
      </c>
      <c r="P233" s="2" t="s">
        <v>36</v>
      </c>
    </row>
    <row r="234" spans="1:33" ht="17.100000000000001" customHeight="1">
      <c r="A234" s="2" t="s">
        <v>854</v>
      </c>
      <c r="D234" s="2" t="s">
        <v>70</v>
      </c>
      <c r="E234" s="6" t="str">
        <f t="shared" si="28"/>
        <v>Krompecher</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34" s="5" t="str">
        <f t="shared" si="34"/>
        <v>1966</v>
      </c>
      <c r="H234" s="6" t="str">
        <f t="shared" si="29"/>
        <v>Krompecher_Lipak_1966</v>
      </c>
      <c r="I234" s="6" t="str">
        <f>_xlfn.LET(_xlpm.doi,IF(C234&lt;&gt;"",C234,_xlfn.TEXTAFTER(A234,"https://doi.org/")),SUBSTITUTE(SUBSTITUTE(SUBSTITUTE(SUBSTITUTE(_xlpm.doi,"/","%2F"),":","%3A"),"&lt;","%3C"),"&gt;","%3E"))</f>
        <v>10.1002%2Fcne.901270108</v>
      </c>
      <c r="J234" s="6" t="str">
        <f t="shared" si="30"/>
        <v>Krompecher_Lipak_1966_Table2</v>
      </c>
      <c r="K234" s="5" t="str">
        <f t="shared" si="31"/>
        <v>10.1002%2Fcne.901270108_Table2</v>
      </c>
      <c r="L234" s="5" t="str">
        <f t="array" ref="L234">IFERROR(INDEX(AUTO_Public_TSV_FileList!$A$1:$A$1000,MATCH(TRUE(),EXACT(K234,IFERROR(_xlfn.TEXTBEFORE(AUTO_Public_TSV_FileList!$A$1:$A$1000,".tsv"),"")),0)),"notfound")</f>
        <v>10.1002%2Fcne.901270108_Table2.tsv</v>
      </c>
      <c r="M234" s="2" t="s">
        <v>855</v>
      </c>
      <c r="N234" s="2" t="s">
        <v>35</v>
      </c>
      <c r="P234" s="2" t="s">
        <v>36</v>
      </c>
      <c r="W234" s="2" t="s">
        <v>856</v>
      </c>
      <c r="X234" s="2" t="s">
        <v>857</v>
      </c>
      <c r="Y234" s="2" t="s">
        <v>858</v>
      </c>
      <c r="Z234" s="2" t="s">
        <v>859</v>
      </c>
      <c r="AA234" s="2" t="s">
        <v>860</v>
      </c>
      <c r="AB234" s="2" t="s">
        <v>861</v>
      </c>
      <c r="AE234" s="2" t="s">
        <v>51</v>
      </c>
      <c r="AF234" s="2" t="s">
        <v>862</v>
      </c>
    </row>
    <row r="235" spans="1:33" ht="17.100000000000001" customHeight="1">
      <c r="A235" s="1" t="s">
        <v>863</v>
      </c>
      <c r="C235" s="1"/>
      <c r="D235" s="1" t="s">
        <v>81</v>
      </c>
      <c r="E235" s="5" t="str">
        <f t="shared" si="28"/>
        <v>Krubitzer</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35" s="5" t="str">
        <f t="shared" si="34"/>
        <v>1990</v>
      </c>
      <c r="H235" s="5" t="str">
        <f t="shared" si="29"/>
        <v>Krubitzer_Kaas_1990</v>
      </c>
      <c r="I235" s="5" t="str">
        <f>_xlfn.LET(
_xlpm.doi,IF(C235&lt;&gt;"",C235,_xlfn.TEXTAFTER(A235,"https://doi.org/")),
SUBSTITUTE(
SUBSTITUTE(
SUBSTITUTE(
SUBSTITUTE(
_xlpm.doi,
"/","%2F"),
":","%3A"),
"&lt;","%3C"),
"&gt;","%3E")
)</f>
        <v>10.1017%2Fs0952523800000213</v>
      </c>
      <c r="J235" s="5" t="str">
        <f t="shared" si="30"/>
        <v>Krubitzer_Kaas_1990_Table1</v>
      </c>
      <c r="K235" s="5" t="str">
        <f t="shared" si="31"/>
        <v>10.1017%2Fs0952523800000213_Table1</v>
      </c>
      <c r="L235" s="5" t="str">
        <f t="array" ref="L235">IFERROR(INDEX(AUTO_Public_TSV_FileList!$A$1:$A$1000,MATCH(TRUE(),EXACT(K235,IFERROR(_xlfn.TEXTBEFORE(AUTO_Public_TSV_FileList!$A$1:$A$1000,".tsv"),"")),0)),"notfound")</f>
        <v>10.1017%2Fs0952523800000213_Table1.tsv</v>
      </c>
      <c r="M235" s="1" t="s">
        <v>864</v>
      </c>
      <c r="P235" s="2" t="s">
        <v>36</v>
      </c>
    </row>
    <row r="236" spans="1:33" ht="17.100000000000001" customHeight="1">
      <c r="A236" s="3" t="s">
        <v>865</v>
      </c>
      <c r="B236" s="3"/>
      <c r="C236" s="3"/>
      <c r="D236" s="3" t="s">
        <v>866</v>
      </c>
      <c r="E236" s="6" t="str">
        <f t="shared" si="28"/>
        <v>Kruska</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5" t="str">
        <f t="shared" si="34"/>
        <v>2014</v>
      </c>
      <c r="H236" s="6" t="str">
        <f t="shared" si="29"/>
        <v>Kruska__2014</v>
      </c>
      <c r="I236" s="6" t="str">
        <f>_xlfn.LET(_xlpm.doi,IF(C236&lt;&gt;"",C236,_xlfn.TEXTAFTER(A236,"https://doi.org/")),SUBSTITUTE(SUBSTITUTE(SUBSTITUTE(SUBSTITUTE(_xlpm.doi,"/","%2F"),":","%3A"),"&lt;","%3C"),"&gt;","%3E"))</f>
        <v>10.1016%2Fj.mambio.2013.12.005</v>
      </c>
      <c r="J236" s="6" t="str">
        <f t="shared" si="30"/>
        <v>Kruska__2014_Tables2–3</v>
      </c>
      <c r="K236" s="6" t="str">
        <f t="shared" si="31"/>
        <v>10.1016%2Fj.mambio.2013.12.005_Tables2–3</v>
      </c>
      <c r="L236" s="6" t="str">
        <f>IFERROR(INDEX(AUTO_Public_TSV_FileList!$A$1:$A$1000,MATCH(TRUE(),EXACT(K236,IFERROR(_xlfn.TEXTBEFORE(AUTO_Public_TSV_FileList!$A$1:$A$1000,".tsv"),"")),0)),"notfound")</f>
        <v>notfound</v>
      </c>
      <c r="N236" s="1" t="s">
        <v>35</v>
      </c>
      <c r="P236" s="3"/>
      <c r="Q236" s="3"/>
      <c r="R236" s="3" t="s">
        <v>867</v>
      </c>
      <c r="S236" s="3" t="s">
        <v>478</v>
      </c>
      <c r="T236" s="3" t="s">
        <v>479</v>
      </c>
      <c r="U236" s="3"/>
      <c r="V236" s="3" t="s">
        <v>868</v>
      </c>
      <c r="W236" s="3" t="s">
        <v>869</v>
      </c>
      <c r="X236" s="3" t="s">
        <v>870</v>
      </c>
      <c r="Y236" s="3" t="s">
        <v>871</v>
      </c>
      <c r="Z236" s="3"/>
      <c r="AA236" s="3"/>
      <c r="AB236" s="3" t="s">
        <v>872</v>
      </c>
      <c r="AC236" s="3" t="s">
        <v>112</v>
      </c>
      <c r="AD236" s="3" t="s">
        <v>112</v>
      </c>
      <c r="AE236" s="3" t="s">
        <v>66</v>
      </c>
      <c r="AF236" s="3"/>
      <c r="AG236" s="3" t="s">
        <v>873</v>
      </c>
    </row>
    <row r="237" spans="1:33" ht="17.100000000000001" customHeight="1">
      <c r="A237" s="3" t="s">
        <v>874</v>
      </c>
      <c r="B237" s="3"/>
      <c r="C237" s="3"/>
      <c r="D237" s="3" t="s">
        <v>866</v>
      </c>
      <c r="E237" s="6" t="str">
        <f t="shared" si="28"/>
        <v>Kruska</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37" s="5" t="str">
        <f t="shared" si="34"/>
        <v>1974</v>
      </c>
      <c r="H237" s="6" t="str">
        <f t="shared" si="29"/>
        <v>Kruska_Rohrs_1974</v>
      </c>
      <c r="I237" s="6" t="str">
        <f>_xlfn.LET(_xlpm.doi,IF(C237&lt;&gt;"",C237,_xlfn.TEXTAFTER(A237,"https://doi.org/")),SUBSTITUTE(SUBSTITUTE(SUBSTITUTE(SUBSTITUTE(_xlpm.doi,"/","%2F"),":","%3A"),"&lt;","%3C"),"&gt;","%3E"))</f>
        <v>10.1007%2Fbf00518633</v>
      </c>
      <c r="J237" s="6" t="str">
        <f t="shared" si="30"/>
        <v>Kruska_Rohrs_1974_Tables2–3</v>
      </c>
      <c r="K237" s="6" t="str">
        <f t="shared" si="31"/>
        <v>10.1007%2Fbf00518633_Tables2–3</v>
      </c>
      <c r="L237" s="6" t="str">
        <f>IFERROR(INDEX(AUTO_Public_TSV_FileList!$A$1:$A$1000,MATCH(TRUE(),EXACT(K237,IFERROR(_xlfn.TEXTBEFORE(AUTO_Public_TSV_FileList!$A$1:$A$1000,".tsv"),"")),0)),"notfound")</f>
        <v>notfound</v>
      </c>
      <c r="N237" s="1" t="s">
        <v>35</v>
      </c>
      <c r="P237" s="3"/>
      <c r="Q237" s="3"/>
      <c r="R237" s="3"/>
      <c r="S237" s="3" t="s">
        <v>478</v>
      </c>
      <c r="T237" s="3" t="s">
        <v>479</v>
      </c>
      <c r="U237" s="3"/>
      <c r="V237" s="3" t="s">
        <v>480</v>
      </c>
      <c r="W237" s="3" t="s">
        <v>828</v>
      </c>
      <c r="X237" s="3" t="s">
        <v>875</v>
      </c>
      <c r="Y237" s="3"/>
      <c r="Z237" s="3"/>
      <c r="AA237" s="3" t="s">
        <v>876</v>
      </c>
      <c r="AB237" s="3" t="s">
        <v>872</v>
      </c>
      <c r="AD237" s="3"/>
      <c r="AE237" s="3" t="s">
        <v>66</v>
      </c>
      <c r="AF237" s="3"/>
      <c r="AG237" s="3" t="s">
        <v>877</v>
      </c>
    </row>
    <row r="238" spans="1:33" ht="17.100000000000001" customHeight="1">
      <c r="A238" s="1" t="s">
        <v>878</v>
      </c>
      <c r="D238" s="1" t="s">
        <v>81</v>
      </c>
      <c r="E238" s="5" t="str">
        <f t="shared" si="28"/>
        <v>Kverkova</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5" t="str">
        <f t="shared" si="34"/>
        <v>2018</v>
      </c>
      <c r="H238" s="5" t="str">
        <f t="shared" si="29"/>
        <v>Kverkova_etal_2018</v>
      </c>
      <c r="I238" s="5" t="str">
        <f>_xlfn.LET(
_xlpm.doi,IF(C238&lt;&gt;"",C238,_xlfn.TEXTAFTER(A238,"https://doi.org/")),
SUBSTITUTE(
SUBSTITUTE(
SUBSTITUTE(
SUBSTITUTE(
_xlpm.doi,
"/","%2F"),
":","%3A"),
"&lt;","%3C"),
"&gt;","%3E")
)</f>
        <v>10.1038%2Fs41598-018-26062-8</v>
      </c>
      <c r="J238" s="5" t="str">
        <f t="shared" si="30"/>
        <v>Kverkova_etal_2018_Table1</v>
      </c>
      <c r="K238" s="5" t="str">
        <f t="shared" si="31"/>
        <v>10.1038%2Fs41598-018-26062-8_Table1</v>
      </c>
      <c r="L238" s="5" t="str">
        <f t="array" ref="L238">IFERROR(INDEX(AUTO_Public_TSV_FileList!$A$1:$A$1000,MATCH(TRUE(),EXACT(K238,IFERROR(_xlfn.TEXTBEFORE(AUTO_Public_TSV_FileList!$A$1:$A$1000,".tsv"),"")),0)),"notfound")</f>
        <v>10.1038%2Fs41598-018-26062-8_Table1.tsv</v>
      </c>
      <c r="M238" s="1" t="s">
        <v>879</v>
      </c>
      <c r="N238" s="1" t="s">
        <v>35</v>
      </c>
      <c r="P238" s="1" t="s">
        <v>36</v>
      </c>
      <c r="Q238" s="1"/>
      <c r="W238" s="1" t="s">
        <v>880</v>
      </c>
      <c r="X238" s="1" t="s">
        <v>626</v>
      </c>
      <c r="AB238" s="1"/>
      <c r="AC238" s="1" t="s">
        <v>881</v>
      </c>
      <c r="AD238" s="1" t="s">
        <v>881</v>
      </c>
      <c r="AE238" s="1" t="s">
        <v>66</v>
      </c>
      <c r="AF238" s="1"/>
    </row>
    <row r="239" spans="1:33" ht="17.100000000000001" customHeight="1">
      <c r="A239" s="1" t="s">
        <v>878</v>
      </c>
      <c r="D239" s="1" t="s">
        <v>314</v>
      </c>
      <c r="E239" s="5" t="str">
        <f t="shared" si="28"/>
        <v>Kverkova</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5" t="str">
        <f t="shared" si="34"/>
        <v>2018</v>
      </c>
      <c r="H239" s="5" t="str">
        <f t="shared" si="29"/>
        <v>Kverkova_etal_2018</v>
      </c>
      <c r="I239" s="5" t="str">
        <f>_xlfn.LET(
_xlpm.doi,IF(C239&lt;&gt;"",C239,_xlfn.TEXTAFTER(A239,"https://doi.org/")),
SUBSTITUTE(
SUBSTITUTE(
SUBSTITUTE(
SUBSTITUTE(
_xlpm.doi,
"/","%2F"),
":","%3A"),
"&lt;","%3C"),
"&gt;","%3E")
)</f>
        <v>10.1038%2Fs41598-018-26062-8</v>
      </c>
      <c r="J239" s="5" t="str">
        <f t="shared" si="30"/>
        <v>Kverkova_etal_2018_TableS1</v>
      </c>
      <c r="K239" s="5" t="str">
        <f t="shared" si="31"/>
        <v>10.1038%2Fs41598-018-26062-8_TableS1</v>
      </c>
      <c r="L239" s="5" t="str">
        <f t="array" ref="L239">IFERROR(INDEX(AUTO_Public_TSV_FileList!$A$1:$A$1000,MATCH(TRUE(),EXACT(K239,IFERROR(_xlfn.TEXTBEFORE(AUTO_Public_TSV_FileList!$A$1:$A$1000,".tsv"),"")),0)),"notfound")</f>
        <v>10.1038%2Fs41598-018-26062-8_TableS1.tsv</v>
      </c>
      <c r="M239" s="1" t="s">
        <v>882</v>
      </c>
      <c r="N239" s="1" t="s">
        <v>35</v>
      </c>
      <c r="P239" s="1" t="s">
        <v>36</v>
      </c>
      <c r="Q239" s="1"/>
      <c r="R239" s="1" t="s">
        <v>883</v>
      </c>
      <c r="W239" s="1" t="s">
        <v>880</v>
      </c>
      <c r="X239" s="1" t="s">
        <v>602</v>
      </c>
      <c r="AB239" s="1" t="s">
        <v>603</v>
      </c>
      <c r="AC239" s="1" t="s">
        <v>881</v>
      </c>
      <c r="AD239" s="1" t="s">
        <v>881</v>
      </c>
      <c r="AE239" s="1" t="s">
        <v>66</v>
      </c>
      <c r="AF239" s="1"/>
    </row>
    <row r="240" spans="1:33" ht="17.100000000000001" customHeight="1">
      <c r="A240" s="1" t="s">
        <v>878</v>
      </c>
      <c r="D240" s="1" t="s">
        <v>775</v>
      </c>
      <c r="E240" s="5" t="str">
        <f t="shared" si="28"/>
        <v>Kverkova</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5" t="str">
        <f t="shared" si="34"/>
        <v>2018</v>
      </c>
      <c r="H240" s="5" t="str">
        <f t="shared" si="29"/>
        <v>Kverkova_etal_2018</v>
      </c>
      <c r="I240" s="5" t="str">
        <f>_xlfn.LET(
_xlpm.doi,IF(C240&lt;&gt;"",C240,_xlfn.TEXTAFTER(A240,"https://doi.org/")),
SUBSTITUTE(
SUBSTITUTE(
SUBSTITUTE(
SUBSTITUTE(
_xlpm.doi,
"/","%2F"),
":","%3A"),
"&lt;","%3C"),
"&gt;","%3E")
)</f>
        <v>10.1038%2Fs41598-018-26062-8</v>
      </c>
      <c r="J240" s="5" t="str">
        <f t="shared" si="30"/>
        <v>Kverkova_etal_2018_TableS5</v>
      </c>
      <c r="K240" s="5" t="str">
        <f t="shared" si="31"/>
        <v>10.1038%2Fs41598-018-26062-8_TableS5</v>
      </c>
      <c r="L240" s="5" t="str">
        <f t="array" ref="L240">IFERROR(INDEX(AUTO_Public_TSV_FileList!$A$1:$A$1000,MATCH(TRUE(),EXACT(K240,IFERROR(_xlfn.TEXTBEFORE(AUTO_Public_TSV_FileList!$A$1:$A$1000,".tsv"),"")),0)),"notfound")</f>
        <v>10.1038%2Fs41598-018-26062-8_TableS5.tsv</v>
      </c>
      <c r="M240" s="1" t="s">
        <v>884</v>
      </c>
      <c r="N240" s="1" t="s">
        <v>35</v>
      </c>
      <c r="P240" s="1" t="s">
        <v>36</v>
      </c>
      <c r="Q240" s="1"/>
      <c r="R240" s="1" t="s">
        <v>883</v>
      </c>
      <c r="W240" s="1" t="s">
        <v>880</v>
      </c>
      <c r="X240" s="1" t="s">
        <v>605</v>
      </c>
      <c r="AA240" s="1" t="s">
        <v>63</v>
      </c>
      <c r="AB240" s="1" t="s">
        <v>64</v>
      </c>
      <c r="AC240" s="1" t="s">
        <v>881</v>
      </c>
      <c r="AD240" s="1" t="s">
        <v>881</v>
      </c>
      <c r="AE240" s="1" t="s">
        <v>66</v>
      </c>
      <c r="AF240" s="1"/>
    </row>
    <row r="241" spans="1:33" ht="17.100000000000001" customHeight="1">
      <c r="A241" s="2" t="s">
        <v>885</v>
      </c>
      <c r="C241" s="2" t="s">
        <v>886</v>
      </c>
      <c r="D241" s="2" t="s">
        <v>887</v>
      </c>
      <c r="E241" s="6" t="str">
        <f t="shared" si="28"/>
        <v>Latimer</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1" s="5" t="str">
        <f t="shared" si="34"/>
        <v>1942</v>
      </c>
      <c r="H241" s="6" t="str">
        <f t="shared" si="29"/>
        <v>Latimer__1942</v>
      </c>
      <c r="I241" s="6" t="str">
        <f>_xlfn.LET(_xlpm.doi,IF(C241&lt;&gt;"",C241,_xlfn.TEXTAFTER(A241,"https://doi.org/")),SUBSTITUTE(SUBSTITUTE(SUBSTITUTE(SUBSTITUTE(_xlpm.doi,"/","%2F"),":","%3A"),"&lt;","%3C"),"&gt;","%3E"))</f>
        <v>10.0001%2Fplaceholder</v>
      </c>
      <c r="J241" s="6" t="str">
        <f t="shared" si="30"/>
        <v>Latimer__1942_TABLEI</v>
      </c>
      <c r="K241" s="5" t="str">
        <f t="shared" si="31"/>
        <v>10.0001%2Fplaceholder_TABLEI</v>
      </c>
      <c r="L241" s="5" t="str">
        <f t="array" ref="L241">IFERROR(INDEX(AUTO_Public_TSV_FileList!$A$1:$A$1000,MATCH(TRUE(),EXACT(K241,IFERROR(_xlfn.TEXTBEFORE(AUTO_Public_TSV_FileList!$A$1:$A$1000,".tsv"),"")),0)),"notfound")</f>
        <v>10.0001%2Fplaceholder_TABLEI.tsv</v>
      </c>
      <c r="M241" s="2" t="s">
        <v>888</v>
      </c>
      <c r="N241" s="2" t="s">
        <v>35</v>
      </c>
      <c r="P241" s="2" t="s">
        <v>36</v>
      </c>
      <c r="W241" s="2" t="s">
        <v>889</v>
      </c>
      <c r="X241" s="2" t="s">
        <v>890</v>
      </c>
      <c r="Y241" s="2" t="s">
        <v>891</v>
      </c>
      <c r="Z241" s="2" t="s">
        <v>859</v>
      </c>
      <c r="AA241" s="2" t="s">
        <v>892</v>
      </c>
      <c r="AB241" s="2" t="s">
        <v>893</v>
      </c>
      <c r="AE241" s="2" t="s">
        <v>66</v>
      </c>
    </row>
    <row r="242" spans="1:33" ht="17.100000000000001" customHeight="1">
      <c r="A242" s="2" t="s">
        <v>894</v>
      </c>
      <c r="D242" s="2" t="s">
        <v>70</v>
      </c>
      <c r="E242" s="6" t="str">
        <f t="shared" si="28"/>
        <v>Latimer</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2" s="5" t="str">
        <f t="shared" si="34"/>
        <v>1956</v>
      </c>
      <c r="H242" s="6" t="str">
        <f t="shared" si="29"/>
        <v>Latimer__1956</v>
      </c>
      <c r="I242" s="6" t="str">
        <f>_xlfn.LET(_xlpm.doi,IF(C242&lt;&gt;"",C242,_xlfn.TEXTAFTER(A242,"https://doi.org/")),SUBSTITUTE(SUBSTITUTE(SUBSTITUTE(SUBSTITUTE(_xlpm.doi,"/","%2F"),":","%3A"),"&lt;","%3C"),"&gt;","%3E"))</f>
        <v>10.2307%2F3626308</v>
      </c>
      <c r="J242" s="6" t="str">
        <f t="shared" si="30"/>
        <v>Latimer__1956_Table2</v>
      </c>
      <c r="K242" s="5" t="str">
        <f t="shared" si="31"/>
        <v>10.2307%2F3626308_Table2</v>
      </c>
      <c r="L242" s="5" t="str">
        <f t="array" ref="L242">IFERROR(INDEX(AUTO_Public_TSV_FileList!$A$1:$A$1000,MATCH(TRUE(),EXACT(K242,IFERROR(_xlfn.TEXTBEFORE(AUTO_Public_TSV_FileList!$A$1:$A$1000,".tsv"),"")),0)),"notfound")</f>
        <v>10.2307%2F3626308_Table2.tsv</v>
      </c>
      <c r="M242" s="2" t="s">
        <v>895</v>
      </c>
    </row>
    <row r="243" spans="1:33" ht="17.100000000000001" customHeight="1">
      <c r="A243" s="1" t="s">
        <v>896</v>
      </c>
      <c r="D243" s="1" t="s">
        <v>897</v>
      </c>
      <c r="E243" s="5" t="str">
        <f t="shared" si="28"/>
        <v>Lewitus</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5" t="str">
        <f t="shared" si="34"/>
        <v>2013</v>
      </c>
      <c r="H243" s="5" t="str">
        <f t="shared" si="29"/>
        <v>Lewitus_etal_2013</v>
      </c>
      <c r="I243" s="5" t="str">
        <f t="shared" ref="I243:I262" si="35">_xlfn.LET(
_xlpm.doi,IF(C243&lt;&gt;"",C243,_xlfn.TEXTAFTER(A243,"https://doi.org/")),
SUBSTITUTE(
SUBSTITUTE(
SUBSTITUTE(
SUBSTITUTE(
_xlpm.doi,
"/","%2F"),
":","%3A"),
"&lt;","%3C"),
"&gt;","%3E")
)</f>
        <v>10.3389%2Ffnhum.2013.00424</v>
      </c>
      <c r="J243" s="5" t="str">
        <f t="shared" si="30"/>
        <v>Lewitus_etal_2013_TableS2partial</v>
      </c>
      <c r="K243" s="5" t="str">
        <f t="shared" si="31"/>
        <v>10.3389%2Ffnhum.2013.00424_TableS2partial</v>
      </c>
      <c r="L243" s="5" t="str">
        <f t="array" ref="L243">IFERROR(INDEX(AUTO_Public_TSV_FileList!$A$1:$A$1000,MATCH(TRUE(),EXACT(K243,IFERROR(_xlfn.TEXTBEFORE(AUTO_Public_TSV_FileList!$A$1:$A$1000,".tsv"),"")),0)),"notfound")</f>
        <v>10.3389%2Ffnhum.2013.00424_TableS2partial.tsv</v>
      </c>
      <c r="P243" s="1" t="s">
        <v>36</v>
      </c>
      <c r="W243" s="1" t="s">
        <v>131</v>
      </c>
      <c r="X243" s="1" t="s">
        <v>898</v>
      </c>
      <c r="AB243" s="1" t="s">
        <v>899</v>
      </c>
      <c r="AE243" s="1" t="s">
        <v>66</v>
      </c>
      <c r="AF243" s="1"/>
    </row>
    <row r="244" spans="1:33" ht="17.100000000000001" customHeight="1">
      <c r="A244" s="1" t="s">
        <v>900</v>
      </c>
      <c r="D244" s="1" t="s">
        <v>314</v>
      </c>
      <c r="E244" s="5" t="str">
        <f t="shared" si="28"/>
        <v>Lewitus</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5" t="str">
        <f t="shared" si="34"/>
        <v>2014</v>
      </c>
      <c r="H244" s="5" t="str">
        <f t="shared" si="29"/>
        <v>Lewitus_etal_2014</v>
      </c>
      <c r="I244" s="5" t="str">
        <f t="shared" si="35"/>
        <v>10.1371%2Fjournal.pbio.1002000</v>
      </c>
      <c r="J244" s="5" t="str">
        <f t="shared" si="30"/>
        <v>Lewitus_etal_2014_TableS1</v>
      </c>
      <c r="K244" s="5" t="str">
        <f t="shared" si="31"/>
        <v>10.1371%2Fjournal.pbio.1002000_TableS1</v>
      </c>
      <c r="L244" s="5" t="str">
        <f t="array" ref="L244">IFERROR(INDEX(AUTO_Public_TSV_FileList!$A$1:$A$1000,MATCH(TRUE(),EXACT(K244,IFERROR(_xlfn.TEXTBEFORE(AUTO_Public_TSV_FileList!$A$1:$A$1000,".tsv"),"")),0)),"notfound")</f>
        <v>10.1371%2Fjournal.pbio.1002000_TableS1.tsv</v>
      </c>
      <c r="M244" s="1" t="s">
        <v>901</v>
      </c>
      <c r="P244" s="1" t="s">
        <v>36</v>
      </c>
      <c r="W244" s="1" t="s">
        <v>131</v>
      </c>
      <c r="X244" s="1" t="s">
        <v>902</v>
      </c>
      <c r="AB244" s="1" t="s">
        <v>903</v>
      </c>
      <c r="AE244" s="1" t="s">
        <v>172</v>
      </c>
      <c r="AF244" s="1"/>
    </row>
    <row r="245" spans="1:33" ht="17.100000000000001" customHeight="1">
      <c r="A245" s="1" t="s">
        <v>900</v>
      </c>
      <c r="D245" s="1" t="s">
        <v>781</v>
      </c>
      <c r="E245" s="5" t="str">
        <f t="shared" si="28"/>
        <v>Lewitus</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5" t="str">
        <f t="shared" si="34"/>
        <v>2014</v>
      </c>
      <c r="H245" s="5" t="str">
        <f t="shared" si="29"/>
        <v>Lewitus_etal_2014</v>
      </c>
      <c r="I245" s="5" t="str">
        <f t="shared" si="35"/>
        <v>10.1371%2Fjournal.pbio.1002000</v>
      </c>
      <c r="J245" s="5" t="str">
        <f t="shared" si="30"/>
        <v>Lewitus_etal_2014_TableS8</v>
      </c>
      <c r="K245" s="5" t="str">
        <f t="shared" si="31"/>
        <v>10.1371%2Fjournal.pbio.1002000_TableS8</v>
      </c>
      <c r="L245" s="5" t="str">
        <f t="array" ref="L245">IFERROR(INDEX(AUTO_Public_TSV_FileList!$A$1:$A$1000,MATCH(TRUE(),EXACT(K245,IFERROR(_xlfn.TEXTBEFORE(AUTO_Public_TSV_FileList!$A$1:$A$1000,".tsv"),"")),0)),"notfound")</f>
        <v>10.1371%2Fjournal.pbio.1002000_TableS8.tsv</v>
      </c>
      <c r="M245" s="1" t="s">
        <v>904</v>
      </c>
      <c r="P245" s="1" t="s">
        <v>36</v>
      </c>
      <c r="W245" s="1" t="s">
        <v>131</v>
      </c>
      <c r="X245" s="1" t="s">
        <v>902</v>
      </c>
      <c r="AB245" s="1" t="s">
        <v>903</v>
      </c>
      <c r="AE245" s="1" t="s">
        <v>172</v>
      </c>
      <c r="AF245" s="1"/>
    </row>
    <row r="246" spans="1:33" ht="17.100000000000001" customHeight="1">
      <c r="A246" s="1" t="s">
        <v>905</v>
      </c>
      <c r="D246" s="1" t="s">
        <v>314</v>
      </c>
      <c r="E246" s="5" t="str">
        <f t="shared" si="28"/>
        <v>Liu</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5" t="str">
        <f t="shared" si="34"/>
        <v>2016</v>
      </c>
      <c r="H246" s="5" t="str">
        <f t="shared" si="29"/>
        <v>Liu_etal_2016</v>
      </c>
      <c r="I246" s="5" t="str">
        <f t="shared" si="35"/>
        <v>10.1098%2Frspb.2016.1923</v>
      </c>
      <c r="J246" s="5" t="str">
        <f t="shared" si="30"/>
        <v>Liu_etal_2016_TableS1</v>
      </c>
      <c r="K246" s="5" t="str">
        <f t="shared" si="31"/>
        <v>10.1098%2Frspb.2016.1923_TableS1</v>
      </c>
      <c r="L246" s="5" t="str">
        <f t="array" ref="L246">IFERROR(INDEX(AUTO_Public_TSV_FileList!$A$1:$A$1000,MATCH(TRUE(),EXACT(K246,IFERROR(_xlfn.TEXTBEFORE(AUTO_Public_TSV_FileList!$A$1:$A$1000,".tsv"),"")),0)),"notfound")</f>
        <v>10.1098%2Frspb.2016.1923_TableS1.tsv</v>
      </c>
      <c r="N246" s="1" t="s">
        <v>35</v>
      </c>
      <c r="P246" s="1" t="s">
        <v>36</v>
      </c>
      <c r="Q246" s="1"/>
      <c r="W246" s="1" t="s">
        <v>93</v>
      </c>
      <c r="X246" s="1" t="s">
        <v>906</v>
      </c>
      <c r="AB246" s="1" t="s">
        <v>907</v>
      </c>
      <c r="AC246" s="1" t="s">
        <v>908</v>
      </c>
      <c r="AE246" s="1" t="s">
        <v>172</v>
      </c>
      <c r="AF246" s="1"/>
      <c r="AG246" s="1" t="s">
        <v>909</v>
      </c>
    </row>
    <row r="247" spans="1:33" ht="17.100000000000001" customHeight="1">
      <c r="A247" s="1" t="s">
        <v>910</v>
      </c>
      <c r="D247" s="1" t="s">
        <v>81</v>
      </c>
      <c r="E247" s="5" t="str">
        <f t="shared" si="28"/>
        <v>Lyamin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5" t="str">
        <f t="shared" si="34"/>
        <v>2008</v>
      </c>
      <c r="H247" s="5" t="str">
        <f t="shared" si="29"/>
        <v>Lyamin_etal_2008</v>
      </c>
      <c r="I247" s="5" t="str">
        <f t="shared" si="35"/>
        <v>10.1016%2Fj.neubiorev.2008.05.023</v>
      </c>
      <c r="J247" s="5" t="str">
        <f t="shared" si="30"/>
        <v>Lyamin_etal_2008_Table1</v>
      </c>
      <c r="K247" s="5" t="str">
        <f t="shared" si="31"/>
        <v>10.1016%2Fj.neubiorev.2008.05.023_Table1</v>
      </c>
      <c r="L247" s="5" t="str">
        <f t="array" ref="L247">IFERROR(INDEX(AUTO_Public_TSV_FileList!$A$1:$A$1000,MATCH(TRUE(),EXACT(K247,IFERROR(_xlfn.TEXTBEFORE(AUTO_Public_TSV_FileList!$A$1:$A$1000,".tsv"),"")),0)),"notfound")</f>
        <v>10.1016%2Fj.neubiorev.2008.05.023_Table1.tsv</v>
      </c>
      <c r="P247" s="1" t="s">
        <v>36</v>
      </c>
    </row>
    <row r="248" spans="1:33" ht="17.100000000000001" customHeight="1">
      <c r="A248" s="1" t="s">
        <v>910</v>
      </c>
      <c r="D248" s="1" t="s">
        <v>70</v>
      </c>
      <c r="E248" s="5" t="str">
        <f t="shared" si="28"/>
        <v>Lyamin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5" t="str">
        <f t="shared" si="34"/>
        <v>2008</v>
      </c>
      <c r="H248" s="5" t="str">
        <f t="shared" si="29"/>
        <v>Lyamin_etal_2008</v>
      </c>
      <c r="I248" s="5" t="str">
        <f t="shared" si="35"/>
        <v>10.1016%2Fj.neubiorev.2008.05.023</v>
      </c>
      <c r="J248" s="5" t="str">
        <f t="shared" si="30"/>
        <v>Lyamin_etal_2008_Table2</v>
      </c>
      <c r="K248" s="5" t="str">
        <f t="shared" si="31"/>
        <v>10.1016%2Fj.neubiorev.2008.05.023_Table2</v>
      </c>
      <c r="L248" s="5" t="str">
        <f t="array" ref="L248">IFERROR(INDEX(AUTO_Public_TSV_FileList!$A$1:$A$1000,MATCH(TRUE(),EXACT(K248,IFERROR(_xlfn.TEXTBEFORE(AUTO_Public_TSV_FileList!$A$1:$A$1000,".tsv"),"")),0)),"notfound")</f>
        <v>10.1016%2Fj.neubiorev.2008.05.023_Table2.tsv</v>
      </c>
      <c r="P248" s="1" t="s">
        <v>36</v>
      </c>
    </row>
    <row r="249" spans="1:33" ht="17.100000000000001" customHeight="1">
      <c r="A249" s="1" t="s">
        <v>911</v>
      </c>
      <c r="D249" s="1" t="s">
        <v>81</v>
      </c>
      <c r="E249" s="5" t="str">
        <f t="shared" si="28"/>
        <v>MacLarnon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5" t="str">
        <f t="shared" si="34"/>
        <v>1996</v>
      </c>
      <c r="H249" s="5" t="str">
        <f t="shared" si="29"/>
        <v>MacLarnon__1996</v>
      </c>
      <c r="I249" s="5" t="str">
        <f t="shared" si="35"/>
        <v>10.1006%2Fjhev.1996.0005</v>
      </c>
      <c r="J249" s="5" t="str">
        <f t="shared" si="30"/>
        <v>MacLarnon__1996_Table1</v>
      </c>
      <c r="K249" s="5" t="str">
        <f t="shared" si="31"/>
        <v>10.1006%2Fjhev.1996.0005_Table1</v>
      </c>
      <c r="L249" s="5" t="str">
        <f t="array" ref="L249">IFERROR(INDEX(AUTO_Public_TSV_FileList!$A$1:$A$1000,MATCH(TRUE(),EXACT(K249,IFERROR(_xlfn.TEXTBEFORE(AUTO_Public_TSV_FileList!$A$1:$A$1000,".tsv"),"")),0)),"notfound")</f>
        <v>10.1006%2Fjhev.1996.0005_Table1.tsv</v>
      </c>
      <c r="M249" s="1" t="s">
        <v>912</v>
      </c>
      <c r="P249" s="1" t="s">
        <v>36</v>
      </c>
      <c r="W249" s="1" t="s">
        <v>93</v>
      </c>
      <c r="X249" s="1" t="s">
        <v>913</v>
      </c>
      <c r="AB249" s="1" t="s">
        <v>914</v>
      </c>
      <c r="AE249" s="1" t="s">
        <v>66</v>
      </c>
      <c r="AF249" s="1"/>
    </row>
    <row r="250" spans="1:33" ht="17.100000000000001" customHeight="1">
      <c r="A250" s="1" t="s">
        <v>915</v>
      </c>
      <c r="C250" s="1" t="s">
        <v>916</v>
      </c>
      <c r="D250" s="1" t="s">
        <v>917</v>
      </c>
      <c r="E250" s="5" t="str">
        <f t="shared" si="28"/>
        <v>MacLeod</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5" t="str">
        <f t="shared" si="34"/>
        <v>2000</v>
      </c>
      <c r="H250" s="5" t="str">
        <f t="shared" si="29"/>
        <v>MacLeod__2000</v>
      </c>
      <c r="I250" s="5" t="str">
        <f t="shared" si="35"/>
        <v>NQ%3A61662</v>
      </c>
      <c r="J250" s="5" t="str">
        <f t="shared" si="30"/>
        <v>MacLeod__2000_APPENDIXI</v>
      </c>
      <c r="K250" s="5" t="str">
        <f t="shared" si="31"/>
        <v>NQ%3A61662_APPENDIXI</v>
      </c>
      <c r="L250" s="5" t="str">
        <f t="array" ref="L250">IFERROR(INDEX(AUTO_Public_TSV_FileList!$A$1:$A$1000,MATCH(TRUE(),EXACT(K250,IFERROR(_xlfn.TEXTBEFORE(AUTO_Public_TSV_FileList!$A$1:$A$1000,".tsv"),"")),0)),"notfound")</f>
        <v>NQ%3A61662_APPENDIXI.tsv</v>
      </c>
      <c r="M250" s="1" t="s">
        <v>918</v>
      </c>
      <c r="P250" s="1" t="s">
        <v>36</v>
      </c>
    </row>
    <row r="251" spans="1:33" ht="17.100000000000001" customHeight="1">
      <c r="A251" s="1" t="s">
        <v>919</v>
      </c>
      <c r="D251" s="1" t="s">
        <v>81</v>
      </c>
      <c r="E251" s="5" t="str">
        <f t="shared" si="28"/>
        <v>MacLeod</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5" t="str">
        <f t="shared" si="34"/>
        <v>2003</v>
      </c>
      <c r="H251" s="5" t="str">
        <f t="shared" si="29"/>
        <v>MacLeod_etal_2003</v>
      </c>
      <c r="I251" s="5" t="str">
        <f t="shared" si="35"/>
        <v>10.1016%2Fs0047-2484(03)00028-9</v>
      </c>
      <c r="J251" s="5" t="str">
        <f t="shared" si="30"/>
        <v>MacLeod_etal_2003_Table1</v>
      </c>
      <c r="K251" s="5" t="str">
        <f t="shared" si="31"/>
        <v>10.1016%2Fs0047-2484(03)00028-9_Table1</v>
      </c>
      <c r="L251" s="5" t="str">
        <f t="array" ref="L251">IFERROR(INDEX(AUTO_Public_TSV_FileList!$A$1:$A$1000,MATCH(TRUE(),EXACT(K251,IFERROR(_xlfn.TEXTBEFORE(AUTO_Public_TSV_FileList!$A$1:$A$1000,".tsv"),"")),0)),"notfound")</f>
        <v>10.1016%2Fs0047-2484(03)00028-9_Table1.tsv</v>
      </c>
      <c r="M251" s="1" t="s">
        <v>920</v>
      </c>
      <c r="P251" s="1" t="s">
        <v>36</v>
      </c>
      <c r="W251" s="1" t="s">
        <v>93</v>
      </c>
      <c r="X251" s="1" t="s">
        <v>921</v>
      </c>
      <c r="Z251" s="1" t="s">
        <v>922</v>
      </c>
      <c r="AA251" s="1" t="s">
        <v>123</v>
      </c>
      <c r="AB251" s="1" t="s">
        <v>90</v>
      </c>
      <c r="AC251" s="1" t="s">
        <v>923</v>
      </c>
      <c r="AD251" s="1" t="s">
        <v>924</v>
      </c>
      <c r="AE251" s="1" t="s">
        <v>66</v>
      </c>
      <c r="AF251" s="1"/>
    </row>
    <row r="252" spans="1:33" ht="17.100000000000001" customHeight="1">
      <c r="A252" s="1" t="s">
        <v>919</v>
      </c>
      <c r="D252" s="1" t="s">
        <v>70</v>
      </c>
      <c r="E252" s="5" t="str">
        <f t="shared" si="28"/>
        <v>MacLeod</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2" s="5" t="str">
        <f t="shared" si="34"/>
        <v>2003</v>
      </c>
      <c r="H252" s="5" t="str">
        <f t="shared" si="29"/>
        <v>MacLeod_etal_2003</v>
      </c>
      <c r="I252" s="5" t="str">
        <f t="shared" si="35"/>
        <v>10.1016%2Fs0047-2484(03)00028-9</v>
      </c>
      <c r="J252" s="5" t="str">
        <f t="shared" si="30"/>
        <v>MacLeod_etal_2003_Table2</v>
      </c>
      <c r="K252" s="5" t="str">
        <f t="shared" si="31"/>
        <v>10.1016%2Fs0047-2484(03)00028-9_Table2</v>
      </c>
      <c r="L252" s="5" t="str">
        <f t="array" ref="L252">IFERROR(INDEX(AUTO_Public_TSV_FileList!$A$1:$A$1000,MATCH(TRUE(),EXACT(K252,IFERROR(_xlfn.TEXTBEFORE(AUTO_Public_TSV_FileList!$A$1:$A$1000,".tsv"),"")),0)),"notfound")</f>
        <v>10.1016%2Fs0047-2484(03)00028-9_Table2.tsv</v>
      </c>
      <c r="M252" s="1" t="s">
        <v>925</v>
      </c>
      <c r="P252" s="1" t="s">
        <v>36</v>
      </c>
      <c r="W252" s="1" t="s">
        <v>93</v>
      </c>
      <c r="X252" s="1" t="s">
        <v>921</v>
      </c>
      <c r="Z252" s="1" t="s">
        <v>83</v>
      </c>
      <c r="AA252" s="1" t="s">
        <v>123</v>
      </c>
      <c r="AB252" s="1" t="s">
        <v>90</v>
      </c>
      <c r="AC252" s="1" t="s">
        <v>378</v>
      </c>
      <c r="AD252" s="1" t="s">
        <v>378</v>
      </c>
      <c r="AE252" s="1" t="s">
        <v>66</v>
      </c>
      <c r="AF252" s="1"/>
    </row>
    <row r="253" spans="1:33" ht="17.100000000000001" customHeight="1">
      <c r="A253" s="1" t="s">
        <v>926</v>
      </c>
      <c r="D253" s="1" t="s">
        <v>81</v>
      </c>
      <c r="E253" s="5" t="str">
        <f t="shared" si="28"/>
        <v>Manger</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5" t="str">
        <f t="shared" si="34"/>
        <v>2006</v>
      </c>
      <c r="H253" s="5" t="str">
        <f t="shared" si="29"/>
        <v>Manger__2006</v>
      </c>
      <c r="I253" s="5" t="str">
        <f t="shared" si="35"/>
        <v>10.1017%2FS1464793106007019</v>
      </c>
      <c r="J253" s="5" t="str">
        <f t="shared" si="30"/>
        <v>Manger__2006_Table1</v>
      </c>
      <c r="K253" s="5" t="str">
        <f t="shared" si="31"/>
        <v>10.1017%2FS1464793106007019_Table1</v>
      </c>
      <c r="L253" s="5" t="str">
        <f t="array" ref="L253">IFERROR(INDEX(AUTO_Public_TSV_FileList!$A$1:$A$1000,MATCH(TRUE(),EXACT(K253,IFERROR(_xlfn.TEXTBEFORE(AUTO_Public_TSV_FileList!$A$1:$A$1000,".tsv"),"")),0)),"notfound")</f>
        <v>10.1017%2FS1464793106007019_Table1.tsv</v>
      </c>
      <c r="P253" s="1" t="s">
        <v>36</v>
      </c>
    </row>
    <row r="254" spans="1:33" ht="17.100000000000001" customHeight="1">
      <c r="A254" s="1" t="s">
        <v>927</v>
      </c>
      <c r="D254" s="1" t="s">
        <v>928</v>
      </c>
      <c r="E254" s="5" t="str">
        <f t="shared" si="28"/>
        <v>ManyPrimates</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5" t="str">
        <f t="shared" si="34"/>
        <v>2022</v>
      </c>
      <c r="H254" s="5" t="str">
        <f t="shared" si="29"/>
        <v>ManyPrimates__2022</v>
      </c>
      <c r="I254" s="5" t="str">
        <f t="shared" si="35"/>
        <v>10.26451%2Fabc.09.04.06.2022</v>
      </c>
      <c r="J254" s="5" t="str">
        <f t="shared" si="30"/>
        <v>ManyPrimates__2022_speciespredictors</v>
      </c>
      <c r="K254" s="5" t="str">
        <f t="shared" si="31"/>
        <v>10.26451%2Fabc.09.04.06.2022_speciespredictors</v>
      </c>
      <c r="L254" s="5" t="str">
        <f t="array" ref="L254">IFERROR(INDEX(AUTO_Public_TSV_FileList!$A$1:$A$1000,MATCH(TRUE(),EXACT(K254,IFERROR(_xlfn.TEXTBEFORE(AUTO_Public_TSV_FileList!$A$1:$A$1000,".tsv"),"")),0)),"notfound")</f>
        <v>10.26451%2Fabc.09.04.06.2022_speciespredictors.tsv</v>
      </c>
      <c r="N254" s="1" t="s">
        <v>35</v>
      </c>
      <c r="P254" s="1" t="s">
        <v>36</v>
      </c>
      <c r="R254" s="1" t="s">
        <v>929</v>
      </c>
      <c r="V254" s="1"/>
      <c r="W254" s="1" t="s">
        <v>93</v>
      </c>
      <c r="X254" s="1" t="s">
        <v>930</v>
      </c>
      <c r="Y254" s="1" t="s">
        <v>931</v>
      </c>
      <c r="AB254" s="1" t="s">
        <v>932</v>
      </c>
      <c r="AE254" s="1" t="s">
        <v>51</v>
      </c>
      <c r="AF254" s="1"/>
    </row>
    <row r="255" spans="1:33" ht="17.100000000000001" customHeight="1">
      <c r="A255" s="1" t="s">
        <v>933</v>
      </c>
      <c r="B255" s="1"/>
      <c r="D255" s="1" t="s">
        <v>477</v>
      </c>
      <c r="E255" s="5" t="str">
        <f t="shared" si="28"/>
        <v>Matano</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5" t="str">
        <f t="shared" si="34"/>
        <v>1986</v>
      </c>
      <c r="H255" s="5" t="str">
        <f t="shared" si="29"/>
        <v>Matano__1986</v>
      </c>
      <c r="I255" s="5" t="str">
        <f t="shared" si="35"/>
        <v>10.1159%2F000156277</v>
      </c>
      <c r="J255" s="5" t="str">
        <f t="shared" si="30"/>
        <v>Matano__1986_TableI</v>
      </c>
      <c r="K255" s="5" t="str">
        <f t="shared" si="31"/>
        <v>10.1159%2F000156277_TableI</v>
      </c>
      <c r="L255" s="5" t="str">
        <f t="array" ref="L255">IFERROR(INDEX(AUTO_Public_TSV_FileList!$A$1:$A$1000,MATCH(TRUE(),EXACT(K255,IFERROR(_xlfn.TEXTBEFORE(AUTO_Public_TSV_FileList!$A$1:$A$1000,".tsv"),"")),0)),"notfound")</f>
        <v>10.1159%2F000156277_TableI.tsv</v>
      </c>
      <c r="P255" s="1" t="s">
        <v>36</v>
      </c>
      <c r="Z255" s="1"/>
      <c r="AC255" s="1"/>
      <c r="AD255" s="1"/>
      <c r="AE255" s="2" t="s">
        <v>51</v>
      </c>
    </row>
    <row r="256" spans="1:33" ht="17.100000000000001" customHeight="1">
      <c r="A256" s="1" t="s">
        <v>934</v>
      </c>
      <c r="B256" s="1"/>
      <c r="D256" s="1" t="s">
        <v>81</v>
      </c>
      <c r="E256" s="5" t="str">
        <f t="shared" si="28"/>
        <v>Matano</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5" t="str">
        <f t="shared" si="34"/>
        <v>1992</v>
      </c>
      <c r="H256" s="5" t="str">
        <f t="shared" si="29"/>
        <v>Matano__1992</v>
      </c>
      <c r="I256" s="5" t="str">
        <f t="shared" si="35"/>
        <v>10.1537%2Fase1911.100.69</v>
      </c>
      <c r="J256" s="5" t="str">
        <f t="shared" si="30"/>
        <v>Matano__1992_Table1</v>
      </c>
      <c r="K256" s="5" t="str">
        <f t="shared" si="31"/>
        <v>10.1537%2Fase1911.100.69_Table1</v>
      </c>
      <c r="L256" s="5" t="str">
        <f t="array" ref="L256">IFERROR(INDEX(AUTO_Public_TSV_FileList!$A$1:$A$1000,MATCH(TRUE(),EXACT(K256,IFERROR(_xlfn.TEXTBEFORE(AUTO_Public_TSV_FileList!$A$1:$A$1000,".tsv"),"")),0)),"notfound")</f>
        <v>10.1537%2Fase1911.100.69_Table1.tsv</v>
      </c>
      <c r="M256" s="2" t="s">
        <v>935</v>
      </c>
      <c r="P256" s="1" t="s">
        <v>36</v>
      </c>
      <c r="Z256" s="1"/>
      <c r="AC256" s="1"/>
      <c r="AD256" s="1"/>
    </row>
    <row r="257" spans="1:33" ht="17.100000000000001" customHeight="1">
      <c r="A257" s="1" t="s">
        <v>934</v>
      </c>
      <c r="B257" s="1"/>
      <c r="D257" s="1" t="s">
        <v>70</v>
      </c>
      <c r="E257" s="5" t="str">
        <f t="shared" si="28"/>
        <v>Matano</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5" t="str">
        <f t="shared" si="34"/>
        <v>1992</v>
      </c>
      <c r="H257" s="5" t="str">
        <f t="shared" si="29"/>
        <v>Matano__1992</v>
      </c>
      <c r="I257" s="5" t="str">
        <f t="shared" si="35"/>
        <v>10.1537%2Fase1911.100.69</v>
      </c>
      <c r="J257" s="5" t="str">
        <f t="shared" si="30"/>
        <v>Matano__1992_Table2</v>
      </c>
      <c r="K257" s="5" t="str">
        <f t="shared" si="31"/>
        <v>10.1537%2Fase1911.100.69_Table2</v>
      </c>
      <c r="L257" s="5" t="str">
        <f t="array" ref="L257">IFERROR(INDEX(AUTO_Public_TSV_FileList!$A$1:$A$1000,MATCH(TRUE(),EXACT(K257,IFERROR(_xlfn.TEXTBEFORE(AUTO_Public_TSV_FileList!$A$1:$A$1000,".tsv"),"")),0)),"notfound")</f>
        <v>10.1537%2Fase1911.100.69_Table2.tsv</v>
      </c>
      <c r="M257" s="2" t="s">
        <v>936</v>
      </c>
      <c r="P257" s="1" t="s">
        <v>36</v>
      </c>
      <c r="Z257" s="1"/>
      <c r="AC257" s="1"/>
      <c r="AD257" s="1"/>
    </row>
    <row r="258" spans="1:33" ht="17.100000000000001" customHeight="1">
      <c r="A258" s="1" t="s">
        <v>934</v>
      </c>
      <c r="B258" s="1"/>
      <c r="D258" s="1" t="s">
        <v>72</v>
      </c>
      <c r="E258" s="5" t="str">
        <f t="shared" ref="E258:E321" si="36">SUBSTITUTE(SUBSTITUTE(_xlfn.TEXTBEFORE(A258,","), "-", ""), " ", "")</f>
        <v>Matano</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5" t="str">
        <f t="shared" si="34"/>
        <v>1992</v>
      </c>
      <c r="H258" s="5" t="str">
        <f t="shared" ref="H258:H321" si="37">E258 &amp; IF(F258&lt;&gt;"", "_" &amp; F258, "_") &amp; IF(G258&lt;&gt;"", "_" &amp; G258, "_") &amp; IF(B258&lt;&gt;"", "_" &amp; B258, "")</f>
        <v>Matano__1992</v>
      </c>
      <c r="I258" s="5" t="str">
        <f t="shared" si="35"/>
        <v>10.1537%2Fase1911.100.69</v>
      </c>
      <c r="J258" s="5" t="str">
        <f t="shared" ref="J258:J321" si="38">TRIM(_xlfn.TEXTJOIN("_",FALSE(),H258,(SUBSTITUTE(SUBSTITUTE(D258," ",""), "_", ""))))</f>
        <v>Matano__1992_Table3</v>
      </c>
      <c r="K258" s="5" t="str">
        <f t="shared" ref="K258:K321" si="39">I258 &amp; "_" &amp; SUBSTITUTE(SUBSTITUTE(SUBSTITUTE(D258,CHAR(160),"")," ",""),"_","")</f>
        <v>10.1537%2Fase1911.100.69_Table3</v>
      </c>
      <c r="L258" s="5" t="str">
        <f t="array" ref="L258">IFERROR(INDEX(AUTO_Public_TSV_FileList!$A$1:$A$1000,MATCH(TRUE(),EXACT(K258,IFERROR(_xlfn.TEXTBEFORE(AUTO_Public_TSV_FileList!$A$1:$A$1000,".tsv"),"")),0)),"notfound")</f>
        <v>10.1537%2Fase1911.100.69_Table3.tsv</v>
      </c>
      <c r="P258" s="1" t="s">
        <v>36</v>
      </c>
      <c r="Z258" s="1"/>
      <c r="AC258" s="1"/>
      <c r="AD258" s="1"/>
      <c r="AE258" s="2" t="s">
        <v>51</v>
      </c>
    </row>
    <row r="259" spans="1:33" ht="17.100000000000001" customHeight="1">
      <c r="A259" s="1" t="s">
        <v>934</v>
      </c>
      <c r="B259" s="1"/>
      <c r="D259" s="1" t="s">
        <v>34</v>
      </c>
      <c r="E259" s="5" t="str">
        <f t="shared" si="36"/>
        <v>Matano</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5" t="str">
        <f t="shared" si="34"/>
        <v>1992</v>
      </c>
      <c r="H259" s="5" t="str">
        <f t="shared" si="37"/>
        <v>Matano__1992</v>
      </c>
      <c r="I259" s="5" t="str">
        <f t="shared" si="35"/>
        <v>10.1537%2Fase1911.100.69</v>
      </c>
      <c r="J259" s="5" t="str">
        <f t="shared" si="38"/>
        <v>Matano__1992_Table4</v>
      </c>
      <c r="K259" s="5" t="str">
        <f t="shared" si="39"/>
        <v>10.1537%2Fase1911.100.69_Table4</v>
      </c>
      <c r="L259" s="5" t="str">
        <f t="array" ref="L259">IFERROR(INDEX(AUTO_Public_TSV_FileList!$A$1:$A$1000,MATCH(TRUE(),EXACT(K259,IFERROR(_xlfn.TEXTBEFORE(AUTO_Public_TSV_FileList!$A$1:$A$1000,".tsv"),"")),0)),"notfound")</f>
        <v>10.1537%2Fase1911.100.69_Table4.tsv</v>
      </c>
      <c r="M259" s="2" t="s">
        <v>937</v>
      </c>
      <c r="P259" s="1" t="s">
        <v>36</v>
      </c>
      <c r="Z259" s="1"/>
      <c r="AC259" s="1"/>
      <c r="AD259" s="1"/>
    </row>
    <row r="260" spans="1:33" ht="17.100000000000001" customHeight="1">
      <c r="A260" s="1" t="s">
        <v>938</v>
      </c>
      <c r="B260" s="1"/>
      <c r="D260" s="1" t="s">
        <v>103</v>
      </c>
      <c r="E260" s="5" t="str">
        <f t="shared" si="36"/>
        <v>Matano</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5" t="str">
        <f t="shared" si="34"/>
        <v>2001</v>
      </c>
      <c r="H260" s="5" t="str">
        <f t="shared" si="37"/>
        <v>Matano__2001</v>
      </c>
      <c r="I260" s="5" t="str">
        <f t="shared" si="35"/>
        <v>10.1002%2F1096-8644(200102)114%3A2%3C163%3A%3AAID-AJPA1016%3E3.0.CO;2-F</v>
      </c>
      <c r="J260" s="5" t="str">
        <f t="shared" si="38"/>
        <v>Matano__2001_TABLE2</v>
      </c>
      <c r="K260" s="5" t="str">
        <f t="shared" si="39"/>
        <v>10.1002%2F1096-8644(200102)114%3A2%3C163%3A%3AAID-AJPA1016%3E3.0.CO;2-F_TABLE2</v>
      </c>
      <c r="L260" s="5" t="str">
        <f t="array" ref="L260">IFERROR(INDEX(AUTO_Public_TSV_FileList!$A$1:$A$1000,MATCH(TRUE(),EXACT(K260,IFERROR(_xlfn.TEXTBEFORE(AUTO_Public_TSV_FileList!$A$1:$A$1000,".tsv"),"")),0)),"notfound")</f>
        <v>10.1002%2F1096-8644(200102)114%3A2%3C163%3A%3AAID-AJPA1016%3E3.0.CO;2-F_TABLE2.tsv</v>
      </c>
      <c r="M260" s="1" t="s">
        <v>939</v>
      </c>
      <c r="P260" s="1" t="s">
        <v>36</v>
      </c>
    </row>
    <row r="261" spans="1:33" ht="17.100000000000001" customHeight="1">
      <c r="A261" s="1" t="s">
        <v>940</v>
      </c>
      <c r="B261" s="1" t="s">
        <v>265</v>
      </c>
      <c r="D261" s="1" t="s">
        <v>81</v>
      </c>
      <c r="E261" s="5" t="str">
        <f t="shared" si="36"/>
        <v>Matano</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si="34"/>
        <v>1985</v>
      </c>
      <c r="H261" s="5" t="str">
        <f t="shared" si="37"/>
        <v>Matano_etal_1985_a</v>
      </c>
      <c r="I261" s="5" t="str">
        <f t="shared" si="35"/>
        <v>10.1159%2F000156212</v>
      </c>
      <c r="J261" s="5" t="str">
        <f t="shared" si="38"/>
        <v>Matano_etal_1985_a_Table1</v>
      </c>
      <c r="K261" s="5" t="str">
        <f t="shared" si="39"/>
        <v>10.1159%2F000156212_Table1</v>
      </c>
      <c r="L261" s="5" t="str">
        <f t="array" ref="L261">IFERROR(INDEX(AUTO_Public_TSV_FileList!$A$1:$A$1000,MATCH(TRUE(),EXACT(K261,IFERROR(_xlfn.TEXTBEFORE(AUTO_Public_TSV_FileList!$A$1:$A$1000,".tsv"),"")),0)),"notfound")</f>
        <v>10.1159%2F000156212_Table1.tsv</v>
      </c>
      <c r="N261" s="1" t="s">
        <v>35</v>
      </c>
      <c r="P261" s="1" t="s">
        <v>36</v>
      </c>
      <c r="W261" s="1" t="s">
        <v>110</v>
      </c>
      <c r="X261" s="1" t="s">
        <v>941</v>
      </c>
      <c r="Z261" s="1" t="s">
        <v>83</v>
      </c>
      <c r="AA261" s="1" t="s">
        <v>123</v>
      </c>
      <c r="AB261" s="1" t="s">
        <v>90</v>
      </c>
      <c r="AC261" s="1" t="s">
        <v>112</v>
      </c>
      <c r="AD261" s="1" t="s">
        <v>112</v>
      </c>
      <c r="AE261" s="1" t="s">
        <v>51</v>
      </c>
      <c r="AF261" s="1"/>
    </row>
    <row r="262" spans="1:33" ht="17.100000000000001" customHeight="1">
      <c r="A262" s="1" t="s">
        <v>942</v>
      </c>
      <c r="B262" s="1" t="s">
        <v>270</v>
      </c>
      <c r="D262" s="1" t="s">
        <v>81</v>
      </c>
      <c r="E262" s="5" t="str">
        <f t="shared" si="36"/>
        <v>Matano</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34"/>
        <v>1985</v>
      </c>
      <c r="H262" s="5" t="str">
        <f t="shared" si="37"/>
        <v>Matano_etal_1985_b</v>
      </c>
      <c r="I262" s="5" t="str">
        <f t="shared" si="35"/>
        <v>10.1159%2F000156211</v>
      </c>
      <c r="J262" s="5" t="str">
        <f t="shared" si="38"/>
        <v>Matano_etal_1985_b_Table1</v>
      </c>
      <c r="K262" s="5" t="str">
        <f t="shared" si="39"/>
        <v>10.1159%2F000156211_Table1</v>
      </c>
      <c r="L262" s="5" t="str">
        <f t="array" ref="L262">IFERROR(INDEX(AUTO_Public_TSV_FileList!$A$1:$A$1000,MATCH(TRUE(),EXACT(K262,IFERROR(_xlfn.TEXTBEFORE(AUTO_Public_TSV_FileList!$A$1:$A$1000,".tsv"),"")),0)),"notfound")</f>
        <v>10.1159%2F000156211_Table1.tsv</v>
      </c>
      <c r="P262" s="1" t="s">
        <v>36</v>
      </c>
      <c r="Z262" s="1" t="s">
        <v>83</v>
      </c>
      <c r="AC262" s="1" t="s">
        <v>112</v>
      </c>
      <c r="AD262" s="1" t="s">
        <v>112</v>
      </c>
      <c r="AE262" s="2" t="s">
        <v>66</v>
      </c>
    </row>
    <row r="263" spans="1:33" ht="17.100000000000001" customHeight="1">
      <c r="A263" s="3" t="s">
        <v>943</v>
      </c>
      <c r="B263" s="3"/>
      <c r="C263" s="3"/>
      <c r="D263" s="3" t="s">
        <v>944</v>
      </c>
      <c r="E263" s="6" t="str">
        <f t="shared" si="36"/>
        <v>McGuire</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63" s="5" t="str">
        <f t="shared" si="34"/>
        <v>2011</v>
      </c>
      <c r="H263" s="6" t="str">
        <f t="shared" si="37"/>
        <v>McGuire_Ratcliffe_2011</v>
      </c>
      <c r="I263" s="6" t="str">
        <f>_xlfn.LET(_xlpm.doi,IF(C263&lt;&gt;"",C263,_xlfn.TEXTAFTER(A263,"https://doi.org/")),SUBSTITUTE(SUBSTITUTE(SUBSTITUTE(SUBSTITUTE(_xlpm.doi,"/","%2F"),":","%3A"),"&lt;","%3C"),"&gt;","%3E"))</f>
        <v>10.1098%2Frsbl.2010.0744</v>
      </c>
      <c r="J263" s="6" t="str">
        <f t="shared" si="38"/>
        <v>McGuire_Ratcliffe_2011_ElectronicSupplementaryMaterial1,Table1</v>
      </c>
      <c r="K263" s="6" t="str">
        <f t="shared" si="39"/>
        <v>10.1098%2Frsbl.2010.0744_ElectronicSupplementaryMaterial1,Table1</v>
      </c>
      <c r="L263" s="6" t="str">
        <f>IFERROR(INDEX(AUTO_Public_TSV_FileList!$A$1:$A$1000,MATCH(TRUE(),EXACT(K263,IFERROR(_xlfn.TEXTBEFORE(AUTO_Public_TSV_FileList!$A$1:$A$1000,".tsv"),"")),0)),"notfound")</f>
        <v>notfound</v>
      </c>
      <c r="N263" s="1" t="s">
        <v>35</v>
      </c>
      <c r="P263" s="3"/>
      <c r="Q263" s="3"/>
      <c r="R263" s="3" t="s">
        <v>945</v>
      </c>
      <c r="S263" s="3" t="s">
        <v>478</v>
      </c>
      <c r="T263" s="3" t="s">
        <v>479</v>
      </c>
      <c r="U263" s="3"/>
      <c r="V263" s="3" t="s">
        <v>868</v>
      </c>
      <c r="W263" s="3" t="s">
        <v>946</v>
      </c>
      <c r="X263" s="3" t="s">
        <v>947</v>
      </c>
      <c r="Y263" s="3" t="s">
        <v>947</v>
      </c>
      <c r="Z263" s="3"/>
      <c r="AA263" s="3"/>
      <c r="AB263" s="3" t="s">
        <v>948</v>
      </c>
      <c r="AC263" s="3" t="s">
        <v>112</v>
      </c>
      <c r="AD263" s="3" t="s">
        <v>112</v>
      </c>
      <c r="AE263" s="3" t="s">
        <v>172</v>
      </c>
      <c r="AF263" s="3"/>
      <c r="AG263" s="3" t="s">
        <v>949</v>
      </c>
    </row>
    <row r="264" spans="1:33" ht="17.100000000000001" customHeight="1">
      <c r="A264" s="1" t="s">
        <v>950</v>
      </c>
      <c r="D264" s="2" t="s">
        <v>951</v>
      </c>
      <c r="E264" s="5" t="str">
        <f t="shared" si="36"/>
        <v>MedinaGonzález</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4" s="5" t="str">
        <f t="shared" si="34"/>
        <v>2026</v>
      </c>
      <c r="H264" s="5" t="str">
        <f t="shared" si="37"/>
        <v>MedinaGonzález__2026</v>
      </c>
      <c r="I264" s="5" t="str">
        <f t="shared" ref="I264:I276" si="40">_xlfn.LET(
_xlpm.doi,IF(C264&lt;&gt;"",C264,_xlfn.TEXTAFTER(A264,"https://doi.org/")),
SUBSTITUTE(
SUBSTITUTE(
SUBSTITUTE(
SUBSTITUTE(
_xlpm.doi,
"/","%2F"),
":","%3A"),
"&lt;","%3C"),
"&gt;","%3E")
)</f>
        <v>10.1002%2Fjez.70069</v>
      </c>
      <c r="J264" s="5" t="str">
        <f t="shared" si="38"/>
        <v>MedinaGonzález__2026_SupplementaryFile1</v>
      </c>
      <c r="K264" s="5" t="str">
        <f t="shared" si="39"/>
        <v>10.1002%2Fjez.70069_SupplementaryFile1</v>
      </c>
      <c r="L264" s="5" t="str">
        <f t="array" ref="L264">IFERROR(INDEX(AUTO_Public_TSV_FileList!$A$1:$A$1000,MATCH(TRUE(),EXACT(K264,IFERROR(_xlfn.TEXTBEFORE(AUTO_Public_TSV_FileList!$A$1:$A$1000,".tsv"),"")),0)),"notfound")</f>
        <v>10.1002%2Fjez.70069_SupplementaryFile1.tsv</v>
      </c>
      <c r="N264" s="1" t="s">
        <v>35</v>
      </c>
      <c r="AE264" s="2" t="s">
        <v>51</v>
      </c>
    </row>
    <row r="265" spans="1:33" ht="17.100000000000001" customHeight="1">
      <c r="A265" s="1" t="s">
        <v>950</v>
      </c>
      <c r="D265" s="2" t="s">
        <v>952</v>
      </c>
      <c r="E265" s="5" t="str">
        <f t="shared" si="36"/>
        <v>MedinaGonzález</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5" s="5" t="str">
        <f t="shared" si="34"/>
        <v>2026</v>
      </c>
      <c r="H265" s="5" t="str">
        <f t="shared" si="37"/>
        <v>MedinaGonzález__2026</v>
      </c>
      <c r="I265" s="5" t="str">
        <f t="shared" si="40"/>
        <v>10.1002%2Fjez.70069</v>
      </c>
      <c r="J265" s="5" t="str">
        <f t="shared" si="38"/>
        <v>MedinaGonzález__2026_SupplementaryFile2</v>
      </c>
      <c r="K265" s="5" t="str">
        <f t="shared" si="39"/>
        <v>10.1002%2Fjez.70069_SupplementaryFile2</v>
      </c>
      <c r="L265" s="5" t="str">
        <f t="array" ref="L265">IFERROR(INDEX(AUTO_Public_TSV_FileList!$A$1:$A$1000,MATCH(TRUE(),EXACT(K265,IFERROR(_xlfn.TEXTBEFORE(AUTO_Public_TSV_FileList!$A$1:$A$1000,".tsv"),"")),0)),"notfound")</f>
        <v>10.1002%2Fjez.70069_SupplementaryFile2.tsv</v>
      </c>
      <c r="N265" s="1" t="s">
        <v>35</v>
      </c>
      <c r="AE265" s="2" t="s">
        <v>51</v>
      </c>
    </row>
    <row r="266" spans="1:33" ht="17.100000000000001" customHeight="1">
      <c r="A266" s="1" t="s">
        <v>950</v>
      </c>
      <c r="D266" s="2" t="s">
        <v>953</v>
      </c>
      <c r="E266" s="5" t="str">
        <f t="shared" si="36"/>
        <v>MedinaGonzález</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6" s="5" t="str">
        <f t="shared" si="34"/>
        <v>2026</v>
      </c>
      <c r="H266" s="5" t="str">
        <f t="shared" si="37"/>
        <v>MedinaGonzález__2026</v>
      </c>
      <c r="I266" s="5" t="str">
        <f t="shared" si="40"/>
        <v>10.1002%2Fjez.70069</v>
      </c>
      <c r="J266" s="5" t="str">
        <f t="shared" si="38"/>
        <v>MedinaGonzález__2026_SupplementaryFile3</v>
      </c>
      <c r="K266" s="5" t="str">
        <f t="shared" si="39"/>
        <v>10.1002%2Fjez.70069_SupplementaryFile3</v>
      </c>
      <c r="L266" s="5" t="str">
        <f t="array" ref="L266">IFERROR(INDEX(AUTO_Public_TSV_FileList!$A$1:$A$1000,MATCH(TRUE(),EXACT(K266,IFERROR(_xlfn.TEXTBEFORE(AUTO_Public_TSV_FileList!$A$1:$A$1000,".tsv"),"")),0)),"notfound")</f>
        <v>10.1002%2Fjez.70069_SupplementaryFile3.tsv</v>
      </c>
      <c r="N266" s="1" t="s">
        <v>35</v>
      </c>
      <c r="AE266" s="2" t="s">
        <v>51</v>
      </c>
    </row>
    <row r="267" spans="1:33" ht="17.100000000000001" customHeight="1">
      <c r="A267" s="1" t="s">
        <v>954</v>
      </c>
      <c r="D267" s="1" t="s">
        <v>314</v>
      </c>
      <c r="E267" s="5" t="str">
        <f t="shared" si="36"/>
        <v>Mota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67" s="5" t="str">
        <f t="shared" si="34"/>
        <v>2015</v>
      </c>
      <c r="H267" s="5" t="str">
        <f t="shared" si="37"/>
        <v>Mota_Herculano-Houzel_2015</v>
      </c>
      <c r="I267" s="5" t="str">
        <f t="shared" si="40"/>
        <v>10.1126%2Fscience.aaa9101</v>
      </c>
      <c r="J267" s="5" t="str">
        <f t="shared" si="38"/>
        <v>Mota_Herculano-Houzel_2015_TableS1</v>
      </c>
      <c r="K267" s="5" t="str">
        <f t="shared" si="39"/>
        <v>10.1126%2Fscience.aaa9101_TableS1</v>
      </c>
      <c r="L267" s="5" t="str">
        <f t="array" ref="L267">IFERROR(INDEX(AUTO_Public_TSV_FileList!$A$1:$A$1000,MATCH(TRUE(),EXACT(K267,IFERROR(_xlfn.TEXTBEFORE(AUTO_Public_TSV_FileList!$A$1:$A$1000,".tsv"),"")),0)),"notfound")</f>
        <v>10.1126%2Fscience.aaa9101_TableS1.tsv</v>
      </c>
      <c r="P267" s="2" t="s">
        <v>36</v>
      </c>
      <c r="W267" s="1" t="s">
        <v>131</v>
      </c>
      <c r="X267" s="1" t="s">
        <v>955</v>
      </c>
      <c r="AB267" s="1" t="s">
        <v>955</v>
      </c>
      <c r="AE267" s="1" t="s">
        <v>51</v>
      </c>
      <c r="AF267" s="1"/>
    </row>
    <row r="268" spans="1:33" ht="17.100000000000001" customHeight="1">
      <c r="A268" s="1" t="s">
        <v>956</v>
      </c>
      <c r="D268" s="1" t="s">
        <v>957</v>
      </c>
      <c r="E268" s="5" t="str">
        <f t="shared" si="36"/>
        <v>Mota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 t="shared" si="34"/>
        <v>2019</v>
      </c>
      <c r="H268" s="5" t="str">
        <f t="shared" si="37"/>
        <v>Mota_etal_2019</v>
      </c>
      <c r="I268" s="5" t="str">
        <f t="shared" si="40"/>
        <v>10.1073%2Fpnas.1716956116</v>
      </c>
      <c r="J268" s="5" t="str">
        <f t="shared" si="38"/>
        <v>Mota_etal_2019_SupplementaryTableS1</v>
      </c>
      <c r="K268" s="5" t="str">
        <f t="shared" si="39"/>
        <v>10.1073%2Fpnas.1716956116_SupplementaryTableS1</v>
      </c>
      <c r="L268" s="5" t="str">
        <f t="array" ref="L268">IFERROR(INDEX(AUTO_Public_TSV_FileList!$A$1:$A$1000,MATCH(TRUE(),EXACT(K268,IFERROR(_xlfn.TEXTBEFORE(AUTO_Public_TSV_FileList!$A$1:$A$1000,".tsv"),"")),0)),"notfound")</f>
        <v>10.1073%2Fpnas.1716956116_SupplementaryTableS1.tsv</v>
      </c>
      <c r="M268" s="1" t="s">
        <v>958</v>
      </c>
      <c r="P268" s="2" t="s">
        <v>36</v>
      </c>
      <c r="W268" s="1" t="s">
        <v>131</v>
      </c>
      <c r="X268" s="1" t="s">
        <v>959</v>
      </c>
      <c r="Y268" s="1" t="s">
        <v>960</v>
      </c>
      <c r="AB268" s="1" t="s">
        <v>961</v>
      </c>
      <c r="AE268" s="1" t="s">
        <v>51</v>
      </c>
      <c r="AF268" s="1"/>
    </row>
    <row r="269" spans="1:33" ht="17.100000000000001" customHeight="1">
      <c r="A269" s="1" t="s">
        <v>962</v>
      </c>
      <c r="D269" s="1" t="s">
        <v>629</v>
      </c>
      <c r="E269" s="5" t="str">
        <f t="shared" si="36"/>
        <v>Navarrete</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5" t="str">
        <f t="shared" si="34"/>
        <v>2016</v>
      </c>
      <c r="H269" s="5" t="str">
        <f t="shared" si="37"/>
        <v>Navarrete_etal_2016</v>
      </c>
      <c r="I269" s="5" t="str">
        <f t="shared" si="40"/>
        <v>10.1098%2Frstb.2015.0186</v>
      </c>
      <c r="J269" s="5" t="str">
        <f t="shared" si="38"/>
        <v>Navarrete_etal_2016_Data</v>
      </c>
      <c r="K269" s="5" t="str">
        <f t="shared" si="39"/>
        <v>10.1098%2Frstb.2015.0186_Data</v>
      </c>
      <c r="L269" s="5" t="str">
        <f t="array" ref="L269">IFERROR(INDEX(AUTO_Public_TSV_FileList!$A$1:$A$1000,MATCH(TRUE(),EXACT(K269,IFERROR(_xlfn.TEXTBEFORE(AUTO_Public_TSV_FileList!$A$1:$A$1000,".tsv"),"")),0)),"notfound")</f>
        <v>10.1098%2Frstb.2015.0186_Data.tsv</v>
      </c>
      <c r="P269" s="2" t="s">
        <v>36</v>
      </c>
      <c r="Q269" s="2" t="s">
        <v>963</v>
      </c>
      <c r="W269" s="1"/>
      <c r="X269" s="1"/>
      <c r="Y269" s="1"/>
      <c r="AB269" s="1"/>
      <c r="AE269" s="1" t="s">
        <v>51</v>
      </c>
      <c r="AF269" s="1"/>
    </row>
    <row r="270" spans="1:33" ht="17.100000000000001" customHeight="1">
      <c r="A270" s="1" t="s">
        <v>964</v>
      </c>
      <c r="D270" s="2" t="s">
        <v>70</v>
      </c>
      <c r="E270" s="5" t="str">
        <f t="shared" si="36"/>
        <v>Nguyen</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5" t="str">
        <f t="shared" si="34"/>
        <v>2019</v>
      </c>
      <c r="H270" s="5" t="str">
        <f t="shared" si="37"/>
        <v>Nguyen_etal_2019</v>
      </c>
      <c r="I270" s="5" t="str">
        <f t="shared" si="40"/>
        <v>10.1002%2Fcne.24823</v>
      </c>
      <c r="J270" s="5" t="str">
        <f t="shared" si="38"/>
        <v>Nguyen_etal_2019_Table2</v>
      </c>
      <c r="K270" s="5" t="str">
        <f t="shared" si="39"/>
        <v>10.1002%2Fcne.24823_Table2</v>
      </c>
      <c r="L270" s="5" t="str">
        <f t="array" ref="L270">IFERROR(INDEX(AUTO_Public_TSV_FileList!$A$1:$A$1000,MATCH(TRUE(),EXACT(K270,IFERROR(_xlfn.TEXTBEFORE(AUTO_Public_TSV_FileList!$A$1:$A$1000,".tsv"),"")),0)),"notfound")</f>
        <v>10.1002%2Fcne.24823_Table2.tsv</v>
      </c>
      <c r="M270" s="2" t="s">
        <v>965</v>
      </c>
      <c r="P270" s="2" t="s">
        <v>36</v>
      </c>
      <c r="AE270" s="2" t="s">
        <v>66</v>
      </c>
    </row>
    <row r="271" spans="1:33" ht="17.100000000000001" customHeight="1">
      <c r="A271" s="1" t="s">
        <v>966</v>
      </c>
      <c r="D271" s="1" t="s">
        <v>58</v>
      </c>
      <c r="E271" s="5" t="str">
        <f t="shared" si="36"/>
        <v>Nudo</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5" t="str">
        <f t="shared" si="34"/>
        <v>1995</v>
      </c>
      <c r="H271" s="5" t="str">
        <f t="shared" si="37"/>
        <v>Nudo_etal_1995</v>
      </c>
      <c r="I271" s="5" t="str">
        <f t="shared" si="40"/>
        <v>10.1002%2Fcne.903580203</v>
      </c>
      <c r="J271" s="5" t="str">
        <f t="shared" si="38"/>
        <v>Nudo_etal_1995_TABLE1</v>
      </c>
      <c r="K271" s="5" t="str">
        <f t="shared" si="39"/>
        <v>10.1002%2Fcne.903580203_TABLE1</v>
      </c>
      <c r="L271" s="5" t="str">
        <f t="array" ref="L271">IFERROR(INDEX(AUTO_Public_TSV_FileList!$A$1:$A$1000,MATCH(TRUE(),EXACT(K271,IFERROR(_xlfn.TEXTBEFORE(AUTO_Public_TSV_FileList!$A$1:$A$1000,".tsv"),"")),0)),"notfound")</f>
        <v>10.1002%2Fcne.903580203_TABLE1.tsv</v>
      </c>
      <c r="N271" s="1" t="s">
        <v>35</v>
      </c>
      <c r="P271" s="2" t="s">
        <v>36</v>
      </c>
      <c r="Q271" s="2" t="s">
        <v>967</v>
      </c>
      <c r="W271" s="1" t="s">
        <v>131</v>
      </c>
      <c r="X271" s="1" t="s">
        <v>968</v>
      </c>
      <c r="Y271" s="1"/>
      <c r="AB271" s="1" t="s">
        <v>969</v>
      </c>
      <c r="AC271" s="1" t="s">
        <v>970</v>
      </c>
      <c r="AE271" s="1" t="s">
        <v>66</v>
      </c>
      <c r="AF271" s="1"/>
      <c r="AG271" s="1" t="s">
        <v>971</v>
      </c>
    </row>
    <row r="272" spans="1:33" ht="17.100000000000001" customHeight="1">
      <c r="A272" s="1" t="s">
        <v>966</v>
      </c>
      <c r="D272" s="1" t="s">
        <v>103</v>
      </c>
      <c r="E272" s="5" t="str">
        <f t="shared" si="36"/>
        <v>Nudo</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5" t="str">
        <f t="shared" si="34"/>
        <v>1995</v>
      </c>
      <c r="H272" s="5" t="str">
        <f t="shared" si="37"/>
        <v>Nudo_etal_1995</v>
      </c>
      <c r="I272" s="5" t="str">
        <f t="shared" si="40"/>
        <v>10.1002%2Fcne.903580203</v>
      </c>
      <c r="J272" s="5" t="str">
        <f t="shared" si="38"/>
        <v>Nudo_etal_1995_TABLE2</v>
      </c>
      <c r="K272" s="5" t="str">
        <f t="shared" si="39"/>
        <v>10.1002%2Fcne.903580203_TABLE2</v>
      </c>
      <c r="L272" s="5" t="str">
        <f t="array" ref="L272">IFERROR(INDEX(AUTO_Public_TSV_FileList!$A$1:$A$1000,MATCH(TRUE(),EXACT(K272,IFERROR(_xlfn.TEXTBEFORE(AUTO_Public_TSV_FileList!$A$1:$A$1000,".tsv"),"")),0)),"notfound")</f>
        <v>10.1002%2Fcne.903580203_TABLE2.tsv</v>
      </c>
      <c r="N272" s="1" t="s">
        <v>35</v>
      </c>
      <c r="P272" s="2" t="s">
        <v>36</v>
      </c>
      <c r="Q272" s="1"/>
      <c r="W272" s="1" t="s">
        <v>131</v>
      </c>
      <c r="X272" s="1" t="s">
        <v>972</v>
      </c>
      <c r="Y272" s="1"/>
      <c r="AB272" s="1" t="s">
        <v>973</v>
      </c>
      <c r="AC272" s="1" t="s">
        <v>970</v>
      </c>
      <c r="AE272" s="1" t="s">
        <v>66</v>
      </c>
      <c r="AF272" s="1"/>
      <c r="AG272" s="1" t="s">
        <v>974</v>
      </c>
    </row>
    <row r="273" spans="1:33" ht="17.100000000000001" customHeight="1">
      <c r="A273" s="1" t="s">
        <v>966</v>
      </c>
      <c r="D273" s="1" t="s">
        <v>975</v>
      </c>
      <c r="E273" s="5" t="str">
        <f t="shared" si="36"/>
        <v>Nudo</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5" t="str">
        <f t="shared" si="34"/>
        <v>1995</v>
      </c>
      <c r="H273" s="5" t="str">
        <f t="shared" si="37"/>
        <v>Nudo_etal_1995</v>
      </c>
      <c r="I273" s="5" t="str">
        <f t="shared" si="40"/>
        <v>10.1002%2Fcne.903580203</v>
      </c>
      <c r="J273" s="5" t="str">
        <f t="shared" si="38"/>
        <v>Nudo_etal_1995_TABLE3</v>
      </c>
      <c r="K273" s="5" t="str">
        <f t="shared" si="39"/>
        <v>10.1002%2Fcne.903580203_TABLE3</v>
      </c>
      <c r="L273" s="5" t="str">
        <f t="array" ref="L273">IFERROR(INDEX(AUTO_Public_TSV_FileList!$A$1:$A$1000,MATCH(TRUE(),EXACT(K273,IFERROR(_xlfn.TEXTBEFORE(AUTO_Public_TSV_FileList!$A$1:$A$1000,".tsv"),"")),0)),"notfound")</f>
        <v>10.1002%2Fcne.903580203_TABLE3.tsv</v>
      </c>
      <c r="N273" s="1" t="s">
        <v>35</v>
      </c>
      <c r="P273" s="2" t="s">
        <v>36</v>
      </c>
      <c r="Q273" s="1"/>
      <c r="W273" s="1" t="s">
        <v>131</v>
      </c>
      <c r="X273" s="1" t="s">
        <v>976</v>
      </c>
      <c r="Y273" s="1"/>
      <c r="AB273" s="1" t="s">
        <v>977</v>
      </c>
      <c r="AC273" s="1" t="s">
        <v>970</v>
      </c>
      <c r="AE273" s="1" t="s">
        <v>172</v>
      </c>
      <c r="AF273" s="1"/>
      <c r="AG273" s="1" t="s">
        <v>978</v>
      </c>
    </row>
    <row r="274" spans="1:33" ht="17.100000000000001" customHeight="1">
      <c r="A274" s="1" t="s">
        <v>966</v>
      </c>
      <c r="D274" s="1" t="s">
        <v>979</v>
      </c>
      <c r="E274" s="5" t="str">
        <f t="shared" si="36"/>
        <v>Nudo</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4" s="5" t="str">
        <f t="shared" si="34"/>
        <v>1995</v>
      </c>
      <c r="H274" s="5" t="str">
        <f t="shared" si="37"/>
        <v>Nudo_etal_1995</v>
      </c>
      <c r="I274" s="5" t="str">
        <f t="shared" si="40"/>
        <v>10.1002%2Fcne.903580203</v>
      </c>
      <c r="J274" s="5" t="str">
        <f t="shared" si="38"/>
        <v>Nudo_etal_1995_TABLE4</v>
      </c>
      <c r="K274" s="5" t="str">
        <f t="shared" si="39"/>
        <v>10.1002%2Fcne.903580203_TABLE4</v>
      </c>
      <c r="L274" s="5" t="str">
        <f t="array" ref="L274">IFERROR(INDEX(AUTO_Public_TSV_FileList!$A$1:$A$1000,MATCH(TRUE(),EXACT(K274,IFERROR(_xlfn.TEXTBEFORE(AUTO_Public_TSV_FileList!$A$1:$A$1000,".tsv"),"")),0)),"notfound")</f>
        <v>10.1002%2Fcne.903580203_TABLE4.tsv</v>
      </c>
      <c r="N274" s="1" t="s">
        <v>35</v>
      </c>
      <c r="P274" s="2" t="s">
        <v>36</v>
      </c>
      <c r="Q274" s="1"/>
      <c r="W274" s="1" t="s">
        <v>131</v>
      </c>
      <c r="X274" s="1" t="s">
        <v>980</v>
      </c>
      <c r="Y274" s="1"/>
      <c r="AB274" s="1" t="s">
        <v>981</v>
      </c>
      <c r="AC274" s="1" t="s">
        <v>970</v>
      </c>
      <c r="AE274" s="1" t="s">
        <v>66</v>
      </c>
      <c r="AF274" s="1"/>
      <c r="AG274" s="1" t="s">
        <v>982</v>
      </c>
    </row>
    <row r="275" spans="1:33" ht="17.100000000000001" customHeight="1">
      <c r="A275" s="1" t="s">
        <v>966</v>
      </c>
      <c r="D275" s="1" t="s">
        <v>983</v>
      </c>
      <c r="E275" s="5" t="str">
        <f t="shared" si="36"/>
        <v>Nudo</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5" t="str">
        <f t="shared" si="34"/>
        <v>1995</v>
      </c>
      <c r="H275" s="5" t="str">
        <f t="shared" si="37"/>
        <v>Nudo_etal_1995</v>
      </c>
      <c r="I275" s="5" t="str">
        <f t="shared" si="40"/>
        <v>10.1002%2Fcne.903580203</v>
      </c>
      <c r="J275" s="5" t="str">
        <f t="shared" si="38"/>
        <v>Nudo_etal_1995_TABLE5</v>
      </c>
      <c r="K275" s="5" t="str">
        <f t="shared" si="39"/>
        <v>10.1002%2Fcne.903580203_TABLE5</v>
      </c>
      <c r="L275" s="5" t="str">
        <f t="array" ref="L275">IFERROR(INDEX(AUTO_Public_TSV_FileList!$A$1:$A$1000,MATCH(TRUE(),EXACT(K275,IFERROR(_xlfn.TEXTBEFORE(AUTO_Public_TSV_FileList!$A$1:$A$1000,".tsv"),"")),0)),"notfound")</f>
        <v>10.1002%2Fcne.903580203_TABLE5.tsv</v>
      </c>
      <c r="N275" s="1" t="s">
        <v>35</v>
      </c>
      <c r="P275" s="2" t="s">
        <v>36</v>
      </c>
      <c r="Q275" s="1"/>
      <c r="W275" s="1" t="s">
        <v>131</v>
      </c>
      <c r="X275" s="1" t="s">
        <v>984</v>
      </c>
      <c r="Y275" s="1"/>
      <c r="AB275" s="1" t="s">
        <v>985</v>
      </c>
      <c r="AC275" s="1" t="s">
        <v>970</v>
      </c>
      <c r="AE275" s="1" t="s">
        <v>66</v>
      </c>
      <c r="AF275" s="1"/>
      <c r="AG275" s="1" t="s">
        <v>986</v>
      </c>
    </row>
    <row r="276" spans="1:33" ht="17.100000000000001" customHeight="1">
      <c r="A276" s="1" t="s">
        <v>987</v>
      </c>
      <c r="D276" s="2" t="s">
        <v>366</v>
      </c>
      <c r="E276" s="5" t="str">
        <f t="shared" si="36"/>
        <v>Olkowicz</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5" t="str">
        <f t="shared" si="34"/>
        <v>2016</v>
      </c>
      <c r="H276" s="5" t="str">
        <f t="shared" si="37"/>
        <v>Olkowicz_etal_2016</v>
      </c>
      <c r="I276" s="5" t="str">
        <f t="shared" si="40"/>
        <v>10.1073%2Fpnas.1517131113</v>
      </c>
      <c r="J276" s="5" t="str">
        <f t="shared" si="38"/>
        <v>Olkowicz_etal_2016_DatasetS1</v>
      </c>
      <c r="K276" s="5" t="str">
        <f t="shared" si="39"/>
        <v>10.1073%2Fpnas.1517131113_DatasetS1</v>
      </c>
      <c r="L276" s="5" t="str">
        <f t="array" ref="L276">IFERROR(INDEX(AUTO_Public_TSV_FileList!$A$1:$A$1000,MATCH(TRUE(),EXACT(K276,IFERROR(_xlfn.TEXTBEFORE(AUTO_Public_TSV_FileList!$A$1:$A$1000,".tsv"),"")),0)),"notfound")</f>
        <v>10.1073%2Fpnas.1517131113_DatasetS1.tsv</v>
      </c>
      <c r="M276" s="2" t="s">
        <v>988</v>
      </c>
      <c r="P276" s="2" t="s">
        <v>36</v>
      </c>
      <c r="Q276" s="2" t="s">
        <v>967</v>
      </c>
      <c r="AE276" s="2" t="s">
        <v>66</v>
      </c>
    </row>
    <row r="277" spans="1:33" ht="17.100000000000001" customHeight="1">
      <c r="A277" s="2" t="s">
        <v>989</v>
      </c>
      <c r="D277" s="2" t="s">
        <v>643</v>
      </c>
      <c r="E277" s="6" t="str">
        <f t="shared" si="36"/>
        <v>PalomeroGallagher</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277" s="5" t="str">
        <f t="shared" si="34"/>
        <v>2018</v>
      </c>
      <c r="H277" s="6" t="str">
        <f t="shared" si="37"/>
        <v>PalomeroGallagher_Zilles_2018</v>
      </c>
      <c r="I277" s="6" t="str">
        <f>_xlfn.LET(_xlpm.doi,IF(C277&lt;&gt;"",C277,_xlfn.TEXTAFTER(A277,"https://doi.org/")),SUBSTITUTE(SUBSTITUTE(SUBSTITUTE(SUBSTITUTE(_xlpm.doi,"/","%2F"),":","%3A"),"&lt;","%3C"),"&gt;","%3E"))</f>
        <v>10.1016%2Fj.cortex.2018.09.008</v>
      </c>
      <c r="J277" s="6" t="str">
        <f t="shared" si="38"/>
        <v>PalomeroGallagher_Zilles_2018_TableS3</v>
      </c>
      <c r="K277" s="5" t="str">
        <f t="shared" si="39"/>
        <v>10.1016%2Fj.cortex.2018.09.008_TableS3</v>
      </c>
      <c r="L277" s="5" t="str">
        <f t="array" ref="L277">IFERROR(INDEX(AUTO_Public_TSV_FileList!$A$1:$A$1000,MATCH(TRUE(),EXACT(K277,IFERROR(_xlfn.TEXTBEFORE(AUTO_Public_TSV_FileList!$A$1:$A$1000,".tsv"),"")),0)),"notfound")</f>
        <v>10.1016%2Fj.cortex.2018.09.008_TableS3.tsv</v>
      </c>
      <c r="M277" s="2" t="s">
        <v>990</v>
      </c>
      <c r="N277" s="2" t="s">
        <v>991</v>
      </c>
      <c r="O277" s="2" t="s">
        <v>992</v>
      </c>
      <c r="P277" s="2" t="s">
        <v>36</v>
      </c>
      <c r="Q277" s="2" t="s">
        <v>993</v>
      </c>
      <c r="V277" s="2" t="s">
        <v>994</v>
      </c>
      <c r="W277" s="2" t="s">
        <v>995</v>
      </c>
      <c r="X277" s="2" t="s">
        <v>996</v>
      </c>
      <c r="Z277" s="2" t="s">
        <v>997</v>
      </c>
      <c r="AA277" s="2" t="s">
        <v>998</v>
      </c>
      <c r="AB277" s="2" t="s">
        <v>999</v>
      </c>
      <c r="AE277" s="2" t="s">
        <v>66</v>
      </c>
      <c r="AG277" s="2" t="s">
        <v>1000</v>
      </c>
    </row>
    <row r="278" spans="1:33" ht="17.100000000000001" customHeight="1">
      <c r="A278" s="2" t="s">
        <v>1001</v>
      </c>
      <c r="D278" s="2" t="s">
        <v>70</v>
      </c>
      <c r="E278" s="5" t="str">
        <f t="shared" si="36"/>
        <v>Peruffo</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5" t="str">
        <f t="shared" si="34"/>
        <v>2019</v>
      </c>
      <c r="H278" s="5" t="str">
        <f t="shared" si="37"/>
        <v>Peruffo_etal_2019</v>
      </c>
      <c r="I278" s="5" t="str">
        <f>_xlfn.LET(
_xlpm.doi,IF(C278&lt;&gt;"",C278,_xlfn.TEXTAFTER(A278,"https://doi.org/")),
SUBSTITUTE(
SUBSTITUTE(
SUBSTITUTE(
SUBSTITUTE(
_xlpm.doi,
"/","%2F"),
":","%3A"),
"&lt;","%3C"),
"&gt;","%3E")
)</f>
        <v>10.1007%2Fs00429-019-01885-x</v>
      </c>
      <c r="J278" s="5" t="str">
        <f t="shared" si="38"/>
        <v>Peruffo_etal_2019_Table2</v>
      </c>
      <c r="K278" s="5" t="str">
        <f t="shared" si="39"/>
        <v>10.1007%2Fs00429-019-01885-x_Table2</v>
      </c>
      <c r="L278" s="5" t="str">
        <f t="array" ref="L278">IFERROR(INDEX(AUTO_Public_TSV_FileList!$A$1:$A$1000,MATCH(TRUE(),EXACT(K278,IFERROR(_xlfn.TEXTBEFORE(AUTO_Public_TSV_FileList!$A$1:$A$1000,".tsv"),"")),0)),"notfound")</f>
        <v>10.1007%2Fs00429-019-01885-x_Table2.tsv</v>
      </c>
      <c r="N278" s="1" t="s">
        <v>35</v>
      </c>
      <c r="P278" s="2" t="s">
        <v>36</v>
      </c>
      <c r="R278" s="2" t="s">
        <v>1002</v>
      </c>
      <c r="V278" s="2" t="s">
        <v>683</v>
      </c>
      <c r="W278" s="2" t="s">
        <v>1003</v>
      </c>
      <c r="X278" s="2" t="s">
        <v>1004</v>
      </c>
      <c r="Z278" s="2" t="s">
        <v>1005</v>
      </c>
      <c r="AB278" s="2" t="s">
        <v>1006</v>
      </c>
      <c r="AE278" s="2" t="s">
        <v>66</v>
      </c>
    </row>
    <row r="279" spans="1:33" ht="17.100000000000001" customHeight="1">
      <c r="A279" s="1" t="s">
        <v>1001</v>
      </c>
      <c r="D279" s="1" t="s">
        <v>70</v>
      </c>
      <c r="E279" s="5" t="str">
        <f t="shared" si="36"/>
        <v>Peruffo</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34"/>
        <v>2019</v>
      </c>
      <c r="H279" s="5" t="str">
        <f t="shared" si="37"/>
        <v>Peruffo_etal_2019</v>
      </c>
      <c r="I279" s="5" t="str">
        <f>_xlfn.LET(
_xlpm.doi,IF(C279&lt;&gt;"",C279,_xlfn.TEXTAFTER(A279,"https://doi.org/")),
SUBSTITUTE(
SUBSTITUTE(
SUBSTITUTE(
SUBSTITUTE(
_xlpm.doi,
"/","%2F"),
":","%3A"),
"&lt;","%3C"),
"&gt;","%3E")
)</f>
        <v>10.1007%2Fs00429-019-01885-x</v>
      </c>
      <c r="J279" s="5" t="str">
        <f t="shared" si="38"/>
        <v>Peruffo_etal_2019_Table2</v>
      </c>
      <c r="K279" s="5" t="str">
        <f t="shared" si="39"/>
        <v>10.1007%2Fs00429-019-01885-x_Table2</v>
      </c>
      <c r="L279" s="5" t="str">
        <f t="array" ref="L279">IFERROR(INDEX(AUTO_Public_TSV_FileList!$A$1:$A$1000,MATCH(TRUE(),EXACT(K279,IFERROR(_xlfn.TEXTBEFORE(AUTO_Public_TSV_FileList!$A$1:$A$1000,".tsv"),"")),0)),"notfound")</f>
        <v>10.1007%2Fs00429-019-01885-x_Table2.tsv</v>
      </c>
      <c r="N279" s="1" t="s">
        <v>35</v>
      </c>
      <c r="P279" s="2" t="s">
        <v>36</v>
      </c>
      <c r="R279" s="2" t="s">
        <v>1002</v>
      </c>
      <c r="V279" s="2" t="s">
        <v>683</v>
      </c>
      <c r="W279" s="1" t="s">
        <v>1003</v>
      </c>
      <c r="X279" s="1" t="s">
        <v>1004</v>
      </c>
      <c r="Z279" s="2" t="s">
        <v>1005</v>
      </c>
      <c r="AA279" s="1" t="s">
        <v>63</v>
      </c>
      <c r="AB279" s="1" t="s">
        <v>1006</v>
      </c>
      <c r="AC279" s="1" t="s">
        <v>368</v>
      </c>
      <c r="AE279" s="1" t="s">
        <v>66</v>
      </c>
      <c r="AF279" s="1"/>
    </row>
    <row r="280" spans="1:33" ht="17.100000000000001" customHeight="1">
      <c r="A280" s="1" t="s">
        <v>1001</v>
      </c>
      <c r="D280" s="1" t="s">
        <v>70</v>
      </c>
      <c r="E280" s="5" t="str">
        <f t="shared" si="36"/>
        <v>Peruffo</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5" t="str">
        <f t="shared" si="34"/>
        <v>2019</v>
      </c>
      <c r="H280" s="5" t="str">
        <f t="shared" si="37"/>
        <v>Peruffo_etal_2019</v>
      </c>
      <c r="I280" s="5" t="str">
        <f>_xlfn.LET(
_xlpm.doi,IF(C280&lt;&gt;"",C280,_xlfn.TEXTAFTER(A280,"https://doi.org/")),
SUBSTITUTE(
SUBSTITUTE(
SUBSTITUTE(
SUBSTITUTE(
_xlpm.doi,
"/","%2F"),
":","%3A"),
"&lt;","%3C"),
"&gt;","%3E")
)</f>
        <v>10.1007%2Fs00429-019-01885-x</v>
      </c>
      <c r="J280" s="5" t="str">
        <f t="shared" si="38"/>
        <v>Peruffo_etal_2019_Table2</v>
      </c>
      <c r="K280" s="5" t="str">
        <f t="shared" si="39"/>
        <v>10.1007%2Fs00429-019-01885-x_Table2</v>
      </c>
      <c r="L280" s="5" t="str">
        <f t="array" ref="L280">IFERROR(INDEX(AUTO_Public_TSV_FileList!$A$1:$A$1000,MATCH(TRUE(),EXACT(K280,IFERROR(_xlfn.TEXTBEFORE(AUTO_Public_TSV_FileList!$A$1:$A$1000,".tsv"),"")),0)),"notfound")</f>
        <v>10.1007%2Fs00429-019-01885-x_Table2.tsv</v>
      </c>
      <c r="N280" s="1" t="s">
        <v>35</v>
      </c>
      <c r="P280" s="2" t="s">
        <v>36</v>
      </c>
      <c r="R280" s="2" t="s">
        <v>1002</v>
      </c>
      <c r="V280" s="2" t="s">
        <v>683</v>
      </c>
      <c r="W280" s="1" t="s">
        <v>1003</v>
      </c>
      <c r="X280" s="1" t="s">
        <v>1004</v>
      </c>
      <c r="Z280" s="2" t="s">
        <v>1005</v>
      </c>
      <c r="AA280" s="1"/>
      <c r="AB280" s="1" t="s">
        <v>1006</v>
      </c>
      <c r="AC280" s="1" t="s">
        <v>84</v>
      </c>
      <c r="AE280" s="1" t="s">
        <v>66</v>
      </c>
      <c r="AF280" s="1"/>
    </row>
    <row r="281" spans="1:33" ht="17.100000000000001" customHeight="1">
      <c r="A281" s="3" t="s">
        <v>1007</v>
      </c>
      <c r="B281" s="3"/>
      <c r="C281" s="3"/>
      <c r="D281" s="3" t="s">
        <v>81</v>
      </c>
      <c r="E281" s="6" t="str">
        <f t="shared" si="36"/>
        <v>Pirlot</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281" s="5" t="str">
        <f t="shared" si="34"/>
        <v>1982</v>
      </c>
      <c r="H281" s="6" t="str">
        <f t="shared" si="37"/>
        <v>Pirlot_Kamiya_1982</v>
      </c>
      <c r="I281" s="6" t="str">
        <f>_xlfn.LET(_xlpm.doi,IF(C281&lt;&gt;"",C281,_xlfn.TEXTAFTER(A281,"https://doi.org/")),SUBSTITUTE(SUBSTITUTE(SUBSTITUTE(SUBSTITUTE(_xlpm.doi,"/","%2F"),":","%3A"),"&lt;","%3C"),"&gt;","%3E"))</f>
        <v>10.1139%2FZ82-084</v>
      </c>
      <c r="J281" s="6" t="str">
        <f t="shared" si="38"/>
        <v>Pirlot_Kamiya_1982_Table1</v>
      </c>
      <c r="K281" s="6" t="str">
        <f t="shared" si="39"/>
        <v>10.1139%2FZ82-084_Table1</v>
      </c>
      <c r="L281" s="6" t="str">
        <f>IFERROR(INDEX(AUTO_Public_TSV_FileList!$A$1:$A$1000,MATCH(TRUE(),EXACT(K281,IFERROR(_xlfn.TEXTBEFORE(AUTO_Public_TSV_FileList!$A$1:$A$1000,".tsv"),"")),0)),"notfound")</f>
        <v>notfound</v>
      </c>
      <c r="N281" s="1" t="s">
        <v>35</v>
      </c>
      <c r="P281" s="3"/>
      <c r="Q281" s="3"/>
      <c r="R281" s="3"/>
      <c r="S281" s="3" t="s">
        <v>478</v>
      </c>
      <c r="T281" s="3" t="s">
        <v>479</v>
      </c>
      <c r="U281" s="3"/>
      <c r="V281" s="3" t="s">
        <v>480</v>
      </c>
      <c r="W281" s="3" t="s">
        <v>1008</v>
      </c>
      <c r="X281" s="3" t="s">
        <v>1009</v>
      </c>
      <c r="Y281" s="3"/>
      <c r="Z281" s="3"/>
      <c r="AA281" s="3" t="s">
        <v>1010</v>
      </c>
      <c r="AB281" s="3" t="s">
        <v>1011</v>
      </c>
      <c r="AD281" s="3"/>
      <c r="AE281" s="1" t="s">
        <v>51</v>
      </c>
      <c r="AF281" s="1"/>
      <c r="AG281" s="3" t="s">
        <v>1012</v>
      </c>
    </row>
    <row r="282" spans="1:33" ht="17.100000000000001" customHeight="1">
      <c r="A282" s="3" t="s">
        <v>1013</v>
      </c>
      <c r="B282" s="3"/>
      <c r="C282" s="3"/>
      <c r="D282" s="3" t="s">
        <v>81</v>
      </c>
      <c r="E282" s="6" t="str">
        <f t="shared" si="36"/>
        <v>Pirlot</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282" s="5" t="str">
        <f t="shared" si="34"/>
        <v>1985</v>
      </c>
      <c r="H282" s="6" t="str">
        <f t="shared" si="37"/>
        <v>Pirlot_Kamiya_1985</v>
      </c>
      <c r="I282" s="6" t="str">
        <f>_xlfn.LET(_xlpm.doi,IF(C282&lt;&gt;"",C282,_xlfn.TEXTAFTER(A282,"https://doi.org/")),SUBSTITUTE(SUBSTITUTE(SUBSTITUTE(SUBSTITUTE(_xlpm.doi,"/","%2F"),":","%3A"),"&lt;","%3C"),"&gt;","%3E"))</f>
        <v>10.1111%2Fj.1439-0469.1985.tb00577.x</v>
      </c>
      <c r="J282" s="6" t="str">
        <f t="shared" si="38"/>
        <v>Pirlot_Kamiya_1985_Table1</v>
      </c>
      <c r="K282" s="6" t="str">
        <f t="shared" si="39"/>
        <v>10.1111%2Fj.1439-0469.1985.tb00577.x_Table1</v>
      </c>
      <c r="L282" s="6" t="str">
        <f>IFERROR(INDEX(AUTO_Public_TSV_FileList!$A$1:$A$1000,MATCH(TRUE(),EXACT(K282,IFERROR(_xlfn.TEXTBEFORE(AUTO_Public_TSV_FileList!$A$1:$A$1000,".tsv"),"")),0)),"notfound")</f>
        <v>notfound</v>
      </c>
      <c r="N282" s="1" t="s">
        <v>35</v>
      </c>
      <c r="P282" s="3"/>
      <c r="Q282" s="3"/>
      <c r="R282" s="3" t="s">
        <v>1014</v>
      </c>
      <c r="S282" s="3" t="s">
        <v>478</v>
      </c>
      <c r="T282" s="3" t="s">
        <v>479</v>
      </c>
      <c r="U282" s="3"/>
      <c r="V282" s="3" t="s">
        <v>480</v>
      </c>
      <c r="W282" s="3" t="s">
        <v>1015</v>
      </c>
      <c r="X282" s="3" t="s">
        <v>1016</v>
      </c>
      <c r="Y282" s="3"/>
      <c r="Z282" s="3"/>
      <c r="AA282" s="3" t="s">
        <v>1017</v>
      </c>
      <c r="AB282" s="3" t="s">
        <v>1011</v>
      </c>
      <c r="AD282" s="3"/>
      <c r="AE282" s="3" t="s">
        <v>66</v>
      </c>
      <c r="AF282" s="3"/>
      <c r="AG282" s="3" t="s">
        <v>1018</v>
      </c>
    </row>
    <row r="283" spans="1:33" ht="17.100000000000001" customHeight="1">
      <c r="A283" s="1" t="s">
        <v>1019</v>
      </c>
      <c r="C283" s="1"/>
      <c r="D283" s="1" t="s">
        <v>1020</v>
      </c>
      <c r="E283" s="5" t="str">
        <f t="shared" si="36"/>
        <v>Powell</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 t="shared" si="34"/>
        <v>2017</v>
      </c>
      <c r="H283" s="5" t="str">
        <f t="shared" si="37"/>
        <v>Powell_etal_2017</v>
      </c>
      <c r="I283" s="5" t="str">
        <f>_xlfn.LET(
_xlpm.doi,IF(C283&lt;&gt;"",C283,_xlfn.TEXTAFTER(A283,"https://doi.org/")),
SUBSTITUTE(
SUBSTITUTE(
SUBSTITUTE(
SUBSTITUTE(
_xlpm.doi,
"/","%2F"),
":","%3A"),
"&lt;","%3C"),
"&gt;","%3E")
)</f>
        <v>10.1098%2Frspb.2017.1765</v>
      </c>
      <c r="J283" s="5" t="str">
        <f t="shared" si="38"/>
        <v>Powell_etal_2017_Dataset1</v>
      </c>
      <c r="K283" s="5" t="str">
        <f t="shared" si="39"/>
        <v>10.1098%2Frspb.2017.1765_Dataset1</v>
      </c>
      <c r="L283" s="5" t="str">
        <f t="array" ref="L283">IFERROR(INDEX(AUTO_Public_TSV_FileList!$A$1:$A$1000,MATCH(TRUE(),EXACT(K283,IFERROR(_xlfn.TEXTBEFORE(AUTO_Public_TSV_FileList!$A$1:$A$1000,".tsv"),"")),0)),"notfound")</f>
        <v>10.1098%2Frspb.2017.1765_Dataset1.tsv</v>
      </c>
      <c r="N283" s="1" t="s">
        <v>35</v>
      </c>
      <c r="P283" s="2" t="s">
        <v>36</v>
      </c>
      <c r="Q283" s="1"/>
      <c r="R283" s="1" t="s">
        <v>1021</v>
      </c>
      <c r="V283" s="1"/>
      <c r="W283" s="1" t="s">
        <v>93</v>
      </c>
      <c r="X283" s="1" t="s">
        <v>1022</v>
      </c>
      <c r="Y283" s="1" t="s">
        <v>1023</v>
      </c>
      <c r="AB283" s="1" t="s">
        <v>1022</v>
      </c>
      <c r="AE283" s="1" t="s">
        <v>172</v>
      </c>
      <c r="AF283" s="1"/>
    </row>
    <row r="284" spans="1:33" ht="17.100000000000001" customHeight="1">
      <c r="A284" s="1" t="s">
        <v>1024</v>
      </c>
      <c r="C284" s="1"/>
      <c r="D284" s="1" t="s">
        <v>629</v>
      </c>
      <c r="E284" s="5" t="str">
        <f t="shared" si="36"/>
        <v>Reader</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 t="shared" si="34"/>
        <v>2011</v>
      </c>
      <c r="H284" s="5" t="str">
        <f t="shared" si="37"/>
        <v>Reader_etal_2011</v>
      </c>
      <c r="I284" s="5" t="str">
        <f>_xlfn.LET(
_xlpm.doi,IF(C284&lt;&gt;"",C284,_xlfn.TEXTAFTER(A284,"https://doi.org/")),
SUBSTITUTE(
SUBSTITUTE(
SUBSTITUTE(
SUBSTITUTE(
_xlpm.doi,
"/","%2F"),
":","%3A"),
"&lt;","%3C"),
"&gt;","%3E")
)</f>
        <v>10.1098%2Frstb.2010.0342</v>
      </c>
      <c r="J284" s="5" t="str">
        <f t="shared" si="38"/>
        <v>Reader_etal_2011_Data</v>
      </c>
      <c r="K284" s="5" t="str">
        <f t="shared" si="39"/>
        <v>10.1098%2Frstb.2010.0342_Data</v>
      </c>
      <c r="L284" s="5" t="str">
        <f t="array" ref="L284">IFERROR(INDEX(AUTO_Public_TSV_FileList!$A$1:$A$1000,MATCH(TRUE(),EXACT(K284,IFERROR(_xlfn.TEXTBEFORE(AUTO_Public_TSV_FileList!$A$1:$A$1000,".tsv"),"")),0)),"notfound")</f>
        <v>10.1098%2Frstb.2010.0342_Data.tsv</v>
      </c>
      <c r="N284" s="1" t="s">
        <v>35</v>
      </c>
      <c r="P284" s="1" t="s">
        <v>36</v>
      </c>
      <c r="Q284" s="1"/>
      <c r="R284" s="1"/>
      <c r="V284" s="1"/>
      <c r="W284" s="1" t="s">
        <v>93</v>
      </c>
      <c r="X284" s="1" t="s">
        <v>1025</v>
      </c>
      <c r="Y284" s="1"/>
      <c r="AB284" s="1" t="s">
        <v>1026</v>
      </c>
      <c r="AC284" s="1" t="s">
        <v>1027</v>
      </c>
      <c r="AE284" s="1" t="s">
        <v>66</v>
      </c>
      <c r="AF284" s="1"/>
      <c r="AG284" s="1" t="s">
        <v>1028</v>
      </c>
    </row>
    <row r="285" spans="1:33" ht="17.100000000000001" customHeight="1">
      <c r="A285" s="2" t="s">
        <v>1029</v>
      </c>
      <c r="D285" s="2" t="s">
        <v>81</v>
      </c>
      <c r="E285" s="6" t="str">
        <f t="shared" si="36"/>
        <v>Reep</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 t="shared" si="34"/>
        <v>2007</v>
      </c>
      <c r="H285" s="6" t="str">
        <f t="shared" si="37"/>
        <v>Reep_etal_2007</v>
      </c>
      <c r="I285" s="6" t="str">
        <f>_xlfn.LET(_xlpm.doi,IF(C285&lt;&gt;"",C285,_xlfn.TEXTAFTER(A285,"https://doi.org/")),SUBSTITUTE(SUBSTITUTE(SUBSTITUTE(SUBSTITUTE(_xlpm.doi,"/","%2F"),":","%3A"),"&lt;","%3C"),"&gt;","%3E"))</f>
        <v>10.1159%2F000101491</v>
      </c>
      <c r="J285" s="6" t="str">
        <f t="shared" si="38"/>
        <v>Reep_etal_2007_Table1</v>
      </c>
      <c r="K285" s="5" t="str">
        <f t="shared" si="39"/>
        <v>10.1159%2F000101491_Table1</v>
      </c>
      <c r="L285" s="5" t="str">
        <f t="array" ref="L285">IFERROR(INDEX(AUTO_Public_TSV_FileList!$A$1:$A$1000,MATCH(TRUE(),EXACT(K285,IFERROR(_xlfn.TEXTBEFORE(AUTO_Public_TSV_FileList!$A$1:$A$1000,".tsv"),"")),0)),"notfound")</f>
        <v>10.1159%2F000101491_Table1.tsv</v>
      </c>
      <c r="M285" s="2" t="s">
        <v>1030</v>
      </c>
      <c r="N285" s="2" t="s">
        <v>35</v>
      </c>
      <c r="P285" s="2" t="s">
        <v>36</v>
      </c>
      <c r="R285" s="2" t="s">
        <v>1031</v>
      </c>
      <c r="S285" s="2" t="s">
        <v>1032</v>
      </c>
      <c r="T285" s="2" t="s">
        <v>1033</v>
      </c>
      <c r="V285" s="2" t="s">
        <v>1034</v>
      </c>
      <c r="W285" s="2" t="s">
        <v>1035</v>
      </c>
      <c r="X285" s="2" t="s">
        <v>1036</v>
      </c>
      <c r="Y285" s="2" t="s">
        <v>1037</v>
      </c>
      <c r="Z285" s="1" t="s">
        <v>83</v>
      </c>
      <c r="AA285" s="2" t="s">
        <v>1038</v>
      </c>
      <c r="AB285" s="2" t="s">
        <v>1039</v>
      </c>
      <c r="AC285" s="2" t="s">
        <v>1040</v>
      </c>
      <c r="AD285" s="2" t="s">
        <v>286</v>
      </c>
      <c r="AE285" s="2" t="s">
        <v>66</v>
      </c>
      <c r="AG285" s="2" t="s">
        <v>1041</v>
      </c>
    </row>
    <row r="286" spans="1:33" ht="17.100000000000001" customHeight="1">
      <c r="A286" s="1" t="s">
        <v>1042</v>
      </c>
      <c r="D286" s="1" t="s">
        <v>81</v>
      </c>
      <c r="E286" s="5" t="str">
        <f t="shared" si="36"/>
        <v>Ribeiro</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5" t="str">
        <f t="shared" si="34"/>
        <v>2013</v>
      </c>
      <c r="H286" s="5" t="str">
        <f t="shared" si="37"/>
        <v>Ribeiro_etal_2013</v>
      </c>
      <c r="I286" s="5" t="str">
        <f>_xlfn.LET(
_xlpm.doi,IF(C286&lt;&gt;"",C286,_xlfn.TEXTAFTER(A286,"https://doi.org/")),
SUBSTITUTE(
SUBSTITUTE(
SUBSTITUTE(
SUBSTITUTE(
_xlpm.doi,
"/","%2F"),
":","%3A"),
"&lt;","%3C"),
"&gt;","%3E")
)</f>
        <v>10.3389%2Ffnana.2013.00028</v>
      </c>
      <c r="J286" s="5" t="str">
        <f t="shared" si="38"/>
        <v>Ribeiro_etal_2013_Table1</v>
      </c>
      <c r="K286" s="5" t="str">
        <f t="shared" si="39"/>
        <v>10.3389%2Ffnana.2013.00028_Table1</v>
      </c>
      <c r="L286" s="5" t="str">
        <f t="array" ref="L286">IFERROR(INDEX(AUTO_Public_TSV_FileList!$A$1:$A$1000,MATCH(TRUE(),EXACT(K286,IFERROR(_xlfn.TEXTBEFORE(AUTO_Public_TSV_FileList!$A$1:$A$1000,".tsv"),"")),0)),"notfound")</f>
        <v>10.3389%2Ffnana.2013.00028_Table1.tsv</v>
      </c>
      <c r="N286" s="1" t="s">
        <v>35</v>
      </c>
      <c r="P286" s="1" t="s">
        <v>36</v>
      </c>
      <c r="Q286" s="1"/>
      <c r="W286" s="1" t="s">
        <v>578</v>
      </c>
      <c r="X286" s="1" t="s">
        <v>1043</v>
      </c>
      <c r="AB286" s="1" t="s">
        <v>1044</v>
      </c>
      <c r="AC286" s="1" t="s">
        <v>65</v>
      </c>
      <c r="AE286" s="1" t="s">
        <v>66</v>
      </c>
      <c r="AF286" s="1"/>
      <c r="AG286" s="1" t="s">
        <v>1045</v>
      </c>
    </row>
    <row r="287" spans="1:33" ht="17.100000000000001" customHeight="1">
      <c r="A287" s="3" t="s">
        <v>1046</v>
      </c>
      <c r="B287" s="3"/>
      <c r="C287" s="3"/>
      <c r="D287" s="3" t="s">
        <v>81</v>
      </c>
      <c r="E287" s="6" t="str">
        <f t="shared" si="36"/>
        <v>Ridgway</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7" s="5" t="str">
        <f t="shared" ref="G287:G350" si="41">_xlfn.TEXTBEFORE(_xlfn.TEXTAFTER(A287, "("), ")")</f>
        <v>1990</v>
      </c>
      <c r="H287" s="6" t="str">
        <f t="shared" si="37"/>
        <v>Ridgway__1990</v>
      </c>
      <c r="I287" s="6" t="str">
        <f>_xlfn.LET(_xlpm.doi,IF(C287&lt;&gt;"",C287,_xlfn.TEXTAFTER(A287,"https://doi.org/")),SUBSTITUTE(SUBSTITUTE(SUBSTITUTE(SUBSTITUTE(_xlpm.doi,"/","%2F"),":","%3A"),"&lt;","%3C"),"&gt;","%3E"))</f>
        <v>10.1016%2FB978-0-12-440280-5.50008-1</v>
      </c>
      <c r="J287" s="6" t="str">
        <f t="shared" si="38"/>
        <v>Ridgway__1990_Table1</v>
      </c>
      <c r="K287" s="6" t="str">
        <f t="shared" si="39"/>
        <v>10.1016%2FB978-0-12-440280-5.50008-1_Table1</v>
      </c>
      <c r="L287" s="6" t="str">
        <f>IFERROR(INDEX(AUTO_Public_TSV_FileList!$A$1:$A$1000,MATCH(TRUE(),EXACT(K287,IFERROR(_xlfn.TEXTBEFORE(AUTO_Public_TSV_FileList!$A$1:$A$1000,".tsv"),"")),0)),"notfound")</f>
        <v>notfound</v>
      </c>
      <c r="M287" s="3" t="s">
        <v>1047</v>
      </c>
      <c r="N287" s="1" t="s">
        <v>35</v>
      </c>
      <c r="P287" s="3"/>
      <c r="Q287" s="3"/>
      <c r="R287" s="3"/>
      <c r="S287" s="3" t="s">
        <v>478</v>
      </c>
      <c r="T287" s="3" t="s">
        <v>479</v>
      </c>
      <c r="U287" s="3"/>
      <c r="V287" s="3" t="s">
        <v>480</v>
      </c>
      <c r="W287" s="3" t="s">
        <v>1048</v>
      </c>
      <c r="X287" s="3" t="s">
        <v>1049</v>
      </c>
      <c r="Y287" s="3"/>
      <c r="Z287" s="3"/>
      <c r="AA287" s="3" t="s">
        <v>1050</v>
      </c>
      <c r="AB287" s="3" t="s">
        <v>1051</v>
      </c>
      <c r="AD287" s="3"/>
      <c r="AE287" s="1" t="s">
        <v>51</v>
      </c>
      <c r="AF287" s="1"/>
      <c r="AG287" s="3" t="s">
        <v>1052</v>
      </c>
    </row>
    <row r="288" spans="1:33" ht="17.100000000000001" customHeight="1">
      <c r="A288" s="1" t="s">
        <v>1053</v>
      </c>
      <c r="D288" s="1" t="s">
        <v>81</v>
      </c>
      <c r="E288" s="5" t="str">
        <f t="shared" si="36"/>
        <v>Rilling</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288" s="5" t="str">
        <f t="shared" si="41"/>
        <v>1998</v>
      </c>
      <c r="H288" s="5" t="str">
        <f t="shared" si="37"/>
        <v>Rilling_Insel_1998</v>
      </c>
      <c r="I288" s="5" t="str">
        <f t="shared" ref="I288:I319" si="42">_xlfn.LET(
_xlpm.doi,IF(C288&lt;&gt;"",C288,_xlfn.TEXTAFTER(A288,"https://doi.org/")),
SUBSTITUTE(
SUBSTITUTE(
SUBSTITUTE(
SUBSTITUTE(
_xlpm.doi,
"/","%2F"),
":","%3A"),
"&lt;","%3C"),
"&gt;","%3E")
)</f>
        <v>10.1159%2F000006575</v>
      </c>
      <c r="J288" s="5" t="str">
        <f t="shared" si="38"/>
        <v>Rilling_Insel_1998_Table1</v>
      </c>
      <c r="K288" s="5" t="str">
        <f t="shared" si="39"/>
        <v>10.1159%2F000006575_Table1</v>
      </c>
      <c r="L288" s="5" t="str">
        <f t="array" ref="L288">IFERROR(INDEX(AUTO_Public_TSV_FileList!$A$1:$A$1000,MATCH(TRUE(),EXACT(K288,IFERROR(_xlfn.TEXTBEFORE(AUTO_Public_TSV_FileList!$A$1:$A$1000,".tsv"),"")),0)),"notfound")</f>
        <v>10.1159%2F000006575_Table1.tsv</v>
      </c>
      <c r="M288" s="1" t="s">
        <v>1054</v>
      </c>
      <c r="P288" s="1" t="s">
        <v>36</v>
      </c>
      <c r="W288" s="2" t="s">
        <v>1055</v>
      </c>
      <c r="Z288" s="1" t="s">
        <v>922</v>
      </c>
      <c r="AA288" s="1" t="s">
        <v>123</v>
      </c>
      <c r="AB288" s="1" t="s">
        <v>90</v>
      </c>
      <c r="AC288" s="1" t="s">
        <v>923</v>
      </c>
      <c r="AD288" s="1" t="s">
        <v>924</v>
      </c>
      <c r="AE288" s="1" t="s">
        <v>66</v>
      </c>
      <c r="AF288" s="1"/>
    </row>
    <row r="289" spans="1:32" ht="17.100000000000001" customHeight="1">
      <c r="A289" s="1" t="s">
        <v>1056</v>
      </c>
      <c r="D289" s="1" t="s">
        <v>81</v>
      </c>
      <c r="E289" s="5" t="str">
        <f t="shared" si="36"/>
        <v>Rilling</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289" s="5" t="str">
        <f t="shared" si="41"/>
        <v>1999</v>
      </c>
      <c r="H289" s="5" t="str">
        <f t="shared" si="37"/>
        <v>Rilling_Insel_1999</v>
      </c>
      <c r="I289" s="5" t="str">
        <f t="shared" si="42"/>
        <v>10.1006%2Fjhev.1999.0313</v>
      </c>
      <c r="J289" s="5" t="str">
        <f t="shared" si="38"/>
        <v>Rilling_Insel_1999_Table1</v>
      </c>
      <c r="K289" s="5" t="str">
        <f t="shared" si="39"/>
        <v>10.1006%2Fjhev.1999.0313_Table1</v>
      </c>
      <c r="L289" s="5" t="str">
        <f t="array" ref="L289">IFERROR(INDEX(AUTO_Public_TSV_FileList!$A$1:$A$1000,MATCH(TRUE(),EXACT(K289,IFERROR(_xlfn.TEXTBEFORE(AUTO_Public_TSV_FileList!$A$1:$A$1000,".tsv"),"")),0)),"notfound")</f>
        <v>10.1006%2Fjhev.1999.0313_Table1.tsv</v>
      </c>
      <c r="M289" s="1" t="s">
        <v>1057</v>
      </c>
      <c r="P289" s="1" t="s">
        <v>36</v>
      </c>
      <c r="W289" s="2" t="s">
        <v>1058</v>
      </c>
      <c r="Z289" s="1" t="s">
        <v>922</v>
      </c>
      <c r="AA289" s="1" t="s">
        <v>123</v>
      </c>
      <c r="AB289" s="1" t="s">
        <v>90</v>
      </c>
      <c r="AC289" s="1" t="s">
        <v>923</v>
      </c>
      <c r="AD289" s="1" t="s">
        <v>924</v>
      </c>
      <c r="AE289" s="1" t="s">
        <v>66</v>
      </c>
      <c r="AF289" s="1"/>
    </row>
    <row r="290" spans="1:32" ht="17.100000000000001" customHeight="1">
      <c r="A290" s="1" t="s">
        <v>1059</v>
      </c>
      <c r="D290" s="1" t="s">
        <v>81</v>
      </c>
      <c r="E290" s="5" t="str">
        <f t="shared" si="36"/>
        <v>Ruf</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290" s="5" t="str">
        <f t="shared" si="41"/>
        <v>2015</v>
      </c>
      <c r="H290" s="5" t="str">
        <f t="shared" si="37"/>
        <v>Ruf_Geiser_2015</v>
      </c>
      <c r="I290" s="5" t="str">
        <f t="shared" si="42"/>
        <v>10.1111%2Fbrv.12137</v>
      </c>
      <c r="J290" s="5" t="str">
        <f t="shared" si="38"/>
        <v>Ruf_Geiser_2015_Table1</v>
      </c>
      <c r="K290" s="5" t="str">
        <f t="shared" si="39"/>
        <v>10.1111%2Fbrv.12137_Table1</v>
      </c>
      <c r="L290" s="5" t="str">
        <f t="array" ref="L290">IFERROR(INDEX(AUTO_Public_TSV_FileList!$A$1:$A$1000,MATCH(TRUE(),EXACT(K290,IFERROR(_xlfn.TEXTBEFORE(AUTO_Public_TSV_FileList!$A$1:$A$1000,".tsv"),"")),0)),"notfound")</f>
        <v>10.1111%2Fbrv.12137_Table1.tsv</v>
      </c>
      <c r="P290" s="1" t="s">
        <v>36</v>
      </c>
    </row>
    <row r="291" spans="1:32" ht="17.100000000000001" customHeight="1">
      <c r="A291" s="1" t="s">
        <v>1060</v>
      </c>
      <c r="D291" s="1" t="s">
        <v>1061</v>
      </c>
      <c r="E291" s="5" t="str">
        <f t="shared" si="36"/>
        <v>Schleifenbaum</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5" t="str">
        <f t="shared" si="41"/>
        <v>1973</v>
      </c>
      <c r="H291" s="5" t="str">
        <f t="shared" si="37"/>
        <v>Schleifenbaum__1973</v>
      </c>
      <c r="I291" s="5" t="str">
        <f t="shared" si="42"/>
        <v>10.1007%2FBF00519885</v>
      </c>
      <c r="J291" s="5" t="str">
        <f t="shared" si="38"/>
        <v>Schleifenbaum__1973_Tables1-2</v>
      </c>
      <c r="K291" s="5" t="str">
        <f t="shared" si="39"/>
        <v>10.1007%2FBF00519885_Tables1-2</v>
      </c>
      <c r="L291" s="5" t="str">
        <f t="array" ref="L291">IFERROR(INDEX(AUTO_Public_TSV_FileList!$A$1:$A$1000,MATCH(TRUE(),EXACT(K291,IFERROR(_xlfn.TEXTBEFORE(AUTO_Public_TSV_FileList!$A$1:$A$1000,".tsv"),"")),0)),"notfound")</f>
        <v>10.1007%2FBF00519885_Tables1-2.tsv</v>
      </c>
      <c r="M291" s="2" t="s">
        <v>1062</v>
      </c>
      <c r="P291" s="1" t="s">
        <v>36</v>
      </c>
      <c r="AE291" s="2" t="s">
        <v>66</v>
      </c>
    </row>
    <row r="292" spans="1:32" ht="17.100000000000001" customHeight="1">
      <c r="A292" s="1" t="s">
        <v>1063</v>
      </c>
      <c r="D292" s="1" t="s">
        <v>1064</v>
      </c>
      <c r="E292" s="5" t="str">
        <f t="shared" si="36"/>
        <v>Schniter</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292" s="5" t="str">
        <f t="shared" si="41"/>
        <v>2026</v>
      </c>
      <c r="H292" s="5" t="str">
        <f t="shared" si="37"/>
        <v>Schniter_Penaherrera-Aguirre_2026</v>
      </c>
      <c r="I292" s="5" t="str">
        <f t="shared" si="42"/>
        <v>10.1007%2Fs10329-026-01271-2</v>
      </c>
      <c r="J292" s="5" t="str">
        <f t="shared" si="38"/>
        <v>Schniter_Penaherrera-Aguirre_2026_data</v>
      </c>
      <c r="K292" s="5" t="str">
        <f t="shared" si="39"/>
        <v>10.1007%2Fs10329-026-01271-2_data</v>
      </c>
      <c r="L292" s="5" t="str">
        <f t="array" ref="L292">IFERROR(INDEX(AUTO_Public_TSV_FileList!$A$1:$A$1000,MATCH(TRUE(),EXACT(K292,IFERROR(_xlfn.TEXTBEFORE(AUTO_Public_TSV_FileList!$A$1:$A$1000,".tsv"),"")),0)),"notfound")</f>
        <v>10.1007%2Fs10329-026-01271-2_data.tsv</v>
      </c>
      <c r="M292" s="1" t="s">
        <v>1064</v>
      </c>
      <c r="P292" s="1" t="s">
        <v>36</v>
      </c>
      <c r="X292" s="1" t="s">
        <v>1065</v>
      </c>
      <c r="AB292" s="1" t="s">
        <v>1066</v>
      </c>
      <c r="AE292" s="1" t="s">
        <v>66</v>
      </c>
      <c r="AF292" s="1"/>
    </row>
    <row r="293" spans="1:32" ht="17.100000000000001" customHeight="1">
      <c r="A293" s="1" t="s">
        <v>1067</v>
      </c>
      <c r="D293" s="1" t="s">
        <v>70</v>
      </c>
      <c r="E293" s="5" t="str">
        <f t="shared" si="36"/>
        <v>Semendeferi</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293" s="5" t="str">
        <f t="shared" si="41"/>
        <v>2000</v>
      </c>
      <c r="H293" s="5" t="str">
        <f t="shared" si="37"/>
        <v>Semendeferi_Damasio_2000</v>
      </c>
      <c r="I293" s="5" t="str">
        <f t="shared" si="42"/>
        <v>10.1006%2Fjhev.1999.0381</v>
      </c>
      <c r="J293" s="5" t="str">
        <f t="shared" si="38"/>
        <v>Semendeferi_Damasio_2000_Table2</v>
      </c>
      <c r="K293" s="5" t="str">
        <f t="shared" si="39"/>
        <v>10.1006%2Fjhev.1999.0381_Table2</v>
      </c>
      <c r="L293" s="5" t="str">
        <f t="array" ref="L293">IFERROR(INDEX(AUTO_Public_TSV_FileList!$A$1:$A$1000,MATCH(TRUE(),EXACT(K293,IFERROR(_xlfn.TEXTBEFORE(AUTO_Public_TSV_FileList!$A$1:$A$1000,".tsv"),"")),0)),"notfound")</f>
        <v>10.1006%2Fjhev.1999.0381_Table2.tsv</v>
      </c>
      <c r="P293" s="1" t="s">
        <v>36</v>
      </c>
    </row>
    <row r="294" spans="1:32" ht="17.100000000000001" customHeight="1">
      <c r="A294" s="1" t="s">
        <v>1068</v>
      </c>
      <c r="D294" s="1" t="s">
        <v>103</v>
      </c>
      <c r="E294" s="5" t="str">
        <f t="shared" si="36"/>
        <v>Semendeferi</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5" t="str">
        <f t="shared" si="41"/>
        <v>1998</v>
      </c>
      <c r="H294" s="5" t="str">
        <f t="shared" si="37"/>
        <v>Semendeferi_etal_1998</v>
      </c>
      <c r="I294" s="5" t="str">
        <f t="shared" si="42"/>
        <v>10.1002%2F(SICI)1096-8644(199806)106%3A2%3C129%3A%3AAID-AJPA3%3E3.0.CO;2-L</v>
      </c>
      <c r="J294" s="5" t="str">
        <f t="shared" si="38"/>
        <v>Semendeferi_etal_1998_TABLE2</v>
      </c>
      <c r="K294" s="5" t="str">
        <f t="shared" si="39"/>
        <v>10.1002%2F(SICI)1096-8644(199806)106%3A2%3C129%3A%3AAID-AJPA3%3E3.0.CO;2-L_TABLE2</v>
      </c>
      <c r="L294" s="5" t="str">
        <f t="array" ref="L294">IFERROR(INDEX(AUTO_Public_TSV_FileList!$A$1:$A$1000,MATCH(TRUE(),EXACT(K294,IFERROR(_xlfn.TEXTBEFORE(AUTO_Public_TSV_FileList!$A$1:$A$1000,".tsv"),"")),0)),"notfound")</f>
        <v>10.1002%2F(SICI)1096-8644(199806)106%3A2%3C129%3A%3AAID-AJPA3%3E3.0.CO;2-L_TABLE2.tsv</v>
      </c>
      <c r="M294" s="1" t="s">
        <v>1069</v>
      </c>
      <c r="P294" s="1" t="s">
        <v>36</v>
      </c>
      <c r="W294" s="1" t="s">
        <v>87</v>
      </c>
      <c r="X294" s="1" t="s">
        <v>1070</v>
      </c>
      <c r="Z294" s="1" t="s">
        <v>83</v>
      </c>
      <c r="AA294" s="1" t="s">
        <v>123</v>
      </c>
      <c r="AB294" s="1" t="s">
        <v>90</v>
      </c>
      <c r="AC294" s="1" t="s">
        <v>84</v>
      </c>
      <c r="AE294" s="1" t="s">
        <v>66</v>
      </c>
      <c r="AF294" s="1"/>
    </row>
    <row r="295" spans="1:32" ht="17.100000000000001" customHeight="1">
      <c r="A295" s="1" t="s">
        <v>1068</v>
      </c>
      <c r="D295" s="1" t="s">
        <v>979</v>
      </c>
      <c r="E295" s="5" t="str">
        <f t="shared" si="36"/>
        <v>Semendeferi</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5" t="str">
        <f t="shared" si="41"/>
        <v>1998</v>
      </c>
      <c r="H295" s="5" t="str">
        <f t="shared" si="37"/>
        <v>Semendeferi_etal_1998</v>
      </c>
      <c r="I295" s="5" t="str">
        <f t="shared" si="42"/>
        <v>10.1002%2F(SICI)1096-8644(199806)106%3A2%3C129%3A%3AAID-AJPA3%3E3.0.CO;2-L</v>
      </c>
      <c r="J295" s="5" t="str">
        <f t="shared" si="38"/>
        <v>Semendeferi_etal_1998_TABLE4</v>
      </c>
      <c r="K295" s="5" t="str">
        <f t="shared" si="39"/>
        <v>10.1002%2F(SICI)1096-8644(199806)106%3A2%3C129%3A%3AAID-AJPA3%3E3.0.CO;2-L_TABLE4</v>
      </c>
      <c r="L295" s="5" t="str">
        <f t="array" ref="L295">IFERROR(INDEX(AUTO_Public_TSV_FileList!$A$1:$A$1000,MATCH(TRUE(),EXACT(K295,IFERROR(_xlfn.TEXTBEFORE(AUTO_Public_TSV_FileList!$A$1:$A$1000,".tsv"),"")),0)),"notfound")</f>
        <v>10.1002%2F(SICI)1096-8644(199806)106%3A2%3C129%3A%3AAID-AJPA3%3E3.0.CO;2-L_TABLE4.tsv</v>
      </c>
      <c r="M295" s="1" t="s">
        <v>1071</v>
      </c>
      <c r="P295" s="1"/>
      <c r="W295" s="1" t="s">
        <v>87</v>
      </c>
      <c r="X295" s="1" t="s">
        <v>1070</v>
      </c>
      <c r="Z295" s="1" t="s">
        <v>83</v>
      </c>
      <c r="AA295" s="1" t="s">
        <v>123</v>
      </c>
      <c r="AB295" s="1" t="s">
        <v>90</v>
      </c>
      <c r="AC295" s="1" t="s">
        <v>84</v>
      </c>
      <c r="AE295" s="1" t="s">
        <v>66</v>
      </c>
      <c r="AF295" s="1"/>
    </row>
    <row r="296" spans="1:32" ht="17.100000000000001" customHeight="1">
      <c r="A296" s="1" t="s">
        <v>1068</v>
      </c>
      <c r="D296" s="1" t="s">
        <v>983</v>
      </c>
      <c r="E296" s="5" t="str">
        <f t="shared" si="36"/>
        <v>Semendeferi</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5" t="str">
        <f t="shared" si="41"/>
        <v>1998</v>
      </c>
      <c r="H296" s="5" t="str">
        <f t="shared" si="37"/>
        <v>Semendeferi_etal_1998</v>
      </c>
      <c r="I296" s="5" t="str">
        <f t="shared" si="42"/>
        <v>10.1002%2F(SICI)1096-8644(199806)106%3A2%3C129%3A%3AAID-AJPA3%3E3.0.CO;2-L</v>
      </c>
      <c r="J296" s="5" t="str">
        <f t="shared" si="38"/>
        <v>Semendeferi_etal_1998_TABLE5</v>
      </c>
      <c r="K296" s="5" t="str">
        <f t="shared" si="39"/>
        <v>10.1002%2F(SICI)1096-8644(199806)106%3A2%3C129%3A%3AAID-AJPA3%3E3.0.CO;2-L_TABLE5</v>
      </c>
      <c r="L296" s="5" t="str">
        <f t="array" ref="L296">IFERROR(INDEX(AUTO_Public_TSV_FileList!$A$1:$A$1000,MATCH(TRUE(),EXACT(K296,IFERROR(_xlfn.TEXTBEFORE(AUTO_Public_TSV_FileList!$A$1:$A$1000,".tsv"),"")),0)),"notfound")</f>
        <v>notfound</v>
      </c>
      <c r="M296" s="1" t="s">
        <v>1072</v>
      </c>
      <c r="P296" s="1"/>
      <c r="W296" s="1" t="s">
        <v>87</v>
      </c>
      <c r="X296" s="1" t="s">
        <v>1070</v>
      </c>
      <c r="Z296" s="1" t="s">
        <v>83</v>
      </c>
      <c r="AA296" s="1" t="s">
        <v>123</v>
      </c>
      <c r="AB296" s="1" t="s">
        <v>90</v>
      </c>
      <c r="AC296" s="1" t="s">
        <v>84</v>
      </c>
      <c r="AE296" s="1" t="s">
        <v>66</v>
      </c>
      <c r="AF296" s="1"/>
    </row>
    <row r="297" spans="1:32" ht="17.100000000000001" customHeight="1">
      <c r="A297" s="1" t="s">
        <v>1073</v>
      </c>
      <c r="D297" s="1" t="s">
        <v>103</v>
      </c>
      <c r="E297" s="5" t="str">
        <f t="shared" si="36"/>
        <v>Semendeferi</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5" t="str">
        <f t="shared" si="41"/>
        <v>2001</v>
      </c>
      <c r="H297" s="5" t="str">
        <f t="shared" si="37"/>
        <v>Semendeferi_etal_2001</v>
      </c>
      <c r="I297" s="5" t="str">
        <f t="shared" si="42"/>
        <v>10.1002%2F1096-8644(200103)114%3A3%3C224%3A%3AAID-AJPA1022%3E3.0.CO;2-I</v>
      </c>
      <c r="J297" s="5" t="str">
        <f t="shared" si="38"/>
        <v>Semendeferi_etal_2001_TABLE2</v>
      </c>
      <c r="K297" s="5" t="str">
        <f t="shared" si="39"/>
        <v>10.1002%2F1096-8644(200103)114%3A3%3C224%3A%3AAID-AJPA1022%3E3.0.CO;2-I_TABLE2</v>
      </c>
      <c r="L297" s="5" t="str">
        <f t="array" ref="L297">IFERROR(INDEX(AUTO_Public_TSV_FileList!$A$1:$A$1000,MATCH(TRUE(),EXACT(K297,IFERROR(_xlfn.TEXTBEFORE(AUTO_Public_TSV_FileList!$A$1:$A$1000,".tsv"),"")),0)),"notfound")</f>
        <v>10.1002%2F1096-8644(200103)114%3A3%3C224%3A%3AAID-AJPA1022%3E3.0.CO;2-I_TABLE2.tsv</v>
      </c>
      <c r="M297" s="1" t="s">
        <v>1074</v>
      </c>
      <c r="P297" s="1" t="s">
        <v>36</v>
      </c>
      <c r="W297" s="1" t="s">
        <v>87</v>
      </c>
      <c r="X297" s="1" t="s">
        <v>1075</v>
      </c>
      <c r="Z297" s="1" t="s">
        <v>83</v>
      </c>
      <c r="AA297" s="1" t="s">
        <v>123</v>
      </c>
      <c r="AB297" s="1" t="s">
        <v>90</v>
      </c>
      <c r="AC297" s="1" t="s">
        <v>84</v>
      </c>
      <c r="AE297" s="1" t="s">
        <v>66</v>
      </c>
      <c r="AF297" s="1"/>
    </row>
    <row r="298" spans="1:32" ht="17.100000000000001" customHeight="1">
      <c r="A298" s="1" t="s">
        <v>1073</v>
      </c>
      <c r="D298" s="1" t="s">
        <v>975</v>
      </c>
      <c r="E298" s="5" t="str">
        <f t="shared" si="36"/>
        <v>Semendeferi</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5" t="str">
        <f t="shared" si="41"/>
        <v>2001</v>
      </c>
      <c r="H298" s="5" t="str">
        <f t="shared" si="37"/>
        <v>Semendeferi_etal_2001</v>
      </c>
      <c r="I298" s="5" t="str">
        <f t="shared" si="42"/>
        <v>10.1002%2F1096-8644(200103)114%3A3%3C224%3A%3AAID-AJPA1022%3E3.0.CO;2-I</v>
      </c>
      <c r="J298" s="5" t="str">
        <f t="shared" si="38"/>
        <v>Semendeferi_etal_2001_TABLE3</v>
      </c>
      <c r="K298" s="5" t="str">
        <f t="shared" si="39"/>
        <v>10.1002%2F1096-8644(200103)114%3A3%3C224%3A%3AAID-AJPA1022%3E3.0.CO;2-I_TABLE3</v>
      </c>
      <c r="L298" s="5" t="str">
        <f t="array" ref="L298">IFERROR(INDEX(AUTO_Public_TSV_FileList!$A$1:$A$1000,MATCH(TRUE(),EXACT(K298,IFERROR(_xlfn.TEXTBEFORE(AUTO_Public_TSV_FileList!$A$1:$A$1000,".tsv"),"")),0)),"notfound")</f>
        <v>10.1002%2F1096-8644(200103)114%3A3%3C224%3A%3AAID-AJPA1022%3E3.0.CO;2-I_TABLE3.tsv</v>
      </c>
      <c r="M298" s="1" t="s">
        <v>1076</v>
      </c>
      <c r="P298" s="1"/>
      <c r="W298" s="1" t="s">
        <v>87</v>
      </c>
      <c r="X298" s="1" t="s">
        <v>1075</v>
      </c>
      <c r="Z298" s="1" t="s">
        <v>83</v>
      </c>
      <c r="AA298" s="1"/>
      <c r="AB298" s="1"/>
      <c r="AC298" s="1" t="s">
        <v>84</v>
      </c>
      <c r="AE298" s="1" t="s">
        <v>66</v>
      </c>
      <c r="AF298" s="1"/>
    </row>
    <row r="299" spans="1:32" ht="17.100000000000001" customHeight="1">
      <c r="A299" s="1" t="s">
        <v>1073</v>
      </c>
      <c r="D299" s="1" t="s">
        <v>979</v>
      </c>
      <c r="E299" s="5" t="str">
        <f t="shared" si="36"/>
        <v>Semendeferi</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5" t="str">
        <f t="shared" si="41"/>
        <v>2001</v>
      </c>
      <c r="H299" s="5" t="str">
        <f t="shared" si="37"/>
        <v>Semendeferi_etal_2001</v>
      </c>
      <c r="I299" s="5" t="str">
        <f t="shared" si="42"/>
        <v>10.1002%2F1096-8644(200103)114%3A3%3C224%3A%3AAID-AJPA1022%3E3.0.CO;2-I</v>
      </c>
      <c r="J299" s="5" t="str">
        <f t="shared" si="38"/>
        <v>Semendeferi_etal_2001_TABLE4</v>
      </c>
      <c r="K299" s="5" t="str">
        <f t="shared" si="39"/>
        <v>10.1002%2F1096-8644(200103)114%3A3%3C224%3A%3AAID-AJPA1022%3E3.0.CO;2-I_TABLE4</v>
      </c>
      <c r="L299" s="5" t="str">
        <f t="array" ref="L299">IFERROR(INDEX(AUTO_Public_TSV_FileList!$A$1:$A$1000,MATCH(TRUE(),EXACT(K299,IFERROR(_xlfn.TEXTBEFORE(AUTO_Public_TSV_FileList!$A$1:$A$1000,".tsv"),"")),0)),"notfound")</f>
        <v>notfound</v>
      </c>
      <c r="M299" s="1" t="s">
        <v>1077</v>
      </c>
      <c r="P299" s="1"/>
      <c r="W299" s="1" t="s">
        <v>87</v>
      </c>
      <c r="X299" s="1" t="s">
        <v>1075</v>
      </c>
      <c r="Z299" s="1" t="s">
        <v>83</v>
      </c>
      <c r="AC299" s="1" t="s">
        <v>84</v>
      </c>
      <c r="AE299" s="1" t="s">
        <v>66</v>
      </c>
      <c r="AF299" s="1"/>
    </row>
    <row r="300" spans="1:32" ht="17.100000000000001" customHeight="1">
      <c r="A300" s="1" t="s">
        <v>1078</v>
      </c>
      <c r="D300" s="1" t="s">
        <v>81</v>
      </c>
      <c r="E300" s="5" t="str">
        <f t="shared" si="36"/>
        <v>Semendeferi</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5" t="str">
        <f t="shared" si="41"/>
        <v>2002</v>
      </c>
      <c r="H300" s="5" t="str">
        <f t="shared" si="37"/>
        <v>Semendeferi_etal_2002</v>
      </c>
      <c r="I300" s="5" t="str">
        <f t="shared" si="42"/>
        <v>10.1038%2Fnn814</v>
      </c>
      <c r="J300" s="5" t="str">
        <f t="shared" si="38"/>
        <v>Semendeferi_etal_2002_Table1</v>
      </c>
      <c r="K300" s="5" t="str">
        <f t="shared" si="39"/>
        <v>10.1038%2Fnn814_Table1</v>
      </c>
      <c r="L300" s="5" t="str">
        <f t="array" ref="L300">IFERROR(INDEX(AUTO_Public_TSV_FileList!$A$1:$A$1000,MATCH(TRUE(),EXACT(K300,IFERROR(_xlfn.TEXTBEFORE(AUTO_Public_TSV_FileList!$A$1:$A$1000,".tsv"),"")),0)),"notfound")</f>
        <v>10.1038%2Fnn814_Table1.tsv</v>
      </c>
      <c r="M300" s="1" t="s">
        <v>1079</v>
      </c>
      <c r="P300" s="1" t="s">
        <v>36</v>
      </c>
      <c r="W300" s="1" t="s">
        <v>87</v>
      </c>
      <c r="X300" s="1" t="s">
        <v>1080</v>
      </c>
      <c r="Z300" s="1" t="s">
        <v>83</v>
      </c>
      <c r="AA300" s="1" t="s">
        <v>123</v>
      </c>
      <c r="AB300" s="1" t="s">
        <v>90</v>
      </c>
      <c r="AC300" s="1" t="s">
        <v>84</v>
      </c>
      <c r="AE300" s="1" t="s">
        <v>66</v>
      </c>
      <c r="AF300" s="1"/>
    </row>
    <row r="301" spans="1:32" ht="17.100000000000001" customHeight="1">
      <c r="A301" s="1" t="s">
        <v>1081</v>
      </c>
      <c r="D301" s="1" t="s">
        <v>314</v>
      </c>
      <c r="E301" s="5" t="str">
        <f t="shared" si="36"/>
        <v>Seymour</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5" t="str">
        <f t="shared" si="41"/>
        <v>2015</v>
      </c>
      <c r="H301" s="5" t="str">
        <f t="shared" si="37"/>
        <v>Seymour_etal_2015</v>
      </c>
      <c r="I301" s="5" t="str">
        <f t="shared" si="42"/>
        <v>10.1242%2Fjeb.124826</v>
      </c>
      <c r="J301" s="5" t="str">
        <f t="shared" si="38"/>
        <v>Seymour_etal_2015_TableS1</v>
      </c>
      <c r="K301" s="5" t="str">
        <f t="shared" si="39"/>
        <v>10.1242%2Fjeb.124826_TableS1</v>
      </c>
      <c r="L301" s="5" t="str">
        <f t="array" ref="L301">IFERROR(INDEX(AUTO_Public_TSV_FileList!$A$1:$A$1000,MATCH(TRUE(),EXACT(K301,IFERROR(_xlfn.TEXTBEFORE(AUTO_Public_TSV_FileList!$A$1:$A$1000,".tsv"),"")),0)),"notfound")</f>
        <v>10.1242%2Fjeb.124826_TableS1.tsv</v>
      </c>
      <c r="P301" s="1" t="s">
        <v>36</v>
      </c>
    </row>
    <row r="302" spans="1:32" ht="17.100000000000001" customHeight="1">
      <c r="A302" s="1" t="s">
        <v>1082</v>
      </c>
      <c r="D302" s="1" t="s">
        <v>314</v>
      </c>
      <c r="E302" s="5" t="str">
        <f t="shared" si="36"/>
        <v>Seymour</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5" t="str">
        <f t="shared" si="41"/>
        <v>2017</v>
      </c>
      <c r="H302" s="5" t="str">
        <f t="shared" si="37"/>
        <v>Seymour_etal_2017</v>
      </c>
      <c r="I302" s="5" t="str">
        <f t="shared" si="42"/>
        <v>10.1098%2Frsos.170846</v>
      </c>
      <c r="J302" s="5" t="str">
        <f t="shared" si="38"/>
        <v>Seymour_etal_2017_TableS1</v>
      </c>
      <c r="K302" s="5" t="str">
        <f t="shared" si="39"/>
        <v>10.1098%2Frsos.170846_TableS1</v>
      </c>
      <c r="L302" s="5" t="str">
        <f t="array" ref="L302">IFERROR(INDEX(AUTO_Public_TSV_FileList!$A$1:$A$1000,MATCH(TRUE(),EXACT(K302,IFERROR(_xlfn.TEXTBEFORE(AUTO_Public_TSV_FileList!$A$1:$A$1000,".tsv"),"")),0)),"notfound")</f>
        <v>10.1098%2Frsos.170846_TableS1.tsv</v>
      </c>
      <c r="P302" s="1" t="s">
        <v>36</v>
      </c>
    </row>
    <row r="303" spans="1:32" ht="17.100000000000001" customHeight="1">
      <c r="A303" s="1" t="s">
        <v>1083</v>
      </c>
      <c r="D303" s="1" t="s">
        <v>1084</v>
      </c>
      <c r="E303" s="5" t="str">
        <f t="shared" si="36"/>
        <v>Seymour</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5" t="str">
        <f t="shared" si="41"/>
        <v>2019</v>
      </c>
      <c r="H303" s="5" t="str">
        <f t="shared" si="37"/>
        <v>Seymour_etal_2019</v>
      </c>
      <c r="I303" s="5" t="str">
        <f t="shared" si="42"/>
        <v>10.1098%2Frspb.2019.2208</v>
      </c>
      <c r="J303" s="5" t="str">
        <f t="shared" si="38"/>
        <v>Seymour_etal_2019_rspb20192208si002</v>
      </c>
      <c r="K303" s="5" t="str">
        <f t="shared" si="39"/>
        <v>10.1098%2Frspb.2019.2208_rspb20192208si002</v>
      </c>
      <c r="L303" s="5" t="str">
        <f t="array" ref="L303">IFERROR(INDEX(AUTO_Public_TSV_FileList!$A$1:$A$1000,MATCH(TRUE(),EXACT(K303,IFERROR(_xlfn.TEXTBEFORE(AUTO_Public_TSV_FileList!$A$1:$A$1000,".tsv"),"")),0)),"notfound")</f>
        <v>10.1098%2Frspb.2019.2208_rspb20192208si002.tsv</v>
      </c>
      <c r="P303" s="1" t="s">
        <v>36</v>
      </c>
    </row>
    <row r="304" spans="1:32" ht="17.100000000000001" customHeight="1">
      <c r="A304" s="1" t="s">
        <v>1085</v>
      </c>
      <c r="D304" s="1" t="s">
        <v>887</v>
      </c>
      <c r="E304" s="5" t="str">
        <f t="shared" si="36"/>
        <v>Sherwood</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5" t="str">
        <f t="shared" si="41"/>
        <v>2004</v>
      </c>
      <c r="H304" s="5" t="str">
        <f t="shared" si="37"/>
        <v>Sherwood_etal_2004</v>
      </c>
      <c r="I304" s="5" t="str">
        <f t="shared" si="42"/>
        <v>10.1002%2Fajp.20048</v>
      </c>
      <c r="J304" s="5" t="str">
        <f t="shared" si="38"/>
        <v>Sherwood_etal_2004_TABLEI</v>
      </c>
      <c r="K304" s="5" t="str">
        <f t="shared" si="39"/>
        <v>10.1002%2Fajp.20048_TABLEI</v>
      </c>
      <c r="L304" s="5" t="str">
        <f t="array" ref="L304">IFERROR(INDEX(AUTO_Public_TSV_FileList!$A$1:$A$1000,MATCH(TRUE(),EXACT(K304,IFERROR(_xlfn.TEXTBEFORE(AUTO_Public_TSV_FileList!$A$1:$A$1000,".tsv"),"")),0)),"notfound")</f>
        <v>10.1002%2Fajp.20048_TABLEI.tsv</v>
      </c>
      <c r="M304" s="1" t="s">
        <v>1086</v>
      </c>
      <c r="P304" s="1" t="s">
        <v>36</v>
      </c>
      <c r="Z304" s="1" t="s">
        <v>922</v>
      </c>
      <c r="AA304" s="1" t="s">
        <v>123</v>
      </c>
      <c r="AB304" s="1" t="s">
        <v>90</v>
      </c>
      <c r="AC304" s="1" t="s">
        <v>1087</v>
      </c>
      <c r="AD304" s="1" t="s">
        <v>1088</v>
      </c>
      <c r="AE304" s="1" t="s">
        <v>66</v>
      </c>
      <c r="AF304" s="1"/>
    </row>
    <row r="305" spans="1:33" ht="17.100000000000001" customHeight="1">
      <c r="A305" s="1" t="s">
        <v>1085</v>
      </c>
      <c r="B305" s="1"/>
      <c r="D305" s="1" t="s">
        <v>105</v>
      </c>
      <c r="E305" s="5" t="str">
        <f t="shared" si="36"/>
        <v>Sherwood</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5" t="str">
        <f t="shared" si="41"/>
        <v>2004</v>
      </c>
      <c r="H305" s="5" t="str">
        <f t="shared" si="37"/>
        <v>Sherwood_etal_2004</v>
      </c>
      <c r="I305" s="5" t="str">
        <f t="shared" si="42"/>
        <v>10.1002%2Fajp.20048</v>
      </c>
      <c r="J305" s="5" t="str">
        <f t="shared" si="38"/>
        <v>Sherwood_etal_2004_unpublishedviaDeCasien</v>
      </c>
      <c r="K305" s="5" t="str">
        <f t="shared" si="39"/>
        <v>10.1002%2Fajp.20048_unpublishedviaDeCasien</v>
      </c>
      <c r="L305" s="5" t="str">
        <f t="array" ref="L305">IFERROR(INDEX(AUTO_Public_TSV_FileList!$A$1:$A$1000,MATCH(TRUE(),EXACT(K305,IFERROR(_xlfn.TEXTBEFORE(AUTO_Public_TSV_FileList!$A$1:$A$1000,".tsv"),"")),0)),"notfound")</f>
        <v>10.1002%2Fajp.20048_unpublishedviaDeCasien.tsv</v>
      </c>
      <c r="O305" s="1" t="s">
        <v>106</v>
      </c>
      <c r="P305" s="1" t="s">
        <v>36</v>
      </c>
      <c r="Z305" s="1" t="s">
        <v>922</v>
      </c>
      <c r="AA305" s="1" t="s">
        <v>123</v>
      </c>
      <c r="AB305" s="1" t="s">
        <v>90</v>
      </c>
      <c r="AC305" s="1" t="s">
        <v>1087</v>
      </c>
      <c r="AD305" s="1" t="s">
        <v>1088</v>
      </c>
      <c r="AE305" s="1" t="s">
        <v>66</v>
      </c>
      <c r="AF305" s="1"/>
    </row>
    <row r="306" spans="1:33" ht="17.100000000000001" customHeight="1">
      <c r="A306" s="1" t="s">
        <v>1089</v>
      </c>
      <c r="B306" s="1"/>
      <c r="D306" s="1" t="s">
        <v>81</v>
      </c>
      <c r="E306" s="5" t="str">
        <f t="shared" si="36"/>
        <v>Sherwood</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5" t="str">
        <f t="shared" si="41"/>
        <v>2005</v>
      </c>
      <c r="H306" s="5" t="str">
        <f t="shared" si="37"/>
        <v>Sherwood_etal_2005</v>
      </c>
      <c r="I306" s="5" t="str">
        <f t="shared" si="42"/>
        <v>10.1016%2Fj.jhevol.2004.10.003</v>
      </c>
      <c r="J306" s="5" t="str">
        <f t="shared" si="38"/>
        <v>Sherwood_etal_2005_Table1</v>
      </c>
      <c r="K306" s="5" t="str">
        <f t="shared" si="39"/>
        <v>10.1016%2Fj.jhevol.2004.10.003_Table1</v>
      </c>
      <c r="L306" s="5" t="str">
        <f t="array" ref="L306">IFERROR(INDEX(AUTO_Public_TSV_FileList!$A$1:$A$1000,MATCH(TRUE(),EXACT(K306,IFERROR(_xlfn.TEXTBEFORE(AUTO_Public_TSV_FileList!$A$1:$A$1000,".tsv"),"")),0)),"notfound")</f>
        <v>10.1016%2Fj.jhevol.2004.10.003_Table1.tsv</v>
      </c>
      <c r="M306" s="1" t="s">
        <v>1090</v>
      </c>
      <c r="N306" s="1" t="s">
        <v>35</v>
      </c>
      <c r="P306" s="1" t="s">
        <v>36</v>
      </c>
      <c r="W306" s="1" t="s">
        <v>1091</v>
      </c>
      <c r="X306" s="1" t="s">
        <v>1092</v>
      </c>
      <c r="Z306" s="1" t="s">
        <v>83</v>
      </c>
      <c r="AA306" s="1" t="s">
        <v>123</v>
      </c>
      <c r="AB306" s="1" t="s">
        <v>90</v>
      </c>
      <c r="AC306" s="1" t="s">
        <v>112</v>
      </c>
      <c r="AD306" s="1" t="s">
        <v>378</v>
      </c>
      <c r="AE306" s="1" t="s">
        <v>66</v>
      </c>
      <c r="AF306" s="1"/>
    </row>
    <row r="307" spans="1:33" ht="17.100000000000001" customHeight="1">
      <c r="A307" s="1" t="s">
        <v>1093</v>
      </c>
      <c r="B307" s="1" t="s">
        <v>1094</v>
      </c>
      <c r="D307" s="1" t="s">
        <v>34</v>
      </c>
      <c r="E307" s="5" t="str">
        <f t="shared" si="36"/>
        <v>Sherwood</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5" t="str">
        <f t="shared" si="41"/>
        <v>2004</v>
      </c>
      <c r="H307" s="5" t="str">
        <f t="shared" si="37"/>
        <v>Sherwood_etal_2004_I</v>
      </c>
      <c r="I307" s="5" t="str">
        <f t="shared" si="42"/>
        <v>10.1159%2F000075672</v>
      </c>
      <c r="J307" s="5" t="str">
        <f t="shared" si="38"/>
        <v>Sherwood_etal_2004_I_Table4</v>
      </c>
      <c r="K307" s="5" t="str">
        <f t="shared" si="39"/>
        <v>10.1159%2F000075672_Table4</v>
      </c>
      <c r="L307" s="5" t="str">
        <f t="array" ref="L307">IFERROR(INDEX(AUTO_Public_TSV_FileList!$A$1:$A$1000,MATCH(TRUE(),EXACT(K307,IFERROR(_xlfn.TEXTBEFORE(AUTO_Public_TSV_FileList!$A$1:$A$1000,".tsv"),"")),0)),"notfound")</f>
        <v>10.1159%2F000075672_Table4.tsv</v>
      </c>
      <c r="M307" s="1" t="s">
        <v>1095</v>
      </c>
      <c r="N307" s="1" t="s">
        <v>40</v>
      </c>
      <c r="P307" s="1" t="s">
        <v>36</v>
      </c>
      <c r="W307" s="1" t="s">
        <v>93</v>
      </c>
      <c r="X307" s="1" t="s">
        <v>1096</v>
      </c>
      <c r="Z307" s="1" t="s">
        <v>83</v>
      </c>
      <c r="AB307" s="1" t="s">
        <v>1097</v>
      </c>
      <c r="AC307" s="1" t="s">
        <v>84</v>
      </c>
      <c r="AD307" s="1" t="s">
        <v>84</v>
      </c>
      <c r="AE307" s="1" t="s">
        <v>66</v>
      </c>
      <c r="AF307" s="1"/>
    </row>
    <row r="308" spans="1:33" ht="17.100000000000001" customHeight="1">
      <c r="A308" s="1" t="s">
        <v>1093</v>
      </c>
      <c r="B308" s="1" t="s">
        <v>1094</v>
      </c>
      <c r="D308" s="1" t="s">
        <v>74</v>
      </c>
      <c r="E308" s="5" t="str">
        <f t="shared" si="36"/>
        <v>Sherwood</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5" t="str">
        <f t="shared" si="41"/>
        <v>2004</v>
      </c>
      <c r="H308" s="5" t="str">
        <f t="shared" si="37"/>
        <v>Sherwood_etal_2004_I</v>
      </c>
      <c r="I308" s="5" t="str">
        <f t="shared" si="42"/>
        <v>10.1159%2F000075672</v>
      </c>
      <c r="J308" s="5" t="str">
        <f t="shared" si="38"/>
        <v>Sherwood_etal_2004_I_Table5</v>
      </c>
      <c r="K308" s="5" t="str">
        <f t="shared" si="39"/>
        <v>10.1159%2F000075672_Table5</v>
      </c>
      <c r="L308" s="5" t="str">
        <f t="array" ref="L308">IFERROR(INDEX(AUTO_Public_TSV_FileList!$A$1:$A$1000,MATCH(TRUE(),EXACT(K308,IFERROR(_xlfn.TEXTBEFORE(AUTO_Public_TSV_FileList!$A$1:$A$1000,".tsv"),"")),0)),"notfound")</f>
        <v>10.1159%2F000075672_Table5.tsv</v>
      </c>
      <c r="M308" s="1" t="s">
        <v>1098</v>
      </c>
      <c r="N308" s="1" t="s">
        <v>40</v>
      </c>
      <c r="P308" s="1" t="s">
        <v>36</v>
      </c>
      <c r="W308" s="1" t="s">
        <v>93</v>
      </c>
      <c r="X308" s="1" t="s">
        <v>1096</v>
      </c>
      <c r="Z308" s="1" t="s">
        <v>83</v>
      </c>
      <c r="AA308" s="1" t="s">
        <v>123</v>
      </c>
      <c r="AB308" s="1" t="s">
        <v>1097</v>
      </c>
      <c r="AD308" s="1" t="s">
        <v>378</v>
      </c>
      <c r="AE308" s="1" t="s">
        <v>66</v>
      </c>
      <c r="AF308" s="1"/>
    </row>
    <row r="309" spans="1:33" ht="17.100000000000001" customHeight="1">
      <c r="A309" s="1" t="s">
        <v>1099</v>
      </c>
      <c r="D309" s="1" t="s">
        <v>81</v>
      </c>
      <c r="E309" s="5" t="str">
        <f t="shared" si="36"/>
        <v>Sherwood</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5" t="str">
        <f t="shared" si="41"/>
        <v>2003</v>
      </c>
      <c r="H309" s="5" t="str">
        <f t="shared" si="37"/>
        <v>Sherwood_etal_2003</v>
      </c>
      <c r="I309" s="5" t="str">
        <f t="shared" si="42"/>
        <v>10.1159%2F000068879</v>
      </c>
      <c r="J309" s="5" t="str">
        <f t="shared" si="38"/>
        <v>Sherwood_etal_2003_Table1</v>
      </c>
      <c r="K309" s="5" t="str">
        <f t="shared" si="39"/>
        <v>10.1159%2F000068879_Table1</v>
      </c>
      <c r="L309" s="5" t="str">
        <f t="array" ref="L309">IFERROR(INDEX(AUTO_Public_TSV_FileList!$A$1:$A$1000,MATCH(TRUE(),EXACT(K309,IFERROR(_xlfn.TEXTBEFORE(AUTO_Public_TSV_FileList!$A$1:$A$1000,".tsv"),"")),0)),"notfound")</f>
        <v>10.1159%2F000068879_Table1.tsv</v>
      </c>
      <c r="M309" s="1" t="s">
        <v>1100</v>
      </c>
    </row>
    <row r="310" spans="1:33" ht="17.100000000000001" customHeight="1">
      <c r="A310" s="1" t="s">
        <v>1101</v>
      </c>
      <c r="D310" s="1" t="s">
        <v>314</v>
      </c>
      <c r="E310" s="5" t="str">
        <f t="shared" si="36"/>
        <v>Shultz</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10" s="5" t="str">
        <f t="shared" si="41"/>
        <v>2010</v>
      </c>
      <c r="H310" s="5" t="str">
        <f t="shared" si="37"/>
        <v>Shultz_Dunbar_2010</v>
      </c>
      <c r="I310" s="5" t="str">
        <f t="shared" si="42"/>
        <v>10.1037%2Fa0018894</v>
      </c>
      <c r="J310" s="5" t="str">
        <f t="shared" si="38"/>
        <v>Shultz_Dunbar_2010_TableS1</v>
      </c>
      <c r="K310" s="5" t="str">
        <f t="shared" si="39"/>
        <v>10.1037%2Fa0018894_TableS1</v>
      </c>
      <c r="L310" s="5" t="str">
        <f t="array" ref="L310">IFERROR(INDEX(AUTO_Public_TSV_FileList!$A$1:$A$1000,MATCH(TRUE(),EXACT(K310,IFERROR(_xlfn.TEXTBEFORE(AUTO_Public_TSV_FileList!$A$1:$A$1000,".tsv"),"")),0)),"notfound")</f>
        <v>notfound</v>
      </c>
      <c r="M310" s="3" t="s">
        <v>1102</v>
      </c>
      <c r="N310" s="1" t="s">
        <v>35</v>
      </c>
      <c r="O310" s="3" t="s">
        <v>1103</v>
      </c>
      <c r="P310" s="3"/>
      <c r="Q310" s="3"/>
      <c r="R310" s="3" t="s">
        <v>1104</v>
      </c>
      <c r="S310" s="3" t="s">
        <v>1105</v>
      </c>
      <c r="T310" s="3" t="s">
        <v>1106</v>
      </c>
      <c r="U310" s="3"/>
      <c r="V310" s="3" t="s">
        <v>326</v>
      </c>
      <c r="W310" s="3" t="s">
        <v>93</v>
      </c>
      <c r="X310" s="3" t="s">
        <v>1107</v>
      </c>
      <c r="Y310" s="3" t="s">
        <v>1108</v>
      </c>
      <c r="Z310" s="3"/>
      <c r="AA310" s="3"/>
      <c r="AB310" s="3" t="s">
        <v>1109</v>
      </c>
      <c r="AD310" s="3"/>
      <c r="AE310" s="3" t="s">
        <v>172</v>
      </c>
      <c r="AF310" s="3"/>
      <c r="AG310" s="3" t="s">
        <v>1110</v>
      </c>
    </row>
    <row r="311" spans="1:33" ht="17.100000000000001" customHeight="1">
      <c r="A311" s="1" t="s">
        <v>1111</v>
      </c>
      <c r="C311" s="1"/>
      <c r="D311" s="1" t="s">
        <v>1112</v>
      </c>
      <c r="E311" s="5" t="str">
        <f t="shared" si="36"/>
        <v>Smaers</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11" s="5" t="str">
        <f t="shared" si="41"/>
        <v>2013</v>
      </c>
      <c r="H311" s="5" t="str">
        <f t="shared" si="37"/>
        <v>Smaers_Soligo_2013</v>
      </c>
      <c r="I311" s="5" t="str">
        <f t="shared" si="42"/>
        <v>10.1098%2Frspb.2013.0269</v>
      </c>
      <c r="J311" s="5" t="str">
        <f t="shared" si="38"/>
        <v>Smaers_Soligo_2013_Supplement</v>
      </c>
      <c r="K311" s="5" t="str">
        <f t="shared" si="39"/>
        <v>10.1098%2Frspb.2013.0269_Supplement</v>
      </c>
      <c r="L311" s="5" t="str">
        <f t="array" ref="L311">IFERROR(INDEX(AUTO_Public_TSV_FileList!$A$1:$A$1000,MATCH(TRUE(),EXACT(K311,IFERROR(_xlfn.TEXTBEFORE(AUTO_Public_TSV_FileList!$A$1:$A$1000,".tsv"),"")),0)),"notfound")</f>
        <v>notfound</v>
      </c>
      <c r="M311" s="1" t="s">
        <v>1113</v>
      </c>
      <c r="W311" s="1" t="s">
        <v>1114</v>
      </c>
      <c r="X311" s="1" t="s">
        <v>1115</v>
      </c>
      <c r="Z311" s="1" t="s">
        <v>83</v>
      </c>
      <c r="AA311" s="1" t="s">
        <v>123</v>
      </c>
      <c r="AB311" s="1" t="s">
        <v>90</v>
      </c>
      <c r="AE311" s="1" t="s">
        <v>51</v>
      </c>
      <c r="AF311" s="1"/>
    </row>
    <row r="312" spans="1:33" ht="17.100000000000001" customHeight="1">
      <c r="A312" s="2" t="s">
        <v>1116</v>
      </c>
      <c r="D312" s="1" t="s">
        <v>1117</v>
      </c>
      <c r="E312" s="5" t="str">
        <f t="shared" si="36"/>
        <v>Smaers</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 t="shared" si="41"/>
        <v>2017</v>
      </c>
      <c r="H312" s="5" t="str">
        <f t="shared" si="37"/>
        <v>Smaers_etal_2017</v>
      </c>
      <c r="I312" s="5" t="str">
        <f t="shared" si="42"/>
        <v>10.1016%2Fj.cub.2017.01.020</v>
      </c>
      <c r="J312" s="5" t="str">
        <f t="shared" si="38"/>
        <v>Smaers_etal_2017_TableS1part1</v>
      </c>
      <c r="K312" s="5" t="str">
        <f t="shared" si="39"/>
        <v>10.1016%2Fj.cub.2017.01.020_TableS1part1</v>
      </c>
      <c r="L312" s="5" t="str">
        <f t="array" ref="L312">IFERROR(INDEX(AUTO_Public_TSV_FileList!$A$1:$A$1000,MATCH(TRUE(),EXACT(K312,IFERROR(_xlfn.TEXTBEFORE(AUTO_Public_TSV_FileList!$A$1:$A$1000,".tsv"),"")),0)),"notfound")</f>
        <v>10.1016%2Fj.cub.2017.01.020_TableS1part1.tsv</v>
      </c>
      <c r="M312" s="1" t="s">
        <v>1118</v>
      </c>
      <c r="N312" s="1" t="s">
        <v>35</v>
      </c>
      <c r="O312" s="1" t="s">
        <v>1119</v>
      </c>
      <c r="P312" s="1" t="s">
        <v>36</v>
      </c>
      <c r="S312" s="1" t="s">
        <v>1120</v>
      </c>
      <c r="W312" s="1" t="s">
        <v>93</v>
      </c>
      <c r="X312" s="1" t="s">
        <v>1121</v>
      </c>
      <c r="Z312" s="1" t="s">
        <v>83</v>
      </c>
      <c r="AA312" s="1" t="s">
        <v>123</v>
      </c>
      <c r="AB312" s="1" t="s">
        <v>90</v>
      </c>
      <c r="AC312" s="1" t="s">
        <v>1122</v>
      </c>
      <c r="AD312" s="1" t="s">
        <v>378</v>
      </c>
      <c r="AE312" s="1" t="s">
        <v>51</v>
      </c>
      <c r="AF312" s="1"/>
    </row>
    <row r="313" spans="1:33" ht="17.100000000000001" customHeight="1">
      <c r="A313" s="2" t="s">
        <v>1116</v>
      </c>
      <c r="D313" s="1" t="s">
        <v>1123</v>
      </c>
      <c r="E313" s="5" t="str">
        <f t="shared" si="36"/>
        <v>Smaers</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 t="shared" si="41"/>
        <v>2017</v>
      </c>
      <c r="H313" s="5" t="str">
        <f t="shared" si="37"/>
        <v>Smaers_etal_2017</v>
      </c>
      <c r="I313" s="5" t="str">
        <f t="shared" si="42"/>
        <v>10.1016%2Fj.cub.2017.01.020</v>
      </c>
      <c r="J313" s="5" t="str">
        <f t="shared" si="38"/>
        <v>Smaers_etal_2017_TableS1part2</v>
      </c>
      <c r="K313" s="5" t="str">
        <f t="shared" si="39"/>
        <v>10.1016%2Fj.cub.2017.01.020_TableS1part2</v>
      </c>
      <c r="L313" s="5" t="str">
        <f t="array" ref="L313">IFERROR(INDEX(AUTO_Public_TSV_FileList!$A$1:$A$1000,MATCH(TRUE(),EXACT(K313,IFERROR(_xlfn.TEXTBEFORE(AUTO_Public_TSV_FileList!$A$1:$A$1000,".tsv"),"")),0)),"notfound")</f>
        <v>10.1016%2Fj.cub.2017.01.020_TableS1part2.tsv</v>
      </c>
      <c r="M313" s="1" t="s">
        <v>1118</v>
      </c>
      <c r="N313" s="1" t="s">
        <v>35</v>
      </c>
      <c r="O313" s="1" t="s">
        <v>1124</v>
      </c>
      <c r="P313" s="1" t="s">
        <v>36</v>
      </c>
      <c r="S313" s="1" t="s">
        <v>1120</v>
      </c>
      <c r="W313" s="1" t="s">
        <v>93</v>
      </c>
      <c r="X313" s="1" t="s">
        <v>1121</v>
      </c>
      <c r="Z313" s="1" t="s">
        <v>83</v>
      </c>
      <c r="AA313" s="1" t="s">
        <v>123</v>
      </c>
      <c r="AB313" s="1" t="s">
        <v>90</v>
      </c>
      <c r="AC313" s="1" t="s">
        <v>1122</v>
      </c>
      <c r="AD313" s="1" t="s">
        <v>378</v>
      </c>
      <c r="AE313" s="1" t="s">
        <v>51</v>
      </c>
      <c r="AF313" s="1"/>
    </row>
    <row r="314" spans="1:33" ht="17.100000000000001" customHeight="1">
      <c r="A314" s="1" t="s">
        <v>1125</v>
      </c>
      <c r="D314" s="1" t="s">
        <v>81</v>
      </c>
      <c r="E314" s="5" t="str">
        <f t="shared" si="36"/>
        <v>Smaers</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 t="shared" si="41"/>
        <v>2010</v>
      </c>
      <c r="H314" s="5" t="str">
        <f t="shared" si="37"/>
        <v>Smaers_etal_2010</v>
      </c>
      <c r="I314" s="5" t="str">
        <f t="shared" si="42"/>
        <v>10.1371%2Fjournal.pone.0009123</v>
      </c>
      <c r="J314" s="5" t="str">
        <f t="shared" si="38"/>
        <v>Smaers_etal_2010_Table1</v>
      </c>
      <c r="K314" s="5" t="str">
        <f t="shared" si="39"/>
        <v>10.1371%2Fjournal.pone.0009123_Table1</v>
      </c>
      <c r="L314" s="5" t="str">
        <f t="array" ref="L314">IFERROR(INDEX(AUTO_Public_TSV_FileList!$A$1:$A$1000,MATCH(TRUE(),EXACT(K314,IFERROR(_xlfn.TEXTBEFORE(AUTO_Public_TSV_FileList!$A$1:$A$1000,".tsv"),"")),0)),"notfound")</f>
        <v>10.1371%2Fjournal.pone.0009123_Table1.tsv</v>
      </c>
      <c r="M314" s="1" t="s">
        <v>1126</v>
      </c>
      <c r="P314" s="2" t="s">
        <v>36</v>
      </c>
    </row>
    <row r="315" spans="1:33" ht="17.100000000000001" customHeight="1">
      <c r="A315" s="1" t="s">
        <v>1127</v>
      </c>
      <c r="D315" s="1" t="s">
        <v>254</v>
      </c>
      <c r="E315" s="5" t="str">
        <f t="shared" si="36"/>
        <v>Smaers</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 t="shared" si="41"/>
        <v>2011</v>
      </c>
      <c r="H315" s="5" t="str">
        <f t="shared" si="37"/>
        <v>Smaers_etal_2011</v>
      </c>
      <c r="I315" s="5" t="str">
        <f t="shared" si="42"/>
        <v>10.1159%2F000323671</v>
      </c>
      <c r="J315" s="5" t="str">
        <f t="shared" si="38"/>
        <v>Smaers_etal_2011_SupplementaryTable1</v>
      </c>
      <c r="K315" s="5" t="str">
        <f t="shared" si="39"/>
        <v>10.1159%2F000323671_SupplementaryTable1</v>
      </c>
      <c r="L315" s="5" t="str">
        <f t="array" ref="L315">IFERROR(INDEX(AUTO_Public_TSV_FileList!$A$1:$A$1000,MATCH(TRUE(),EXACT(K315,IFERROR(_xlfn.TEXTBEFORE(AUTO_Public_TSV_FileList!$A$1:$A$1000,".tsv"),"")),0)),"notfound")</f>
        <v>10.1159%2F000323671_SupplementaryTable1.tsv</v>
      </c>
      <c r="N315" s="1" t="s">
        <v>35</v>
      </c>
      <c r="P315" s="2" t="s">
        <v>36</v>
      </c>
      <c r="W315" s="1" t="s">
        <v>93</v>
      </c>
      <c r="X315" s="1" t="s">
        <v>1128</v>
      </c>
      <c r="Z315" s="1" t="s">
        <v>83</v>
      </c>
      <c r="AA315" s="1" t="s">
        <v>123</v>
      </c>
      <c r="AB315" s="1" t="s">
        <v>90</v>
      </c>
      <c r="AD315" s="1" t="s">
        <v>378</v>
      </c>
      <c r="AE315" s="1" t="s">
        <v>51</v>
      </c>
      <c r="AF315" s="1"/>
    </row>
    <row r="316" spans="1:33" ht="17.100000000000001" customHeight="1">
      <c r="A316" s="1" t="s">
        <v>1127</v>
      </c>
      <c r="D316" s="1" t="s">
        <v>1129</v>
      </c>
      <c r="E316" s="5" t="str">
        <f t="shared" si="36"/>
        <v>Smaers</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5" t="str">
        <f t="shared" si="41"/>
        <v>2011</v>
      </c>
      <c r="H316" s="5" t="str">
        <f t="shared" si="37"/>
        <v>Smaers_etal_2011</v>
      </c>
      <c r="I316" s="5" t="str">
        <f t="shared" si="42"/>
        <v>10.1159%2F000323671</v>
      </c>
      <c r="J316" s="5" t="str">
        <f t="shared" si="38"/>
        <v>Smaers_etal_2011_SupplementaryTable2</v>
      </c>
      <c r="K316" s="5" t="str">
        <f t="shared" si="39"/>
        <v>10.1159%2F000323671_SupplementaryTable2</v>
      </c>
      <c r="L316" s="5" t="str">
        <f t="array" ref="L316">IFERROR(INDEX(AUTO_Public_TSV_FileList!$A$1:$A$1000,MATCH(TRUE(),EXACT(K316,IFERROR(_xlfn.TEXTBEFORE(AUTO_Public_TSV_FileList!$A$1:$A$1000,".tsv"),"")),0)),"notfound")</f>
        <v>10.1159%2F000323671_SupplementaryTable2.tsv</v>
      </c>
      <c r="N316" s="1" t="s">
        <v>35</v>
      </c>
      <c r="P316" s="2" t="s">
        <v>36</v>
      </c>
      <c r="W316" s="1" t="s">
        <v>93</v>
      </c>
      <c r="X316" s="1" t="s">
        <v>1128</v>
      </c>
      <c r="Z316" s="1" t="s">
        <v>83</v>
      </c>
      <c r="AA316" s="1" t="s">
        <v>123</v>
      </c>
      <c r="AB316" s="1" t="s">
        <v>90</v>
      </c>
      <c r="AD316" s="1" t="s">
        <v>378</v>
      </c>
      <c r="AE316" s="1" t="s">
        <v>51</v>
      </c>
      <c r="AF316" s="1"/>
    </row>
    <row r="317" spans="1:33" ht="17.100000000000001" customHeight="1">
      <c r="A317" s="1" t="s">
        <v>1130</v>
      </c>
      <c r="C317" s="1"/>
      <c r="D317" s="1" t="s">
        <v>1131</v>
      </c>
      <c r="E317" s="5" t="str">
        <f t="shared" si="36"/>
        <v>Smaers</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5" t="str">
        <f t="shared" si="41"/>
        <v>2018</v>
      </c>
      <c r="H317" s="5" t="str">
        <f t="shared" si="37"/>
        <v>Smaers_etal_2018</v>
      </c>
      <c r="I317" s="5" t="str">
        <f t="shared" si="42"/>
        <v>10.7554%2FeLife.35696</v>
      </c>
      <c r="J317" s="5" t="str">
        <f t="shared" si="38"/>
        <v>Smaers_etal_2018_Figure2-data1</v>
      </c>
      <c r="K317" s="5" t="str">
        <f t="shared" si="39"/>
        <v>10.7554%2FeLife.35696_Figure2-data1</v>
      </c>
      <c r="L317" s="5" t="str">
        <f t="array" ref="L317">IFERROR(INDEX(AUTO_Public_TSV_FileList!$A$1:$A$1000,MATCH(TRUE(),EXACT(K317,IFERROR(_xlfn.TEXTBEFORE(AUTO_Public_TSV_FileList!$A$1:$A$1000,".tsv"),"")),0)),"notfound")</f>
        <v>10.7554%2FeLife.35696_Figure2-data1.tsv</v>
      </c>
      <c r="M317" s="1" t="s">
        <v>1132</v>
      </c>
      <c r="P317" s="2" t="s">
        <v>36</v>
      </c>
      <c r="W317" s="1" t="s">
        <v>131</v>
      </c>
      <c r="X317" s="1" t="s">
        <v>1133</v>
      </c>
      <c r="Z317" s="1" t="s">
        <v>83</v>
      </c>
      <c r="AA317" s="1" t="s">
        <v>123</v>
      </c>
      <c r="AB317" s="1" t="s">
        <v>90</v>
      </c>
      <c r="AD317" s="1" t="s">
        <v>378</v>
      </c>
      <c r="AE317" s="1" t="s">
        <v>51</v>
      </c>
      <c r="AF317" s="1"/>
    </row>
    <row r="318" spans="1:33" ht="17.100000000000001" customHeight="1">
      <c r="A318" s="1" t="s">
        <v>1134</v>
      </c>
      <c r="C318" s="1"/>
      <c r="D318" s="1" t="s">
        <v>81</v>
      </c>
      <c r="E318" s="5" t="str">
        <f t="shared" si="36"/>
        <v>Stephan</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18" s="5" t="str">
        <f t="shared" si="41"/>
        <v>1970</v>
      </c>
      <c r="H318" s="5" t="str">
        <f t="shared" si="37"/>
        <v>Stephan_Pirlot_1970</v>
      </c>
      <c r="I318" s="5" t="str">
        <f t="shared" si="42"/>
        <v>10.1111%2Fj.1439-0469.1970.tb00876.x</v>
      </c>
      <c r="J318" s="5" t="str">
        <f t="shared" si="38"/>
        <v>Stephan_Pirlot_1970_Table1</v>
      </c>
      <c r="K318" s="5" t="str">
        <f t="shared" si="39"/>
        <v>10.1111%2Fj.1439-0469.1970.tb00876.x_Table1</v>
      </c>
      <c r="L318" s="5" t="str">
        <f t="array" ref="L318">IFERROR(INDEX(AUTO_Public_TSV_FileList!$A$1:$A$1000,MATCH(TRUE(),EXACT(K318,IFERROR(_xlfn.TEXTBEFORE(AUTO_Public_TSV_FileList!$A$1:$A$1000,".tsv"),"")),0)),"notfound")</f>
        <v>10.1111%2Fj.1439-0469.1970.tb00876.x_Table1.tsv</v>
      </c>
      <c r="M318" s="3" t="s">
        <v>1135</v>
      </c>
      <c r="N318" s="1" t="s">
        <v>35</v>
      </c>
      <c r="P318" s="3"/>
      <c r="Q318" s="3"/>
      <c r="R318" s="3" t="s">
        <v>1136</v>
      </c>
      <c r="S318" s="3" t="s">
        <v>1137</v>
      </c>
      <c r="T318" s="3" t="s">
        <v>1138</v>
      </c>
      <c r="U318" s="3"/>
      <c r="W318" s="3" t="s">
        <v>131</v>
      </c>
      <c r="X318" s="3" t="s">
        <v>1139</v>
      </c>
      <c r="Y318" s="3" t="s">
        <v>1140</v>
      </c>
      <c r="Z318" s="3" t="s">
        <v>83</v>
      </c>
      <c r="AA318" s="3" t="s">
        <v>1141</v>
      </c>
      <c r="AB318" s="3" t="s">
        <v>90</v>
      </c>
      <c r="AC318" s="3" t="s">
        <v>112</v>
      </c>
      <c r="AD318" s="3" t="s">
        <v>112</v>
      </c>
      <c r="AE318" s="3" t="s">
        <v>66</v>
      </c>
      <c r="AF318" s="3"/>
      <c r="AG318" s="3" t="s">
        <v>1142</v>
      </c>
    </row>
    <row r="319" spans="1:33" ht="17.100000000000001" customHeight="1">
      <c r="A319" s="1" t="s">
        <v>1143</v>
      </c>
      <c r="C319" s="1" t="s">
        <v>1144</v>
      </c>
      <c r="D319" s="1" t="s">
        <v>81</v>
      </c>
      <c r="E319" s="5" t="str">
        <f t="shared" si="36"/>
        <v>Stephan</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5" t="str">
        <f t="shared" si="41"/>
        <v>1982</v>
      </c>
      <c r="H319" s="5" t="str">
        <f t="shared" si="37"/>
        <v>Stephan_etal_1982</v>
      </c>
      <c r="I319" s="5" t="str">
        <f t="shared" si="42"/>
        <v>PMID%3A7161483</v>
      </c>
      <c r="J319" s="5" t="str">
        <f t="shared" si="38"/>
        <v>Stephan_etal_1982_Table1</v>
      </c>
      <c r="K319" s="5" t="str">
        <f t="shared" si="39"/>
        <v>PMID%3A7161483_Table1</v>
      </c>
      <c r="L319" s="5" t="str">
        <f t="array" ref="L319">IFERROR(INDEX(AUTO_Public_TSV_FileList!$A$1:$A$1000,MATCH(TRUE(),EXACT(K319,IFERROR(_xlfn.TEXTBEFORE(AUTO_Public_TSV_FileList!$A$1:$A$1000,".tsv"),"")),0)),"notfound")</f>
        <v>PMID%3A7161483_Table1.tsv</v>
      </c>
      <c r="M319" s="1" t="s">
        <v>1145</v>
      </c>
      <c r="N319" s="1" t="s">
        <v>35</v>
      </c>
      <c r="P319" s="1" t="s">
        <v>36</v>
      </c>
      <c r="W319" s="1" t="s">
        <v>110</v>
      </c>
      <c r="X319" s="1" t="s">
        <v>165</v>
      </c>
      <c r="Z319" s="1" t="s">
        <v>83</v>
      </c>
      <c r="AA319" s="1" t="s">
        <v>123</v>
      </c>
      <c r="AB319" s="1" t="s">
        <v>90</v>
      </c>
      <c r="AC319" s="1" t="s">
        <v>112</v>
      </c>
      <c r="AD319" s="1" t="s">
        <v>112</v>
      </c>
      <c r="AE319" s="1" t="s">
        <v>66</v>
      </c>
      <c r="AF319" s="1"/>
    </row>
    <row r="320" spans="1:33" ht="17.100000000000001" customHeight="1">
      <c r="A320" s="1" t="s">
        <v>1146</v>
      </c>
      <c r="C320" s="1" t="s">
        <v>1147</v>
      </c>
      <c r="D320" s="1" t="s">
        <v>58</v>
      </c>
      <c r="E320" s="5" t="str">
        <f t="shared" si="36"/>
        <v>Stephan</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 t="shared" si="41"/>
        <v>1988</v>
      </c>
      <c r="H320" s="5" t="str">
        <f t="shared" si="37"/>
        <v>Stephan_etal_1988</v>
      </c>
      <c r="I320" s="5" t="str">
        <f t="shared" ref="I320:I351" si="43">_xlfn.LET(
_xlpm.doi,IF(C320&lt;&gt;"",C320,_xlfn.TEXTAFTER(A320,"https://doi.org/")),
SUBSTITUTE(
SUBSTITUTE(
SUBSTITUTE(
SUBSTITUTE(
_xlpm.doi,
"/","%2F"),
":","%3A"),
"&lt;","%3C"),
"&gt;","%3E")
)</f>
        <v>ISBN%3A0845140000</v>
      </c>
      <c r="J320" s="5" t="str">
        <f t="shared" si="38"/>
        <v>Stephan_etal_1988_TABLE1</v>
      </c>
      <c r="K320" s="5" t="str">
        <f t="shared" si="39"/>
        <v>ISBN%3A0845140000_TABLE1</v>
      </c>
      <c r="L320" s="5" t="str">
        <f t="array" ref="L320">IFERROR(INDEX(AUTO_Public_TSV_FileList!$A$1:$A$1000,MATCH(TRUE(),EXACT(K320,IFERROR(_xlfn.TEXTBEFORE(AUTO_Public_TSV_FileList!$A$1:$A$1000,".tsv"),"")),0)),"notfound")</f>
        <v>ISBN%3A0845140000_TABLE1.tsv</v>
      </c>
      <c r="M320" s="1" t="s">
        <v>1148</v>
      </c>
      <c r="P320" s="2" t="s">
        <v>36</v>
      </c>
    </row>
    <row r="321" spans="1:32" ht="17.100000000000001" customHeight="1">
      <c r="A321" s="1" t="s">
        <v>1149</v>
      </c>
      <c r="C321" s="1"/>
      <c r="D321" s="1" t="s">
        <v>126</v>
      </c>
      <c r="E321" s="5" t="str">
        <f t="shared" si="36"/>
        <v>Stephan</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 t="shared" si="41"/>
        <v>1991</v>
      </c>
      <c r="H321" s="5" t="str">
        <f t="shared" si="37"/>
        <v>Stephan_etal_1991</v>
      </c>
      <c r="I321" s="5" t="str">
        <f t="shared" si="43"/>
        <v>10.1007%2F978-1-4613-9124-1</v>
      </c>
      <c r="J321" s="5" t="str">
        <f t="shared" si="38"/>
        <v>Stephan_etal_1991_Table10</v>
      </c>
      <c r="K321" s="5" t="str">
        <f t="shared" si="39"/>
        <v>10.1007%2F978-1-4613-9124-1_Table10</v>
      </c>
      <c r="L321" s="5" t="str">
        <f t="array" ref="L321">IFERROR(INDEX(AUTO_Public_TSV_FileList!$A$1:$A$1000,MATCH(TRUE(),EXACT(K321,IFERROR(_xlfn.TEXTBEFORE(AUTO_Public_TSV_FileList!$A$1:$A$1000,".tsv"),"")),0)),"notfound")</f>
        <v>notfound</v>
      </c>
      <c r="M321" s="1" t="s">
        <v>1150</v>
      </c>
      <c r="W321" s="1"/>
      <c r="X321" s="1"/>
      <c r="Z321" s="1"/>
      <c r="AA321" s="1"/>
      <c r="AB321" s="1"/>
      <c r="AD321" s="1"/>
      <c r="AE321" s="1"/>
      <c r="AF321" s="1"/>
    </row>
    <row r="322" spans="1:32" ht="17.100000000000001" customHeight="1">
      <c r="A322" s="1" t="s">
        <v>1149</v>
      </c>
      <c r="C322" s="1"/>
      <c r="D322" s="1" t="s">
        <v>127</v>
      </c>
      <c r="E322" s="5" t="str">
        <f t="shared" ref="E322:E384" si="44">SUBSTITUTE(SUBSTITUTE(_xlfn.TEXTBEFORE(A322,","), "-", ""), " ", "")</f>
        <v>Stephan</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5" t="str">
        <f t="shared" si="41"/>
        <v>1991</v>
      </c>
      <c r="H322" s="5" t="str">
        <f t="shared" ref="H322:H384" si="45">E322 &amp; IF(F322&lt;&gt;"", "_" &amp; F322, "_") &amp; IF(G322&lt;&gt;"", "_" &amp; G322, "_") &amp; IF(B322&lt;&gt;"", "_" &amp; B322, "")</f>
        <v>Stephan_etal_1991</v>
      </c>
      <c r="I322" s="5" t="str">
        <f t="shared" si="43"/>
        <v>10.1007%2F978-1-4613-9124-1</v>
      </c>
      <c r="J322" s="5" t="str">
        <f t="shared" ref="J322:J384" si="46">TRIM(_xlfn.TEXTJOIN("_",FALSE(),H322,(SUBSTITUTE(SUBSTITUTE(D322," ",""), "_", ""))))</f>
        <v>Stephan_etal_1991_Table13</v>
      </c>
      <c r="K322" s="5" t="str">
        <f t="shared" ref="K322:K384" si="47">I322 &amp; "_" &amp; SUBSTITUTE(SUBSTITUTE(SUBSTITUTE(D322,CHAR(160),"")," ",""),"_","")</f>
        <v>10.1007%2F978-1-4613-9124-1_Table13</v>
      </c>
      <c r="L322" s="5" t="str">
        <f t="array" ref="L322">IFERROR(INDEX(AUTO_Public_TSV_FileList!$A$1:$A$1000,MATCH(TRUE(),EXACT(K322,IFERROR(_xlfn.TEXTBEFORE(AUTO_Public_TSV_FileList!$A$1:$A$1000,".tsv"),"")),0)),"notfound")</f>
        <v>notfound</v>
      </c>
      <c r="M322" s="1" t="s">
        <v>1151</v>
      </c>
      <c r="W322" s="1"/>
      <c r="X322" s="1"/>
      <c r="Z322" s="1"/>
      <c r="AA322" s="1"/>
      <c r="AB322" s="1"/>
      <c r="AD322" s="1"/>
      <c r="AE322" s="1"/>
      <c r="AF322" s="1"/>
    </row>
    <row r="323" spans="1:32" ht="17.100000000000001" customHeight="1">
      <c r="A323" s="1" t="s">
        <v>1149</v>
      </c>
      <c r="C323" s="1"/>
      <c r="D323" s="1" t="s">
        <v>134</v>
      </c>
      <c r="E323" s="5" t="str">
        <f t="shared" si="44"/>
        <v>Stephan</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 t="shared" si="41"/>
        <v>1991</v>
      </c>
      <c r="H323" s="5" t="str">
        <f t="shared" si="45"/>
        <v>Stephan_etal_1991</v>
      </c>
      <c r="I323" s="5" t="str">
        <f t="shared" si="43"/>
        <v>10.1007%2F978-1-4613-9124-1</v>
      </c>
      <c r="J323" s="5" t="str">
        <f t="shared" si="46"/>
        <v>Stephan_etal_1991_Table16</v>
      </c>
      <c r="K323" s="5" t="str">
        <f t="shared" si="47"/>
        <v>10.1007%2F978-1-4613-9124-1_Table16</v>
      </c>
      <c r="L323" s="5" t="str">
        <f t="array" ref="L323">IFERROR(INDEX(AUTO_Public_TSV_FileList!$A$1:$A$1000,MATCH(TRUE(),EXACT(K323,IFERROR(_xlfn.TEXTBEFORE(AUTO_Public_TSV_FileList!$A$1:$A$1000,".tsv"),"")),0)),"notfound")</f>
        <v>notfound</v>
      </c>
      <c r="M323" s="1" t="s">
        <v>1152</v>
      </c>
      <c r="W323" s="1"/>
      <c r="X323" s="1"/>
      <c r="Z323" s="1"/>
      <c r="AA323" s="1"/>
      <c r="AB323" s="1"/>
      <c r="AD323" s="1"/>
      <c r="AE323" s="1"/>
      <c r="AF323" s="1"/>
    </row>
    <row r="324" spans="1:32" ht="17.100000000000001" customHeight="1">
      <c r="A324" s="1" t="s">
        <v>1149</v>
      </c>
      <c r="C324" s="1"/>
      <c r="D324" s="1" t="s">
        <v>138</v>
      </c>
      <c r="E324" s="5" t="str">
        <f t="shared" si="44"/>
        <v>Stephan</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41"/>
        <v>1991</v>
      </c>
      <c r="H324" s="5" t="str">
        <f t="shared" si="45"/>
        <v>Stephan_etal_1991</v>
      </c>
      <c r="I324" s="5" t="str">
        <f t="shared" si="43"/>
        <v>10.1007%2F978-1-4613-9124-1</v>
      </c>
      <c r="J324" s="5" t="str">
        <f t="shared" si="46"/>
        <v>Stephan_etal_1991_Table19</v>
      </c>
      <c r="K324" s="5" t="str">
        <f t="shared" si="47"/>
        <v>10.1007%2F978-1-4613-9124-1_Table19</v>
      </c>
      <c r="L324" s="5" t="str">
        <f t="array" ref="L324">IFERROR(INDEX(AUTO_Public_TSV_FileList!$A$1:$A$1000,MATCH(TRUE(),EXACT(K324,IFERROR(_xlfn.TEXTBEFORE(AUTO_Public_TSV_FileList!$A$1:$A$1000,".tsv"),"")),0)),"notfound")</f>
        <v>notfound</v>
      </c>
      <c r="M324" s="1" t="s">
        <v>1153</v>
      </c>
      <c r="W324" s="1"/>
      <c r="X324" s="1"/>
      <c r="Z324" s="1"/>
      <c r="AA324" s="1"/>
      <c r="AB324" s="1"/>
      <c r="AD324" s="1"/>
      <c r="AE324" s="1"/>
      <c r="AF324" s="1"/>
    </row>
    <row r="325" spans="1:32" ht="17.100000000000001" customHeight="1">
      <c r="A325" s="1" t="s">
        <v>1149</v>
      </c>
      <c r="C325" s="1"/>
      <c r="D325" s="1" t="s">
        <v>70</v>
      </c>
      <c r="E325" s="5" t="str">
        <f t="shared" si="44"/>
        <v>Stephan</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41"/>
        <v>1991</v>
      </c>
      <c r="H325" s="5" t="str">
        <f t="shared" si="45"/>
        <v>Stephan_etal_1991</v>
      </c>
      <c r="I325" s="5" t="str">
        <f t="shared" si="43"/>
        <v>10.1007%2F978-1-4613-9124-1</v>
      </c>
      <c r="J325" s="5" t="str">
        <f t="shared" si="46"/>
        <v>Stephan_etal_1991_Table2</v>
      </c>
      <c r="K325" s="5" t="str">
        <f t="shared" si="47"/>
        <v>10.1007%2F978-1-4613-9124-1_Table2</v>
      </c>
      <c r="L325" s="5" t="str">
        <f t="array" ref="L325">IFERROR(INDEX(AUTO_Public_TSV_FileList!$A$1:$A$1000,MATCH(TRUE(),EXACT(K325,IFERROR(_xlfn.TEXTBEFORE(AUTO_Public_TSV_FileList!$A$1:$A$1000,".tsv"),"")),0)),"notfound")</f>
        <v>notfound</v>
      </c>
      <c r="M325" s="1" t="s">
        <v>1154</v>
      </c>
      <c r="W325" s="1"/>
      <c r="X325" s="1"/>
      <c r="Z325" s="1"/>
      <c r="AA325" s="1"/>
      <c r="AB325" s="1"/>
      <c r="AD325" s="1"/>
      <c r="AE325" s="1"/>
      <c r="AF325" s="1"/>
    </row>
    <row r="326" spans="1:32" ht="17.100000000000001" customHeight="1">
      <c r="A326" s="1" t="s">
        <v>1149</v>
      </c>
      <c r="C326" s="1"/>
      <c r="D326" s="1" t="s">
        <v>146</v>
      </c>
      <c r="E326" s="5" t="str">
        <f t="shared" si="44"/>
        <v>Stephan</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5" t="str">
        <f t="shared" si="41"/>
        <v>1991</v>
      </c>
      <c r="H326" s="5" t="str">
        <f t="shared" si="45"/>
        <v>Stephan_etal_1991</v>
      </c>
      <c r="I326" s="5" t="str">
        <f t="shared" si="43"/>
        <v>10.1007%2F978-1-4613-9124-1</v>
      </c>
      <c r="J326" s="5" t="str">
        <f t="shared" si="46"/>
        <v>Stephan_etal_1991_Table22</v>
      </c>
      <c r="K326" s="5" t="str">
        <f t="shared" si="47"/>
        <v>10.1007%2F978-1-4613-9124-1_Table22</v>
      </c>
      <c r="L326" s="5" t="str">
        <f t="array" ref="L326">IFERROR(INDEX(AUTO_Public_TSV_FileList!$A$1:$A$1000,MATCH(TRUE(),EXACT(K326,IFERROR(_xlfn.TEXTBEFORE(AUTO_Public_TSV_FileList!$A$1:$A$1000,".tsv"),"")),0)),"notfound")</f>
        <v>notfound</v>
      </c>
      <c r="M326" s="1" t="s">
        <v>1155</v>
      </c>
      <c r="W326" s="1"/>
      <c r="X326" s="1"/>
      <c r="Z326" s="1"/>
      <c r="AA326" s="1"/>
      <c r="AB326" s="1"/>
      <c r="AD326" s="1"/>
      <c r="AE326" s="1"/>
      <c r="AF326" s="1"/>
    </row>
    <row r="327" spans="1:32" ht="17.100000000000001" customHeight="1">
      <c r="A327" s="1" t="s">
        <v>1149</v>
      </c>
      <c r="C327" s="1"/>
      <c r="D327" s="1" t="s">
        <v>150</v>
      </c>
      <c r="E327" s="5" t="str">
        <f t="shared" si="44"/>
        <v>Stephan</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5" t="str">
        <f t="shared" si="41"/>
        <v>1991</v>
      </c>
      <c r="H327" s="5" t="str">
        <f t="shared" si="45"/>
        <v>Stephan_etal_1991</v>
      </c>
      <c r="I327" s="5" t="str">
        <f t="shared" si="43"/>
        <v>10.1007%2F978-1-4613-9124-1</v>
      </c>
      <c r="J327" s="5" t="str">
        <f t="shared" si="46"/>
        <v>Stephan_etal_1991_Table25</v>
      </c>
      <c r="K327" s="5" t="str">
        <f t="shared" si="47"/>
        <v>10.1007%2F978-1-4613-9124-1_Table25</v>
      </c>
      <c r="L327" s="5" t="str">
        <f t="array" ref="L327">IFERROR(INDEX(AUTO_Public_TSV_FileList!$A$1:$A$1000,MATCH(TRUE(),EXACT(K327,IFERROR(_xlfn.TEXTBEFORE(AUTO_Public_TSV_FileList!$A$1:$A$1000,".tsv"),"")),0)),"notfound")</f>
        <v>notfound</v>
      </c>
      <c r="M327" s="1" t="s">
        <v>1156</v>
      </c>
      <c r="W327" s="1"/>
      <c r="X327" s="1"/>
      <c r="Z327" s="1"/>
      <c r="AA327" s="1"/>
      <c r="AB327" s="1"/>
      <c r="AD327" s="1"/>
      <c r="AE327" s="1"/>
      <c r="AF327" s="1"/>
    </row>
    <row r="328" spans="1:32" ht="17.100000000000001" customHeight="1">
      <c r="A328" s="1" t="s">
        <v>1149</v>
      </c>
      <c r="C328" s="1"/>
      <c r="D328" s="1" t="s">
        <v>154</v>
      </c>
      <c r="E328" s="5" t="str">
        <f t="shared" si="44"/>
        <v>Stephan</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5" t="str">
        <f t="shared" si="41"/>
        <v>1991</v>
      </c>
      <c r="H328" s="5" t="str">
        <f t="shared" si="45"/>
        <v>Stephan_etal_1991</v>
      </c>
      <c r="I328" s="5" t="str">
        <f t="shared" si="43"/>
        <v>10.1007%2F978-1-4613-9124-1</v>
      </c>
      <c r="J328" s="5" t="str">
        <f t="shared" si="46"/>
        <v>Stephan_etal_1991_Table28</v>
      </c>
      <c r="K328" s="5" t="str">
        <f t="shared" si="47"/>
        <v>10.1007%2F978-1-4613-9124-1_Table28</v>
      </c>
      <c r="L328" s="5" t="str">
        <f t="array" ref="L328">IFERROR(INDEX(AUTO_Public_TSV_FileList!$A$1:$A$1000,MATCH(TRUE(),EXACT(K328,IFERROR(_xlfn.TEXTBEFORE(AUTO_Public_TSV_FileList!$A$1:$A$1000,".tsv"),"")),0)),"notfound")</f>
        <v>notfound</v>
      </c>
      <c r="M328" s="1" t="s">
        <v>1157</v>
      </c>
      <c r="W328" s="1"/>
      <c r="X328" s="1"/>
      <c r="Z328" s="1"/>
      <c r="AA328" s="1"/>
      <c r="AB328" s="1"/>
      <c r="AD328" s="1"/>
      <c r="AE328" s="1"/>
      <c r="AF328" s="1"/>
    </row>
    <row r="329" spans="1:32" ht="17.100000000000001" customHeight="1">
      <c r="A329" s="1" t="s">
        <v>1149</v>
      </c>
      <c r="C329" s="1"/>
      <c r="D329" s="1" t="s">
        <v>1158</v>
      </c>
      <c r="E329" s="5" t="str">
        <f t="shared" si="44"/>
        <v>Stephan</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5" t="str">
        <f t="shared" si="41"/>
        <v>1991</v>
      </c>
      <c r="H329" s="5" t="str">
        <f t="shared" si="45"/>
        <v>Stephan_etal_1991</v>
      </c>
      <c r="I329" s="5" t="str">
        <f t="shared" si="43"/>
        <v>10.1007%2F978-1-4613-9124-1</v>
      </c>
      <c r="J329" s="5" t="str">
        <f t="shared" si="46"/>
        <v>Stephan_etal_1991_Table31</v>
      </c>
      <c r="K329" s="5" t="str">
        <f t="shared" si="47"/>
        <v>10.1007%2F978-1-4613-9124-1_Table31</v>
      </c>
      <c r="L329" s="5" t="str">
        <f t="array" ref="L329">IFERROR(INDEX(AUTO_Public_TSV_FileList!$A$1:$A$1000,MATCH(TRUE(),EXACT(K329,IFERROR(_xlfn.TEXTBEFORE(AUTO_Public_TSV_FileList!$A$1:$A$1000,".tsv"),"")),0)),"notfound")</f>
        <v>notfound</v>
      </c>
      <c r="M329" s="1" t="s">
        <v>1159</v>
      </c>
      <c r="W329" s="1"/>
      <c r="X329" s="1"/>
      <c r="Z329" s="1"/>
      <c r="AA329" s="1"/>
      <c r="AB329" s="1"/>
      <c r="AD329" s="1"/>
      <c r="AE329" s="1"/>
      <c r="AF329" s="1"/>
    </row>
    <row r="330" spans="1:32" ht="17.100000000000001" customHeight="1">
      <c r="A330" s="1" t="s">
        <v>1149</v>
      </c>
      <c r="C330" s="1"/>
      <c r="D330" s="1" t="s">
        <v>1160</v>
      </c>
      <c r="E330" s="5" t="str">
        <f t="shared" si="44"/>
        <v>Stephan</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5" t="str">
        <f t="shared" si="41"/>
        <v>1991</v>
      </c>
      <c r="H330" s="5" t="str">
        <f t="shared" si="45"/>
        <v>Stephan_etal_1991</v>
      </c>
      <c r="I330" s="5" t="str">
        <f t="shared" si="43"/>
        <v>10.1007%2F978-1-4613-9124-1</v>
      </c>
      <c r="J330" s="5" t="str">
        <f t="shared" si="46"/>
        <v>Stephan_etal_1991_Table34</v>
      </c>
      <c r="K330" s="5" t="str">
        <f t="shared" si="47"/>
        <v>10.1007%2F978-1-4613-9124-1_Table34</v>
      </c>
      <c r="L330" s="5" t="str">
        <f t="array" ref="L330">IFERROR(INDEX(AUTO_Public_TSV_FileList!$A$1:$A$1000,MATCH(TRUE(),EXACT(K330,IFERROR(_xlfn.TEXTBEFORE(AUTO_Public_TSV_FileList!$A$1:$A$1000,".tsv"),"")),0)),"notfound")</f>
        <v>notfound</v>
      </c>
      <c r="M330" s="1" t="s">
        <v>1161</v>
      </c>
      <c r="W330" s="1"/>
      <c r="X330" s="1"/>
      <c r="Z330" s="1"/>
      <c r="AA330" s="1"/>
      <c r="AB330" s="1"/>
      <c r="AD330" s="1"/>
      <c r="AE330" s="1"/>
      <c r="AF330" s="1"/>
    </row>
    <row r="331" spans="1:32" ht="17.100000000000001" customHeight="1">
      <c r="A331" s="1" t="s">
        <v>1149</v>
      </c>
      <c r="C331" s="1"/>
      <c r="D331" s="1" t="s">
        <v>1162</v>
      </c>
      <c r="E331" s="5" t="str">
        <f t="shared" si="44"/>
        <v>Stephan</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5" t="str">
        <f t="shared" si="41"/>
        <v>1991</v>
      </c>
      <c r="H331" s="5" t="str">
        <f t="shared" si="45"/>
        <v>Stephan_etal_1991</v>
      </c>
      <c r="I331" s="5" t="str">
        <f t="shared" si="43"/>
        <v>10.1007%2F978-1-4613-9124-1</v>
      </c>
      <c r="J331" s="5" t="str">
        <f t="shared" si="46"/>
        <v>Stephan_etal_1991_Table37</v>
      </c>
      <c r="K331" s="5" t="str">
        <f t="shared" si="47"/>
        <v>10.1007%2F978-1-4613-9124-1_Table37</v>
      </c>
      <c r="L331" s="5" t="str">
        <f t="array" ref="L331">IFERROR(INDEX(AUTO_Public_TSV_FileList!$A$1:$A$1000,MATCH(TRUE(),EXACT(K331,IFERROR(_xlfn.TEXTBEFORE(AUTO_Public_TSV_FileList!$A$1:$A$1000,".tsv"),"")),0)),"notfound")</f>
        <v>notfound</v>
      </c>
      <c r="M331" s="1" t="s">
        <v>1163</v>
      </c>
      <c r="W331" s="1"/>
      <c r="X331" s="1"/>
      <c r="Z331" s="1"/>
      <c r="AA331" s="1"/>
      <c r="AB331" s="1"/>
      <c r="AD331" s="1"/>
      <c r="AE331" s="1"/>
      <c r="AF331" s="1"/>
    </row>
    <row r="332" spans="1:32" ht="17.100000000000001" customHeight="1">
      <c r="A332" s="1" t="s">
        <v>1149</v>
      </c>
      <c r="C332" s="1"/>
      <c r="D332" s="1" t="s">
        <v>1164</v>
      </c>
      <c r="E332" s="5" t="str">
        <f t="shared" si="44"/>
        <v>Stephan</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5" t="str">
        <f t="shared" si="41"/>
        <v>1991</v>
      </c>
      <c r="H332" s="5" t="str">
        <f t="shared" si="45"/>
        <v>Stephan_etal_1991</v>
      </c>
      <c r="I332" s="5" t="str">
        <f t="shared" si="43"/>
        <v>10.1007%2F978-1-4613-9124-1</v>
      </c>
      <c r="J332" s="5" t="str">
        <f t="shared" si="46"/>
        <v>Stephan_etal_1991_Table40</v>
      </c>
      <c r="K332" s="5" t="str">
        <f t="shared" si="47"/>
        <v>10.1007%2F978-1-4613-9124-1_Table40</v>
      </c>
      <c r="L332" s="5" t="str">
        <f t="array" ref="L332">IFERROR(INDEX(AUTO_Public_TSV_FileList!$A$1:$A$1000,MATCH(TRUE(),EXACT(K332,IFERROR(_xlfn.TEXTBEFORE(AUTO_Public_TSV_FileList!$A$1:$A$1000,".tsv"),"")),0)),"notfound")</f>
        <v>notfound</v>
      </c>
      <c r="M332" s="1" t="s">
        <v>1165</v>
      </c>
      <c r="W332" s="1"/>
      <c r="X332" s="1"/>
      <c r="Z332" s="1"/>
      <c r="AA332" s="1"/>
      <c r="AB332" s="1"/>
      <c r="AD332" s="1"/>
      <c r="AE332" s="1"/>
      <c r="AF332" s="1"/>
    </row>
    <row r="333" spans="1:32" ht="17.100000000000001" customHeight="1">
      <c r="A333" s="1" t="s">
        <v>1149</v>
      </c>
      <c r="C333" s="1"/>
      <c r="D333" s="1" t="s">
        <v>1166</v>
      </c>
      <c r="E333" s="5" t="str">
        <f t="shared" si="44"/>
        <v>Stephan</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5" t="str">
        <f t="shared" si="41"/>
        <v>1991</v>
      </c>
      <c r="H333" s="5" t="str">
        <f t="shared" si="45"/>
        <v>Stephan_etal_1991</v>
      </c>
      <c r="I333" s="5" t="str">
        <f t="shared" si="43"/>
        <v>10.1007%2F978-1-4613-9124-1</v>
      </c>
      <c r="J333" s="5" t="str">
        <f t="shared" si="46"/>
        <v>Stephan_etal_1991_Table43</v>
      </c>
      <c r="K333" s="5" t="str">
        <f t="shared" si="47"/>
        <v>10.1007%2F978-1-4613-9124-1_Table43</v>
      </c>
      <c r="L333" s="5" t="str">
        <f t="array" ref="L333">IFERROR(INDEX(AUTO_Public_TSV_FileList!$A$1:$A$1000,MATCH(TRUE(),EXACT(K333,IFERROR(_xlfn.TEXTBEFORE(AUTO_Public_TSV_FileList!$A$1:$A$1000,".tsv"),"")),0)),"notfound")</f>
        <v>notfound</v>
      </c>
      <c r="M333" s="1" t="s">
        <v>1167</v>
      </c>
      <c r="W333" s="1"/>
      <c r="X333" s="1"/>
      <c r="Z333" s="1"/>
      <c r="AA333" s="1"/>
      <c r="AB333" s="1"/>
      <c r="AD333" s="1"/>
      <c r="AE333" s="1"/>
      <c r="AF333" s="1"/>
    </row>
    <row r="334" spans="1:32" ht="17.100000000000001" customHeight="1">
      <c r="A334" s="1" t="s">
        <v>1149</v>
      </c>
      <c r="C334" s="1"/>
      <c r="D334" s="1" t="s">
        <v>1168</v>
      </c>
      <c r="E334" s="5" t="str">
        <f t="shared" si="44"/>
        <v>Stephan</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5" t="str">
        <f t="shared" si="41"/>
        <v>1991</v>
      </c>
      <c r="H334" s="5" t="str">
        <f t="shared" si="45"/>
        <v>Stephan_etal_1991</v>
      </c>
      <c r="I334" s="5" t="str">
        <f t="shared" si="43"/>
        <v>10.1007%2F978-1-4613-9124-1</v>
      </c>
      <c r="J334" s="5" t="str">
        <f t="shared" si="46"/>
        <v>Stephan_etal_1991_Table46</v>
      </c>
      <c r="K334" s="5" t="str">
        <f t="shared" si="47"/>
        <v>10.1007%2F978-1-4613-9124-1_Table46</v>
      </c>
      <c r="L334" s="5" t="str">
        <f t="array" ref="L334">IFERROR(INDEX(AUTO_Public_TSV_FileList!$A$1:$A$1000,MATCH(TRUE(),EXACT(K334,IFERROR(_xlfn.TEXTBEFORE(AUTO_Public_TSV_FileList!$A$1:$A$1000,".tsv"),"")),0)),"notfound")</f>
        <v>notfound</v>
      </c>
      <c r="M334" s="1" t="s">
        <v>1169</v>
      </c>
      <c r="W334" s="1"/>
      <c r="X334" s="1"/>
      <c r="Z334" s="1"/>
      <c r="AA334" s="1"/>
      <c r="AB334" s="1"/>
      <c r="AD334" s="1"/>
      <c r="AE334" s="1"/>
      <c r="AF334" s="1"/>
    </row>
    <row r="335" spans="1:32" ht="17.100000000000001" customHeight="1">
      <c r="A335" s="1" t="s">
        <v>1149</v>
      </c>
      <c r="C335" s="1"/>
      <c r="D335" s="1" t="s">
        <v>1170</v>
      </c>
      <c r="E335" s="5" t="str">
        <f t="shared" si="44"/>
        <v>Stephan</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5" t="str">
        <f t="shared" si="41"/>
        <v>1991</v>
      </c>
      <c r="H335" s="5" t="str">
        <f t="shared" si="45"/>
        <v>Stephan_etal_1991</v>
      </c>
      <c r="I335" s="5" t="str">
        <f t="shared" si="43"/>
        <v>10.1007%2F978-1-4613-9124-1</v>
      </c>
      <c r="J335" s="5" t="str">
        <f t="shared" si="46"/>
        <v>Stephan_etal_1991_Table49</v>
      </c>
      <c r="K335" s="5" t="str">
        <f t="shared" si="47"/>
        <v>10.1007%2F978-1-4613-9124-1_Table49</v>
      </c>
      <c r="L335" s="5" t="str">
        <f t="array" ref="L335">IFERROR(INDEX(AUTO_Public_TSV_FileList!$A$1:$A$1000,MATCH(TRUE(),EXACT(K335,IFERROR(_xlfn.TEXTBEFORE(AUTO_Public_TSV_FileList!$A$1:$A$1000,".tsv"),"")),0)),"notfound")</f>
        <v>notfound</v>
      </c>
      <c r="M335" s="1" t="s">
        <v>1171</v>
      </c>
      <c r="W335" s="1"/>
      <c r="X335" s="1"/>
      <c r="Z335" s="1"/>
      <c r="AA335" s="1"/>
      <c r="AB335" s="1"/>
      <c r="AD335" s="1"/>
      <c r="AE335" s="1"/>
      <c r="AF335" s="1"/>
    </row>
    <row r="336" spans="1:32" ht="17.100000000000001" customHeight="1">
      <c r="A336" s="1" t="s">
        <v>1149</v>
      </c>
      <c r="C336" s="1"/>
      <c r="D336" s="1" t="s">
        <v>74</v>
      </c>
      <c r="E336" s="5" t="str">
        <f t="shared" si="44"/>
        <v>Stephan</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5" t="str">
        <f t="shared" si="41"/>
        <v>1991</v>
      </c>
      <c r="H336" s="5" t="str">
        <f t="shared" si="45"/>
        <v>Stephan_etal_1991</v>
      </c>
      <c r="I336" s="5" t="str">
        <f t="shared" si="43"/>
        <v>10.1007%2F978-1-4613-9124-1</v>
      </c>
      <c r="J336" s="5" t="str">
        <f t="shared" si="46"/>
        <v>Stephan_etal_1991_Table5</v>
      </c>
      <c r="K336" s="5" t="str">
        <f t="shared" si="47"/>
        <v>10.1007%2F978-1-4613-9124-1_Table5</v>
      </c>
      <c r="L336" s="5" t="str">
        <f t="array" ref="L336">IFERROR(INDEX(AUTO_Public_TSV_FileList!$A$1:$A$1000,MATCH(TRUE(),EXACT(K336,IFERROR(_xlfn.TEXTBEFORE(AUTO_Public_TSV_FileList!$A$1:$A$1000,".tsv"),"")),0)),"notfound")</f>
        <v>notfound</v>
      </c>
      <c r="M336" s="1" t="s">
        <v>1172</v>
      </c>
      <c r="W336" s="1"/>
      <c r="X336" s="1"/>
      <c r="Z336" s="1"/>
      <c r="AA336" s="1"/>
      <c r="AB336" s="1"/>
      <c r="AD336" s="1"/>
      <c r="AE336" s="1"/>
      <c r="AF336" s="1"/>
    </row>
    <row r="337" spans="1:32" ht="17.100000000000001" customHeight="1">
      <c r="A337" s="1" t="s">
        <v>1149</v>
      </c>
      <c r="C337" s="1"/>
      <c r="D337" s="1" t="s">
        <v>1173</v>
      </c>
      <c r="E337" s="5" t="str">
        <f t="shared" si="44"/>
        <v>Stephan</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si="41"/>
        <v>1991</v>
      </c>
      <c r="H337" s="5" t="str">
        <f t="shared" si="45"/>
        <v>Stephan_etal_1991</v>
      </c>
      <c r="I337" s="5" t="str">
        <f t="shared" si="43"/>
        <v>10.1007%2F978-1-4613-9124-1</v>
      </c>
      <c r="J337" s="5" t="str">
        <f t="shared" si="46"/>
        <v>Stephan_etal_1991_Table52</v>
      </c>
      <c r="K337" s="5" t="str">
        <f t="shared" si="47"/>
        <v>10.1007%2F978-1-4613-9124-1_Table52</v>
      </c>
      <c r="L337" s="5" t="str">
        <f t="array" ref="L337">IFERROR(INDEX(AUTO_Public_TSV_FileList!$A$1:$A$1000,MATCH(TRUE(),EXACT(K337,IFERROR(_xlfn.TEXTBEFORE(AUTO_Public_TSV_FileList!$A$1:$A$1000,".tsv"),"")),0)),"notfound")</f>
        <v>notfound</v>
      </c>
      <c r="M337" s="1" t="s">
        <v>1174</v>
      </c>
      <c r="W337" s="1"/>
      <c r="X337" s="1"/>
      <c r="Z337" s="1"/>
      <c r="AA337" s="1"/>
      <c r="AB337" s="1"/>
      <c r="AD337" s="1"/>
      <c r="AE337" s="1"/>
      <c r="AF337" s="1"/>
    </row>
    <row r="338" spans="1:32" ht="17.100000000000001" customHeight="1">
      <c r="A338" s="1" t="s">
        <v>1149</v>
      </c>
      <c r="C338" s="1"/>
      <c r="D338" s="1" t="s">
        <v>1175</v>
      </c>
      <c r="E338" s="5" t="str">
        <f t="shared" si="44"/>
        <v>Stephan</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si="41"/>
        <v>1991</v>
      </c>
      <c r="H338" s="5" t="str">
        <f t="shared" si="45"/>
        <v>Stephan_etal_1991</v>
      </c>
      <c r="I338" s="5" t="str">
        <f t="shared" si="43"/>
        <v>10.1007%2F978-1-4613-9124-1</v>
      </c>
      <c r="J338" s="5" t="str">
        <f t="shared" si="46"/>
        <v>Stephan_etal_1991_Table55</v>
      </c>
      <c r="K338" s="5" t="str">
        <f t="shared" si="47"/>
        <v>10.1007%2F978-1-4613-9124-1_Table55</v>
      </c>
      <c r="L338" s="5" t="str">
        <f t="array" ref="L338">IFERROR(INDEX(AUTO_Public_TSV_FileList!$A$1:$A$1000,MATCH(TRUE(),EXACT(K338,IFERROR(_xlfn.TEXTBEFORE(AUTO_Public_TSV_FileList!$A$1:$A$1000,".tsv"),"")),0)),"notfound")</f>
        <v>notfound</v>
      </c>
      <c r="M338" s="1" t="s">
        <v>1176</v>
      </c>
      <c r="W338" s="1"/>
      <c r="X338" s="1"/>
      <c r="Z338" s="1"/>
      <c r="AA338" s="1"/>
      <c r="AB338" s="1"/>
      <c r="AD338" s="1"/>
      <c r="AE338" s="1"/>
      <c r="AF338" s="1"/>
    </row>
    <row r="339" spans="1:32" ht="17.100000000000001" customHeight="1">
      <c r="A339" s="1" t="s">
        <v>1149</v>
      </c>
      <c r="C339" s="1"/>
      <c r="D339" s="1" t="s">
        <v>1177</v>
      </c>
      <c r="E339" s="5" t="str">
        <f t="shared" si="44"/>
        <v>Stephan</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 t="shared" si="41"/>
        <v>1991</v>
      </c>
      <c r="H339" s="5" t="str">
        <f t="shared" si="45"/>
        <v>Stephan_etal_1991</v>
      </c>
      <c r="I339" s="5" t="str">
        <f t="shared" si="43"/>
        <v>10.1007%2F978-1-4613-9124-1</v>
      </c>
      <c r="J339" s="5" t="str">
        <f t="shared" si="46"/>
        <v>Stephan_etal_1991_Table58</v>
      </c>
      <c r="K339" s="5" t="str">
        <f t="shared" si="47"/>
        <v>10.1007%2F978-1-4613-9124-1_Table58</v>
      </c>
      <c r="L339" s="5" t="str">
        <f t="array" ref="L339">IFERROR(INDEX(AUTO_Public_TSV_FileList!$A$1:$A$1000,MATCH(TRUE(),EXACT(K339,IFERROR(_xlfn.TEXTBEFORE(AUTO_Public_TSV_FileList!$A$1:$A$1000,".tsv"),"")),0)),"notfound")</f>
        <v>notfound</v>
      </c>
      <c r="M339" s="1" t="s">
        <v>1178</v>
      </c>
      <c r="W339" s="1"/>
      <c r="X339" s="1"/>
      <c r="Z339" s="1"/>
      <c r="AA339" s="1"/>
      <c r="AB339" s="1"/>
      <c r="AD339" s="1"/>
      <c r="AE339" s="1"/>
      <c r="AF339" s="1"/>
    </row>
    <row r="340" spans="1:32" ht="17.100000000000001" customHeight="1">
      <c r="A340" s="1" t="s">
        <v>1149</v>
      </c>
      <c r="C340" s="1"/>
      <c r="D340" s="1" t="s">
        <v>1179</v>
      </c>
      <c r="E340" s="5" t="str">
        <f t="shared" si="44"/>
        <v>Stephan</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 t="shared" si="41"/>
        <v>1991</v>
      </c>
      <c r="H340" s="5" t="str">
        <f t="shared" si="45"/>
        <v>Stephan_etal_1991</v>
      </c>
      <c r="I340" s="5" t="str">
        <f t="shared" si="43"/>
        <v>10.1007%2F978-1-4613-9124-1</v>
      </c>
      <c r="J340" s="5" t="str">
        <f t="shared" si="46"/>
        <v>Stephan_etal_1991_Table61</v>
      </c>
      <c r="K340" s="5" t="str">
        <f t="shared" si="47"/>
        <v>10.1007%2F978-1-4613-9124-1_Table61</v>
      </c>
      <c r="L340" s="5" t="str">
        <f t="array" ref="L340">IFERROR(INDEX(AUTO_Public_TSV_FileList!$A$1:$A$1000,MATCH(TRUE(),EXACT(K340,IFERROR(_xlfn.TEXTBEFORE(AUTO_Public_TSV_FileList!$A$1:$A$1000,".tsv"),"")),0)),"notfound")</f>
        <v>notfound</v>
      </c>
      <c r="M340" s="1" t="s">
        <v>1180</v>
      </c>
      <c r="W340" s="1"/>
      <c r="X340" s="1"/>
      <c r="Z340" s="1"/>
      <c r="AA340" s="1"/>
      <c r="AB340" s="1"/>
      <c r="AD340" s="1"/>
      <c r="AE340" s="1"/>
      <c r="AF340" s="1"/>
    </row>
    <row r="341" spans="1:32" ht="17.100000000000001" customHeight="1">
      <c r="A341" s="1" t="s">
        <v>1149</v>
      </c>
      <c r="C341" s="1"/>
      <c r="D341" s="1" t="s">
        <v>1181</v>
      </c>
      <c r="E341" s="5" t="str">
        <f t="shared" si="44"/>
        <v>Stephan</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5" t="str">
        <f t="shared" si="41"/>
        <v>1991</v>
      </c>
      <c r="H341" s="5" t="str">
        <f t="shared" si="45"/>
        <v>Stephan_etal_1991</v>
      </c>
      <c r="I341" s="5" t="str">
        <f t="shared" si="43"/>
        <v>10.1007%2F978-1-4613-9124-1</v>
      </c>
      <c r="J341" s="5" t="str">
        <f t="shared" si="46"/>
        <v>Stephan_etal_1991_Table64</v>
      </c>
      <c r="K341" s="5" t="str">
        <f t="shared" si="47"/>
        <v>10.1007%2F978-1-4613-9124-1_Table64</v>
      </c>
      <c r="L341" s="5" t="str">
        <f t="array" ref="L341">IFERROR(INDEX(AUTO_Public_TSV_FileList!$A$1:$A$1000,MATCH(TRUE(),EXACT(K341,IFERROR(_xlfn.TEXTBEFORE(AUTO_Public_TSV_FileList!$A$1:$A$1000,".tsv"),"")),0)),"notfound")</f>
        <v>notfound</v>
      </c>
      <c r="M341" s="1" t="s">
        <v>1182</v>
      </c>
      <c r="W341" s="1"/>
      <c r="X341" s="1"/>
      <c r="Z341" s="1"/>
      <c r="AA341" s="1"/>
      <c r="AB341" s="1"/>
      <c r="AD341" s="1"/>
      <c r="AE341" s="1"/>
      <c r="AF341" s="1"/>
    </row>
    <row r="342" spans="1:32" ht="17.100000000000001" customHeight="1">
      <c r="A342" s="1" t="s">
        <v>1149</v>
      </c>
      <c r="C342" s="1"/>
      <c r="D342" s="1" t="s">
        <v>1183</v>
      </c>
      <c r="E342" s="5" t="str">
        <f t="shared" si="44"/>
        <v>Stephan</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5" t="str">
        <f t="shared" si="41"/>
        <v>1991</v>
      </c>
      <c r="H342" s="5" t="str">
        <f t="shared" si="45"/>
        <v>Stephan_etal_1991</v>
      </c>
      <c r="I342" s="5" t="str">
        <f t="shared" si="43"/>
        <v>10.1007%2F978-1-4613-9124-1</v>
      </c>
      <c r="J342" s="5" t="str">
        <f t="shared" si="46"/>
        <v>Stephan_etal_1991_Table65</v>
      </c>
      <c r="K342" s="5" t="str">
        <f t="shared" si="47"/>
        <v>10.1007%2F978-1-4613-9124-1_Table65</v>
      </c>
      <c r="L342" s="5" t="str">
        <f t="array" ref="L342">IFERROR(INDEX(AUTO_Public_TSV_FileList!$A$1:$A$1000,MATCH(TRUE(),EXACT(K342,IFERROR(_xlfn.TEXTBEFORE(AUTO_Public_TSV_FileList!$A$1:$A$1000,".tsv"),"")),0)),"notfound")</f>
        <v>notfound</v>
      </c>
      <c r="M342" s="1" t="s">
        <v>1184</v>
      </c>
      <c r="W342" s="1"/>
      <c r="X342" s="1"/>
      <c r="Z342" s="1"/>
      <c r="AA342" s="1"/>
      <c r="AB342" s="1"/>
      <c r="AD342" s="1"/>
      <c r="AE342" s="1"/>
      <c r="AF342" s="1"/>
    </row>
    <row r="343" spans="1:32" ht="17.100000000000001" customHeight="1">
      <c r="A343" s="1" t="s">
        <v>1149</v>
      </c>
      <c r="C343" s="1"/>
      <c r="D343" s="1" t="s">
        <v>1185</v>
      </c>
      <c r="E343" s="5" t="str">
        <f t="shared" si="44"/>
        <v>Stephan</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5" t="str">
        <f t="shared" si="41"/>
        <v>1991</v>
      </c>
      <c r="H343" s="5" t="str">
        <f t="shared" si="45"/>
        <v>Stephan_etal_1991</v>
      </c>
      <c r="I343" s="5" t="str">
        <f t="shared" si="43"/>
        <v>10.1007%2F978-1-4613-9124-1</v>
      </c>
      <c r="J343" s="5" t="str">
        <f t="shared" si="46"/>
        <v>Stephan_etal_1991_Table68</v>
      </c>
      <c r="K343" s="5" t="str">
        <f t="shared" si="47"/>
        <v>10.1007%2F978-1-4613-9124-1_Table68</v>
      </c>
      <c r="L343" s="5" t="str">
        <f t="array" ref="L343">IFERROR(INDEX(AUTO_Public_TSV_FileList!$A$1:$A$1000,MATCH(TRUE(),EXACT(K343,IFERROR(_xlfn.TEXTBEFORE(AUTO_Public_TSV_FileList!$A$1:$A$1000,".tsv"),"")),0)),"notfound")</f>
        <v>notfound</v>
      </c>
      <c r="M343" s="1" t="s">
        <v>1186</v>
      </c>
      <c r="W343" s="1"/>
      <c r="X343" s="1"/>
      <c r="Z343" s="1"/>
      <c r="AA343" s="1"/>
      <c r="AB343" s="1"/>
      <c r="AD343" s="1"/>
      <c r="AE343" s="1"/>
      <c r="AF343" s="1"/>
    </row>
    <row r="344" spans="1:32" ht="17.100000000000001" customHeight="1">
      <c r="A344" s="1" t="s">
        <v>1149</v>
      </c>
      <c r="C344" s="1"/>
      <c r="D344" s="1" t="s">
        <v>1187</v>
      </c>
      <c r="E344" s="5" t="str">
        <f t="shared" si="44"/>
        <v>Stephan</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5" t="str">
        <f t="shared" si="41"/>
        <v>1991</v>
      </c>
      <c r="H344" s="5" t="str">
        <f t="shared" si="45"/>
        <v>Stephan_etal_1991</v>
      </c>
      <c r="I344" s="5" t="str">
        <f t="shared" si="43"/>
        <v>10.1007%2F978-1-4613-9124-1</v>
      </c>
      <c r="J344" s="5" t="str">
        <f t="shared" si="46"/>
        <v>Stephan_etal_1991_Table71</v>
      </c>
      <c r="K344" s="5" t="str">
        <f t="shared" si="47"/>
        <v>10.1007%2F978-1-4613-9124-1_Table71</v>
      </c>
      <c r="L344" s="5" t="str">
        <f t="array" ref="L344">IFERROR(INDEX(AUTO_Public_TSV_FileList!$A$1:$A$1000,MATCH(TRUE(),EXACT(K344,IFERROR(_xlfn.TEXTBEFORE(AUTO_Public_TSV_FileList!$A$1:$A$1000,".tsv"),"")),0)),"notfound")</f>
        <v>notfound</v>
      </c>
      <c r="M344" s="1" t="s">
        <v>1188</v>
      </c>
      <c r="W344" s="1"/>
      <c r="X344" s="1"/>
      <c r="Z344" s="1"/>
      <c r="AA344" s="1"/>
      <c r="AB344" s="1"/>
      <c r="AD344" s="1"/>
      <c r="AE344" s="1"/>
      <c r="AF344" s="1"/>
    </row>
    <row r="345" spans="1:32" ht="17.100000000000001" customHeight="1">
      <c r="A345" s="1" t="s">
        <v>1149</v>
      </c>
      <c r="C345" s="1"/>
      <c r="D345" s="1" t="s">
        <v>197</v>
      </c>
      <c r="E345" s="5" t="str">
        <f t="shared" si="44"/>
        <v>Stephan</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si="41"/>
        <v>1991</v>
      </c>
      <c r="H345" s="5" t="str">
        <f t="shared" si="45"/>
        <v>Stephan_etal_1991</v>
      </c>
      <c r="I345" s="5" t="str">
        <f t="shared" si="43"/>
        <v>10.1007%2F978-1-4613-9124-1</v>
      </c>
      <c r="J345" s="5" t="str">
        <f t="shared" si="46"/>
        <v>Stephan_etal_1991_Table8</v>
      </c>
      <c r="K345" s="5" t="str">
        <f t="shared" si="47"/>
        <v>10.1007%2F978-1-4613-9124-1_Table8</v>
      </c>
      <c r="L345" s="5" t="str">
        <f t="array" ref="L345">IFERROR(INDEX(AUTO_Public_TSV_FileList!$A$1:$A$1000,MATCH(TRUE(),EXACT(K345,IFERROR(_xlfn.TEXTBEFORE(AUTO_Public_TSV_FileList!$A$1:$A$1000,".tsv"),"")),0)),"notfound")</f>
        <v>notfound</v>
      </c>
      <c r="M345" s="1" t="s">
        <v>1189</v>
      </c>
      <c r="W345" s="1"/>
      <c r="X345" s="1"/>
      <c r="Z345" s="1"/>
      <c r="AA345" s="1"/>
      <c r="AB345" s="1"/>
      <c r="AD345" s="1"/>
      <c r="AE345" s="1"/>
      <c r="AF345" s="1"/>
    </row>
    <row r="346" spans="1:32" ht="17.100000000000001" customHeight="1">
      <c r="A346" s="1" t="s">
        <v>1190</v>
      </c>
      <c r="C346" s="1" t="s">
        <v>1191</v>
      </c>
      <c r="D346" s="1" t="s">
        <v>58</v>
      </c>
      <c r="E346" s="5" t="str">
        <f t="shared" si="44"/>
        <v>Stephan</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41"/>
        <v>1970</v>
      </c>
      <c r="H346" s="5" t="str">
        <f t="shared" si="45"/>
        <v>Stephan_etal_1970</v>
      </c>
      <c r="I346" s="5" t="str">
        <f t="shared" si="43"/>
        <v>ISBN%3A0390672505</v>
      </c>
      <c r="J346" s="5" t="str">
        <f t="shared" si="46"/>
        <v>Stephan_etal_1970_TABLE1</v>
      </c>
      <c r="K346" s="5" t="str">
        <f t="shared" si="47"/>
        <v>ISBN%3A0390672505_TABLE1</v>
      </c>
      <c r="L346" s="5" t="str">
        <f t="array" ref="L346">IFERROR(INDEX(AUTO_Public_TSV_FileList!$A$1:$A$1000,MATCH(TRUE(),EXACT(K346,IFERROR(_xlfn.TEXTBEFORE(AUTO_Public_TSV_FileList!$A$1:$A$1000,".tsv"),"")),0)),"notfound")</f>
        <v>ISBN%3A0390672505_TABLE1.tsv</v>
      </c>
      <c r="M346" s="1" t="s">
        <v>1192</v>
      </c>
      <c r="N346" s="1" t="s">
        <v>35</v>
      </c>
      <c r="P346" s="2" t="s">
        <v>36</v>
      </c>
      <c r="W346" s="1" t="s">
        <v>1193</v>
      </c>
      <c r="Z346" s="1" t="s">
        <v>83</v>
      </c>
      <c r="AA346" s="1" t="s">
        <v>123</v>
      </c>
      <c r="AB346" s="1" t="s">
        <v>90</v>
      </c>
      <c r="AD346" s="1" t="s">
        <v>112</v>
      </c>
      <c r="AE346" s="1" t="s">
        <v>66</v>
      </c>
      <c r="AF346" s="1"/>
    </row>
    <row r="347" spans="1:32">
      <c r="A347" s="1" t="s">
        <v>1190</v>
      </c>
      <c r="C347" s="1" t="s">
        <v>1191</v>
      </c>
      <c r="D347" s="1" t="s">
        <v>103</v>
      </c>
      <c r="E347" s="5" t="str">
        <f t="shared" si="44"/>
        <v>Stephan</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5" t="str">
        <f t="shared" si="41"/>
        <v>1970</v>
      </c>
      <c r="H347" s="5" t="str">
        <f t="shared" si="45"/>
        <v>Stephan_etal_1970</v>
      </c>
      <c r="I347" s="5" t="str">
        <f t="shared" si="43"/>
        <v>ISBN%3A0390672505</v>
      </c>
      <c r="J347" s="5" t="str">
        <f t="shared" si="46"/>
        <v>Stephan_etal_1970_TABLE2</v>
      </c>
      <c r="K347" s="5" t="str">
        <f t="shared" si="47"/>
        <v>ISBN%3A0390672505_TABLE2</v>
      </c>
      <c r="L347" s="5" t="str">
        <f t="array" ref="L347">IFERROR(INDEX(AUTO_Public_TSV_FileList!$A$1:$A$1000,MATCH(TRUE(),EXACT(K347,IFERROR(_xlfn.TEXTBEFORE(AUTO_Public_TSV_FileList!$A$1:$A$1000,".tsv"),"")),0)),"notfound")</f>
        <v>ISBN%3A0390672505_TABLE2.tsv</v>
      </c>
      <c r="M347" s="1" t="s">
        <v>1194</v>
      </c>
      <c r="N347" s="1" t="s">
        <v>35</v>
      </c>
      <c r="P347" s="2" t="s">
        <v>36</v>
      </c>
      <c r="W347" s="1" t="s">
        <v>93</v>
      </c>
      <c r="Z347" s="1" t="s">
        <v>83</v>
      </c>
      <c r="AA347" s="1" t="s">
        <v>123</v>
      </c>
      <c r="AB347" s="1" t="s">
        <v>90</v>
      </c>
      <c r="AD347" s="1" t="s">
        <v>112</v>
      </c>
      <c r="AE347" s="1" t="s">
        <v>66</v>
      </c>
      <c r="AF347" s="1"/>
    </row>
    <row r="348" spans="1:32" ht="15.75" customHeight="1">
      <c r="A348" s="1" t="s">
        <v>1190</v>
      </c>
      <c r="C348" s="1" t="s">
        <v>1191</v>
      </c>
      <c r="D348" s="1" t="s">
        <v>975</v>
      </c>
      <c r="E348" s="5" t="str">
        <f t="shared" si="44"/>
        <v>Stephan</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5" t="str">
        <f t="shared" si="41"/>
        <v>1970</v>
      </c>
      <c r="H348" s="5" t="str">
        <f t="shared" si="45"/>
        <v>Stephan_etal_1970</v>
      </c>
      <c r="I348" s="5" t="str">
        <f t="shared" si="43"/>
        <v>ISBN%3A0390672505</v>
      </c>
      <c r="J348" s="5" t="str">
        <f t="shared" si="46"/>
        <v>Stephan_etal_1970_TABLE3</v>
      </c>
      <c r="K348" s="5" t="str">
        <f t="shared" si="47"/>
        <v>ISBN%3A0390672505_TABLE3</v>
      </c>
      <c r="L348" s="5" t="str">
        <f t="array" ref="L348">IFERROR(INDEX(AUTO_Public_TSV_FileList!$A$1:$A$1000,MATCH(TRUE(),EXACT(K348,IFERROR(_xlfn.TEXTBEFORE(AUTO_Public_TSV_FileList!$A$1:$A$1000,".tsv"),"")),0)),"notfound")</f>
        <v>ISBN%3A0390672505_TABLE3.tsv</v>
      </c>
      <c r="M348" s="1" t="s">
        <v>1195</v>
      </c>
      <c r="N348" s="1" t="s">
        <v>35</v>
      </c>
      <c r="P348" s="2" t="s">
        <v>36</v>
      </c>
      <c r="W348" s="1" t="s">
        <v>93</v>
      </c>
      <c r="Z348" s="1" t="s">
        <v>83</v>
      </c>
      <c r="AA348" s="1" t="s">
        <v>123</v>
      </c>
      <c r="AB348" s="1" t="s">
        <v>90</v>
      </c>
      <c r="AD348" s="1" t="s">
        <v>112</v>
      </c>
      <c r="AE348" s="1" t="s">
        <v>66</v>
      </c>
      <c r="AF348" s="1"/>
    </row>
    <row r="349" spans="1:32" ht="15.75" customHeight="1">
      <c r="A349" s="1" t="s">
        <v>1190</v>
      </c>
      <c r="C349" s="1" t="s">
        <v>1191</v>
      </c>
      <c r="D349" s="1" t="s">
        <v>979</v>
      </c>
      <c r="E349" s="5" t="str">
        <f t="shared" si="44"/>
        <v>Stephan</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5" t="str">
        <f t="shared" si="41"/>
        <v>1970</v>
      </c>
      <c r="H349" s="5" t="str">
        <f t="shared" si="45"/>
        <v>Stephan_etal_1970</v>
      </c>
      <c r="I349" s="5" t="str">
        <f t="shared" si="43"/>
        <v>ISBN%3A0390672505</v>
      </c>
      <c r="J349" s="5" t="str">
        <f t="shared" si="46"/>
        <v>Stephan_etal_1970_TABLE4</v>
      </c>
      <c r="K349" s="5" t="str">
        <f t="shared" si="47"/>
        <v>ISBN%3A0390672505_TABLE4</v>
      </c>
      <c r="L349" s="5" t="str">
        <f t="array" ref="L349">IFERROR(INDEX(AUTO_Public_TSV_FileList!$A$1:$A$1000,MATCH(TRUE(),EXACT(K349,IFERROR(_xlfn.TEXTBEFORE(AUTO_Public_TSV_FileList!$A$1:$A$1000,".tsv"),"")),0)),"notfound")</f>
        <v>ISBN%3A0390672505_TABLE4.tsv</v>
      </c>
      <c r="M349" s="1" t="s">
        <v>1196</v>
      </c>
      <c r="N349" s="1" t="s">
        <v>35</v>
      </c>
      <c r="P349" s="2" t="s">
        <v>36</v>
      </c>
      <c r="W349" s="1" t="s">
        <v>1193</v>
      </c>
      <c r="Z349" s="1" t="s">
        <v>83</v>
      </c>
      <c r="AA349" s="1" t="s">
        <v>123</v>
      </c>
      <c r="AB349" s="1" t="s">
        <v>90</v>
      </c>
      <c r="AD349" s="1" t="s">
        <v>112</v>
      </c>
      <c r="AE349" s="1" t="s">
        <v>66</v>
      </c>
      <c r="AF349" s="1"/>
    </row>
    <row r="350" spans="1:32" ht="15.75" customHeight="1">
      <c r="A350" s="1" t="s">
        <v>1190</v>
      </c>
      <c r="C350" s="1" t="s">
        <v>1191</v>
      </c>
      <c r="D350" s="1" t="s">
        <v>983</v>
      </c>
      <c r="E350" s="5" t="str">
        <f t="shared" si="44"/>
        <v>Stephan</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 t="shared" si="41"/>
        <v>1970</v>
      </c>
      <c r="H350" s="5" t="str">
        <f t="shared" si="45"/>
        <v>Stephan_etal_1970</v>
      </c>
      <c r="I350" s="5" t="str">
        <f t="shared" si="43"/>
        <v>ISBN%3A0390672505</v>
      </c>
      <c r="J350" s="5" t="str">
        <f t="shared" si="46"/>
        <v>Stephan_etal_1970_TABLE5</v>
      </c>
      <c r="K350" s="5" t="str">
        <f t="shared" si="47"/>
        <v>ISBN%3A0390672505_TABLE5</v>
      </c>
      <c r="L350" s="5" t="str">
        <f t="array" ref="L350">IFERROR(INDEX(AUTO_Public_TSV_FileList!$A$1:$A$1000,MATCH(TRUE(),EXACT(K350,IFERROR(_xlfn.TEXTBEFORE(AUTO_Public_TSV_FileList!$A$1:$A$1000,".tsv"),"")),0)),"notfound")</f>
        <v>ISBN%3A0390672505_TABLE5.tsv</v>
      </c>
      <c r="M350" s="1" t="s">
        <v>1197</v>
      </c>
      <c r="N350" s="1" t="s">
        <v>35</v>
      </c>
      <c r="P350" s="2" t="s">
        <v>36</v>
      </c>
      <c r="W350" s="1" t="s">
        <v>93</v>
      </c>
      <c r="Z350" s="1" t="s">
        <v>83</v>
      </c>
      <c r="AA350" s="1" t="s">
        <v>123</v>
      </c>
      <c r="AB350" s="1" t="s">
        <v>90</v>
      </c>
      <c r="AD350" s="1" t="s">
        <v>112</v>
      </c>
      <c r="AE350" s="1" t="s">
        <v>66</v>
      </c>
      <c r="AF350" s="1"/>
    </row>
    <row r="351" spans="1:32" ht="15.75" customHeight="1">
      <c r="A351" s="1" t="s">
        <v>1190</v>
      </c>
      <c r="C351" s="1" t="s">
        <v>1191</v>
      </c>
      <c r="D351" s="1" t="s">
        <v>1198</v>
      </c>
      <c r="E351" s="5" t="str">
        <f t="shared" si="44"/>
        <v>Stephan</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ref="G351:G407" si="48">_xlfn.TEXTBEFORE(_xlfn.TEXTAFTER(A351, "("), ")")</f>
        <v>1970</v>
      </c>
      <c r="H351" s="5" t="str">
        <f t="shared" si="45"/>
        <v>Stephan_etal_1970</v>
      </c>
      <c r="I351" s="5" t="str">
        <f t="shared" si="43"/>
        <v>ISBN%3A0390672505</v>
      </c>
      <c r="J351" s="5" t="str">
        <f t="shared" si="46"/>
        <v>Stephan_etal_1970_TABLE6</v>
      </c>
      <c r="K351" s="5" t="str">
        <f t="shared" si="47"/>
        <v>ISBN%3A0390672505_TABLE6</v>
      </c>
      <c r="L351" s="5" t="str">
        <f t="array" ref="L351">IFERROR(INDEX(AUTO_Public_TSV_FileList!$A$1:$A$1000,MATCH(TRUE(),EXACT(K351,IFERROR(_xlfn.TEXTBEFORE(AUTO_Public_TSV_FileList!$A$1:$A$1000,".tsv"),"")),0)),"notfound")</f>
        <v>ISBN%3A0390672505_TABLE6.tsv</v>
      </c>
      <c r="M351" s="1" t="s">
        <v>1199</v>
      </c>
      <c r="N351" s="1" t="s">
        <v>35</v>
      </c>
      <c r="P351" s="2" t="s">
        <v>36</v>
      </c>
      <c r="W351" s="1" t="s">
        <v>93</v>
      </c>
      <c r="Z351" s="1" t="s">
        <v>83</v>
      </c>
      <c r="AA351" s="1" t="s">
        <v>123</v>
      </c>
      <c r="AB351" s="1" t="s">
        <v>90</v>
      </c>
      <c r="AD351" s="1" t="s">
        <v>112</v>
      </c>
      <c r="AE351" s="1" t="s">
        <v>66</v>
      </c>
      <c r="AF351" s="1"/>
    </row>
    <row r="352" spans="1:32" ht="15.75" customHeight="1">
      <c r="A352" s="1" t="s">
        <v>1190</v>
      </c>
      <c r="C352" s="1" t="s">
        <v>1191</v>
      </c>
      <c r="D352" s="1" t="s">
        <v>1200</v>
      </c>
      <c r="E352" s="5" t="str">
        <f t="shared" si="44"/>
        <v>Stephan</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48"/>
        <v>1970</v>
      </c>
      <c r="H352" s="5" t="str">
        <f t="shared" si="45"/>
        <v>Stephan_etal_1970</v>
      </c>
      <c r="I352" s="5" t="str">
        <f>_xlfn.LET(
_xlpm.doi,IF(C352&lt;&gt;"",C352,_xlfn.TEXTAFTER(A352,"https://doi.org/")),
SUBSTITUTE(
SUBSTITUTE(
SUBSTITUTE(
SUBSTITUTE(
_xlpm.doi,
"/","%2F"),
":","%3A"),
"&lt;","%3C"),
"&gt;","%3E")
)</f>
        <v>ISBN%3A0390672505</v>
      </c>
      <c r="J352" s="5" t="str">
        <f t="shared" si="46"/>
        <v>Stephan_etal_1970_Tables1-6</v>
      </c>
      <c r="K352" s="5" t="str">
        <f t="shared" si="47"/>
        <v>ISBN%3A0390672505_Tables1-6</v>
      </c>
      <c r="L352" s="5" t="str">
        <f t="array" ref="L352">IFERROR(INDEX(AUTO_Public_TSV_FileList!$A$1:$A$1000,MATCH(TRUE(),EXACT(K352,IFERROR(_xlfn.TEXTBEFORE(AUTO_Public_TSV_FileList!$A$1:$A$1000,".tsv"),"")),0)),"notfound")</f>
        <v>ISBN%3A0390672505_Tables1-6.tsv</v>
      </c>
      <c r="N352" s="1" t="s">
        <v>1201</v>
      </c>
      <c r="O352" s="1" t="s">
        <v>1202</v>
      </c>
      <c r="P352" s="1" t="s">
        <v>36</v>
      </c>
      <c r="W352" s="1" t="s">
        <v>110</v>
      </c>
      <c r="Z352" s="1" t="s">
        <v>83</v>
      </c>
      <c r="AA352" s="1" t="s">
        <v>123</v>
      </c>
      <c r="AB352" s="1" t="s">
        <v>90</v>
      </c>
      <c r="AC352" s="1" t="s">
        <v>112</v>
      </c>
      <c r="AD352" s="1" t="s">
        <v>112</v>
      </c>
      <c r="AE352" s="1" t="s">
        <v>66</v>
      </c>
      <c r="AF352" s="1"/>
    </row>
    <row r="353" spans="1:32" ht="15.75" customHeight="1">
      <c r="A353" s="1" t="s">
        <v>1203</v>
      </c>
      <c r="C353" s="1" t="s">
        <v>1204</v>
      </c>
      <c r="D353" s="1" t="s">
        <v>81</v>
      </c>
      <c r="E353" s="5" t="str">
        <f t="shared" si="44"/>
        <v>Stephan</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48"/>
        <v>1984</v>
      </c>
      <c r="H353" s="5" t="str">
        <f t="shared" si="45"/>
        <v>Stephan_etal_1984</v>
      </c>
      <c r="I353" s="5" t="str">
        <f>_xlfn.LET(
_xlpm.doi,IF(C353&lt;&gt;"",C353,_xlfn.TEXTAFTER(A353,"https://doi.org/")),
SUBSTITUTE(
SUBSTITUTE(
SUBSTITUTE(
SUBSTITUTE(
_xlpm.doi,
"/","%2F"),
":","%3A"),
"&lt;","%3C"),
"&gt;","%3E")
)</f>
        <v>PMID%3A6481154</v>
      </c>
      <c r="J353" s="5" t="str">
        <f t="shared" si="46"/>
        <v>Stephan_etal_1984_Table1</v>
      </c>
      <c r="K353" s="5" t="str">
        <f t="shared" si="47"/>
        <v>PMID%3A6481154_Table1</v>
      </c>
      <c r="L353" s="5" t="str">
        <f t="array" ref="L353">IFERROR(INDEX(AUTO_Public_TSV_FileList!$A$1:$A$1000,MATCH(TRUE(),EXACT(K353,IFERROR(_xlfn.TEXTBEFORE(AUTO_Public_TSV_FileList!$A$1:$A$1000,".tsv"),"")),0)),"notfound")</f>
        <v>PMID%3A6481154_Table1.tsv</v>
      </c>
      <c r="M353" s="1" t="s">
        <v>1205</v>
      </c>
      <c r="N353" s="1" t="s">
        <v>35</v>
      </c>
      <c r="P353" s="1" t="s">
        <v>36</v>
      </c>
      <c r="W353" s="1" t="s">
        <v>110</v>
      </c>
      <c r="X353" s="1" t="s">
        <v>1206</v>
      </c>
      <c r="Z353" s="1" t="s">
        <v>83</v>
      </c>
      <c r="AA353" s="1" t="s">
        <v>123</v>
      </c>
      <c r="AB353" s="1" t="s">
        <v>90</v>
      </c>
      <c r="AC353" s="1" t="s">
        <v>112</v>
      </c>
      <c r="AD353" s="1" t="s">
        <v>112</v>
      </c>
      <c r="AE353" s="1" t="s">
        <v>66</v>
      </c>
      <c r="AF353" s="1"/>
    </row>
    <row r="354" spans="1:32" ht="15.75" customHeight="1">
      <c r="A354" s="1" t="s">
        <v>1207</v>
      </c>
      <c r="C354" s="1" t="s">
        <v>1208</v>
      </c>
      <c r="D354" s="1" t="s">
        <v>81</v>
      </c>
      <c r="E354" s="5" t="str">
        <f t="shared" si="44"/>
        <v>Stephan</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48"/>
        <v>1987</v>
      </c>
      <c r="H354" s="5" t="str">
        <f t="shared" si="45"/>
        <v>Stephan_etal_1987</v>
      </c>
      <c r="I354" s="5" t="str">
        <f>_xlfn.LET(
_xlpm.doi,IF(C354&lt;&gt;"",C354,_xlfn.TEXTAFTER(A354,"https://doi.org/")),
SUBSTITUTE(
SUBSTITUTE(
SUBSTITUTE(
SUBSTITUTE(
_xlpm.doi,
"/","%2F"),
":","%3A"),
"&lt;","%3C"),
"&gt;","%3E")
)</f>
        <v>PMID%3A3693895</v>
      </c>
      <c r="J354" s="5" t="str">
        <f t="shared" si="46"/>
        <v>Stephan_etal_1987_Table1</v>
      </c>
      <c r="K354" s="5" t="str">
        <f t="shared" si="47"/>
        <v>PMID%3A3693895_Table1</v>
      </c>
      <c r="L354" s="5" t="str">
        <f t="array" ref="L354">IFERROR(INDEX(AUTO_Public_TSV_FileList!$A$1:$A$1000,MATCH(TRUE(),EXACT(K354,IFERROR(_xlfn.TEXTBEFORE(AUTO_Public_TSV_FileList!$A$1:$A$1000,".tsv"),"")),0)),"notfound")</f>
        <v>PMID%3A3693895_Table1.tsv</v>
      </c>
      <c r="M354" s="1" t="s">
        <v>1209</v>
      </c>
      <c r="N354" s="1" t="s">
        <v>35</v>
      </c>
      <c r="P354" s="1" t="s">
        <v>36</v>
      </c>
      <c r="W354" s="1" t="s">
        <v>110</v>
      </c>
      <c r="X354" s="1" t="s">
        <v>1210</v>
      </c>
      <c r="Z354" s="1" t="s">
        <v>83</v>
      </c>
      <c r="AA354" s="1" t="s">
        <v>123</v>
      </c>
      <c r="AB354" s="1" t="s">
        <v>90</v>
      </c>
      <c r="AC354" s="1" t="s">
        <v>112</v>
      </c>
      <c r="AD354" s="1" t="s">
        <v>112</v>
      </c>
      <c r="AE354" s="1" t="s">
        <v>66</v>
      </c>
      <c r="AF354" s="1"/>
    </row>
    <row r="355" spans="1:32" ht="15.75" customHeight="1">
      <c r="A355" s="1" t="s">
        <v>1211</v>
      </c>
      <c r="D355" s="1" t="s">
        <v>477</v>
      </c>
      <c r="E355" s="5" t="str">
        <f t="shared" si="44"/>
        <v>Stephan</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48"/>
        <v>1981</v>
      </c>
      <c r="H355" s="5" t="str">
        <f t="shared" si="45"/>
        <v>Stephan_etal_1981</v>
      </c>
      <c r="I355" s="5" t="str">
        <f>_xlfn.LET(
_xlpm.doi,IF(C355&lt;&gt;"",C355,_xlfn.TEXTAFTER(A355,"https://doi.org/")),
SUBSTITUTE(
SUBSTITUTE(
SUBSTITUTE(
SUBSTITUTE(
_xlpm.doi,
"/","%2F"),
":","%3A"),
"&lt;","%3C"),
"&gt;","%3E")
)</f>
        <v>10.1159%2F000155963</v>
      </c>
      <c r="J355" s="5" t="str">
        <f t="shared" si="46"/>
        <v>Stephan_etal_1981_TableI</v>
      </c>
      <c r="K355" s="5" t="str">
        <f t="shared" si="47"/>
        <v>10.1159%2F000155963_TableI</v>
      </c>
      <c r="L355" s="5" t="str">
        <f t="array" ref="L355">IFERROR(INDEX(AUTO_Public_TSV_FileList!$A$1:$A$1000,MATCH(TRUE(),EXACT(K355,IFERROR(_xlfn.TEXTBEFORE(AUTO_Public_TSV_FileList!$A$1:$A$1000,".tsv"),"")),0)),"notfound")</f>
        <v>10.1159%2F000155963_TableI.tsv</v>
      </c>
      <c r="M355" s="1" t="s">
        <v>1212</v>
      </c>
      <c r="N355" s="1" t="s">
        <v>35</v>
      </c>
      <c r="P355" s="1" t="s">
        <v>36</v>
      </c>
      <c r="W355" s="1" t="s">
        <v>110</v>
      </c>
      <c r="X355" s="1" t="s">
        <v>1213</v>
      </c>
      <c r="Z355" s="1" t="s">
        <v>83</v>
      </c>
      <c r="AA355" s="1" t="s">
        <v>123</v>
      </c>
      <c r="AB355" s="1" t="s">
        <v>90</v>
      </c>
      <c r="AC355" s="1" t="s">
        <v>112</v>
      </c>
      <c r="AD355" s="1" t="s">
        <v>112</v>
      </c>
      <c r="AE355" s="1" t="s">
        <v>66</v>
      </c>
      <c r="AF355" s="1"/>
    </row>
    <row r="356" spans="1:32" ht="15.75" customHeight="1">
      <c r="A356" s="1" t="s">
        <v>1211</v>
      </c>
      <c r="D356" s="1" t="s">
        <v>1214</v>
      </c>
      <c r="E356" s="5" t="str">
        <f t="shared" si="44"/>
        <v>Stephan</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48"/>
        <v>1981</v>
      </c>
      <c r="H356" s="5" t="str">
        <f t="shared" si="45"/>
        <v>Stephan_etal_1981</v>
      </c>
      <c r="I356" s="5" t="str">
        <f>_xlfn.LET(
_xlpm.doi,IF(C356&lt;&gt;"",C356,_xlfn.TEXTAFTER(A356,"https://doi.org/")),
SUBSTITUTE(
SUBSTITUTE(
SUBSTITUTE(
SUBSTITUTE(
_xlpm.doi,
"/","%2F"),
":","%3A"),
"&lt;","%3C"),
"&gt;","%3E")
)</f>
        <v>10.1159%2F000155963</v>
      </c>
      <c r="J356" s="5" t="str">
        <f t="shared" si="46"/>
        <v>Stephan_etal_1981_TableII</v>
      </c>
      <c r="K356" s="5" t="str">
        <f t="shared" si="47"/>
        <v>10.1159%2F000155963_TableII</v>
      </c>
      <c r="L356" s="5" t="str">
        <f t="array" ref="L356">IFERROR(INDEX(AUTO_Public_TSV_FileList!$A$1:$A$1000,MATCH(TRUE(),EXACT(K356,IFERROR(_xlfn.TEXTBEFORE(AUTO_Public_TSV_FileList!$A$1:$A$1000,".tsv"),"")),0)),"notfound")</f>
        <v>10.1159%2F000155963_TableII.tsv</v>
      </c>
      <c r="M356" s="1" t="s">
        <v>1215</v>
      </c>
      <c r="N356" s="1" t="s">
        <v>35</v>
      </c>
      <c r="P356" s="1" t="s">
        <v>36</v>
      </c>
      <c r="W356" s="1" t="s">
        <v>110</v>
      </c>
      <c r="X356" s="1" t="s">
        <v>1213</v>
      </c>
      <c r="Z356" s="1" t="s">
        <v>83</v>
      </c>
      <c r="AA356" s="1" t="s">
        <v>123</v>
      </c>
      <c r="AB356" s="1" t="s">
        <v>90</v>
      </c>
      <c r="AC356" s="1" t="s">
        <v>112</v>
      </c>
      <c r="AD356" s="1" t="s">
        <v>112</v>
      </c>
      <c r="AE356" s="1" t="s">
        <v>66</v>
      </c>
      <c r="AF356" s="1"/>
    </row>
    <row r="357" spans="1:32" ht="15.75" customHeight="1">
      <c r="A357" s="1" t="s">
        <v>1211</v>
      </c>
      <c r="D357" s="1" t="s">
        <v>1216</v>
      </c>
      <c r="E357" s="5" t="str">
        <f t="shared" si="44"/>
        <v>Stephan</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 t="shared" si="48"/>
        <v>1981</v>
      </c>
      <c r="H357" s="5" t="str">
        <f t="shared" si="45"/>
        <v>Stephan_etal_1981</v>
      </c>
      <c r="I357" s="5" t="str">
        <f>_xlfn.LET(
_xlpm.doi,IF(C357&lt;&gt;"",C357,_xlfn.TEXTAFTER(A357,"https://doi.org/")),
SUBSTITUTE(
SUBSTITUTE(
SUBSTITUTE(
SUBSTITUTE(
_xlpm.doi,
"/","%2F"),
":","%3A"),
"&lt;","%3C"),
"&gt;","%3E")
)</f>
        <v>10.1159%2F000155963</v>
      </c>
      <c r="J357" s="5" t="str">
        <f t="shared" si="46"/>
        <v>Stephan_etal_1981_TableIII</v>
      </c>
      <c r="K357" s="5" t="str">
        <f t="shared" si="47"/>
        <v>10.1159%2F000155963_TableIII</v>
      </c>
      <c r="L357" s="5" t="str">
        <f t="array" ref="L357">IFERROR(INDEX(AUTO_Public_TSV_FileList!$A$1:$A$1000,MATCH(TRUE(),EXACT(K357,IFERROR(_xlfn.TEXTBEFORE(AUTO_Public_TSV_FileList!$A$1:$A$1000,".tsv"),"")),0)),"notfound")</f>
        <v>10.1159%2F000155963_TableIII.tsv</v>
      </c>
      <c r="M357" s="1" t="s">
        <v>1217</v>
      </c>
      <c r="N357" s="1" t="s">
        <v>35</v>
      </c>
      <c r="P357" s="1" t="s">
        <v>36</v>
      </c>
      <c r="W357" s="1" t="s">
        <v>110</v>
      </c>
      <c r="X357" s="1" t="s">
        <v>1213</v>
      </c>
      <c r="Z357" s="1" t="s">
        <v>83</v>
      </c>
      <c r="AA357" s="1" t="s">
        <v>123</v>
      </c>
      <c r="AB357" s="1" t="s">
        <v>90</v>
      </c>
      <c r="AC357" s="1" t="s">
        <v>112</v>
      </c>
      <c r="AD357" s="1" t="s">
        <v>112</v>
      </c>
      <c r="AE357" s="1" t="s">
        <v>66</v>
      </c>
      <c r="AF357" s="1"/>
    </row>
    <row r="358" spans="1:32" ht="15.75" customHeight="1">
      <c r="A358" s="1" t="s">
        <v>1211</v>
      </c>
      <c r="D358" s="1" t="s">
        <v>1218</v>
      </c>
      <c r="E358" s="5" t="str">
        <f t="shared" si="44"/>
        <v>Stephan</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5" t="str">
        <f t="shared" si="48"/>
        <v>1981</v>
      </c>
      <c r="H358" s="5" t="str">
        <f t="shared" si="45"/>
        <v>Stephan_etal_1981</v>
      </c>
      <c r="I358" s="5" t="str">
        <f>_xlfn.LET(
_xlpm.doi,IF(C358&lt;&gt;"",C358,_xlfn.TEXTAFTER(A358,"https://doi.org/")),
SUBSTITUTE(
SUBSTITUTE(
SUBSTITUTE(
SUBSTITUTE(
_xlpm.doi,
"/","%2F"),
":","%3A"),
"&lt;","%3C"),
"&gt;","%3E")
)</f>
        <v>10.1159%2F000155963</v>
      </c>
      <c r="J358" s="5" t="str">
        <f t="shared" si="46"/>
        <v>Stephan_etal_1981_TableIV</v>
      </c>
      <c r="K358" s="5" t="str">
        <f t="shared" si="47"/>
        <v>10.1159%2F000155963_TableIV</v>
      </c>
      <c r="L358" s="5" t="str">
        <f t="array" ref="L358">IFERROR(INDEX(AUTO_Public_TSV_FileList!$A$1:$A$1000,MATCH(TRUE(),EXACT(K358,IFERROR(_xlfn.TEXTBEFORE(AUTO_Public_TSV_FileList!$A$1:$A$1000,".tsv"),"")),0)),"notfound")</f>
        <v>10.1159%2F000155963_TableIV.tsv</v>
      </c>
      <c r="M358" s="1" t="s">
        <v>1219</v>
      </c>
      <c r="N358" s="1" t="s">
        <v>35</v>
      </c>
      <c r="P358" s="1" t="s">
        <v>36</v>
      </c>
      <c r="W358" s="1" t="s">
        <v>110</v>
      </c>
      <c r="X358" s="1" t="s">
        <v>1213</v>
      </c>
      <c r="Z358" s="1" t="s">
        <v>83</v>
      </c>
      <c r="AA358" s="1" t="s">
        <v>123</v>
      </c>
      <c r="AB358" s="1" t="s">
        <v>90</v>
      </c>
      <c r="AC358" s="1" t="s">
        <v>112</v>
      </c>
      <c r="AD358" s="1" t="s">
        <v>112</v>
      </c>
      <c r="AE358" s="1" t="s">
        <v>66</v>
      </c>
      <c r="AF358" s="1"/>
    </row>
    <row r="359" spans="1:32" ht="15.75" customHeight="1">
      <c r="A359" s="1" t="s">
        <v>1211</v>
      </c>
      <c r="C359" s="1"/>
      <c r="D359" s="1" t="s">
        <v>1220</v>
      </c>
      <c r="E359" s="5" t="str">
        <f t="shared" si="44"/>
        <v>Stephan</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5" t="str">
        <f t="shared" si="48"/>
        <v>1981</v>
      </c>
      <c r="H359" s="5" t="str">
        <f t="shared" si="45"/>
        <v>Stephan_etal_1981</v>
      </c>
      <c r="I359" s="5" t="str">
        <f>_xlfn.LET(
_xlpm.doi,IF(C359&lt;&gt;"",C359,_xlfn.TEXTAFTER(A359,"https://doi.org/")),
SUBSTITUTE(
SUBSTITUTE(
SUBSTITUTE(
SUBSTITUTE(
_xlpm.doi,
"/","%2F"),
":","%3A"),
"&lt;","%3C"),
"&gt;","%3E")
)</f>
        <v>10.1159%2F000155963</v>
      </c>
      <c r="J359" s="5" t="str">
        <f t="shared" si="46"/>
        <v>Stephan_etal_1981_TableIX</v>
      </c>
      <c r="K359" s="5" t="str">
        <f t="shared" si="47"/>
        <v>10.1159%2F000155963_TableIX</v>
      </c>
      <c r="L359" s="5" t="str">
        <f t="array" ref="L359">IFERROR(INDEX(AUTO_Public_TSV_FileList!$A$1:$A$1000,MATCH(TRUE(),EXACT(K359,IFERROR(_xlfn.TEXTBEFORE(AUTO_Public_TSV_FileList!$A$1:$A$1000,".tsv"),"")),0)),"notfound")</f>
        <v>10.1159%2F000155963_TableIX.tsv</v>
      </c>
      <c r="M359" s="1" t="s">
        <v>1221</v>
      </c>
      <c r="P359" s="1" t="s">
        <v>36</v>
      </c>
    </row>
    <row r="360" spans="1:32" ht="15.75" customHeight="1">
      <c r="A360" s="1" t="s">
        <v>1211</v>
      </c>
      <c r="D360" s="1" t="s">
        <v>1222</v>
      </c>
      <c r="E360" s="5" t="str">
        <f t="shared" si="44"/>
        <v>Stephan</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5" t="str">
        <f t="shared" si="48"/>
        <v>1981</v>
      </c>
      <c r="H360" s="5" t="str">
        <f t="shared" si="45"/>
        <v>Stephan_etal_1981</v>
      </c>
      <c r="I360" s="5" t="str">
        <f>_xlfn.LET(
_xlpm.doi,IF(C360&lt;&gt;"",C360,_xlfn.TEXTAFTER(A360,"https://doi.org/")),
SUBSTITUTE(
SUBSTITUTE(
SUBSTITUTE(
SUBSTITUTE(
_xlpm.doi,
"/","%2F"),
":","%3A"),
"&lt;","%3C"),
"&gt;","%3E")
)</f>
        <v>10.1159%2F000155963</v>
      </c>
      <c r="J360" s="5" t="str">
        <f t="shared" si="46"/>
        <v>Stephan_etal_1981_TableV</v>
      </c>
      <c r="K360" s="5" t="str">
        <f t="shared" si="47"/>
        <v>10.1159%2F000155963_TableV</v>
      </c>
      <c r="L360" s="5" t="str">
        <f t="array" ref="L360">IFERROR(INDEX(AUTO_Public_TSV_FileList!$A$1:$A$1000,MATCH(TRUE(),EXACT(K360,IFERROR(_xlfn.TEXTBEFORE(AUTO_Public_TSV_FileList!$A$1:$A$1000,".tsv"),"")),0)),"notfound")</f>
        <v>10.1159%2F000155963_TableV.tsv</v>
      </c>
      <c r="M360" s="1" t="s">
        <v>1223</v>
      </c>
      <c r="N360" s="1" t="s">
        <v>35</v>
      </c>
      <c r="P360" s="1" t="s">
        <v>36</v>
      </c>
      <c r="W360" s="1" t="s">
        <v>110</v>
      </c>
      <c r="X360" s="1" t="s">
        <v>1213</v>
      </c>
      <c r="Z360" s="1" t="s">
        <v>83</v>
      </c>
      <c r="AA360" s="1" t="s">
        <v>123</v>
      </c>
      <c r="AB360" s="1" t="s">
        <v>90</v>
      </c>
      <c r="AC360" s="1" t="s">
        <v>112</v>
      </c>
      <c r="AD360" s="1" t="s">
        <v>112</v>
      </c>
      <c r="AE360" s="1" t="s">
        <v>66</v>
      </c>
      <c r="AF360" s="1"/>
    </row>
    <row r="361" spans="1:32" ht="15.75" customHeight="1">
      <c r="A361" s="1" t="s">
        <v>1211</v>
      </c>
      <c r="D361" s="1" t="s">
        <v>1224</v>
      </c>
      <c r="E361" s="5" t="str">
        <f t="shared" si="44"/>
        <v>Stephan</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5" t="str">
        <f t="shared" si="48"/>
        <v>1981</v>
      </c>
      <c r="H361" s="5" t="str">
        <f t="shared" si="45"/>
        <v>Stephan_etal_1981</v>
      </c>
      <c r="I361" s="5" t="str">
        <f>_xlfn.LET(
_xlpm.doi,IF(C361&lt;&gt;"",C361,_xlfn.TEXTAFTER(A361,"https://doi.org/")),
SUBSTITUTE(
SUBSTITUTE(
SUBSTITUTE(
SUBSTITUTE(
_xlpm.doi,
"/","%2F"),
":","%3A"),
"&lt;","%3C"),
"&gt;","%3E")
)</f>
        <v>10.1159%2F000155963</v>
      </c>
      <c r="J361" s="5" t="str">
        <f t="shared" si="46"/>
        <v>Stephan_etal_1981_TableVI</v>
      </c>
      <c r="K361" s="5" t="str">
        <f t="shared" si="47"/>
        <v>10.1159%2F000155963_TableVI</v>
      </c>
      <c r="L361" s="5" t="str">
        <f t="array" ref="L361">IFERROR(INDEX(AUTO_Public_TSV_FileList!$A$1:$A$1000,MATCH(TRUE(),EXACT(K361,IFERROR(_xlfn.TEXTBEFORE(AUTO_Public_TSV_FileList!$A$1:$A$1000,".tsv"),"")),0)),"notfound")</f>
        <v>10.1159%2F000155963_TableVI.tsv</v>
      </c>
      <c r="M361" s="1" t="s">
        <v>1225</v>
      </c>
      <c r="N361" s="1" t="s">
        <v>35</v>
      </c>
      <c r="P361" s="1" t="s">
        <v>36</v>
      </c>
      <c r="W361" s="1" t="s">
        <v>110</v>
      </c>
      <c r="X361" s="1" t="s">
        <v>1213</v>
      </c>
      <c r="Z361" s="1" t="s">
        <v>83</v>
      </c>
      <c r="AA361" s="1" t="s">
        <v>123</v>
      </c>
      <c r="AB361" s="1" t="s">
        <v>90</v>
      </c>
      <c r="AC361" s="1" t="s">
        <v>112</v>
      </c>
      <c r="AD361" s="1" t="s">
        <v>112</v>
      </c>
      <c r="AE361" s="1" t="s">
        <v>66</v>
      </c>
      <c r="AF361" s="1"/>
    </row>
    <row r="362" spans="1:32" ht="15.75" customHeight="1">
      <c r="A362" s="1" t="s">
        <v>1211</v>
      </c>
      <c r="C362" s="1"/>
      <c r="D362" s="1" t="s">
        <v>1226</v>
      </c>
      <c r="E362" s="5" t="str">
        <f t="shared" si="44"/>
        <v>Stephan</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5" t="str">
        <f t="shared" si="48"/>
        <v>1981</v>
      </c>
      <c r="H362" s="5" t="str">
        <f t="shared" si="45"/>
        <v>Stephan_etal_1981</v>
      </c>
      <c r="I362" s="5" t="str">
        <f>_xlfn.LET(
_xlpm.doi,IF(C362&lt;&gt;"",C362,_xlfn.TEXTAFTER(A362,"https://doi.org/")),
SUBSTITUTE(
SUBSTITUTE(
SUBSTITUTE(
SUBSTITUTE(
_xlpm.doi,
"/","%2F"),
":","%3A"),
"&lt;","%3C"),
"&gt;","%3E")
)</f>
        <v>10.1159%2F000155963</v>
      </c>
      <c r="J362" s="5" t="str">
        <f t="shared" si="46"/>
        <v>Stephan_etal_1981_TableVII</v>
      </c>
      <c r="K362" s="5" t="str">
        <f t="shared" si="47"/>
        <v>10.1159%2F000155963_TableVII</v>
      </c>
      <c r="L362" s="5" t="str">
        <f t="array" ref="L362">IFERROR(INDEX(AUTO_Public_TSV_FileList!$A$1:$A$1000,MATCH(TRUE(),EXACT(K362,IFERROR(_xlfn.TEXTBEFORE(AUTO_Public_TSV_FileList!$A$1:$A$1000,".tsv"),"")),0)),"notfound")</f>
        <v>10.1159%2F000155963_TableVII.tsv</v>
      </c>
      <c r="M362" s="1" t="s">
        <v>1227</v>
      </c>
      <c r="N362" s="1" t="s">
        <v>35</v>
      </c>
      <c r="P362" s="1" t="s">
        <v>36</v>
      </c>
      <c r="W362" s="1" t="s">
        <v>110</v>
      </c>
      <c r="X362" s="1" t="s">
        <v>1213</v>
      </c>
      <c r="Z362" s="1" t="s">
        <v>83</v>
      </c>
      <c r="AA362" s="1" t="s">
        <v>123</v>
      </c>
      <c r="AB362" s="1" t="s">
        <v>90</v>
      </c>
      <c r="AC362" s="1" t="s">
        <v>112</v>
      </c>
      <c r="AD362" s="1" t="s">
        <v>112</v>
      </c>
      <c r="AE362" s="1" t="s">
        <v>66</v>
      </c>
      <c r="AF362" s="1"/>
    </row>
    <row r="363" spans="1:32" ht="15.75" customHeight="1">
      <c r="A363" s="1" t="s">
        <v>1211</v>
      </c>
      <c r="C363" s="1"/>
      <c r="D363" s="1" t="s">
        <v>1228</v>
      </c>
      <c r="E363" s="5" t="str">
        <f t="shared" si="44"/>
        <v>Stephan</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48"/>
        <v>1981</v>
      </c>
      <c r="H363" s="5" t="str">
        <f t="shared" si="45"/>
        <v>Stephan_etal_1981</v>
      </c>
      <c r="I363" s="5" t="str">
        <f>_xlfn.LET(
_xlpm.doi,IF(C363&lt;&gt;"",C363,_xlfn.TEXTAFTER(A363,"https://doi.org/")),
SUBSTITUTE(
SUBSTITUTE(
SUBSTITUTE(
SUBSTITUTE(
_xlpm.doi,
"/","%2F"),
":","%3A"),
"&lt;","%3C"),
"&gt;","%3E")
)</f>
        <v>10.1159%2F000155963</v>
      </c>
      <c r="J363" s="5" t="str">
        <f t="shared" si="46"/>
        <v>Stephan_etal_1981_TableVIII</v>
      </c>
      <c r="K363" s="5" t="str">
        <f t="shared" si="47"/>
        <v>10.1159%2F000155963_TableVIII</v>
      </c>
      <c r="L363" s="5" t="str">
        <f t="array" ref="L363">IFERROR(INDEX(AUTO_Public_TSV_FileList!$A$1:$A$1000,MATCH(TRUE(),EXACT(K363,IFERROR(_xlfn.TEXTBEFORE(AUTO_Public_TSV_FileList!$A$1:$A$1000,".tsv"),"")),0)),"notfound")</f>
        <v>10.1159%2F000155963_TableVIII.tsv</v>
      </c>
      <c r="M363" s="1" t="s">
        <v>1229</v>
      </c>
      <c r="P363" s="1" t="s">
        <v>36</v>
      </c>
    </row>
    <row r="364" spans="1:32" ht="15.75" customHeight="1">
      <c r="A364" s="1" t="s">
        <v>1211</v>
      </c>
      <c r="C364" s="1"/>
      <c r="D364" s="1" t="s">
        <v>1230</v>
      </c>
      <c r="E364" s="5" t="str">
        <f t="shared" si="44"/>
        <v>Stephan</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48"/>
        <v>1981</v>
      </c>
      <c r="H364" s="5" t="str">
        <f t="shared" si="45"/>
        <v>Stephan_etal_1981</v>
      </c>
      <c r="I364" s="5" t="str">
        <f>_xlfn.LET(
_xlpm.doi,IF(C364&lt;&gt;"",C364,_xlfn.TEXTAFTER(A364,"https://doi.org/")),
SUBSTITUTE(
SUBSTITUTE(
SUBSTITUTE(
SUBSTITUTE(
_xlpm.doi,
"/","%2F"),
":","%3A"),
"&lt;","%3C"),
"&gt;","%3E")
)</f>
        <v>10.1159%2F000155963</v>
      </c>
      <c r="J364" s="5" t="str">
        <f t="shared" si="46"/>
        <v>Stephan_etal_1981_TableX</v>
      </c>
      <c r="K364" s="5" t="str">
        <f t="shared" si="47"/>
        <v>10.1159%2F000155963_TableX</v>
      </c>
      <c r="L364" s="5" t="str">
        <f t="array" ref="L364">IFERROR(INDEX(AUTO_Public_TSV_FileList!$A$1:$A$1000,MATCH(TRUE(),EXACT(K364,IFERROR(_xlfn.TEXTBEFORE(AUTO_Public_TSV_FileList!$A$1:$A$1000,".tsv"),"")),0)),"notfound")</f>
        <v>10.1159%2F000155963_TableX.tsv</v>
      </c>
      <c r="M364" s="1" t="s">
        <v>1231</v>
      </c>
      <c r="P364" s="1" t="s">
        <v>36</v>
      </c>
    </row>
    <row r="365" spans="1:32" ht="15.75" customHeight="1">
      <c r="A365" s="1" t="s">
        <v>1211</v>
      </c>
      <c r="D365" s="1" t="s">
        <v>1232</v>
      </c>
      <c r="E365" s="5" t="str">
        <f t="shared" si="44"/>
        <v>Stephan</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48"/>
        <v>1981</v>
      </c>
      <c r="H365" s="5" t="str">
        <f t="shared" si="45"/>
        <v>Stephan_etal_1981</v>
      </c>
      <c r="I365" s="5" t="str">
        <f>_xlfn.LET(
_xlpm.doi,IF(C365&lt;&gt;"",C365,_xlfn.TEXTAFTER(A365,"https://doi.org/")),
SUBSTITUTE(
SUBSTITUTE(
SUBSTITUTE(
SUBSTITUTE(
_xlpm.doi,
"/","%2F"),
":","%3A"),
"&lt;","%3C"),
"&gt;","%3E")
)</f>
        <v>10.1159%2F000155963</v>
      </c>
      <c r="J365" s="5" t="str">
        <f t="shared" si="46"/>
        <v>Stephan_etal_1981_TableXI</v>
      </c>
      <c r="K365" s="5" t="str">
        <f t="shared" si="47"/>
        <v>10.1159%2F000155963_TableXI</v>
      </c>
      <c r="L365" s="5" t="str">
        <f t="array" ref="L365">IFERROR(INDEX(AUTO_Public_TSV_FileList!$A$1:$A$1000,MATCH(TRUE(),EXACT(K365,IFERROR(_xlfn.TEXTBEFORE(AUTO_Public_TSV_FileList!$A$1:$A$1000,".tsv"),"")),0)),"notfound")</f>
        <v>10.1159%2F000155963_TableXI.tsv</v>
      </c>
      <c r="M365" s="1" t="s">
        <v>1233</v>
      </c>
      <c r="N365" s="1" t="s">
        <v>35</v>
      </c>
      <c r="P365" s="1" t="s">
        <v>36</v>
      </c>
      <c r="W365" s="1" t="s">
        <v>110</v>
      </c>
      <c r="X365" s="1" t="s">
        <v>1213</v>
      </c>
      <c r="Z365" s="1" t="s">
        <v>83</v>
      </c>
      <c r="AA365" s="1" t="s">
        <v>123</v>
      </c>
      <c r="AB365" s="1" t="s">
        <v>90</v>
      </c>
      <c r="AC365" s="1" t="s">
        <v>112</v>
      </c>
      <c r="AD365" s="1" t="s">
        <v>112</v>
      </c>
      <c r="AE365" s="1" t="s">
        <v>66</v>
      </c>
      <c r="AF365" s="1"/>
    </row>
    <row r="366" spans="1:32" ht="15.75" customHeight="1">
      <c r="A366" s="1" t="s">
        <v>1211</v>
      </c>
      <c r="D366" s="1" t="s">
        <v>1234</v>
      </c>
      <c r="E366" s="5" t="str">
        <f t="shared" si="44"/>
        <v>Stephan</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5" t="str">
        <f t="shared" si="48"/>
        <v>1981</v>
      </c>
      <c r="H366" s="5" t="str">
        <f t="shared" si="45"/>
        <v>Stephan_etal_1981</v>
      </c>
      <c r="I366" s="5" t="str">
        <f>_xlfn.LET(
_xlpm.doi,IF(C366&lt;&gt;"",C366,_xlfn.TEXTAFTER(A366,"https://doi.org/")),
SUBSTITUTE(
SUBSTITUTE(
SUBSTITUTE(
SUBSTITUTE(
_xlpm.doi,
"/","%2F"),
":","%3A"),
"&lt;","%3C"),
"&gt;","%3E")
)</f>
        <v>10.1159%2F000155963</v>
      </c>
      <c r="J366" s="5" t="str">
        <f t="shared" si="46"/>
        <v>Stephan_etal_1981_TableXII</v>
      </c>
      <c r="K366" s="5" t="str">
        <f t="shared" si="47"/>
        <v>10.1159%2F000155963_TableXII</v>
      </c>
      <c r="L366" s="5" t="str">
        <f t="array" ref="L366">IFERROR(INDEX(AUTO_Public_TSV_FileList!$A$1:$A$1000,MATCH(TRUE(),EXACT(K366,IFERROR(_xlfn.TEXTBEFORE(AUTO_Public_TSV_FileList!$A$1:$A$1000,".tsv"),"")),0)),"notfound")</f>
        <v>10.1159%2F000155963_TableXII.tsv</v>
      </c>
      <c r="M366" s="1" t="s">
        <v>1235</v>
      </c>
      <c r="N366" s="1" t="s">
        <v>35</v>
      </c>
      <c r="P366" s="1" t="s">
        <v>36</v>
      </c>
      <c r="W366" s="1" t="s">
        <v>110</v>
      </c>
      <c r="X366" s="1" t="s">
        <v>1213</v>
      </c>
      <c r="Z366" s="1" t="s">
        <v>83</v>
      </c>
      <c r="AA366" s="1" t="s">
        <v>123</v>
      </c>
      <c r="AB366" s="1" t="s">
        <v>90</v>
      </c>
      <c r="AC366" s="1" t="s">
        <v>112</v>
      </c>
      <c r="AD366" s="1" t="s">
        <v>112</v>
      </c>
      <c r="AE366" s="1" t="s">
        <v>66</v>
      </c>
      <c r="AF366" s="1"/>
    </row>
    <row r="367" spans="1:32">
      <c r="A367" s="1" t="s">
        <v>1211</v>
      </c>
      <c r="D367" s="1" t="s">
        <v>1236</v>
      </c>
      <c r="E367" s="5" t="str">
        <f t="shared" si="44"/>
        <v>Stephan</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5" t="str">
        <f t="shared" si="48"/>
        <v>1981</v>
      </c>
      <c r="H367" s="5" t="str">
        <f t="shared" si="45"/>
        <v>Stephan_etal_1981</v>
      </c>
      <c r="I367" s="5" t="str">
        <f>_xlfn.LET(
_xlpm.doi,IF(C367&lt;&gt;"",C367,_xlfn.TEXTAFTER(A367,"https://doi.org/")),
SUBSTITUTE(
SUBSTITUTE(
SUBSTITUTE(
SUBSTITUTE(
_xlpm.doi,
"/","%2F"),
":","%3A"),
"&lt;","%3C"),
"&gt;","%3E")
)</f>
        <v>10.1159%2F000155963</v>
      </c>
      <c r="J367" s="5" t="str">
        <f t="shared" si="46"/>
        <v>Stephan_etal_1981_TableXIII</v>
      </c>
      <c r="K367" s="5" t="str">
        <f t="shared" si="47"/>
        <v>10.1159%2F000155963_TableXIII</v>
      </c>
      <c r="L367" s="5" t="str">
        <f t="array" ref="L367">IFERROR(INDEX(AUTO_Public_TSV_FileList!$A$1:$A$1000,MATCH(TRUE(),EXACT(K367,IFERROR(_xlfn.TEXTBEFORE(AUTO_Public_TSV_FileList!$A$1:$A$1000,".tsv"),"")),0)),"notfound")</f>
        <v>10.1159%2F000155963_TableXIII.tsv</v>
      </c>
      <c r="M367" s="1" t="s">
        <v>1237</v>
      </c>
      <c r="N367" s="1" t="s">
        <v>35</v>
      </c>
      <c r="P367" s="1" t="s">
        <v>36</v>
      </c>
      <c r="W367" s="1" t="s">
        <v>110</v>
      </c>
      <c r="X367" s="1" t="s">
        <v>1213</v>
      </c>
      <c r="Z367" s="1" t="s">
        <v>83</v>
      </c>
      <c r="AA367" s="1" t="s">
        <v>123</v>
      </c>
      <c r="AB367" s="1" t="s">
        <v>90</v>
      </c>
      <c r="AC367" s="1" t="s">
        <v>112</v>
      </c>
      <c r="AD367" s="1" t="s">
        <v>112</v>
      </c>
      <c r="AE367" s="1" t="s">
        <v>66</v>
      </c>
      <c r="AF367" s="1"/>
    </row>
    <row r="368" spans="1:32">
      <c r="A368" s="1" t="s">
        <v>1211</v>
      </c>
      <c r="D368" s="1" t="s">
        <v>1238</v>
      </c>
      <c r="E368" s="5" t="str">
        <f t="shared" si="44"/>
        <v>Stephan</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5" t="str">
        <f t="shared" si="48"/>
        <v>1981</v>
      </c>
      <c r="H368" s="5" t="str">
        <f t="shared" si="45"/>
        <v>Stephan_etal_1981</v>
      </c>
      <c r="I368" s="5" t="str">
        <f>_xlfn.LET(
_xlpm.doi,IF(C368&lt;&gt;"",C368,_xlfn.TEXTAFTER(A368,"https://doi.org/")),
SUBSTITUTE(
SUBSTITUTE(
SUBSTITUTE(
SUBSTITUTE(
_xlpm.doi,
"/","%2F"),
":","%3A"),
"&lt;","%3C"),
"&gt;","%3E")
)</f>
        <v>10.1159%2F000155963</v>
      </c>
      <c r="J368" s="5" t="str">
        <f t="shared" si="46"/>
        <v>Stephan_etal_1981_TableXIV</v>
      </c>
      <c r="K368" s="5" t="str">
        <f t="shared" si="47"/>
        <v>10.1159%2F000155963_TableXIV</v>
      </c>
      <c r="L368" s="5" t="str">
        <f t="array" ref="L368">IFERROR(INDEX(AUTO_Public_TSV_FileList!$A$1:$A$1000,MATCH(TRUE(),EXACT(K368,IFERROR(_xlfn.TEXTBEFORE(AUTO_Public_TSV_FileList!$A$1:$A$1000,".tsv"),"")),0)),"notfound")</f>
        <v>10.1159%2F000155963_TableXIV.tsv</v>
      </c>
      <c r="M368" s="1" t="s">
        <v>1239</v>
      </c>
      <c r="N368" s="1" t="s">
        <v>35</v>
      </c>
      <c r="P368" s="1" t="s">
        <v>36</v>
      </c>
      <c r="W368" s="1" t="s">
        <v>110</v>
      </c>
      <c r="X368" s="1" t="s">
        <v>1213</v>
      </c>
      <c r="Z368" s="1" t="s">
        <v>83</v>
      </c>
      <c r="AA368" s="1" t="s">
        <v>123</v>
      </c>
      <c r="AB368" s="1" t="s">
        <v>90</v>
      </c>
      <c r="AC368" s="1" t="s">
        <v>112</v>
      </c>
      <c r="AD368" s="1" t="s">
        <v>112</v>
      </c>
      <c r="AE368" s="1" t="s">
        <v>66</v>
      </c>
      <c r="AF368" s="1"/>
    </row>
    <row r="369" spans="1:33">
      <c r="A369" s="1" t="s">
        <v>1211</v>
      </c>
      <c r="D369" s="1" t="s">
        <v>1240</v>
      </c>
      <c r="E369" s="5" t="str">
        <f t="shared" si="44"/>
        <v>Stephan</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5" t="str">
        <f t="shared" si="48"/>
        <v>1981</v>
      </c>
      <c r="H369" s="5" t="str">
        <f t="shared" si="45"/>
        <v>Stephan_etal_1981</v>
      </c>
      <c r="I369" s="5" t="str">
        <f>_xlfn.LET(
_xlpm.doi,IF(C369&lt;&gt;"",C369,_xlfn.TEXTAFTER(A369,"https://doi.org/")),
SUBSTITUTE(
SUBSTITUTE(
SUBSTITUTE(
SUBSTITUTE(
_xlpm.doi,
"/","%2F"),
":","%3A"),
"&lt;","%3C"),
"&gt;","%3E")
)</f>
        <v>10.1159%2F000155963</v>
      </c>
      <c r="J369" s="5" t="str">
        <f t="shared" si="46"/>
        <v>Stephan_etal_1981_TableXV</v>
      </c>
      <c r="K369" s="5" t="str">
        <f t="shared" si="47"/>
        <v>10.1159%2F000155963_TableXV</v>
      </c>
      <c r="L369" s="5" t="str">
        <f t="array" ref="L369">IFERROR(INDEX(AUTO_Public_TSV_FileList!$A$1:$A$1000,MATCH(TRUE(),EXACT(K369,IFERROR(_xlfn.TEXTBEFORE(AUTO_Public_TSV_FileList!$A$1:$A$1000,".tsv"),"")),0)),"notfound")</f>
        <v>10.1159%2F000155963_TableXV.tsv</v>
      </c>
      <c r="M369" s="1" t="s">
        <v>1241</v>
      </c>
      <c r="N369" s="1" t="s">
        <v>35</v>
      </c>
      <c r="P369" s="1" t="s">
        <v>36</v>
      </c>
      <c r="W369" s="1" t="s">
        <v>110</v>
      </c>
      <c r="X369" s="1" t="s">
        <v>1213</v>
      </c>
      <c r="Z369" s="1" t="s">
        <v>83</v>
      </c>
      <c r="AA369" s="1" t="s">
        <v>123</v>
      </c>
      <c r="AB369" s="1" t="s">
        <v>90</v>
      </c>
      <c r="AC369" s="1" t="s">
        <v>112</v>
      </c>
      <c r="AD369" s="1" t="s">
        <v>112</v>
      </c>
      <c r="AE369" s="1" t="s">
        <v>66</v>
      </c>
      <c r="AF369" s="1"/>
    </row>
    <row r="370" spans="1:33">
      <c r="A370" s="1" t="s">
        <v>1211</v>
      </c>
      <c r="D370" s="1" t="s">
        <v>1242</v>
      </c>
      <c r="E370" s="5" t="str">
        <f t="shared" si="44"/>
        <v>Stephan</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 t="shared" si="48"/>
        <v>1981</v>
      </c>
      <c r="H370" s="5" t="str">
        <f t="shared" si="45"/>
        <v>Stephan_etal_1981</v>
      </c>
      <c r="I370" s="5" t="str">
        <f>_xlfn.LET(
_xlpm.doi,IF(C370&lt;&gt;"",C370,_xlfn.TEXTAFTER(A370,"https://doi.org/")),
SUBSTITUTE(
SUBSTITUTE(
SUBSTITUTE(
SUBSTITUTE(
_xlpm.doi,
"/","%2F"),
":","%3A"),
"&lt;","%3C"),
"&gt;","%3E")
)</f>
        <v>10.1159%2F000155963</v>
      </c>
      <c r="J370" s="5" t="str">
        <f t="shared" si="46"/>
        <v>Stephan_etal_1981_TableXVI</v>
      </c>
      <c r="K370" s="5" t="str">
        <f t="shared" si="47"/>
        <v>10.1159%2F000155963_TableXVI</v>
      </c>
      <c r="L370" s="5" t="str">
        <f t="array" ref="L370">IFERROR(INDEX(AUTO_Public_TSV_FileList!$A$1:$A$1000,MATCH(TRUE(),EXACT(K370,IFERROR(_xlfn.TEXTBEFORE(AUTO_Public_TSV_FileList!$A$1:$A$1000,".tsv"),"")),0)),"notfound")</f>
        <v>10.1159%2F000155963_TableXVI.tsv</v>
      </c>
      <c r="M370" s="1" t="s">
        <v>1243</v>
      </c>
      <c r="N370" s="1" t="s">
        <v>35</v>
      </c>
      <c r="P370" s="1" t="s">
        <v>36</v>
      </c>
      <c r="W370" s="1" t="s">
        <v>110</v>
      </c>
      <c r="X370" s="1" t="s">
        <v>1213</v>
      </c>
      <c r="Z370" s="1" t="s">
        <v>83</v>
      </c>
      <c r="AA370" s="1" t="s">
        <v>123</v>
      </c>
      <c r="AB370" s="1" t="s">
        <v>90</v>
      </c>
      <c r="AC370" s="1" t="s">
        <v>112</v>
      </c>
      <c r="AD370" s="1" t="s">
        <v>112</v>
      </c>
      <c r="AE370" s="1" t="s">
        <v>66</v>
      </c>
      <c r="AF370" s="1"/>
    </row>
    <row r="371" spans="1:33">
      <c r="A371" s="1" t="s">
        <v>1244</v>
      </c>
      <c r="D371" s="1" t="s">
        <v>1245</v>
      </c>
      <c r="E371" s="5" t="str">
        <f t="shared" si="44"/>
        <v>Stimpson</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 t="shared" si="48"/>
        <v>2015</v>
      </c>
      <c r="H371" s="5" t="str">
        <f t="shared" si="45"/>
        <v>Stimpson_etal_2015</v>
      </c>
      <c r="I371" s="5" t="str">
        <f>_xlfn.LET(
_xlpm.doi,IF(C371&lt;&gt;"",C371,_xlfn.TEXTAFTER(A371,"https://doi.org/")),
SUBSTITUTE(
SUBSTITUTE(
SUBSTITUTE(
SUBSTITUTE(
_xlpm.doi,
"/","%2F"),
":","%3A"),
"&lt;","%3C"),
"&gt;","%3E")
)</f>
        <v>10.1093%2Fscan%2Fnsv128</v>
      </c>
      <c r="J371" s="5" t="str">
        <f t="shared" si="46"/>
        <v>Stimpson_etal_2015_TableS1</v>
      </c>
      <c r="K371" s="5" t="str">
        <f t="shared" si="47"/>
        <v>10.1093%2Fscan%2Fnsv128_TableS1</v>
      </c>
      <c r="L371" s="5" t="str">
        <f t="array" ref="L371">IFERROR(INDEX(AUTO_Public_TSV_FileList!$A$1:$A$1000,MATCH(TRUE(),EXACT(K371,IFERROR(_xlfn.TEXTBEFORE(AUTO_Public_TSV_FileList!$A$1:$A$1000,".tsv"),"")),0)),"notfound")</f>
        <v>10.1093%2Fscan%2Fnsv128_TableS1.tsv</v>
      </c>
      <c r="M371" s="1" t="s">
        <v>1245</v>
      </c>
      <c r="N371" s="1" t="s">
        <v>35</v>
      </c>
      <c r="P371" s="1" t="s">
        <v>36</v>
      </c>
      <c r="Z371" s="1" t="s">
        <v>83</v>
      </c>
      <c r="AA371" s="1" t="s">
        <v>123</v>
      </c>
      <c r="AB371" s="1" t="s">
        <v>90</v>
      </c>
      <c r="AC371" s="1" t="s">
        <v>1087</v>
      </c>
      <c r="AD371" s="1" t="s">
        <v>1087</v>
      </c>
      <c r="AE371" s="1" t="s">
        <v>66</v>
      </c>
      <c r="AF371" s="1"/>
    </row>
    <row r="372" spans="1:33">
      <c r="A372" s="1" t="s">
        <v>1244</v>
      </c>
      <c r="D372" s="1" t="s">
        <v>1246</v>
      </c>
      <c r="E372" s="5" t="str">
        <f t="shared" si="44"/>
        <v>Stimpson</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48"/>
        <v>2015</v>
      </c>
      <c r="H372" s="5" t="str">
        <f t="shared" si="45"/>
        <v>Stimpson_etal_2015</v>
      </c>
      <c r="I372" s="5" t="str">
        <f>_xlfn.LET(
_xlpm.doi,IF(C372&lt;&gt;"",C372,_xlfn.TEXTAFTER(A372,"https://doi.org/")),
SUBSTITUTE(
SUBSTITUTE(
SUBSTITUTE(
SUBSTITUTE(
_xlpm.doi,
"/","%2F"),
":","%3A"),
"&lt;","%3C"),
"&gt;","%3E")
)</f>
        <v>10.1093%2Fscan%2Fnsv128</v>
      </c>
      <c r="J372" s="5" t="str">
        <f t="shared" si="46"/>
        <v>Stimpson_etal_2015_TableS2</v>
      </c>
      <c r="K372" s="5" t="str">
        <f t="shared" si="47"/>
        <v>10.1093%2Fscan%2Fnsv128_TableS2</v>
      </c>
      <c r="L372" s="5" t="str">
        <f t="array" ref="L372">IFERROR(INDEX(AUTO_Public_TSV_FileList!$A$1:$A$1000,MATCH(TRUE(),EXACT(K372,IFERROR(_xlfn.TEXTBEFORE(AUTO_Public_TSV_FileList!$A$1:$A$1000,".tsv"),"")),0)),"notfound")</f>
        <v>10.1093%2Fscan%2Fnsv128_TableS2.tsv</v>
      </c>
      <c r="M372" s="1" t="s">
        <v>1246</v>
      </c>
      <c r="N372" s="1" t="s">
        <v>35</v>
      </c>
      <c r="P372" s="1" t="s">
        <v>36</v>
      </c>
      <c r="Z372" s="1" t="s">
        <v>83</v>
      </c>
      <c r="AA372" s="1" t="s">
        <v>123</v>
      </c>
      <c r="AB372" s="1" t="s">
        <v>90</v>
      </c>
      <c r="AC372" s="1" t="s">
        <v>1087</v>
      </c>
      <c r="AD372" s="1" t="s">
        <v>1087</v>
      </c>
      <c r="AE372" s="1" t="s">
        <v>66</v>
      </c>
      <c r="AF372" s="1"/>
    </row>
    <row r="373" spans="1:33">
      <c r="A373" s="1" t="s">
        <v>1247</v>
      </c>
      <c r="D373" s="1" t="s">
        <v>1248</v>
      </c>
      <c r="E373" s="5" t="str">
        <f t="shared" si="44"/>
        <v>Todorov</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48"/>
        <v>2019</v>
      </c>
      <c r="H373" s="5" t="str">
        <f t="shared" si="45"/>
        <v>Todorov_etal_2019</v>
      </c>
      <c r="I373" s="5" t="str">
        <f>_xlfn.LET(
_xlpm.doi,IF(C373&lt;&gt;"",C373,_xlfn.TEXTAFTER(A373,"https://doi.org/")),
SUBSTITUTE(
SUBSTITUTE(
SUBSTITUTE(
SUBSTITUTE(
_xlpm.doi,
"/","%2F"),
":","%3A"),
"&lt;","%3C"),
"&gt;","%3E")
)</f>
        <v>10.1098%2Frspb.2019.1712</v>
      </c>
      <c r="J373" s="5" t="str">
        <f t="shared" si="46"/>
        <v>Todorov_etal_2019_rspb20191712si001</v>
      </c>
      <c r="K373" s="5" t="str">
        <f t="shared" si="47"/>
        <v>10.1098%2Frspb.2019.1712_rspb20191712si001</v>
      </c>
      <c r="L373" s="5" t="str">
        <f t="array" ref="L373">IFERROR(INDEX(AUTO_Public_TSV_FileList!$A$1:$A$1000,MATCH(TRUE(),EXACT(K373,IFERROR(_xlfn.TEXTBEFORE(AUTO_Public_TSV_FileList!$A$1:$A$1000,".tsv"),"")),0)),"notfound")</f>
        <v>notfound</v>
      </c>
      <c r="M373" s="1" t="s">
        <v>1249</v>
      </c>
      <c r="N373" s="1"/>
      <c r="P373" s="1"/>
      <c r="Z373" s="1"/>
      <c r="AA373" s="1"/>
      <c r="AB373" s="1"/>
      <c r="AC373" s="1"/>
      <c r="AD373" s="1"/>
      <c r="AE373" s="1"/>
      <c r="AF373" s="1"/>
    </row>
    <row r="374" spans="1:33">
      <c r="A374" s="3" t="s">
        <v>1250</v>
      </c>
      <c r="B374" s="3"/>
      <c r="C374" s="3" t="s">
        <v>1251</v>
      </c>
      <c r="D374" s="3" t="s">
        <v>1252</v>
      </c>
      <c r="E374" s="6" t="str">
        <f t="shared" si="44"/>
        <v>Tschudin</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74" s="5" t="str">
        <f t="shared" si="48"/>
        <v>1998</v>
      </c>
      <c r="H374" s="6" t="str">
        <f t="shared" si="45"/>
        <v>Tschudin__1998</v>
      </c>
      <c r="I374" s="6" t="str">
        <f>_xlfn.LET(_xlpm.doi,IF(C374&lt;&gt;"",C374,_xlfn.TEXTAFTER(A374,"https://doi.org/")),SUBSTITUTE(SUBSTITUTE(SUBSTITUTE(SUBSTITUTE(_xlpm.doi,"/","%2F"),":","%3A"),"&lt;","%3C"),"&gt;","%3E"))</f>
        <v>CorpusID%3A142614626</v>
      </c>
      <c r="J374" s="6" t="str">
        <f t="shared" si="46"/>
        <v>Tschudin__1998_Table2.5</v>
      </c>
      <c r="K374" s="6" t="str">
        <f t="shared" si="47"/>
        <v>CorpusID%3A142614626_Table2.5</v>
      </c>
      <c r="L374" s="6" t="str">
        <f>IFERROR(INDEX(AUTO_Public_TSV_FileList!$A$1:$A$1000,MATCH(TRUE(),EXACT(K374,IFERROR(_xlfn.TEXTBEFORE(AUTO_Public_TSV_FileList!$A$1:$A$1000,".tsv"),"")),0)),"notfound")</f>
        <v>notfound</v>
      </c>
      <c r="M374" s="3" t="s">
        <v>1253</v>
      </c>
      <c r="N374" s="1" t="s">
        <v>35</v>
      </c>
      <c r="P374" s="3"/>
      <c r="Q374" s="3"/>
      <c r="R374" s="3"/>
      <c r="S374" s="3" t="s">
        <v>478</v>
      </c>
      <c r="T374" s="3" t="s">
        <v>479</v>
      </c>
      <c r="U374" s="3"/>
      <c r="V374" s="3" t="s">
        <v>480</v>
      </c>
      <c r="W374" s="3" t="s">
        <v>1048</v>
      </c>
      <c r="X374" s="3" t="s">
        <v>1254</v>
      </c>
      <c r="Y374" s="3"/>
      <c r="Z374" s="3"/>
      <c r="AA374" s="3" t="s">
        <v>1255</v>
      </c>
      <c r="AB374" s="3" t="s">
        <v>1256</v>
      </c>
      <c r="AD374" s="3"/>
      <c r="AE374" s="3" t="s">
        <v>66</v>
      </c>
      <c r="AF374" s="3"/>
      <c r="AG374" s="3" t="s">
        <v>1257</v>
      </c>
    </row>
    <row r="375" spans="1:33">
      <c r="A375" s="1" t="s">
        <v>1258</v>
      </c>
      <c r="D375" s="1" t="s">
        <v>81</v>
      </c>
      <c r="E375" s="5" t="str">
        <f t="shared" si="44"/>
        <v>Turner</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5" t="str">
        <f t="shared" si="48"/>
        <v>2016</v>
      </c>
      <c r="H375" s="5" t="str">
        <f t="shared" si="45"/>
        <v>Turner_etal_2016</v>
      </c>
      <c r="I375" s="5" t="str">
        <f>_xlfn.LET(
_xlpm.doi,IF(C375&lt;&gt;"",C375,_xlfn.TEXTAFTER(A375,"https://doi.org/")),
SUBSTITUTE(
SUBSTITUTE(
SUBSTITUTE(
SUBSTITUTE(
_xlpm.doi,
"/","%2F"),
":","%3A"),
"&lt;","%3C"),
"&gt;","%3E")
)</f>
        <v>10.1159%2F000446762</v>
      </c>
      <c r="J375" s="5" t="str">
        <f t="shared" si="46"/>
        <v>Turner_etal_2016_Table1</v>
      </c>
      <c r="K375" s="5" t="str">
        <f t="shared" si="47"/>
        <v>10.1159%2F000446762_Table1</v>
      </c>
      <c r="L375" s="5" t="str">
        <f t="array" ref="L375">IFERROR(INDEX(AUTO_Public_TSV_FileList!$A$1:$A$1000,MATCH(TRUE(),EXACT(K375,IFERROR(_xlfn.TEXTBEFORE(AUTO_Public_TSV_FileList!$A$1:$A$1000,".tsv"),"")),0)),"notfound")</f>
        <v>10.1159%2F000446762_Table1.tsv</v>
      </c>
      <c r="M375" s="1" t="s">
        <v>1259</v>
      </c>
      <c r="P375" s="2" t="s">
        <v>36</v>
      </c>
      <c r="W375" s="1" t="s">
        <v>131</v>
      </c>
      <c r="X375" s="1" t="s">
        <v>1260</v>
      </c>
      <c r="AB375" s="1" t="s">
        <v>171</v>
      </c>
      <c r="AE375" s="1" t="s">
        <v>66</v>
      </c>
      <c r="AF375" s="1"/>
    </row>
    <row r="376" spans="1:33">
      <c r="A376" s="2" t="s">
        <v>1261</v>
      </c>
      <c r="D376" s="2" t="s">
        <v>1262</v>
      </c>
      <c r="E376" s="6" t="str">
        <f t="shared" si="44"/>
        <v>Upham</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 t="shared" si="48"/>
        <v>2019</v>
      </c>
      <c r="H376" s="6" t="str">
        <f t="shared" si="45"/>
        <v>Upham_etal_2019</v>
      </c>
      <c r="I376" s="6" t="str">
        <f>_xlfn.LET(_xlpm.doi,IF(C376&lt;&gt;"",C376,_xlfn.TEXTAFTER(A376,"https://doi.org/")),SUBSTITUTE(SUBSTITUTE(SUBSTITUTE(SUBSTITUTE(_xlpm.doi,"/","%2F"),":","%3A"),"&lt;","%3C"),"&gt;","%3E"))</f>
        <v>10.1371%2Fjournal.pbio.3000494</v>
      </c>
      <c r="J376" s="6" t="str">
        <f t="shared" si="46"/>
        <v>Upham_etal_2019_Completed100</v>
      </c>
      <c r="K376" s="5" t="str">
        <f t="shared" si="47"/>
        <v>10.1371%2Fjournal.pbio.3000494_Completed100</v>
      </c>
      <c r="L376" s="5" t="str">
        <f t="array" ref="L376">IFERROR(INDEX(AUTO_Public_TSV_FileList!$A$1:$A$1000,MATCH(TRUE(),EXACT(K376,IFERROR(_xlfn.TEXTBEFORE(AUTO_Public_TSV_FileList!$A$1:$A$1000,".tsv"),"")),0)),"notfound")</f>
        <v>notfound</v>
      </c>
      <c r="M376" s="2" t="s">
        <v>1263</v>
      </c>
      <c r="N376" s="1" t="s">
        <v>645</v>
      </c>
      <c r="O376" s="2" t="s">
        <v>1264</v>
      </c>
    </row>
    <row r="377" spans="1:33">
      <c r="A377" s="1" t="s">
        <v>1261</v>
      </c>
      <c r="D377" s="1" t="s">
        <v>1265</v>
      </c>
      <c r="E377" s="6" t="str">
        <f t="shared" si="44"/>
        <v>Upham</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48"/>
        <v>2019</v>
      </c>
      <c r="H377" s="6" t="str">
        <f t="shared" si="45"/>
        <v>Upham_etal_2019</v>
      </c>
      <c r="I377" s="6" t="str">
        <f>_xlfn.LET(_xlpm.doi,IF(C377&lt;&gt;"",C377,_xlfn.TEXTAFTER(A377,"https://doi.org/")),SUBSTITUTE(SUBSTITUTE(SUBSTITUTE(SUBSTITUTE(_xlpm.doi,"/","%2F"),":","%3A"),"&lt;","%3C"),"&gt;","%3E"))</f>
        <v>10.1371%2Fjournal.pbio.3000494</v>
      </c>
      <c r="J377" s="6" t="str">
        <f t="shared" si="46"/>
        <v>Upham_etal_2019_DNAonlyMCC</v>
      </c>
      <c r="K377" s="5" t="str">
        <f t="shared" si="47"/>
        <v>10.1371%2Fjournal.pbio.3000494_DNAonlyMCC</v>
      </c>
      <c r="L377" s="5" t="str">
        <f t="array" ref="L377">IFERROR(INDEX(AUTO_Public_TSV_FileList!$A$1:$A$1000,MATCH(TRUE(),EXACT(K377,IFERROR(_xlfn.TEXTBEFORE(AUTO_Public_TSV_FileList!$A$1:$A$1000,".tsv"),"")),0)),"notfound")</f>
        <v>10.1371%2Fjournal.pbio.3000494_DNAonlyMCC.tsv</v>
      </c>
      <c r="M377" s="1" t="s">
        <v>1266</v>
      </c>
      <c r="N377" s="1" t="s">
        <v>645</v>
      </c>
      <c r="P377" s="2" t="s">
        <v>36</v>
      </c>
    </row>
    <row r="378" spans="1:33">
      <c r="A378" s="2" t="s">
        <v>1267</v>
      </c>
      <c r="D378" s="2" t="s">
        <v>81</v>
      </c>
      <c r="E378" s="5" t="str">
        <f t="shared" si="44"/>
        <v>VanEssen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378" s="5" t="str">
        <f t="shared" si="48"/>
        <v>1997</v>
      </c>
      <c r="H378" s="5" t="str">
        <f t="shared" si="45"/>
        <v>VanEssen_Drury_1997</v>
      </c>
      <c r="I378" s="5" t="str">
        <f t="shared" ref="I378:I386" si="49">_xlfn.LET(
_xlpm.doi,IF(C378&lt;&gt;"",C378,_xlfn.TEXTAFTER(A378,"https://doi.org/")),
SUBSTITUTE(
SUBSTITUTE(
SUBSTITUTE(
SUBSTITUTE(
_xlpm.doi,
"/","%2F"),
":","%3A"),
"&lt;","%3C"),
"&gt;","%3E")
)</f>
        <v>10.1523%2FJNEUROSCI.17-18-07079.1997</v>
      </c>
      <c r="J378" s="5" t="str">
        <f t="shared" si="46"/>
        <v>VanEssen_Drury_1997_Table1</v>
      </c>
      <c r="K378" s="5" t="str">
        <f t="shared" si="47"/>
        <v>10.1523%2FJNEUROSCI.17-18-07079.1997_Table1</v>
      </c>
      <c r="L378" s="5" t="str">
        <f t="array" ref="L378">IFERROR(INDEX(AUTO_Public_TSV_FileList!$A$1:$A$1000,MATCH(TRUE(),EXACT(K378,IFERROR(_xlfn.TEXTBEFORE(AUTO_Public_TSV_FileList!$A$1:$A$1000,".tsv"),"")),0)),"notfound")</f>
        <v>10.1523%2FJNEUROSCI.17-18-07079.1997_Table1.tsv</v>
      </c>
      <c r="M378" s="2" t="s">
        <v>1268</v>
      </c>
    </row>
    <row r="379" spans="1:33">
      <c r="A379" s="2" t="s">
        <v>1269</v>
      </c>
      <c r="D379" s="2" t="s">
        <v>1270</v>
      </c>
      <c r="E379" s="5" t="str">
        <f t="shared" si="44"/>
        <v>Veilleux</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379" s="5" t="str">
        <f t="shared" si="48"/>
        <v>2014</v>
      </c>
      <c r="H379" s="5" t="str">
        <f t="shared" si="45"/>
        <v>Veilleux_Kirk_2014</v>
      </c>
      <c r="I379" s="5" t="str">
        <f t="shared" si="49"/>
        <v>10.1159%2F000357830</v>
      </c>
      <c r="J379" s="5" t="str">
        <f t="shared" si="46"/>
        <v>Veilleux_Kirk_2014_SupplementalTable1</v>
      </c>
      <c r="K379" s="5" t="str">
        <f t="shared" si="47"/>
        <v>10.1159%2F000357830_SupplementalTable1</v>
      </c>
      <c r="L379" s="5" t="str">
        <f t="array" ref="L379">IFERROR(INDEX(AUTO_Public_TSV_FileList!$A$1:$A$1000,MATCH(TRUE(),EXACT(K379,IFERROR(_xlfn.TEXTBEFORE(AUTO_Public_TSV_FileList!$A$1:$A$1000,".tsv"),"")),0)),"notfound")</f>
        <v>10.1159%2F000357830_SupplementalTable1.tsv</v>
      </c>
      <c r="M379" s="2" t="s">
        <v>1271</v>
      </c>
      <c r="N379" s="1" t="s">
        <v>35</v>
      </c>
      <c r="O379" s="3" t="s">
        <v>1272</v>
      </c>
      <c r="P379" s="3"/>
      <c r="Q379" s="3"/>
      <c r="R379" s="3" t="s">
        <v>1273</v>
      </c>
      <c r="S379" s="3" t="s">
        <v>1274</v>
      </c>
      <c r="T379" s="3" t="s">
        <v>1275</v>
      </c>
      <c r="U379" s="3"/>
      <c r="V379" s="3"/>
      <c r="W379" s="3" t="s">
        <v>131</v>
      </c>
      <c r="X379" s="3" t="s">
        <v>1276</v>
      </c>
      <c r="Y379" s="3"/>
      <c r="Z379" s="3"/>
      <c r="AA379" s="3" t="s">
        <v>1277</v>
      </c>
      <c r="AB379" s="3" t="s">
        <v>1278</v>
      </c>
      <c r="AC379" s="3"/>
      <c r="AD379" s="3"/>
      <c r="AE379" s="2" t="s">
        <v>51</v>
      </c>
      <c r="AG379" s="3" t="s">
        <v>1279</v>
      </c>
    </row>
    <row r="380" spans="1:33">
      <c r="A380" s="1" t="s">
        <v>1280</v>
      </c>
      <c r="C380" s="1" t="s">
        <v>1281</v>
      </c>
      <c r="D380" s="1" t="s">
        <v>1282</v>
      </c>
      <c r="E380" s="5" t="str">
        <f t="shared" si="44"/>
        <v>Weaver</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0" s="5" t="str">
        <f t="shared" si="48"/>
        <v>2001</v>
      </c>
      <c r="H380" s="5" t="str">
        <f t="shared" si="45"/>
        <v>Weaver__2001</v>
      </c>
      <c r="I380" s="5" t="str">
        <f t="shared" si="49"/>
        <v>UMI%3A3017523</v>
      </c>
      <c r="J380" s="5" t="str">
        <f t="shared" si="46"/>
        <v>Weaver__2001_NotesforTableA-15</v>
      </c>
      <c r="K380" s="5" t="str">
        <f t="shared" si="47"/>
        <v>UMI%3A3017523_NotesforTableA-15</v>
      </c>
      <c r="L380" s="5" t="str">
        <f t="array" ref="L380">IFERROR(INDEX(AUTO_Public_TSV_FileList!$A$1:$A$1000,MATCH(TRUE(),EXACT(K380,IFERROR(_xlfn.TEXTBEFORE(AUTO_Public_TSV_FileList!$A$1:$A$1000,".tsv"),"")),0)),"notfound")</f>
        <v>UMI%3A3017523_NotesforTableA-15.tsv</v>
      </c>
      <c r="M380" s="1" t="s">
        <v>1282</v>
      </c>
      <c r="P380" s="1" t="s">
        <v>36</v>
      </c>
    </row>
    <row r="381" spans="1:33">
      <c r="A381" s="1" t="s">
        <v>1280</v>
      </c>
      <c r="C381" s="1" t="s">
        <v>1281</v>
      </c>
      <c r="D381" s="1" t="s">
        <v>1283</v>
      </c>
      <c r="E381" s="5" t="str">
        <f t="shared" si="44"/>
        <v>Weaver</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1" s="5" t="str">
        <f t="shared" si="48"/>
        <v>2001</v>
      </c>
      <c r="H381" s="5" t="str">
        <f t="shared" si="45"/>
        <v>Weaver__2001</v>
      </c>
      <c r="I381" s="5" t="str">
        <f t="shared" si="49"/>
        <v>UMI%3A3017523</v>
      </c>
      <c r="J381" s="5" t="str">
        <f t="shared" si="46"/>
        <v>Weaver__2001_TableA-11</v>
      </c>
      <c r="K381" s="5" t="str">
        <f t="shared" si="47"/>
        <v>UMI%3A3017523_TableA-11</v>
      </c>
      <c r="L381" s="5" t="str">
        <f t="array" ref="L381">IFERROR(INDEX(AUTO_Public_TSV_FileList!$A$1:$A$1000,MATCH(TRUE(),EXACT(K381,IFERROR(_xlfn.TEXTBEFORE(AUTO_Public_TSV_FileList!$A$1:$A$1000,".tsv"),"")),0)),"notfound")</f>
        <v>UMI%3A3017523_TableA-11.tsv</v>
      </c>
      <c r="M381" s="1" t="s">
        <v>1284</v>
      </c>
      <c r="P381" s="1" t="s">
        <v>36</v>
      </c>
    </row>
    <row r="382" spans="1:33">
      <c r="A382" s="1" t="s">
        <v>1280</v>
      </c>
      <c r="C382" s="1" t="s">
        <v>1281</v>
      </c>
      <c r="D382" s="1" t="s">
        <v>1285</v>
      </c>
      <c r="E382" s="5" t="str">
        <f t="shared" si="44"/>
        <v>Weaver</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2" s="5" t="str">
        <f t="shared" si="48"/>
        <v>2001</v>
      </c>
      <c r="H382" s="5" t="str">
        <f t="shared" si="45"/>
        <v>Weaver__2001</v>
      </c>
      <c r="I382" s="5" t="str">
        <f t="shared" si="49"/>
        <v>UMI%3A3017523</v>
      </c>
      <c r="J382" s="5" t="str">
        <f t="shared" si="46"/>
        <v>Weaver__2001_TableA-15</v>
      </c>
      <c r="K382" s="5" t="str">
        <f t="shared" si="47"/>
        <v>UMI%3A3017523_TableA-15</v>
      </c>
      <c r="L382" s="5" t="str">
        <f t="array" ref="L382">IFERROR(INDEX(AUTO_Public_TSV_FileList!$A$1:$A$1000,MATCH(TRUE(),EXACT(K382,IFERROR(_xlfn.TEXTBEFORE(AUTO_Public_TSV_FileList!$A$1:$A$1000,".tsv"),"")),0)),"notfound")</f>
        <v>UMI%3A3017523_TableA-15.tsv</v>
      </c>
      <c r="M382" s="1" t="s">
        <v>1286</v>
      </c>
      <c r="P382" s="1" t="s">
        <v>36</v>
      </c>
    </row>
    <row r="383" spans="1:33">
      <c r="A383" s="2" t="s">
        <v>1287</v>
      </c>
      <c r="D383" s="2" t="s">
        <v>81</v>
      </c>
      <c r="E383" s="5" t="str">
        <f t="shared" si="44"/>
        <v>Weibel</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48"/>
        <v>2004</v>
      </c>
      <c r="H383" s="5" t="str">
        <f t="shared" si="45"/>
        <v>Weibel_etal_2004</v>
      </c>
      <c r="I383" s="5" t="str">
        <f t="shared" si="49"/>
        <v>10.1016%2Fj.resp.2004.01.006</v>
      </c>
      <c r="J383" s="5" t="str">
        <f t="shared" si="46"/>
        <v>Weibel_etal_2004_Table1</v>
      </c>
      <c r="K383" s="5" t="str">
        <f t="shared" si="47"/>
        <v>10.1016%2Fj.resp.2004.01.006_Table1</v>
      </c>
      <c r="L383" s="5" t="str">
        <f t="array" ref="L383">IFERROR(INDEX(AUTO_Public_TSV_FileList!$A$1:$A$1000,MATCH(TRUE(),EXACT(K383,IFERROR(_xlfn.TEXTBEFORE(AUTO_Public_TSV_FileList!$A$1:$A$1000,".tsv"),"")),0)),"notfound")</f>
        <v>10.1016%2Fj.resp.2004.01.006_Table1.tsv</v>
      </c>
      <c r="M383" s="2" t="s">
        <v>1288</v>
      </c>
    </row>
    <row r="384" spans="1:33">
      <c r="A384" s="2" t="s">
        <v>1287</v>
      </c>
      <c r="D384" s="2" t="s">
        <v>1289</v>
      </c>
      <c r="E384" s="5" t="str">
        <f t="shared" si="44"/>
        <v>Weibel</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48"/>
        <v>2004</v>
      </c>
      <c r="H384" s="5" t="str">
        <f t="shared" si="45"/>
        <v>Weibel_etal_2004</v>
      </c>
      <c r="I384" s="5" t="str">
        <f t="shared" si="49"/>
        <v>10.1016%2Fj.resp.2004.01.006</v>
      </c>
      <c r="J384" s="5" t="str">
        <f t="shared" si="46"/>
        <v>Weibel_etal_2004_TableA.1</v>
      </c>
      <c r="K384" s="5" t="str">
        <f t="shared" si="47"/>
        <v>10.1016%2Fj.resp.2004.01.006_TableA.1</v>
      </c>
      <c r="L384" s="5" t="str">
        <f t="array" ref="L384">IFERROR(INDEX(AUTO_Public_TSV_FileList!$A$1:$A$1000,MATCH(TRUE(),EXACT(K384,IFERROR(_xlfn.TEXTBEFORE(AUTO_Public_TSV_FileList!$A$1:$A$1000,".tsv"),"")),0)),"notfound")</f>
        <v>10.1016%2Fj.resp.2004.01.006_TableA.1.tsv</v>
      </c>
      <c r="M384" s="2" t="s">
        <v>1290</v>
      </c>
    </row>
    <row r="385" spans="1:32">
      <c r="A385" s="1" t="s">
        <v>1291</v>
      </c>
      <c r="D385" s="1" t="s">
        <v>1292</v>
      </c>
      <c r="E385" s="5" t="str">
        <f t="shared" ref="E385:E396" si="50">SUBSTITUTE(SUBSTITUTE(_xlfn.TEXTBEFORE(A385,","), "-", ""), " ", "")</f>
        <v>Wilman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48"/>
        <v>2014</v>
      </c>
      <c r="H385" s="5" t="str">
        <f t="shared" ref="H385:H396" si="51">E385 &amp; IF(F385&lt;&gt;"", "_" &amp; F385, "_") &amp; IF(G385&lt;&gt;"", "_" &amp; G385, "_") &amp; IF(B385&lt;&gt;"", "_" &amp; B385, "")</f>
        <v>Wilman_etal_2014</v>
      </c>
      <c r="I385" s="5" t="str">
        <f t="shared" si="49"/>
        <v>10.1890%2F13-1917.1</v>
      </c>
      <c r="J385" s="5" t="str">
        <f t="shared" ref="J385:J396" si="52">TRIM(_xlfn.TEXTJOIN("_",FALSE(),H385,(SUBSTITUTE(SUBSTITUTE(D385," ",""), "_", ""))))</f>
        <v>Wilman_etal_2014_MamFuncDat</v>
      </c>
      <c r="K385" s="5" t="str">
        <f t="shared" ref="K385:K396" si="53">I385 &amp; "_" &amp; SUBSTITUTE(SUBSTITUTE(SUBSTITUTE(D385,CHAR(160),"")," ",""),"_","")</f>
        <v>10.1890%2F13-1917.1_MamFuncDat</v>
      </c>
      <c r="L385" s="5" t="str">
        <f t="array" ref="L385">IFERROR(INDEX(AUTO_Public_TSV_FileList!$A$1:$A$1000,MATCH(TRUE(),EXACT(K385,IFERROR(_xlfn.TEXTBEFORE(AUTO_Public_TSV_FileList!$A$1:$A$1000,".tsv"),"")),0)),"notfound")</f>
        <v>10.1890%2F13-1917.1_MamFuncDat.tsv</v>
      </c>
      <c r="P385" s="2" t="s">
        <v>36</v>
      </c>
      <c r="W385" s="1" t="s">
        <v>131</v>
      </c>
      <c r="X385" s="1" t="s">
        <v>1293</v>
      </c>
      <c r="AB385" s="1" t="s">
        <v>1294</v>
      </c>
      <c r="AE385" s="1" t="s">
        <v>172</v>
      </c>
      <c r="AF385" s="1"/>
    </row>
    <row r="386" spans="1:32">
      <c r="A386" s="1" t="s">
        <v>1295</v>
      </c>
      <c r="D386" s="1" t="s">
        <v>1296</v>
      </c>
      <c r="E386" s="5" t="str">
        <f t="shared" si="50"/>
        <v>Wimberly</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si="48"/>
        <v>2021</v>
      </c>
      <c r="H386" s="5" t="str">
        <f t="shared" si="51"/>
        <v>Wimberly_etal_2021</v>
      </c>
      <c r="I386" s="5" t="str">
        <f t="shared" si="49"/>
        <v>10.1098%2Frspb.2021.0937</v>
      </c>
      <c r="J386" s="5" t="str">
        <f t="shared" si="52"/>
        <v>Wimberly_etal_2021_MammalGait</v>
      </c>
      <c r="K386" s="5" t="str">
        <f t="shared" si="53"/>
        <v>10.1098%2Frspb.2021.0937_MammalGait</v>
      </c>
      <c r="L386" s="5" t="str">
        <f t="array" ref="L386">IFERROR(INDEX(AUTO_Public_TSV_FileList!$A$1:$A$1000,MATCH(TRUE(),EXACT(K386,IFERROR(_xlfn.TEXTBEFORE(AUTO_Public_TSV_FileList!$A$1:$A$1000,".tsv"),"")),0)),"notfound")</f>
        <v>10.1098%2Frspb.2021.0937_MammalGait.tsv</v>
      </c>
      <c r="P386" s="1" t="s">
        <v>36</v>
      </c>
      <c r="W386" s="1"/>
      <c r="AB386" s="1"/>
      <c r="AE386" s="1"/>
      <c r="AF386" s="1"/>
    </row>
    <row r="387" spans="1:32">
      <c r="A387" s="1" t="s">
        <v>1297</v>
      </c>
      <c r="D387" s="1" t="s">
        <v>535</v>
      </c>
      <c r="E387" s="6" t="str">
        <f t="shared" si="50"/>
        <v>Winkler</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387" s="5" t="str">
        <f t="shared" si="48"/>
        <v>2021</v>
      </c>
      <c r="H387" s="6" t="str">
        <f t="shared" si="51"/>
        <v>Winkler_Bryant_2021</v>
      </c>
      <c r="I387" s="6" t="str">
        <f t="shared" ref="I387:I396" si="54">_xlfn.LET(_xlpm.doi,IF(C387&lt;&gt;"",C387,_xlfn.TEXTAFTER(A387,"https://doi.org/")),SUBSTITUTE(SUBSTITUTE(SUBSTITUTE(SUBSTITUTE(_xlpm.doi,"/","%2F"),":","%3A"),"&lt;","%3C"),"&gt;","%3E"))</f>
        <v>10.1080%2F09524622.2021.1905065</v>
      </c>
      <c r="J387" s="6" t="str">
        <f t="shared" si="52"/>
        <v>Winkler_Bryant_2021_Figure1</v>
      </c>
      <c r="K387" s="5" t="str">
        <f t="shared" si="53"/>
        <v>10.1080%2F09524622.2021.1905065_Figure1</v>
      </c>
      <c r="L387" s="5" t="str">
        <f t="array" ref="L387">IFERROR(INDEX(AUTO_Public_TSV_FileList!$A$1:$A$1000,MATCH(TRUE(),EXACT(K387,IFERROR(_xlfn.TEXTBEFORE(AUTO_Public_TSV_FileList!$A$1:$A$1000,".tsv"),"")),0)),"notfound")</f>
        <v>10.1080%2F09524622.2021.1905065_Figure1.tsv</v>
      </c>
      <c r="M387" s="1" t="s">
        <v>1298</v>
      </c>
      <c r="N387" s="2" t="s">
        <v>537</v>
      </c>
      <c r="P387" s="2" t="s">
        <v>36</v>
      </c>
    </row>
    <row r="388" spans="1:32">
      <c r="A388" s="2" t="s">
        <v>1297</v>
      </c>
      <c r="D388" s="2" t="s">
        <v>535</v>
      </c>
      <c r="E388" s="6" t="str">
        <f t="shared" si="50"/>
        <v>Winkler</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388" s="5" t="str">
        <f t="shared" si="48"/>
        <v>2021</v>
      </c>
      <c r="H388" s="6" t="str">
        <f t="shared" si="51"/>
        <v>Winkler_Bryant_2021</v>
      </c>
      <c r="I388" s="6" t="str">
        <f t="shared" si="54"/>
        <v>10.1080%2F09524622.2021.1905065</v>
      </c>
      <c r="J388" s="6" t="str">
        <f t="shared" si="52"/>
        <v>Winkler_Bryant_2021_Figure1</v>
      </c>
      <c r="K388" s="5" t="str">
        <f t="shared" si="53"/>
        <v>10.1080%2F09524622.2021.1905065_Figure1</v>
      </c>
      <c r="L388" s="5" t="str">
        <f t="array" ref="L388">IFERROR(INDEX(AUTO_Public_TSV_FileList!$A$1:$A$1000,MATCH(TRUE(),EXACT(K388,IFERROR(_xlfn.TEXTBEFORE(AUTO_Public_TSV_FileList!$A$1:$A$1000,".tsv"),"")),0)),"notfound")</f>
        <v>10.1080%2F09524622.2021.1905065_Figure1.tsv</v>
      </c>
      <c r="M388" s="2" t="s">
        <v>1298</v>
      </c>
      <c r="N388" s="2" t="s">
        <v>537</v>
      </c>
      <c r="P388" s="2" t="s">
        <v>36</v>
      </c>
    </row>
    <row r="389" spans="1:32">
      <c r="A389" s="1" t="s">
        <v>1299</v>
      </c>
      <c r="D389" s="1" t="s">
        <v>81</v>
      </c>
      <c r="E389" s="6" t="str">
        <f t="shared" si="50"/>
        <v>Young</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48"/>
        <v>2013</v>
      </c>
      <c r="H389" s="6" t="str">
        <f t="shared" si="51"/>
        <v>Young_etal_2013</v>
      </c>
      <c r="I389" s="6" t="str">
        <f t="shared" si="54"/>
        <v>10.3389%2Ffncir.2013.00030</v>
      </c>
      <c r="J389" s="6" t="str">
        <f t="shared" si="52"/>
        <v>Young_etal_2013_Table1</v>
      </c>
      <c r="K389" s="5" t="str">
        <f t="shared" si="53"/>
        <v>10.3389%2Ffncir.2013.00030_Table1</v>
      </c>
      <c r="L389" s="5" t="str">
        <f t="array" ref="L389">IFERROR(INDEX(AUTO_Public_TSV_FileList!$A$1:$A$1000,MATCH(TRUE(),EXACT(K389,IFERROR(_xlfn.TEXTBEFORE(AUTO_Public_TSV_FileList!$A$1:$A$1000,".tsv"),"")),0)),"notfound")</f>
        <v>10.3389%2Ffncir.2013.00030_Table1.tsv</v>
      </c>
      <c r="M389" s="1" t="s">
        <v>1300</v>
      </c>
      <c r="N389" s="1" t="s">
        <v>35</v>
      </c>
      <c r="P389" s="2" t="s">
        <v>36</v>
      </c>
    </row>
    <row r="390" spans="1:32">
      <c r="A390" s="2" t="s">
        <v>1299</v>
      </c>
      <c r="D390" s="2" t="s">
        <v>81</v>
      </c>
      <c r="E390" s="6" t="str">
        <f t="shared" si="50"/>
        <v>Young</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si="48"/>
        <v>2013</v>
      </c>
      <c r="H390" s="6" t="str">
        <f t="shared" si="51"/>
        <v>Young_etal_2013</v>
      </c>
      <c r="I390" s="6" t="str">
        <f t="shared" si="54"/>
        <v>10.3389%2Ffncir.2013.00030</v>
      </c>
      <c r="J390" s="6" t="str">
        <f t="shared" si="52"/>
        <v>Young_etal_2013_Table1</v>
      </c>
      <c r="K390" s="5" t="str">
        <f t="shared" si="53"/>
        <v>10.3389%2Ffncir.2013.00030_Table1</v>
      </c>
      <c r="L390" s="5" t="str">
        <f t="array" ref="L390">IFERROR(INDEX(AUTO_Public_TSV_FileList!$A$1:$A$1000,MATCH(TRUE(),EXACT(K390,IFERROR(_xlfn.TEXTBEFORE(AUTO_Public_TSV_FileList!$A$1:$A$1000,".tsv"),"")),0)),"notfound")</f>
        <v>10.3389%2Ffncir.2013.00030_Table1.tsv</v>
      </c>
      <c r="M390" s="2" t="s">
        <v>1300</v>
      </c>
      <c r="N390" s="1" t="s">
        <v>35</v>
      </c>
      <c r="P390" s="2" t="s">
        <v>36</v>
      </c>
    </row>
    <row r="391" spans="1:32">
      <c r="A391" s="1" t="s">
        <v>1301</v>
      </c>
      <c r="B391" s="1" t="s">
        <v>270</v>
      </c>
      <c r="D391" s="1" t="s">
        <v>81</v>
      </c>
      <c r="E391" s="6" t="str">
        <f t="shared" si="50"/>
        <v>Young</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48"/>
        <v>2013</v>
      </c>
      <c r="H391" s="6" t="str">
        <f t="shared" si="51"/>
        <v>Young_etal_2013_b</v>
      </c>
      <c r="I391" s="6" t="str">
        <f t="shared" si="54"/>
        <v>10.1073%2Fpnas.1318894110</v>
      </c>
      <c r="J391" s="6" t="str">
        <f t="shared" si="52"/>
        <v>Young_etal_2013_b_Table1</v>
      </c>
      <c r="K391" s="5" t="str">
        <f t="shared" si="53"/>
        <v>10.1073%2Fpnas.1318894110_Table1</v>
      </c>
      <c r="L391" s="5" t="str">
        <f t="array" ref="L391">IFERROR(INDEX(AUTO_Public_TSV_FileList!$A$1:$A$1000,MATCH(TRUE(),EXACT(K391,IFERROR(_xlfn.TEXTBEFORE(AUTO_Public_TSV_FileList!$A$1:$A$1000,".tsv"),"")),0)),"notfound")</f>
        <v>10.1073%2Fpnas.1318894110_Table1.tsv</v>
      </c>
      <c r="M391" s="1" t="s">
        <v>1302</v>
      </c>
      <c r="N391" s="1" t="s">
        <v>35</v>
      </c>
      <c r="P391" s="2" t="s">
        <v>36</v>
      </c>
    </row>
    <row r="392" spans="1:32">
      <c r="A392" s="2" t="s">
        <v>1301</v>
      </c>
      <c r="B392" s="2" t="s">
        <v>270</v>
      </c>
      <c r="D392" s="2" t="s">
        <v>81</v>
      </c>
      <c r="E392" s="6" t="str">
        <f t="shared" si="50"/>
        <v>Young</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48"/>
        <v>2013</v>
      </c>
      <c r="H392" s="6" t="str">
        <f t="shared" si="51"/>
        <v>Young_etal_2013_b</v>
      </c>
      <c r="I392" s="6" t="str">
        <f t="shared" si="54"/>
        <v>10.1073%2Fpnas.1318894110</v>
      </c>
      <c r="J392" s="6" t="str">
        <f t="shared" si="52"/>
        <v>Young_etal_2013_b_Table1</v>
      </c>
      <c r="K392" s="5" t="str">
        <f t="shared" si="53"/>
        <v>10.1073%2Fpnas.1318894110_Table1</v>
      </c>
      <c r="L392" s="5" t="str">
        <f t="array" ref="L392">IFERROR(INDEX(AUTO_Public_TSV_FileList!$A$1:$A$1000,MATCH(TRUE(),EXACT(K392,IFERROR(_xlfn.TEXTBEFORE(AUTO_Public_TSV_FileList!$A$1:$A$1000,".tsv"),"")),0)),"notfound")</f>
        <v>10.1073%2Fpnas.1318894110_Table1.tsv</v>
      </c>
      <c r="M392" s="2" t="s">
        <v>1302</v>
      </c>
      <c r="N392" s="1" t="s">
        <v>35</v>
      </c>
      <c r="P392" s="2" t="s">
        <v>36</v>
      </c>
    </row>
    <row r="393" spans="1:32">
      <c r="A393" s="1" t="s">
        <v>1303</v>
      </c>
      <c r="C393" s="1" t="s">
        <v>1304</v>
      </c>
      <c r="D393" s="1" t="s">
        <v>1305</v>
      </c>
      <c r="E393" s="6" t="str">
        <f t="shared" si="50"/>
        <v>Zilles</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393" s="5" t="str">
        <f t="shared" si="48"/>
        <v>1988</v>
      </c>
      <c r="H393" s="6" t="str">
        <f t="shared" si="51"/>
        <v>Zilles_Rehkämper_1988</v>
      </c>
      <c r="I393" s="6" t="str">
        <f t="shared" si="54"/>
        <v>ISBN%3A9780195043716</v>
      </c>
      <c r="J393" s="6" t="str">
        <f t="shared" si="52"/>
        <v>Zilles_Rehkämper_1988_Table12-2</v>
      </c>
      <c r="K393" s="5" t="str">
        <f t="shared" si="53"/>
        <v>ISBN%3A9780195043716_Table12-2</v>
      </c>
      <c r="L393" s="5" t="str">
        <f t="array" ref="L393">IFERROR(INDEX(AUTO_Public_TSV_FileList!$A$1:$A$1000,MATCH(TRUE(),EXACT(K393,IFERROR(_xlfn.TEXTBEFORE(AUTO_Public_TSV_FileList!$A$1:$A$1000,".tsv"),"")),0)),"notfound")</f>
        <v>ISBN%3A9780195043716_Table12-2.tsv</v>
      </c>
      <c r="M393" s="1" t="s">
        <v>1306</v>
      </c>
      <c r="N393" s="1" t="s">
        <v>35</v>
      </c>
      <c r="P393" s="2" t="s">
        <v>36</v>
      </c>
    </row>
    <row r="394" spans="1:32">
      <c r="A394" s="2" t="s">
        <v>1303</v>
      </c>
      <c r="C394" s="2" t="s">
        <v>1304</v>
      </c>
      <c r="D394" s="2" t="s">
        <v>1307</v>
      </c>
      <c r="E394" s="6" t="str">
        <f t="shared" si="50"/>
        <v>Zilles</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394" s="5" t="str">
        <f t="shared" si="48"/>
        <v>1988</v>
      </c>
      <c r="H394" s="6" t="str">
        <f t="shared" si="51"/>
        <v>Zilles_Rehkämper_1988</v>
      </c>
      <c r="I394" s="6" t="str">
        <f t="shared" si="54"/>
        <v>ISBN%3A9780195043716</v>
      </c>
      <c r="J394" s="6" t="str">
        <f t="shared" si="52"/>
        <v>Zilles_Rehkämper_1988_Table12-3</v>
      </c>
      <c r="K394" s="5" t="str">
        <f t="shared" si="53"/>
        <v>ISBN%3A9780195043716_Table12-3</v>
      </c>
      <c r="L394" s="5" t="str">
        <f t="array" ref="L394">IFERROR(INDEX(AUTO_Public_TSV_FileList!$A$1:$A$1000,MATCH(TRUE(),EXACT(K394,IFERROR(_xlfn.TEXTBEFORE(AUTO_Public_TSV_FileList!$A$1:$A$1000,".tsv"),"")),0)),"notfound")</f>
        <v>notfound</v>
      </c>
      <c r="M394" s="2" t="s">
        <v>1308</v>
      </c>
      <c r="N394" s="1" t="s">
        <v>35</v>
      </c>
    </row>
    <row r="395" spans="1:32">
      <c r="A395" s="1" t="s">
        <v>1309</v>
      </c>
      <c r="D395" s="1" t="s">
        <v>81</v>
      </c>
      <c r="E395" s="6" t="str">
        <f t="shared" si="50"/>
        <v>Zilles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 t="shared" si="48"/>
        <v>2013</v>
      </c>
      <c r="H395" s="6" t="str">
        <f t="shared" si="51"/>
        <v>Zilles_etal_2013</v>
      </c>
      <c r="I395" s="6" t="str">
        <f t="shared" si="54"/>
        <v>10.1016%2Fj.tins.2013.01.006</v>
      </c>
      <c r="J395" s="6" t="str">
        <f t="shared" si="52"/>
        <v>Zilles_etal_2013_Table1</v>
      </c>
      <c r="K395" s="5" t="str">
        <f t="shared" si="53"/>
        <v>10.1016%2Fj.tins.2013.01.006_Table1</v>
      </c>
      <c r="L395" s="5" t="str">
        <f t="array" ref="L395">IFERROR(INDEX(AUTO_Public_TSV_FileList!$A$1:$A$1000,MATCH(TRUE(),EXACT(K395,IFERROR(_xlfn.TEXTBEFORE(AUTO_Public_TSV_FileList!$A$1:$A$1000,".tsv"),"")),0)),"notfound")</f>
        <v>10.1016%2Fj.tins.2013.01.006_Table1.tsv</v>
      </c>
      <c r="M395" s="1" t="s">
        <v>1310</v>
      </c>
      <c r="N395" s="1" t="s">
        <v>35</v>
      </c>
      <c r="P395" s="2" t="s">
        <v>36</v>
      </c>
    </row>
    <row r="396" spans="1:32">
      <c r="A396" s="2" t="s">
        <v>1309</v>
      </c>
      <c r="D396" s="2" t="s">
        <v>81</v>
      </c>
      <c r="E396" s="6" t="str">
        <f t="shared" si="50"/>
        <v>Zilles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48"/>
        <v>2013</v>
      </c>
      <c r="H396" s="6" t="str">
        <f t="shared" si="51"/>
        <v>Zilles_etal_2013</v>
      </c>
      <c r="I396" s="6" t="str">
        <f t="shared" si="54"/>
        <v>10.1016%2Fj.tins.2013.01.006</v>
      </c>
      <c r="J396" s="6" t="str">
        <f t="shared" si="52"/>
        <v>Zilles_etal_2013_Table1</v>
      </c>
      <c r="K396" s="5" t="str">
        <f t="shared" si="53"/>
        <v>10.1016%2Fj.tins.2013.01.006_Table1</v>
      </c>
      <c r="L396" s="5" t="str">
        <f t="array" ref="L396">IFERROR(INDEX(AUTO_Public_TSV_FileList!$A$1:$A$1000,MATCH(TRUE(),EXACT(K396,IFERROR(_xlfn.TEXTBEFORE(AUTO_Public_TSV_FileList!$A$1:$A$1000,".tsv"),"")),0)),"notfound")</f>
        <v>10.1016%2Fj.tins.2013.01.006_Table1.tsv</v>
      </c>
      <c r="M396" s="2" t="s">
        <v>1310</v>
      </c>
      <c r="N396" s="1" t="s">
        <v>35</v>
      </c>
      <c r="P396" s="2" t="s">
        <v>36</v>
      </c>
    </row>
    <row r="397" spans="1:32">
      <c r="A397" s="2" t="s">
        <v>1311</v>
      </c>
      <c r="D397" s="2" t="s">
        <v>1312</v>
      </c>
      <c r="E397" s="6" t="str">
        <f t="shared" ref="E397" si="55">SUBSTITUTE(SUBSTITUTE(_xlfn.TEXTBEFORE(A397,","), "-", ""), " ", "")</f>
        <v>Jones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48"/>
        <v>2009</v>
      </c>
      <c r="H397" s="6" t="str">
        <f t="shared" ref="H397" si="56">E397 &amp; IF(F397&lt;&gt;"", "_" &amp; F397, "_") &amp; IF(G397&lt;&gt;"", "_" &amp; G397, "_") &amp; IF(B397&lt;&gt;"", "_" &amp; B397, "")</f>
        <v>Jones_etal_2009</v>
      </c>
      <c r="I397" s="6" t="str">
        <f t="shared" ref="I397" si="57">_xlfn.LET(_xlpm.doi,IF(C397&lt;&gt;"",C397,_xlfn.TEXTAFTER(A397,"https://doi.org/")),SUBSTITUTE(SUBSTITUTE(SUBSTITUTE(SUBSTITUTE(_xlpm.doi,"/","%2F"),":","%3A"),"&lt;","%3C"),"&gt;","%3E"))</f>
        <v>10.1890%2F08-1494.1</v>
      </c>
      <c r="J397" s="6" t="str">
        <f t="shared" ref="J397" si="58">TRIM(_xlfn.TEXTJOIN("_",FALSE(),H397,(SUBSTITUTE(SUBSTITUTE(D397," ",""), "_", ""))))</f>
        <v>Jones_etal_2009_PanTHERIA1-0WR05Aug2008.txt</v>
      </c>
      <c r="K397" s="5" t="str">
        <f t="shared" ref="K397" si="59">I397 &amp; "_" &amp; SUBSTITUTE(SUBSTITUTE(SUBSTITUTE(D397,CHAR(160),"")," ",""),"_","")</f>
        <v>10.1890%2F08-1494.1_PanTHERIA1-0WR05Aug2008.txt</v>
      </c>
      <c r="L397" s="5" t="str">
        <f t="array" ref="L397">IFERROR(INDEX(AUTO_Public_TSV_FileList!$A$1:$A$1000,MATCH(TRUE(),EXACT(K397,IFERROR(_xlfn.TEXTBEFORE(AUTO_Public_TSV_FileList!$A$1:$A$1000,".tsv"),"")),0)),"notfound")</f>
        <v>notfound</v>
      </c>
    </row>
    <row r="398" spans="1:32">
      <c r="A398" s="2" t="s">
        <v>1311</v>
      </c>
      <c r="D398" s="2" t="s">
        <v>1313</v>
      </c>
      <c r="E398" s="6" t="str">
        <f t="shared" ref="E398" si="60">SUBSTITUTE(SUBSTITUTE(_xlfn.TEXTBEFORE(A398,","), "-", ""), " ", "")</f>
        <v>Jones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48"/>
        <v>2009</v>
      </c>
      <c r="H398" s="6" t="str">
        <f t="shared" ref="H398" si="61">E398 &amp; IF(F398&lt;&gt;"", "_" &amp; F398, "_") &amp; IF(G398&lt;&gt;"", "_" &amp; G398, "_") &amp; IF(B398&lt;&gt;"", "_" &amp; B398, "")</f>
        <v>Jones_etal_2009</v>
      </c>
      <c r="I398" s="6" t="str">
        <f t="shared" ref="I398" si="62">_xlfn.LET(_xlpm.doi,IF(C398&lt;&gt;"",C398,_xlfn.TEXTAFTER(A398,"https://doi.org/")),SUBSTITUTE(SUBSTITUTE(SUBSTITUTE(SUBSTITUTE(_xlpm.doi,"/","%2F"),":","%3A"),"&lt;","%3C"),"&gt;","%3E"))</f>
        <v>10.1890%2F08-1494.1</v>
      </c>
      <c r="J398" s="6" t="str">
        <f t="shared" ref="J398" si="63">TRIM(_xlfn.TEXTJOIN("_",FALSE(),H398,(SUBSTITUTE(SUBSTITUTE(D398," ",""), "_", ""))))</f>
        <v>Jones_etal_2009_PanTHERIA1-0WR93Aug2008.txt</v>
      </c>
      <c r="K398" s="5" t="str">
        <f t="shared" ref="K398" si="64">I398 &amp; "_" &amp; SUBSTITUTE(SUBSTITUTE(SUBSTITUTE(D398,CHAR(160),"")," ",""),"_","")</f>
        <v>10.1890%2F08-1494.1_PanTHERIA1-0WR93Aug2008.txt</v>
      </c>
      <c r="L398" s="5" t="str">
        <f t="array" ref="L398">IFERROR(INDEX(AUTO_Public_TSV_FileList!$A$1:$A$1000,MATCH(TRUE(),EXACT(K398,IFERROR(_xlfn.TEXTBEFORE(AUTO_Public_TSV_FileList!$A$1:$A$1000,".tsv"),"")),0)),"notfound")</f>
        <v>notfound</v>
      </c>
    </row>
    <row r="399" spans="1:32">
      <c r="A399" s="2" t="s">
        <v>1314</v>
      </c>
      <c r="D399" s="2" t="s">
        <v>1315</v>
      </c>
      <c r="E399" s="6" t="str">
        <f t="shared" ref="E399:E407" si="65">SUBSTITUTE(SUBSTITUTE(_xlfn.TEXTBEFORE(A399,","), "-", ""), " ", "")</f>
        <v>Myhrvold</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48"/>
        <v>2015</v>
      </c>
      <c r="H399" s="6" t="str">
        <f t="shared" ref="H399:H407" si="66">E399 &amp; IF(F399&lt;&gt;"", "_" &amp; F399, "_") &amp; IF(G399&lt;&gt;"", "_" &amp; G399, "_") &amp; IF(B399&lt;&gt;"", "_" &amp; B399, "")</f>
        <v>Myhrvold_etal_2015</v>
      </c>
      <c r="I399" s="6" t="str">
        <f t="shared" ref="I399:I407" si="67">_xlfn.LET(_xlpm.doi,IF(C399&lt;&gt;"",C399,_xlfn.TEXTAFTER(A399,"https://doi.org/")),SUBSTITUTE(SUBSTITUTE(SUBSTITUTE(SUBSTITUTE(_xlpm.doi,"/","%2F"),":","%3A"),"&lt;","%3C"),"&gt;","%3E"))</f>
        <v>10.1890%2F15-0846r.1</v>
      </c>
      <c r="J399" s="6" t="str">
        <f t="shared" ref="J399:J407" si="68">TRIM(_xlfn.TEXTJOIN("_",FALSE(),H399,(SUBSTITUTE(SUBSTITUTE(D399," ",""), "_", ""))))</f>
        <v>Myhrvold_etal_2015_AmnioteDatabaseAug2015.csv</v>
      </c>
      <c r="K399" s="5" t="str">
        <f t="shared" ref="K399:K407" si="69">I399 &amp; "_" &amp; SUBSTITUTE(SUBSTITUTE(SUBSTITUTE(D399,CHAR(160),"")," ",""),"_","")</f>
        <v>10.1890%2F15-0846r.1_AmnioteDatabaseAug2015.csv</v>
      </c>
      <c r="L399" s="5" t="str">
        <f t="array" ref="L399">IFERROR(INDEX(AUTO_Public_TSV_FileList!$A$1:$A$1000,MATCH(TRUE(),EXACT(K399,IFERROR(_xlfn.TEXTBEFORE(AUTO_Public_TSV_FileList!$A$1:$A$1000,".tsv"),"")),0)),"notfound")</f>
        <v>notfound</v>
      </c>
    </row>
    <row r="400" spans="1:32">
      <c r="A400" s="2" t="s">
        <v>1314</v>
      </c>
      <c r="D400" s="2" t="s">
        <v>1316</v>
      </c>
      <c r="E400" s="6" t="str">
        <f t="shared" si="65"/>
        <v>Myhrvold</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48"/>
        <v>2015</v>
      </c>
      <c r="H400" s="6" t="str">
        <f t="shared" si="66"/>
        <v>Myhrvold_etal_2015</v>
      </c>
      <c r="I400" s="6" t="str">
        <f t="shared" si="67"/>
        <v>10.1890%2F15-0846r.1</v>
      </c>
      <c r="J400" s="6" t="str">
        <f t="shared" si="68"/>
        <v>Myhrvold_etal_2015_AmnioteDatabaseReferencesAug2015.csv</v>
      </c>
      <c r="K400" s="5" t="str">
        <f t="shared" si="69"/>
        <v>10.1890%2F15-0846r.1_AmnioteDatabaseReferencesAug2015.csv</v>
      </c>
      <c r="L400" s="5" t="str">
        <f t="array" ref="L400">IFERROR(INDEX(AUTO_Public_TSV_FileList!$A$1:$A$1000,MATCH(TRUE(),EXACT(K400,IFERROR(_xlfn.TEXTBEFORE(AUTO_Public_TSV_FileList!$A$1:$A$1000,".tsv"),"")),0)),"notfound")</f>
        <v>notfound</v>
      </c>
    </row>
    <row r="401" spans="1:31">
      <c r="A401" s="2" t="s">
        <v>1314</v>
      </c>
      <c r="D401" s="2" t="s">
        <v>1317</v>
      </c>
      <c r="E401" s="6" t="str">
        <f t="shared" si="65"/>
        <v>Myhrvold</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48"/>
        <v>2015</v>
      </c>
      <c r="H401" s="6" t="str">
        <f t="shared" si="66"/>
        <v>Myhrvold_etal_2015</v>
      </c>
      <c r="I401" s="6" t="str">
        <f t="shared" si="67"/>
        <v>10.1890%2F15-0846r.1</v>
      </c>
      <c r="J401" s="6" t="str">
        <f t="shared" si="68"/>
        <v>Myhrvold_etal_2015_AmnioteRangeCountAug2015.csv</v>
      </c>
      <c r="K401" s="5" t="str">
        <f t="shared" si="69"/>
        <v>10.1890%2F15-0846r.1_AmnioteRangeCountAug2015.csv</v>
      </c>
      <c r="L401" s="5" t="str">
        <f t="array" ref="L401">IFERROR(INDEX(AUTO_Public_TSV_FileList!$A$1:$A$1000,MATCH(TRUE(),EXACT(K401,IFERROR(_xlfn.TEXTBEFORE(AUTO_Public_TSV_FileList!$A$1:$A$1000,".tsv"),"")),0)),"notfound")</f>
        <v>notfound</v>
      </c>
    </row>
    <row r="402" spans="1:31">
      <c r="A402" s="2" t="s">
        <v>1314</v>
      </c>
      <c r="D402" s="2" t="s">
        <v>1318</v>
      </c>
      <c r="E402" s="6" t="str">
        <f t="shared" si="65"/>
        <v>Myhrvold</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 t="shared" si="48"/>
        <v>2015</v>
      </c>
      <c r="H402" s="6" t="str">
        <f t="shared" si="66"/>
        <v>Myhrvold_etal_2015</v>
      </c>
      <c r="I402" s="6" t="str">
        <f t="shared" si="67"/>
        <v>10.1890%2F15-0846r.1</v>
      </c>
      <c r="J402" s="6" t="str">
        <f t="shared" si="68"/>
        <v>Myhrvold_etal_2015_AmnioteSparseTableAug2015.csv</v>
      </c>
      <c r="K402" s="5" t="str">
        <f t="shared" si="69"/>
        <v>10.1890%2F15-0846r.1_AmnioteSparseTableAug2015.csv</v>
      </c>
      <c r="L402" s="5" t="str">
        <f t="array" ref="L402">IFERROR(INDEX(AUTO_Public_TSV_FileList!$A$1:$A$1000,MATCH(TRUE(),EXACT(K402,IFERROR(_xlfn.TEXTBEFORE(AUTO_Public_TSV_FileList!$A$1:$A$1000,".tsv"),"")),0)),"notfound")</f>
        <v>notfound</v>
      </c>
    </row>
    <row r="403" spans="1:31">
      <c r="A403" s="2" t="s">
        <v>1319</v>
      </c>
      <c r="D403" s="2" t="s">
        <v>1320</v>
      </c>
      <c r="E403" s="6" t="str">
        <f t="shared" si="65"/>
        <v>deMagalhães</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48"/>
        <v>2024</v>
      </c>
      <c r="H403" s="6" t="str">
        <f t="shared" si="66"/>
        <v>deMagalhães_etal_2024</v>
      </c>
      <c r="I403" s="6" t="str">
        <f t="shared" si="67"/>
        <v>10.1093%2Fnar%2Fgkad927</v>
      </c>
      <c r="J403" s="6" t="str">
        <f t="shared" si="68"/>
        <v>deMagalhães_etal_2024_anagedata.txt</v>
      </c>
      <c r="K403" s="5" t="str">
        <f t="shared" si="69"/>
        <v>10.1093%2Fnar%2Fgkad927_anagedata.txt</v>
      </c>
      <c r="L403" s="5" t="str">
        <f t="array" ref="L403">IFERROR(INDEX(AUTO_Public_TSV_FileList!$A$1:$A$1000,MATCH(TRUE(),EXACT(K403,IFERROR(_xlfn.TEXTBEFORE(AUTO_Public_TSV_FileList!$A$1:$A$1000,".tsv"),"")),0)),"notfound")</f>
        <v>notfound</v>
      </c>
    </row>
    <row r="404" spans="1:31">
      <c r="A404" s="2" t="s">
        <v>1321</v>
      </c>
      <c r="D404" s="2" t="s">
        <v>58</v>
      </c>
      <c r="E404" s="6" t="str">
        <f t="shared" si="65"/>
        <v>Jacob</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48"/>
        <v>2021</v>
      </c>
      <c r="H404" s="6" t="str">
        <f t="shared" si="66"/>
        <v>Jacob_etal_2021</v>
      </c>
      <c r="I404" s="6" t="str">
        <f t="shared" si="67"/>
        <v>10.1002%2Fcne.25197</v>
      </c>
      <c r="J404" s="6" t="str">
        <f t="shared" si="68"/>
        <v>Jacob_etal_2021_TABLE1</v>
      </c>
      <c r="K404" s="5" t="str">
        <f t="shared" si="69"/>
        <v>10.1002%2Fcne.25197_TABLE1</v>
      </c>
      <c r="L404" s="5" t="str">
        <f t="array" ref="L404">IFERROR(INDEX(AUTO_Public_TSV_FileList!$A$1:$A$1000,MATCH(TRUE(),EXACT(K404,IFERROR(_xlfn.TEXTBEFORE(AUTO_Public_TSV_FileList!$A$1:$A$1000,".tsv"),"")),0)),"notfound")</f>
        <v>10.1002%2Fcne.25197_TABLE1.tsv</v>
      </c>
      <c r="M404" s="2" t="s">
        <v>1322</v>
      </c>
    </row>
    <row r="405" spans="1:31">
      <c r="A405" s="2" t="s">
        <v>1321</v>
      </c>
      <c r="D405" s="2" t="s">
        <v>103</v>
      </c>
      <c r="E405" s="6" t="str">
        <f t="shared" si="65"/>
        <v>Jacob</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48"/>
        <v>2021</v>
      </c>
      <c r="H405" s="6" t="str">
        <f t="shared" si="66"/>
        <v>Jacob_etal_2021</v>
      </c>
      <c r="I405" s="6" t="str">
        <f t="shared" si="67"/>
        <v>10.1002%2Fcne.25197</v>
      </c>
      <c r="J405" s="6" t="str">
        <f t="shared" si="68"/>
        <v>Jacob_etal_2021_TABLE2</v>
      </c>
      <c r="K405" s="5" t="str">
        <f t="shared" si="69"/>
        <v>10.1002%2Fcne.25197_TABLE2</v>
      </c>
      <c r="L405" s="5" t="str">
        <f t="array" ref="L405">IFERROR(INDEX(AUTO_Public_TSV_FileList!$A$1:$A$1000,MATCH(TRUE(),EXACT(K405,IFERROR(_xlfn.TEXTBEFORE(AUTO_Public_TSV_FileList!$A$1:$A$1000,".tsv"),"")),0)),"notfound")</f>
        <v>10.1002%2Fcne.25197_TABLE2.tsv</v>
      </c>
      <c r="M405" s="2" t="s">
        <v>1323</v>
      </c>
    </row>
    <row r="406" spans="1:31">
      <c r="A406" s="2" t="s">
        <v>1321</v>
      </c>
      <c r="D406" s="2" t="s">
        <v>975</v>
      </c>
      <c r="E406" s="6" t="str">
        <f t="shared" si="65"/>
        <v>Jacob</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48"/>
        <v>2021</v>
      </c>
      <c r="H406" s="6" t="str">
        <f t="shared" si="66"/>
        <v>Jacob_etal_2021</v>
      </c>
      <c r="I406" s="6" t="str">
        <f t="shared" si="67"/>
        <v>10.1002%2Fcne.25197</v>
      </c>
      <c r="J406" s="6" t="str">
        <f t="shared" si="68"/>
        <v>Jacob_etal_2021_TABLE3</v>
      </c>
      <c r="K406" s="5" t="str">
        <f t="shared" si="69"/>
        <v>10.1002%2Fcne.25197_TABLE3</v>
      </c>
      <c r="L406" s="5" t="str">
        <f t="array" ref="L406">IFERROR(INDEX(AUTO_Public_TSV_FileList!$A$1:$A$1000,MATCH(TRUE(),EXACT(K406,IFERROR(_xlfn.TEXTBEFORE(AUTO_Public_TSV_FileList!$A$1:$A$1000,".tsv"),"")),0)),"notfound")</f>
        <v>10.1002%2Fcne.25197_TABLE3.tsv</v>
      </c>
      <c r="M406" s="2" t="s">
        <v>1324</v>
      </c>
    </row>
    <row r="407" spans="1:31">
      <c r="A407" s="2" t="s">
        <v>1321</v>
      </c>
      <c r="D407" s="2" t="s">
        <v>1325</v>
      </c>
      <c r="E407" s="6" t="str">
        <f t="shared" si="65"/>
        <v>Jacob</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48"/>
        <v>2021</v>
      </c>
      <c r="H407" s="6" t="str">
        <f t="shared" si="66"/>
        <v>Jacob_etal_2021</v>
      </c>
      <c r="I407" s="6" t="str">
        <f t="shared" si="67"/>
        <v>10.1002%2Fcne.25197</v>
      </c>
      <c r="J407" s="6" t="str">
        <f t="shared" si="68"/>
        <v>Jacob_etal_2021_FIGURE4</v>
      </c>
      <c r="K407" s="5" t="str">
        <f t="shared" si="69"/>
        <v>10.1002%2Fcne.25197_FIGURE4</v>
      </c>
      <c r="L407" s="5" t="str">
        <f t="array" ref="L407">IFERROR(INDEX(AUTO_Public_TSV_FileList!$A$1:$A$1000,MATCH(TRUE(),EXACT(K407,IFERROR(_xlfn.TEXTBEFORE(AUTO_Public_TSV_FileList!$A$1:$A$1000,".tsv"),"")),0)),"notfound")</f>
        <v>10.1002%2Fcne.25197_FIGURE4.tsv</v>
      </c>
      <c r="M407" s="2" t="s">
        <v>1325</v>
      </c>
    </row>
    <row r="408" spans="1:31">
      <c r="A408" s="2" t="s">
        <v>1326</v>
      </c>
      <c r="D408" s="2" t="s">
        <v>1327</v>
      </c>
      <c r="E408" t="str">
        <f>SUBSTITUTE(SUBSTITUTE(_xlfn.TEXTBEFORE(A408,","), "-", ""), " ", "")</f>
        <v>Morgan</v>
      </c>
      <c r="F408" t="str">
        <f>_xlfn.LET(
_xlpm.authors,_xlfn.TEXTBEFORE(A408," ("&amp;G408&amp;")"),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8" t="str">
        <f>_xlfn.TEXTBEFORE(_xlfn.TEXTAFTER(A408, "("), ")")</f>
        <v>2014</v>
      </c>
      <c r="H408" t="str">
        <f>E408 &amp; IF(F408&lt;&gt;"", "_" &amp; F408, "_") &amp; IF(G408&lt;&gt;"", "_" &amp; G408, "_") &amp; IF(B408&lt;&gt;"", "_" &amp; B408, "")</f>
        <v>Morgan_etal_2014</v>
      </c>
      <c r="I408" t="str">
        <f>_xlfn.LET(
_xlpm.doi,IF(C408&lt;&gt;"",C408,_xlfn.TEXTAFTER(A408,"https://doi.org/")),
SUBSTITUTE(
SUBSTITUTE(
SUBSTITUTE(
SUBSTITUTE(
_xlpm.doi,
"/","%2F"),
":","%3A"),
"&lt;","%3C"),
"&gt;","%3E")
)</f>
        <v>10.1371%2Fjournal.pone.0110356</v>
      </c>
      <c r="J408" t="str">
        <f>TRIM(_xlfn.TEXTJOIN("_",FALSE(),H408,(SUBSTITUTE(SUBSTITUTE(D408," ",""), "_", ""))))</f>
        <v>Morgan_etal_2014_DataS1</v>
      </c>
      <c r="K408" t="str">
        <f>I408 &amp; "_" &amp; SUBSTITUTE(SUBSTITUTE(SUBSTITUTE(D408,CHAR(160),""), " ", ""), "_", "")</f>
        <v>10.1371%2Fjournal.pone.0110356_DataS1</v>
      </c>
      <c r="L408" t="str">
        <f t="array" ref="L408">IFERROR(INDEX(AUTO_Public_TSV_FileList!$A$1:$A$1000,MATCH(TRUE(),EXACT(K408,IFERROR(_xlfn.TEXTBEFORE(AUTO_Public_TSV_FileList!$A$1:$A$1000,".tsv"),"")),0)),"notfound")</f>
        <v>10.1371%2Fjournal.pone.0110356_DataS1.tsv</v>
      </c>
      <c r="M408" s="2" t="s">
        <v>1328</v>
      </c>
      <c r="N408" s="2" t="s">
        <v>1329</v>
      </c>
      <c r="P408" s="2" t="s">
        <v>36</v>
      </c>
      <c r="Q408" s="2" t="s">
        <v>1330</v>
      </c>
      <c r="W408" s="2" t="s">
        <v>578</v>
      </c>
      <c r="Z408" s="2" t="s">
        <v>1331</v>
      </c>
      <c r="AA408" s="2" t="s">
        <v>1332</v>
      </c>
      <c r="AB408" s="2" t="s">
        <v>1333</v>
      </c>
      <c r="AC408" s="2" t="s">
        <v>1334</v>
      </c>
      <c r="AE408" s="2" t="s">
        <v>66</v>
      </c>
    </row>
    <row r="409" spans="1:31">
      <c r="A409" s="2" t="s">
        <v>1335</v>
      </c>
      <c r="D409" s="2" t="s">
        <v>70</v>
      </c>
      <c r="E409" t="str">
        <f>SUBSTITUTE(SUBSTITUTE(_xlfn.TEXTBEFORE(A409,","), "-", ""), " ", "")</f>
        <v>Hanson</v>
      </c>
      <c r="F409" t="str">
        <f>_xlfn.LET(
_xlpm.authors,_xlfn.TEXTBEFORE(A409," ("&amp;G409&amp;")"),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9" t="str">
        <f>_xlfn.TEXTBEFORE(_xlfn.TEXTAFTER(A409, "("), ")")</f>
        <v>2018</v>
      </c>
      <c r="H409" t="str">
        <f>E409 &amp; IF(F409&lt;&gt;"", "_" &amp; F409, "_") &amp; IF(G409&lt;&gt;"", "_" &amp; G409, "_") &amp; IF(B409&lt;&gt;"", "_" &amp; B409, "")</f>
        <v>Hanson_etal_2018</v>
      </c>
      <c r="I409" t="str">
        <f>_xlfn.LET(
_xlpm.doi,IF(C409&lt;&gt;"",C409,_xlfn.TEXTAFTER(A409,"https://doi.org/")),
SUBSTITUTE(
SUBSTITUTE(
SUBSTITUTE(
SUBSTITUTE(
_xlpm.doi,
"/","%2F"),
":","%3A"),
"&lt;","%3C"),
"&gt;","%3E")
)</f>
        <v>10.1002%2Fdneu.22554</v>
      </c>
      <c r="J409" t="str">
        <f>TRIM(_xlfn.TEXTJOIN("_",FALSE(),H409,(SUBSTITUTE(SUBSTITUTE(D409," ",""), "_", ""))))</f>
        <v>Hanson_etal_2018_Table2</v>
      </c>
      <c r="K409" t="str">
        <f>I409 &amp; "_" &amp; SUBSTITUTE(SUBSTITUTE(SUBSTITUTE(D409,CHAR(160),""), " ", ""), "_", "")</f>
        <v>10.1002%2Fdneu.22554_Table2</v>
      </c>
      <c r="L409" t="str">
        <f t="array" ref="L409">IFERROR(INDEX(AUTO_Public_TSV_FileList!$A$1:$A$1000,MATCH(TRUE(),EXACT(K409,IFERROR(_xlfn.TEXTBEFORE(AUTO_Public_TSV_FileList!$A$1:$A$1000,".tsv"),"")),0)),"notfound")</f>
        <v>10.1002%2Fdneu.22554_Table2.tsv</v>
      </c>
      <c r="M409" s="2" t="s">
        <v>1336</v>
      </c>
      <c r="N409" s="2" t="s">
        <v>1337</v>
      </c>
      <c r="P409" s="2" t="s">
        <v>36</v>
      </c>
      <c r="Q409" s="2" t="s">
        <v>1338</v>
      </c>
      <c r="W409" s="2" t="s">
        <v>578</v>
      </c>
      <c r="Z409" s="2" t="s">
        <v>1339</v>
      </c>
      <c r="AA409" s="2" t="s">
        <v>1340</v>
      </c>
      <c r="AB409" s="2" t="s">
        <v>77</v>
      </c>
      <c r="AC409" s="2" t="s">
        <v>1341</v>
      </c>
      <c r="AE409" s="2" t="s">
        <v>66</v>
      </c>
    </row>
    <row r="410" spans="1:31">
      <c r="A410" s="2" t="s">
        <v>1335</v>
      </c>
      <c r="D410" s="2" t="s">
        <v>72</v>
      </c>
      <c r="E410" t="str">
        <f>SUBSTITUTE(SUBSTITUTE(_xlfn.TEXTBEFORE(A410,","), "-", ""), " ", "")</f>
        <v>Hanson</v>
      </c>
      <c r="F410" t="str">
        <f>_xlfn.LET(
_xlpm.authors,_xlfn.TEXTBEFORE(A410," ("&amp;G410&amp;")"),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0" t="str">
        <f>_xlfn.TEXTBEFORE(_xlfn.TEXTAFTER(A410, "("), ")")</f>
        <v>2018</v>
      </c>
      <c r="H410" t="str">
        <f>E410 &amp; IF(F410&lt;&gt;"", "_" &amp; F410, "_") &amp; IF(G410&lt;&gt;"", "_" &amp; G410, "_") &amp; IF(B410&lt;&gt;"", "_" &amp; B410, "")</f>
        <v>Hanson_etal_2018</v>
      </c>
      <c r="I410" t="str">
        <f>_xlfn.LET(
_xlpm.doi,IF(C410&lt;&gt;"",C410,_xlfn.TEXTAFTER(A410,"https://doi.org/")),
SUBSTITUTE(
SUBSTITUTE(
SUBSTITUTE(
SUBSTITUTE(
_xlpm.doi,
"/","%2F"),
":","%3A"),
"&lt;","%3C"),
"&gt;","%3E")
)</f>
        <v>10.1002%2Fdneu.22554</v>
      </c>
      <c r="J410" t="str">
        <f>TRIM(_xlfn.TEXTJOIN("_",FALSE(),H410,(SUBSTITUTE(SUBSTITUTE(D410," ",""), "_", ""))))</f>
        <v>Hanson_etal_2018_Table3</v>
      </c>
      <c r="K410" t="str">
        <f>I410 &amp; "_" &amp; SUBSTITUTE(SUBSTITUTE(SUBSTITUTE(D410,CHAR(160),""), " ", ""), "_", "")</f>
        <v>10.1002%2Fdneu.22554_Table3</v>
      </c>
      <c r="L410" t="str">
        <f t="array" ref="L410">IFERROR(INDEX(AUTO_Public_TSV_FileList!$A$1:$A$1000,MATCH(TRUE(),EXACT(K410,IFERROR(_xlfn.TEXTBEFORE(AUTO_Public_TSV_FileList!$A$1:$A$1000,".tsv"),"")),0)),"notfound")</f>
        <v>10.1002%2Fdneu.22554_Table3.tsv</v>
      </c>
      <c r="M410" s="2" t="s">
        <v>1342</v>
      </c>
      <c r="N410" s="2" t="s">
        <v>1337</v>
      </c>
      <c r="P410" s="2" t="s">
        <v>36</v>
      </c>
      <c r="Q410" s="2" t="s">
        <v>1343</v>
      </c>
      <c r="W410" s="2" t="s">
        <v>578</v>
      </c>
      <c r="Z410" s="2" t="s">
        <v>1344</v>
      </c>
      <c r="AA410" s="2" t="s">
        <v>1340</v>
      </c>
      <c r="AB410" s="2" t="s">
        <v>77</v>
      </c>
      <c r="AC410" s="2" t="s">
        <v>1341</v>
      </c>
      <c r="AE410" s="2" t="s">
        <v>66</v>
      </c>
    </row>
    <row r="411" spans="1:31">
      <c r="A411" s="2" t="s">
        <v>1345</v>
      </c>
      <c r="D411" s="2" t="s">
        <v>70</v>
      </c>
      <c r="E411" t="str">
        <f>SUBSTITUTE(SUBSTITUTE(_xlfn.TEXTBEFORE(A411,","), "-", ""), " ", "")</f>
        <v>Karlsen</v>
      </c>
      <c r="F411" t="str">
        <f>_xlfn.LET(
_xlpm.authors,_xlfn.TEXTBEFORE(A411," ("&amp;G411&amp;")"),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11" t="str">
        <f>_xlfn.TEXTBEFORE(_xlfn.TEXTAFTER(A411, "("), ")")</f>
        <v>2011</v>
      </c>
      <c r="H411" t="str">
        <f>E411 &amp; IF(F411&lt;&gt;"", "_" &amp; F411, "_") &amp; IF(G411&lt;&gt;"", "_" &amp; G411, "_") &amp; IF(B411&lt;&gt;"", "_" &amp; B411, "")</f>
        <v>Karlsen_Pakkenberg_2011</v>
      </c>
      <c r="I411" t="str">
        <f>_xlfn.LET(
_xlpm.doi,IF(C411&lt;&gt;"",C411,_xlfn.TEXTAFTER(A411,"https://doi.org/")),
SUBSTITUTE(
SUBSTITUTE(
SUBSTITUTE(
SUBSTITUTE(
_xlpm.doi,
"/","%2F"),
":","%3A"),
"&lt;","%3C"),
"&gt;","%3E")
)</f>
        <v>10.1093%2Fcercor%2Fbhr033</v>
      </c>
      <c r="J411" t="str">
        <f>TRIM(_xlfn.TEXTJOIN("_",FALSE(),H411,(SUBSTITUTE(SUBSTITUTE(D411," ",""), "_", ""))))</f>
        <v>Karlsen_Pakkenberg_2011_Table2</v>
      </c>
      <c r="K411" t="str">
        <f>I411 &amp; "_" &amp; SUBSTITUTE(SUBSTITUTE(SUBSTITUTE(D411,CHAR(160),""), " ", ""), "_", "")</f>
        <v>10.1093%2Fcercor%2Fbhr033_Table2</v>
      </c>
      <c r="L411" t="str">
        <f t="array" ref="L411">IFERROR(INDEX(AUTO_Public_TSV_FileList!$A$1:$A$1000,MATCH(TRUE(),EXACT(K411,IFERROR(_xlfn.TEXTBEFORE(AUTO_Public_TSV_FileList!$A$1:$A$1000,".tsv"),"")),0)),"notfound")</f>
        <v>10.1093%2Fcercor%2Fbhr033_Table2.tsv</v>
      </c>
      <c r="M411" s="2" t="s">
        <v>1346</v>
      </c>
      <c r="N411" s="2" t="s">
        <v>1347</v>
      </c>
      <c r="P411" s="2" t="s">
        <v>36</v>
      </c>
      <c r="Q411" s="2" t="s">
        <v>1348</v>
      </c>
      <c r="W411" s="2" t="s">
        <v>578</v>
      </c>
      <c r="Z411" s="2" t="s">
        <v>1349</v>
      </c>
      <c r="AA411" s="2" t="s">
        <v>1350</v>
      </c>
      <c r="AB411" s="2" t="s">
        <v>90</v>
      </c>
      <c r="AC411" s="2" t="s">
        <v>1351</v>
      </c>
      <c r="AE411" s="2" t="s">
        <v>66</v>
      </c>
    </row>
    <row r="412" spans="1:31">
      <c r="A412" s="2" t="s">
        <v>1345</v>
      </c>
      <c r="D412" s="2" t="s">
        <v>1352</v>
      </c>
      <c r="E412" t="str">
        <f>SUBSTITUTE(SUBSTITUTE(_xlfn.TEXTBEFORE(A412,","), "-", ""), " ", "")</f>
        <v>Karlsen</v>
      </c>
      <c r="F412" t="str">
        <f>_xlfn.LET(
_xlpm.authors,_xlfn.TEXTBEFORE(A412," ("&amp;G412&amp;")"),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12" t="str">
        <f>_xlfn.TEXTBEFORE(_xlfn.TEXTAFTER(A412, "("), ")")</f>
        <v>2011</v>
      </c>
      <c r="H412" t="str">
        <f>E412 &amp; IF(F412&lt;&gt;"", "_" &amp; F412, "_") &amp; IF(G412&lt;&gt;"", "_" &amp; G412, "_") &amp; IF(B412&lt;&gt;"", "_" &amp; B412, "")</f>
        <v>Karlsen_Pakkenberg_2011</v>
      </c>
      <c r="I412" t="str">
        <f>_xlfn.LET(
_xlpm.doi,IF(C412&lt;&gt;"",C412,_xlfn.TEXTAFTER(A412,"https://doi.org/")),
SUBSTITUTE(
SUBSTITUTE(
SUBSTITUTE(
SUBSTITUTE(
_xlpm.doi,
"/","%2F"),
":","%3A"),
"&lt;","%3C"),
"&gt;","%3E")
)</f>
        <v>10.1093%2Fcercor%2Fbhr033</v>
      </c>
      <c r="J412" t="str">
        <f>TRIM(_xlfn.TEXTJOIN("_",FALSE(),H412,(SUBSTITUTE(SUBSTITUTE(D412," ",""), "_", ""))))</f>
        <v>Karlsen_Pakkenberg_2011_authordata(groupmeans)</v>
      </c>
      <c r="K412" t="str">
        <f>I412 &amp; "_" &amp; SUBSTITUTE(SUBSTITUTE(SUBSTITUTE(D412,CHAR(160),""), " ", ""), "_", "")</f>
        <v>10.1093%2Fcercor%2Fbhr033_authordata(groupmeans)</v>
      </c>
      <c r="L412" t="str">
        <f t="array" ref="L412">IFERROR(INDEX(AUTO_Public_TSV_FileList!$A$1:$A$1000,MATCH(TRUE(),EXACT(K412,IFERROR(_xlfn.TEXTBEFORE(AUTO_Public_TSV_FileList!$A$1:$A$1000,".tsv"),"")),0)),"notfound")</f>
        <v>notfound</v>
      </c>
      <c r="M412" s="2" t="s">
        <v>1353</v>
      </c>
      <c r="N412" s="2" t="s">
        <v>1354</v>
      </c>
      <c r="P412" s="2" t="s">
        <v>36</v>
      </c>
      <c r="Q412" s="2" t="s">
        <v>1355</v>
      </c>
      <c r="W412" s="2" t="s">
        <v>578</v>
      </c>
      <c r="Z412" s="2" t="s">
        <v>1356</v>
      </c>
      <c r="AA412" s="2" t="s">
        <v>1340</v>
      </c>
      <c r="AB412" s="2" t="s">
        <v>1333</v>
      </c>
      <c r="AC412" s="2" t="s">
        <v>1351</v>
      </c>
      <c r="AE412" s="2" t="s">
        <v>66</v>
      </c>
    </row>
    <row r="413" spans="1:31">
      <c r="A413" s="2" t="s">
        <v>1345</v>
      </c>
      <c r="D413" s="2" t="s">
        <v>1357</v>
      </c>
      <c r="E413" t="str">
        <f>SUBSTITUTE(SUBSTITUTE(_xlfn.TEXTBEFORE(A413,","), "-", ""), " ", "")</f>
        <v>Karlsen</v>
      </c>
      <c r="F413" t="str">
        <f>_xlfn.LET(
_xlpm.authors,_xlfn.TEXTBEFORE(A413," ("&amp;G413&amp;")"),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13" t="str">
        <f>_xlfn.TEXTBEFORE(_xlfn.TEXTAFTER(A413, "("), ")")</f>
        <v>2011</v>
      </c>
      <c r="H413" t="str">
        <f>E413 &amp; IF(F413&lt;&gt;"", "_" &amp; F413, "_") &amp; IF(G413&lt;&gt;"", "_" &amp; G413, "_") &amp; IF(B413&lt;&gt;"", "_" &amp; B413, "")</f>
        <v>Karlsen_Pakkenberg_2011</v>
      </c>
      <c r="I413" t="str">
        <f>_xlfn.LET(
_xlpm.doi,IF(C413&lt;&gt;"",C413,_xlfn.TEXTAFTER(A413,"https://doi.org/")),
SUBSTITUTE(
SUBSTITUTE(
SUBSTITUTE(
SUBSTITUTE(
_xlpm.doi,
"/","%2F"),
":","%3A"),
"&lt;","%3C"),
"&gt;","%3E")
)</f>
        <v>10.1093%2Fcercor%2Fbhr033</v>
      </c>
      <c r="J413" t="str">
        <f>TRIM(_xlfn.TEXTJOIN("_",FALSE(),H413,(SUBSTITUTE(SUBSTITUTE(D413," ",""), "_", ""))))</f>
        <v>Karlsen_Pakkenberg_2011_reportedvalues</v>
      </c>
      <c r="K413" t="str">
        <f>I413 &amp; "_" &amp; SUBSTITUTE(SUBSTITUTE(SUBSTITUTE(D413,CHAR(160),""), " ", ""), "_", "")</f>
        <v>10.1093%2Fcercor%2Fbhr033_reportedvalues</v>
      </c>
      <c r="L413" t="str">
        <f t="array" ref="L413">IFERROR(INDEX(AUTO_Public_TSV_FileList!$A$1:$A$1000,MATCH(TRUE(),EXACT(K413,IFERROR(_xlfn.TEXTBEFORE(AUTO_Public_TSV_FileList!$A$1:$A$1000,".tsv"),"")),0)),"notfound")</f>
        <v>10.1093%2Fcercor%2Fbhr033_reportedvalues.tsv</v>
      </c>
      <c r="M413" s="2" t="s">
        <v>1358</v>
      </c>
      <c r="N413" s="2" t="s">
        <v>1359</v>
      </c>
      <c r="P413" s="2" t="s">
        <v>36</v>
      </c>
      <c r="Q413" s="2" t="s">
        <v>1360</v>
      </c>
      <c r="W413" s="2" t="s">
        <v>578</v>
      </c>
      <c r="Z413" s="2" t="s">
        <v>1361</v>
      </c>
      <c r="AA413" s="2" t="s">
        <v>1340</v>
      </c>
      <c r="AB413" s="2" t="s">
        <v>1333</v>
      </c>
      <c r="AC413" s="2" t="s">
        <v>1351</v>
      </c>
      <c r="AE413" s="2" t="s">
        <v>66</v>
      </c>
    </row>
    <row r="414" spans="1:31">
      <c r="A414" s="2" t="s">
        <v>1362</v>
      </c>
      <c r="D414" s="2" t="s">
        <v>1363</v>
      </c>
      <c r="E414" t="str">
        <f>SUBSTITUTE(SUBSTITUTE(_xlfn.TEXTBEFORE(A414,","), "-", ""), " ", "")</f>
        <v>Walhovd</v>
      </c>
      <c r="F414" t="str">
        <f>_xlfn.LET(
_xlpm.authors,_xlfn.TEXTBEFORE(A414," ("&amp;G414&amp;")"),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4" t="str">
        <f>_xlfn.TEXTBEFORE(_xlfn.TEXTAFTER(A414, "("), ")")</f>
        <v>2011</v>
      </c>
      <c r="H414" t="str">
        <f>E414 &amp; IF(F414&lt;&gt;"", "_" &amp; F414, "_") &amp; IF(G414&lt;&gt;"", "_" &amp; G414, "_") &amp; IF(B414&lt;&gt;"", "_" &amp; B414, "")</f>
        <v>Walhovd_etal_2011</v>
      </c>
      <c r="I414" t="str">
        <f>_xlfn.LET(
_xlpm.doi,IF(C414&lt;&gt;"",C414,_xlfn.TEXTAFTER(A414,"https://doi.org/")),
SUBSTITUTE(
SUBSTITUTE(
SUBSTITUTE(
SUBSTITUTE(
_xlpm.doi,
"/","%2F"),
":","%3A"),
"&lt;","%3C"),
"&gt;","%3E")
)</f>
        <v>10.1016%2Fj.neurobiolaging.2009.05.013</v>
      </c>
      <c r="J414" t="str">
        <f>TRIM(_xlfn.TEXTJOIN("_",FALSE(),H414,(SUBSTITUTE(SUBSTITUTE(D414," ",""), "_", ""))))</f>
        <v>Walhovd_etal_2011_normativevolumes</v>
      </c>
      <c r="K414" t="str">
        <f>I414 &amp; "_" &amp; SUBSTITUTE(SUBSTITUTE(SUBSTITUTE(D414,CHAR(160),""), " ", ""), "_", "")</f>
        <v>10.1016%2Fj.neurobiolaging.2009.05.013_normativevolumes</v>
      </c>
      <c r="L414" t="str">
        <f t="array" ref="L414">IFERROR(INDEX(AUTO_Public_TSV_FileList!$A$1:$A$1000,MATCH(TRUE(),EXACT(K414,IFERROR(_xlfn.TEXTBEFORE(AUTO_Public_TSV_FileList!$A$1:$A$1000,".tsv"),"")),0)),"notfound")</f>
        <v>notfound</v>
      </c>
      <c r="M414" s="2" t="s">
        <v>1364</v>
      </c>
      <c r="N414" s="2" t="s">
        <v>1365</v>
      </c>
      <c r="P414" s="2" t="s">
        <v>36</v>
      </c>
      <c r="Q414" s="2" t="s">
        <v>1366</v>
      </c>
      <c r="W414" s="2" t="s">
        <v>578</v>
      </c>
      <c r="Z414" s="2" t="s">
        <v>1367</v>
      </c>
      <c r="AA414" s="2" t="s">
        <v>1368</v>
      </c>
      <c r="AB414" s="2" t="s">
        <v>90</v>
      </c>
      <c r="AC414" s="2" t="s">
        <v>1369</v>
      </c>
      <c r="AE414" s="2" t="s">
        <v>172</v>
      </c>
    </row>
    <row r="415" spans="1:31">
      <c r="A415" s="2" t="s">
        <v>1370</v>
      </c>
      <c r="D415" s="2" t="s">
        <v>1371</v>
      </c>
      <c r="E415" t="str">
        <f>SUBSTITUTE(SUBSTITUTE(_xlfn.TEXTBEFORE(A415,","), "-", ""), " ", "")</f>
        <v>Mackes</v>
      </c>
      <c r="F415" t="str">
        <f>_xlfn.LET(
_xlpm.authors,_xlfn.TEXTBEFORE(A415," ("&amp;G415&amp;")"),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5" t="str">
        <f>_xlfn.TEXTBEFORE(_xlfn.TEXTAFTER(A415, "("), ")")</f>
        <v>2020</v>
      </c>
      <c r="H415" t="str">
        <f>E415 &amp; IF(F415&lt;&gt;"", "_" &amp; F415, "_") &amp; IF(G415&lt;&gt;"", "_" &amp; G415, "_") &amp; IF(B415&lt;&gt;"", "_" &amp; B415, "")</f>
        <v>Mackes_etal_2020</v>
      </c>
      <c r="I415" t="str">
        <f>_xlfn.LET(
_xlpm.doi,IF(C415&lt;&gt;"",C415,_xlfn.TEXTAFTER(A415,"https://doi.org/")),
SUBSTITUTE(
SUBSTITUTE(
SUBSTITUTE(
SUBSTITUTE(
_xlpm.doi,
"/","%2F"),
":","%3A"),
"&lt;","%3C"),
"&gt;","%3E")
)</f>
        <v>10.1073%2Fpnas.1911264116</v>
      </c>
      <c r="J415" t="str">
        <f>TRIM(_xlfn.TEXTJOIN("_",FALSE(),H415,(SUBSTITUTE(SUBSTITUTE(D415," ",""), "_", ""))))</f>
        <v>Mackes_etal_2020_ERABIS(cortical)</v>
      </c>
      <c r="K415" t="str">
        <f>I415 &amp; "_" &amp; SUBSTITUTE(SUBSTITUTE(SUBSTITUTE(D415,CHAR(160),""), " ", ""), "_", "")</f>
        <v>10.1073%2Fpnas.1911264116_ERABIS(cortical)</v>
      </c>
      <c r="L415" t="str">
        <f t="array" ref="L415">IFERROR(INDEX(AUTO_Public_TSV_FileList!$A$1:$A$1000,MATCH(TRUE(),EXACT(K415,IFERROR(_xlfn.TEXTBEFORE(AUTO_Public_TSV_FileList!$A$1:$A$1000,".tsv"),"")),0)),"notfound")</f>
        <v>notfound</v>
      </c>
      <c r="M415" s="2" t="s">
        <v>1372</v>
      </c>
      <c r="N415" s="2" t="s">
        <v>1354</v>
      </c>
      <c r="P415" s="2" t="s">
        <v>36</v>
      </c>
      <c r="Q415" s="2" t="s">
        <v>1373</v>
      </c>
      <c r="W415" s="2" t="s">
        <v>578</v>
      </c>
      <c r="Z415" s="2" t="s">
        <v>1374</v>
      </c>
      <c r="AA415" s="2" t="s">
        <v>1375</v>
      </c>
      <c r="AB415" s="2" t="s">
        <v>90</v>
      </c>
      <c r="AC415" s="2" t="s">
        <v>1376</v>
      </c>
      <c r="AE415" s="2" t="s">
        <v>66</v>
      </c>
    </row>
    <row r="416" spans="1:31">
      <c r="A416" s="2" t="s">
        <v>1370</v>
      </c>
      <c r="D416" s="2" t="s">
        <v>1377</v>
      </c>
      <c r="E416" t="str">
        <f>SUBSTITUTE(SUBSTITUTE(_xlfn.TEXTBEFORE(A416,","), "-", ""), " ", "")</f>
        <v>Mackes</v>
      </c>
      <c r="F416" t="str">
        <f>_xlfn.LET(
_xlpm.authors,_xlfn.TEXTBEFORE(A416," ("&amp;G416&amp;")"),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6" t="str">
        <f>_xlfn.TEXTBEFORE(_xlfn.TEXTAFTER(A416, "("), ")")</f>
        <v>2020</v>
      </c>
      <c r="H416" t="str">
        <f>E416 &amp; IF(F416&lt;&gt;"", "_" &amp; F416, "_") &amp; IF(G416&lt;&gt;"", "_" &amp; G416, "_") &amp; IF(B416&lt;&gt;"", "_" &amp; B416, "")</f>
        <v>Mackes_etal_2020</v>
      </c>
      <c r="I416" t="str">
        <f>_xlfn.LET(
_xlpm.doi,IF(C416&lt;&gt;"",C416,_xlfn.TEXTAFTER(A416,"https://doi.org/")),
SUBSTITUTE(
SUBSTITUTE(
SUBSTITUTE(
SUBSTITUTE(
_xlpm.doi,
"/","%2F"),
":","%3A"),
"&lt;","%3C"),
"&gt;","%3E")
)</f>
        <v>10.1073%2Fpnas.1911264116</v>
      </c>
      <c r="J416" t="str">
        <f>TRIM(_xlfn.TEXTJOIN("_",FALSE(),H416,(SUBSTITUTE(SUBSTITUTE(D416," ",""), "_", ""))))</f>
        <v>Mackes_etal_2020_subcortical</v>
      </c>
      <c r="K416" t="str">
        <f>I416 &amp; "_" &amp; SUBSTITUTE(SUBSTITUTE(SUBSTITUTE(D416,CHAR(160),""), " ", ""), "_", "")</f>
        <v>10.1073%2Fpnas.1911264116_subcortical</v>
      </c>
      <c r="L416" t="str">
        <f t="array" ref="L416">IFERROR(INDEX(AUTO_Public_TSV_FileList!$A$1:$A$1000,MATCH(TRUE(),EXACT(K416,IFERROR(_xlfn.TEXTBEFORE(AUTO_Public_TSV_FileList!$A$1:$A$1000,".tsv"),"")),0)),"notfound")</f>
        <v>10.1073%2Fpnas.1911264116_subcortical.tsv</v>
      </c>
      <c r="M416" s="2" t="s">
        <v>1378</v>
      </c>
      <c r="N416" s="2" t="s">
        <v>1354</v>
      </c>
      <c r="P416" s="2" t="s">
        <v>36</v>
      </c>
      <c r="Q416" s="2" t="s">
        <v>1379</v>
      </c>
      <c r="W416" s="2" t="s">
        <v>578</v>
      </c>
      <c r="Z416" s="2" t="s">
        <v>1380</v>
      </c>
      <c r="AA416" s="2" t="s">
        <v>1368</v>
      </c>
      <c r="AB416" s="2" t="s">
        <v>90</v>
      </c>
      <c r="AC416" s="2" t="s">
        <v>1376</v>
      </c>
      <c r="AE416" s="2" t="s">
        <v>66</v>
      </c>
    </row>
  </sheetData>
  <autoFilter ref="A1:AP416" xr:uid="{00000000-0001-0000-0000-000000000000}">
    <filterColumn colId="0">
      <filters>
        <filter val="Baron, G., Frahm, H. D., &amp; Stephan, H. (1988). Comparison of brain structure volumes in Insectivora and Primates. VIII. Vestibular complex. J Hirnforsch, 29(5), 509-523. http://www.ncbi.nlm.nih.gov/pubmed/3216099"/>
        <filter val="Baron, G., Frahm, H. D., Bhatnagar, K. P., &amp; Stephan, H. (1983). Comparison of brain structure volumes in Insectivora and Primates. III. Main olfactory bulb (MOB). J Hirnforsch, 24(5), 551-568. https://www.ncbi.nlm.nih.gov/pubmed/6663055"/>
        <filter val="Baron, G., Stephan, H., &amp; Frahm, H. D. (1987). Comparison of brain structure volumes in Insectivora and Primates. VI. Paleocortical components. J Hirnforsch, 28(4), 463-477. http://www.ncbi.nlm.nih.gov/pubmed/3116076"/>
        <filter val="Baron, G., Stephan, H., &amp; Frahm, H. D. (1990). Comparison of brain structure volumes in Insectivora and primates. IX. Trigeminal complex. J Hirnforsch, 31(2), 193-200. https://www.ncbi.nlm.nih.gov/pubmed/2358663"/>
        <filter val="Baron, G., Stephan, H., &amp; Frahm, H. D. (1996). Comparative Neurobiology in Chiroptera: Macromorphology, Brain Structures, Tables, and Atlases. Birkhäuser."/>
        <filter val="Frahm, H. D., Stephan, H., &amp; Baron, G. (1984). Comparison of brain structure volumes in insectivora and primates. V. Area striata (AS). J Hirnforsch, 25(5), 537-557. https://www.ncbi.nlm.nih.gov/pubmed/6501869"/>
        <filter val="Frahm, H. D., Stephan, H., &amp; Stephan, M. (1982). Comparison of brain structure volumes in Insectivora and Primates. I. Neocortex. J Hirnforsch, 23(4), 375-389. https://www.ncbi.nlm.nih.gov/pubmed/7161477"/>
        <filter val="Frahm, H. D., Zilles, K., Schleicher, A., &amp; Stephan, H. (1998). The size of the middle temporal area in primates. J Hirnforsch, 39(1), 45-54. https://www.ncbi.nlm.nih.gov/pubmed/9672110"/>
        <filter val="Matano, S. (1992). A Comparative Neuroprimatological Study on the Inferior Olivary Nuclei (from the Stephan Collection). J Anthropol Soc Nip, 100(1), 69-82. https://doi.org/10.1537/ase1911.100.69"/>
        <filter val="Matano, S., Baron, G., Stephan, H., &amp; Frahm, H. D. (1985). Volume comparisons in the cerebellar complex of primates. II. Cerebellar nuclei. Folia Primatol (Basel), 44(3-4), 182-203. https://doi.org/10.1159/000156212"/>
        <filter val="Matano, S., Stephan, H., &amp; Baron, G. (1985). Volume comparisons in the cerebellar complex of primates. I. Ventral pons. Folia Primatol (Basel), 44(3-4), 171-181. https://doi.org/10.1159/000156211"/>
        <filter val="Stephan, H., &amp; Pirlot, P. (1970). Volumetric Comparisons of Brain Structures in Bats. Z Zool Syst Evol, 8(1), 200-236. https://doi.org/10.1111/j.1439-0469.1970.tb00876.x"/>
        <filter val="Stephan, H., Baron, G., &amp; Frahm, H. D. (1982). Comparison of brain structure volumes in Insectivora and Primates. II. Accessory olfactory bulb (AOB). J Hirnforsch, 23(5), 575-591. https://www.ncbi.nlm.nih.gov/pubmed/7161483"/>
        <filter val="Stephan, H., Baron, G., &amp; Frahm, H. D. (1988). Comparative size of brains and brain components. In H. D. Stelis &amp; J. Erwin (Eds.), Neurosciences (Vol. 4, pp. 1-38). Liss."/>
        <filter val="Stephan, H., Baron, G., &amp; Frahm, H. D. (1991). Insectivora (Vol. 1). Springer. https://doi.org/10.1007/978-1-4613-9124-1"/>
        <filter val="Stephan, H., Bauchot, R., &amp; Andy, O. J. (1970). Data on the size of the brain and of the various brain parts in insectivores and primates. In C. R. Noback &amp; W. Montagna (Eds.), The Primate Brain (pp. 289-296). Appleton-Century-Crofts"/>
        <filter val="Stephan, H., Frahm, H. D., &amp; Baron, G. (1984). Comparison of brain structure volumes in insectivora and primates. IV. Non-cortical visual structures. J Hirnforsch, 25(4), 385-403. https://www.ncbi.nlm.nih.gov/pubmed/6481154"/>
        <filter val="Stephan, H., Frahm, H. D., &amp; Baron, G. (1987). Comparison of brain structure volumes in Insectivora and primates. VII. Amygdaloid components. J Hirnforsch, 28(5), 571-584. https://www.ncbi.nlm.nih.gov/pubmed/3693895"/>
        <filter val="Stephan, H., Frahm, H., &amp; Baron, G. (1981). New and revised data on volumes of brain structures in insectivores and primates. Folia Primatol (Basel), 35(1), 1-29. https://doi.org/10.1159/000155963"/>
      </filters>
    </filterColumn>
  </autoFilter>
  <hyperlinks>
    <hyperlink ref="R117" r:id="rId1" xr:uid="{00000000-0004-0000-0000-000000000000}"/>
    <hyperlink ref="R236" r:id="rId2" xr:uid="{00000000-0004-0000-0000-000001000000}"/>
    <hyperlink ref="R263" r:id="rId3" xr:uid="{00000000-0004-0000-0000-000002000000}"/>
    <hyperlink ref="R282" r:id="rId4" xr:uid="{00000000-0004-0000-0000-000003000000}"/>
    <hyperlink ref="R47" r:id="rId5" xr:uid="{00000000-0004-0000-0000-000004000000}"/>
    <hyperlink ref="R48" r:id="rId6" xr:uid="{00000000-0004-0000-0000-000005000000}"/>
    <hyperlink ref="R96" r:id="rId7" xr:uid="{00000000-0004-0000-0000-000006000000}"/>
    <hyperlink ref="R97" r:id="rId8" xr:uid="{00000000-0004-0000-0000-000007000000}"/>
    <hyperlink ref="R98" r:id="rId9" xr:uid="{00000000-0004-0000-0000-000008000000}"/>
    <hyperlink ref="R156" r:id="rId10" xr:uid="{00000000-0004-0000-0000-000009000000}"/>
    <hyperlink ref="R157" r:id="rId11" xr:uid="{00000000-0004-0000-0000-00000A000000}"/>
    <hyperlink ref="R165" r:id="rId12" xr:uid="{00000000-0004-0000-0000-00000B000000}"/>
    <hyperlink ref="R166"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defaultColWidth="11.42578125" defaultRowHeight="1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12" t="s">
        <v>0</v>
      </c>
      <c r="B1" s="12" t="s">
        <v>1</v>
      </c>
      <c r="C1" s="12" t="s">
        <v>2</v>
      </c>
      <c r="D1" s="12" t="s">
        <v>3</v>
      </c>
      <c r="E1" s="9" t="s">
        <v>4</v>
      </c>
      <c r="F1" s="9" t="s">
        <v>5</v>
      </c>
      <c r="G1" s="9" t="s">
        <v>6</v>
      </c>
      <c r="H1" s="9" t="s">
        <v>7</v>
      </c>
      <c r="I1" s="9" t="s">
        <v>8</v>
      </c>
      <c r="J1" s="9" t="s">
        <v>9</v>
      </c>
      <c r="K1" s="9" t="s">
        <v>10</v>
      </c>
      <c r="L1" s="9" t="s">
        <v>11</v>
      </c>
      <c r="M1" s="12" t="s">
        <v>12</v>
      </c>
      <c r="N1" s="12" t="s">
        <v>13</v>
      </c>
      <c r="O1" s="12" t="s">
        <v>14</v>
      </c>
      <c r="P1" s="12" t="s">
        <v>15</v>
      </c>
      <c r="Q1" s="12" t="s">
        <v>16</v>
      </c>
      <c r="R1" s="12" t="s">
        <v>17</v>
      </c>
      <c r="S1" s="12" t="s">
        <v>18</v>
      </c>
      <c r="T1" s="12" t="s">
        <v>19</v>
      </c>
      <c r="U1" s="12" t="s">
        <v>20</v>
      </c>
      <c r="V1" s="12" t="s">
        <v>21</v>
      </c>
      <c r="W1" s="8" t="s">
        <v>22</v>
      </c>
      <c r="X1" s="12" t="s">
        <v>23</v>
      </c>
      <c r="Y1" s="12" t="s">
        <v>24</v>
      </c>
      <c r="Z1" s="8" t="s">
        <v>25</v>
      </c>
      <c r="AA1" s="12" t="s">
        <v>26</v>
      </c>
      <c r="AB1" s="12" t="s">
        <v>27</v>
      </c>
      <c r="AC1" s="12" t="s">
        <v>28</v>
      </c>
      <c r="AD1" s="12" t="s">
        <v>29</v>
      </c>
      <c r="AE1" s="12" t="s">
        <v>30</v>
      </c>
      <c r="AF1" s="8" t="s">
        <v>31</v>
      </c>
      <c r="AG1" s="10" t="s">
        <v>32</v>
      </c>
    </row>
    <row r="2" spans="1:33" ht="15.95" customHeight="1">
      <c r="A2" s="13" t="s">
        <v>1381</v>
      </c>
      <c r="B2" s="14"/>
      <c r="C2" s="14"/>
      <c r="D2" s="13" t="s">
        <v>81</v>
      </c>
      <c r="E2" s="9" t="str">
        <f t="shared" ref="E2:E17" si="0">SUBSTITUTE(SUBSTITUTE(_xlfn.TEXTBEFORE(A2,","), "-", ""), " ", "")</f>
        <v>Changizi</v>
      </c>
      <c r="F2" s="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9" t="str">
        <f t="shared" ref="G2:G17" si="2">_xlfn.TEXTBEFORE(_xlfn.TEXTAFTER(A2, "("), ")")</f>
        <v>2005</v>
      </c>
      <c r="H2" s="9" t="str">
        <f t="shared" ref="H2:H17" si="3">E2 &amp; IF(F2&lt;&gt;"", "_" &amp; F2, "_") &amp; IF(G2&lt;&gt;"", "_" &amp; G2, "_") &amp; IF(B2&lt;&gt;"", "_" &amp; B2, "")</f>
        <v>Changizi_He_2005</v>
      </c>
      <c r="I2" s="9" t="str">
        <f t="shared" ref="I2:I17" si="4">_xlfn.LET(
_xlpm.doi,IF(C2&lt;&gt;"",C2,_xlfn.TEXTAFTER(A2,"https://doi.org/")),
SUBSTITUTE(
SUBSTITUTE(
SUBSTITUTE(
SUBSTITUTE(
_xlpm.doi,
"/","%2F"),
":","%3A"),
"&lt;","%3C"),
"&gt;","%3E")
)</f>
        <v>10.1002%2Fcplx.20085</v>
      </c>
      <c r="J2" s="9" t="str">
        <f t="shared" ref="J2:J17" si="5">TRIM(_xlfn.TEXTJOIN("_",FALSE(),H2,(SUBSTITUTE(SUBSTITUTE(D2," ",""), "_", ""))))</f>
        <v>Changizi_He_2005_Table1</v>
      </c>
      <c r="K2" s="9" t="str">
        <f t="shared" ref="K2:K17" si="6">I2 &amp; "_" &amp; SUBSTITUTE(SUBSTITUTE(SUBSTITUTE(D2,CHAR(160),"")," ",""),"_","")</f>
        <v>10.1002%2Fcplx.20085_Table1</v>
      </c>
      <c r="L2" s="9" t="str">
        <f t="array" ref="L2">IFERROR(INDEX(AUTO_Public_TSV_FileList!$A$1:$A$1000,MATCH(TRUE(),EXACT(K2,IFERROR(_xlfn.TEXTBEFORE(AUTO_Public_TSV_FileList!$A$1:$A$1000,".tsv"),"")),0)),"notfound")</f>
        <v>notfound</v>
      </c>
      <c r="M2" s="14" t="s">
        <v>1382</v>
      </c>
      <c r="N2" s="13" t="s">
        <v>1383</v>
      </c>
      <c r="O2" s="14" t="s">
        <v>1384</v>
      </c>
      <c r="Q2" s="14"/>
      <c r="R2" s="14" t="s">
        <v>1385</v>
      </c>
      <c r="S2" s="14" t="s">
        <v>324</v>
      </c>
      <c r="T2" s="14" t="s">
        <v>325</v>
      </c>
      <c r="U2" s="14"/>
      <c r="V2" s="14" t="s">
        <v>707</v>
      </c>
      <c r="W2" s="13"/>
      <c r="X2" s="14" t="s">
        <v>1386</v>
      </c>
      <c r="Y2" s="14" t="s">
        <v>1386</v>
      </c>
      <c r="Z2" s="14"/>
      <c r="AA2" s="14"/>
      <c r="AB2" s="13" t="s">
        <v>1387</v>
      </c>
      <c r="AC2" s="14"/>
      <c r="AD2" s="14"/>
      <c r="AE2" s="13" t="s">
        <v>172</v>
      </c>
      <c r="AF2" s="13"/>
      <c r="AG2" s="10" t="s">
        <v>1388</v>
      </c>
    </row>
    <row r="3" spans="1:33" ht="15.95" customHeight="1">
      <c r="A3" s="13" t="s">
        <v>1381</v>
      </c>
      <c r="B3" s="14"/>
      <c r="C3" s="14"/>
      <c r="D3" s="13" t="s">
        <v>70</v>
      </c>
      <c r="E3" s="9" t="str">
        <f t="shared" si="0"/>
        <v>Changizi</v>
      </c>
      <c r="F3" s="9" t="str">
        <f t="shared" si="1"/>
        <v>He</v>
      </c>
      <c r="G3" s="9" t="str">
        <f t="shared" si="2"/>
        <v>2005</v>
      </c>
      <c r="H3" s="9" t="str">
        <f t="shared" si="3"/>
        <v>Changizi_He_2005</v>
      </c>
      <c r="I3" s="9" t="str">
        <f t="shared" si="4"/>
        <v>10.1002%2Fcplx.20085</v>
      </c>
      <c r="J3" s="9" t="str">
        <f t="shared" si="5"/>
        <v>Changizi_He_2005_Table2</v>
      </c>
      <c r="K3" s="9" t="str">
        <f t="shared" si="6"/>
        <v>10.1002%2Fcplx.20085_Table2</v>
      </c>
      <c r="L3" s="9" t="str">
        <f t="array" ref="L3">IFERROR(INDEX(AUTO_Public_TSV_FileList!$A$1:$A$1000,MATCH(TRUE(),EXACT(K3,IFERROR(_xlfn.TEXTBEFORE(AUTO_Public_TSV_FileList!$A$1:$A$1000,".tsv"),"")),0)),"notfound")</f>
        <v>notfound</v>
      </c>
      <c r="M3" s="14" t="s">
        <v>1389</v>
      </c>
      <c r="N3" s="13" t="s">
        <v>1383</v>
      </c>
      <c r="O3" s="14" t="s">
        <v>1390</v>
      </c>
      <c r="Q3" s="14"/>
      <c r="R3" s="14" t="s">
        <v>1385</v>
      </c>
      <c r="S3" s="14" t="s">
        <v>324</v>
      </c>
      <c r="T3" s="14" t="s">
        <v>325</v>
      </c>
      <c r="U3" s="14"/>
      <c r="V3" s="14" t="s">
        <v>707</v>
      </c>
      <c r="W3" s="13"/>
      <c r="X3" s="14" t="s">
        <v>1391</v>
      </c>
      <c r="Y3" s="14" t="s">
        <v>1391</v>
      </c>
      <c r="Z3" s="14"/>
      <c r="AA3" s="14"/>
      <c r="AB3" s="13" t="s">
        <v>1387</v>
      </c>
      <c r="AC3" s="14"/>
      <c r="AD3" s="14"/>
      <c r="AE3" s="13" t="s">
        <v>172</v>
      </c>
      <c r="AF3" s="13"/>
      <c r="AG3" s="10" t="s">
        <v>1392</v>
      </c>
    </row>
    <row r="4" spans="1:33" ht="15.95" customHeight="1">
      <c r="A4" s="13" t="s">
        <v>1393</v>
      </c>
      <c r="B4" s="14"/>
      <c r="C4" s="14"/>
      <c r="D4" s="13" t="s">
        <v>81</v>
      </c>
      <c r="E4" s="15" t="str">
        <f t="shared" si="0"/>
        <v>Deaner</v>
      </c>
      <c r="F4" s="15" t="str">
        <f t="shared" si="1"/>
        <v>etal</v>
      </c>
      <c r="G4" s="15" t="str">
        <f t="shared" si="2"/>
        <v>2007</v>
      </c>
      <c r="H4" s="15" t="str">
        <f t="shared" si="3"/>
        <v>Deaner_etal_2007</v>
      </c>
      <c r="I4" s="15" t="str">
        <f t="shared" si="4"/>
        <v>10.1159%2F000102973</v>
      </c>
      <c r="J4" s="15" t="str">
        <f t="shared" si="5"/>
        <v>Deaner_etal_2007_Table1</v>
      </c>
      <c r="K4" s="15" t="str">
        <f t="shared" si="6"/>
        <v>10.1159%2F000102973_Table1</v>
      </c>
      <c r="L4" s="15" t="str">
        <f t="array" ref="L4">IFERROR(INDEX(AUTO_Public_TSV_FileList!$A$1:$A$1000,MATCH(TRUE(),EXACT(K4,IFERROR(_xlfn.TEXTBEFORE(AUTO_Public_TSV_FileList!$A$1:$A$1000,".tsv"),"")),0)),"notfound")</f>
        <v>notfound</v>
      </c>
      <c r="M4" s="14" t="s">
        <v>1394</v>
      </c>
      <c r="N4" s="13" t="s">
        <v>1383</v>
      </c>
      <c r="O4" s="14" t="s">
        <v>1395</v>
      </c>
      <c r="Q4" s="14"/>
      <c r="R4" s="14" t="s">
        <v>1396</v>
      </c>
      <c r="S4" s="14" t="s">
        <v>324</v>
      </c>
      <c r="T4" s="14" t="s">
        <v>325</v>
      </c>
      <c r="U4" s="14"/>
      <c r="V4" s="14" t="s">
        <v>707</v>
      </c>
      <c r="W4" s="13" t="s">
        <v>93</v>
      </c>
      <c r="X4" s="14" t="s">
        <v>1397</v>
      </c>
      <c r="Y4" s="14" t="s">
        <v>1397</v>
      </c>
      <c r="Z4" s="14"/>
      <c r="AA4" s="14"/>
      <c r="AB4" s="13" t="s">
        <v>1398</v>
      </c>
      <c r="AC4" s="14"/>
      <c r="AD4" s="14"/>
      <c r="AE4" s="13" t="s">
        <v>172</v>
      </c>
      <c r="AF4" s="13"/>
      <c r="AG4" s="10" t="s">
        <v>1399</v>
      </c>
    </row>
    <row r="5" spans="1:33" ht="15.95" customHeight="1">
      <c r="A5" s="13" t="s">
        <v>406</v>
      </c>
      <c r="B5" s="14"/>
      <c r="C5" s="14"/>
      <c r="D5" s="13" t="s">
        <v>70</v>
      </c>
      <c r="E5" s="9" t="str">
        <f t="shared" si="0"/>
        <v>Deaner</v>
      </c>
      <c r="F5" s="9" t="str">
        <f t="shared" si="1"/>
        <v>etal</v>
      </c>
      <c r="G5" s="9" t="str">
        <f t="shared" si="2"/>
        <v>2006</v>
      </c>
      <c r="H5" s="9" t="str">
        <f t="shared" si="3"/>
        <v>Deaner_etal_2006</v>
      </c>
      <c r="I5" s="9" t="str">
        <f t="shared" si="4"/>
        <v>10.1177%2F147470490600400114</v>
      </c>
      <c r="J5" s="9" t="str">
        <f t="shared" si="5"/>
        <v>Deaner_etal_2006_Table2</v>
      </c>
      <c r="K5" s="9" t="str">
        <f t="shared" si="6"/>
        <v>10.1177%2F147470490600400114_Table2</v>
      </c>
      <c r="L5" s="9" t="str">
        <f t="array" ref="L5">IFERROR(INDEX(AUTO_Public_TSV_FileList!$A$1:$A$1000,MATCH(TRUE(),EXACT(K5,IFERROR(_xlfn.TEXTBEFORE(AUTO_Public_TSV_FileList!$A$1:$A$1000,".tsv"),"")),0)),"notfound")</f>
        <v>notfound</v>
      </c>
      <c r="M5" s="14" t="s">
        <v>1400</v>
      </c>
      <c r="N5" s="13" t="s">
        <v>1383</v>
      </c>
      <c r="O5" s="14" t="s">
        <v>1401</v>
      </c>
      <c r="Q5" s="14"/>
      <c r="R5" s="14"/>
      <c r="S5" s="14" t="s">
        <v>324</v>
      </c>
      <c r="T5" s="14" t="s">
        <v>325</v>
      </c>
      <c r="U5" s="14"/>
      <c r="V5" s="14" t="s">
        <v>707</v>
      </c>
      <c r="W5" s="13" t="s">
        <v>93</v>
      </c>
      <c r="X5" s="14" t="s">
        <v>1402</v>
      </c>
      <c r="Y5" s="14" t="s">
        <v>1402</v>
      </c>
      <c r="Z5" s="14"/>
      <c r="AA5" s="14"/>
      <c r="AB5" s="13" t="s">
        <v>1403</v>
      </c>
      <c r="AC5" s="14"/>
      <c r="AD5" s="14"/>
      <c r="AE5" s="13" t="s">
        <v>172</v>
      </c>
      <c r="AF5" s="13"/>
      <c r="AG5" s="10" t="s">
        <v>1404</v>
      </c>
    </row>
    <row r="6" spans="1:33" ht="15.95" customHeight="1">
      <c r="A6" s="13" t="s">
        <v>406</v>
      </c>
      <c r="B6" s="14"/>
      <c r="C6" s="14"/>
      <c r="D6" s="13" t="s">
        <v>72</v>
      </c>
      <c r="E6" s="9" t="str">
        <f t="shared" si="0"/>
        <v>Deaner</v>
      </c>
      <c r="F6" s="9" t="str">
        <f t="shared" si="1"/>
        <v>etal</v>
      </c>
      <c r="G6" s="9" t="str">
        <f t="shared" si="2"/>
        <v>2006</v>
      </c>
      <c r="H6" s="9" t="str">
        <f t="shared" si="3"/>
        <v>Deaner_etal_2006</v>
      </c>
      <c r="I6" s="9" t="str">
        <f t="shared" si="4"/>
        <v>10.1177%2F147470490600400114</v>
      </c>
      <c r="J6" s="9" t="str">
        <f t="shared" si="5"/>
        <v>Deaner_etal_2006_Table3</v>
      </c>
      <c r="K6" s="9" t="str">
        <f t="shared" si="6"/>
        <v>10.1177%2F147470490600400114_Table3</v>
      </c>
      <c r="L6" s="9" t="str">
        <f t="array" ref="L6">IFERROR(INDEX(AUTO_Public_TSV_FileList!$A$1:$A$1000,MATCH(TRUE(),EXACT(K6,IFERROR(_xlfn.TEXTBEFORE(AUTO_Public_TSV_FileList!$A$1:$A$1000,".tsv"),"")),0)),"notfound")</f>
        <v>notfound</v>
      </c>
      <c r="M6" s="14" t="s">
        <v>1405</v>
      </c>
      <c r="N6" s="13" t="s">
        <v>1383</v>
      </c>
      <c r="O6" s="14" t="s">
        <v>1406</v>
      </c>
      <c r="Q6" s="14"/>
      <c r="R6" s="14"/>
      <c r="S6" s="14" t="s">
        <v>324</v>
      </c>
      <c r="T6" s="14" t="s">
        <v>325</v>
      </c>
      <c r="U6" s="14"/>
      <c r="V6" s="14" t="s">
        <v>707</v>
      </c>
      <c r="W6" s="13" t="s">
        <v>93</v>
      </c>
      <c r="X6" s="14" t="s">
        <v>1407</v>
      </c>
      <c r="Y6" s="14" t="s">
        <v>1407</v>
      </c>
      <c r="Z6" s="14"/>
      <c r="AA6" s="14"/>
      <c r="AB6" s="13" t="s">
        <v>1408</v>
      </c>
      <c r="AC6" s="14"/>
      <c r="AD6" s="14"/>
      <c r="AE6" s="13" t="s">
        <v>172</v>
      </c>
      <c r="AF6" s="13"/>
      <c r="AG6" s="10" t="s">
        <v>1409</v>
      </c>
    </row>
    <row r="7" spans="1:33" ht="15.95" customHeight="1">
      <c r="A7" s="13" t="s">
        <v>1410</v>
      </c>
      <c r="B7" s="14"/>
      <c r="C7" s="14"/>
      <c r="D7" s="13" t="s">
        <v>81</v>
      </c>
      <c r="E7" s="9" t="str">
        <f t="shared" si="0"/>
        <v>Reader</v>
      </c>
      <c r="F7" s="9" t="str">
        <f t="shared" si="1"/>
        <v>Laland</v>
      </c>
      <c r="G7" s="9" t="str">
        <f t="shared" si="2"/>
        <v>2002</v>
      </c>
      <c r="H7" s="9" t="str">
        <f t="shared" si="3"/>
        <v>Reader_Laland_2002</v>
      </c>
      <c r="I7" s="9" t="str">
        <f t="shared" si="4"/>
        <v>10.1073%2Fpnas.062041299</v>
      </c>
      <c r="J7" s="9" t="str">
        <f t="shared" si="5"/>
        <v>Reader_Laland_2002_Table1</v>
      </c>
      <c r="K7" s="9" t="str">
        <f t="shared" si="6"/>
        <v>10.1073%2Fpnas.062041299_Table1</v>
      </c>
      <c r="L7" s="9" t="str">
        <f t="array" ref="L7">IFERROR(INDEX(AUTO_Public_TSV_FileList!$A$1:$A$1000,MATCH(TRUE(),EXACT(K7,IFERROR(_xlfn.TEXTBEFORE(AUTO_Public_TSV_FileList!$A$1:$A$1000,".tsv"),"")),0)),"notfound")</f>
        <v>notfound</v>
      </c>
      <c r="M7" s="14" t="s">
        <v>1411</v>
      </c>
      <c r="N7" s="13" t="s">
        <v>1383</v>
      </c>
      <c r="O7" s="14" t="s">
        <v>1412</v>
      </c>
      <c r="Q7" s="14"/>
      <c r="R7" s="14" t="s">
        <v>1413</v>
      </c>
      <c r="S7" s="14" t="s">
        <v>324</v>
      </c>
      <c r="T7" s="14" t="s">
        <v>325</v>
      </c>
      <c r="U7" s="14"/>
      <c r="V7" s="14" t="s">
        <v>707</v>
      </c>
      <c r="W7" s="13" t="s">
        <v>93</v>
      </c>
      <c r="X7" s="14" t="s">
        <v>1414</v>
      </c>
      <c r="Y7" s="14" t="s">
        <v>1414</v>
      </c>
      <c r="Z7" s="14"/>
      <c r="AA7" s="14"/>
      <c r="AB7" s="13" t="s">
        <v>1415</v>
      </c>
      <c r="AC7" s="14"/>
      <c r="AD7" s="14"/>
      <c r="AE7" s="13" t="s">
        <v>172</v>
      </c>
      <c r="AF7" s="13"/>
      <c r="AG7" s="10" t="s">
        <v>1416</v>
      </c>
    </row>
    <row r="8" spans="1:33" ht="15.95" customHeight="1">
      <c r="A8" s="13" t="s">
        <v>1417</v>
      </c>
      <c r="B8" s="14"/>
      <c r="C8" s="14"/>
      <c r="D8" s="13" t="s">
        <v>81</v>
      </c>
      <c r="E8" s="9" t="str">
        <f t="shared" si="0"/>
        <v>Reader</v>
      </c>
      <c r="F8" s="9" t="str">
        <f t="shared" si="1"/>
        <v>etal</v>
      </c>
      <c r="G8" s="9" t="str">
        <f t="shared" si="2"/>
        <v>2011</v>
      </c>
      <c r="H8" s="9" t="str">
        <f t="shared" si="3"/>
        <v>Reader_etal_2011</v>
      </c>
      <c r="I8" s="9" t="str">
        <f t="shared" si="4"/>
        <v>10.1098%2Frstb.2010.0342</v>
      </c>
      <c r="J8" s="9" t="str">
        <f t="shared" si="5"/>
        <v>Reader_etal_2011_Table1</v>
      </c>
      <c r="K8" s="9" t="str">
        <f t="shared" si="6"/>
        <v>10.1098%2Frstb.2010.0342_Table1</v>
      </c>
      <c r="L8" s="9" t="str">
        <f t="array" ref="L8">IFERROR(INDEX(AUTO_Public_TSV_FileList!$A$1:$A$1000,MATCH(TRUE(),EXACT(K8,IFERROR(_xlfn.TEXTBEFORE(AUTO_Public_TSV_FileList!$A$1:$A$1000,".tsv"),"")),0)),"notfound")</f>
        <v>notfound</v>
      </c>
      <c r="M8" s="14" t="s">
        <v>1418</v>
      </c>
      <c r="N8" s="13" t="s">
        <v>1383</v>
      </c>
      <c r="O8" s="14" t="s">
        <v>1419</v>
      </c>
      <c r="Q8" s="14"/>
      <c r="R8" s="14" t="s">
        <v>1420</v>
      </c>
      <c r="S8" s="14" t="s">
        <v>324</v>
      </c>
      <c r="T8" s="14" t="s">
        <v>325</v>
      </c>
      <c r="U8" s="14"/>
      <c r="V8" s="14" t="s">
        <v>707</v>
      </c>
      <c r="W8" s="13" t="s">
        <v>93</v>
      </c>
      <c r="X8" s="14" t="s">
        <v>1421</v>
      </c>
      <c r="Y8" s="14" t="s">
        <v>1421</v>
      </c>
      <c r="Z8" s="14"/>
      <c r="AA8" s="14"/>
      <c r="AB8" s="13" t="s">
        <v>1422</v>
      </c>
      <c r="AC8" s="14"/>
      <c r="AD8" s="14"/>
      <c r="AE8" s="13" t="s">
        <v>172</v>
      </c>
      <c r="AF8" s="13"/>
      <c r="AG8" s="10" t="s">
        <v>1423</v>
      </c>
    </row>
    <row r="9" spans="1:33" ht="15.95" customHeight="1">
      <c r="A9" s="13" t="s">
        <v>1417</v>
      </c>
      <c r="B9" s="14"/>
      <c r="C9" s="14"/>
      <c r="D9" s="13" t="s">
        <v>70</v>
      </c>
      <c r="E9" s="9" t="str">
        <f t="shared" si="0"/>
        <v>Reader</v>
      </c>
      <c r="F9" s="9" t="str">
        <f t="shared" si="1"/>
        <v>etal</v>
      </c>
      <c r="G9" s="9" t="str">
        <f t="shared" si="2"/>
        <v>2011</v>
      </c>
      <c r="H9" s="9" t="str">
        <f t="shared" si="3"/>
        <v>Reader_etal_2011</v>
      </c>
      <c r="I9" s="9" t="str">
        <f t="shared" si="4"/>
        <v>10.1098%2Frstb.2010.0342</v>
      </c>
      <c r="J9" s="9" t="str">
        <f t="shared" si="5"/>
        <v>Reader_etal_2011_Table2</v>
      </c>
      <c r="K9" s="9" t="str">
        <f t="shared" si="6"/>
        <v>10.1098%2Frstb.2010.0342_Table2</v>
      </c>
      <c r="L9" s="9" t="str">
        <f t="array" ref="L9">IFERROR(INDEX(AUTO_Public_TSV_FileList!$A$1:$A$1000,MATCH(TRUE(),EXACT(K9,IFERROR(_xlfn.TEXTBEFORE(AUTO_Public_TSV_FileList!$A$1:$A$1000,".tsv"),"")),0)),"notfound")</f>
        <v>notfound</v>
      </c>
      <c r="M9" s="14" t="s">
        <v>1424</v>
      </c>
      <c r="N9" s="13" t="s">
        <v>1383</v>
      </c>
      <c r="O9" s="14" t="s">
        <v>1425</v>
      </c>
      <c r="Q9" s="14"/>
      <c r="R9" s="14" t="s">
        <v>1420</v>
      </c>
      <c r="S9" s="14" t="s">
        <v>324</v>
      </c>
      <c r="T9" s="14" t="s">
        <v>325</v>
      </c>
      <c r="U9" s="14"/>
      <c r="V9" s="14" t="s">
        <v>707</v>
      </c>
      <c r="W9" s="13" t="s">
        <v>93</v>
      </c>
      <c r="X9" s="14" t="s">
        <v>1426</v>
      </c>
      <c r="Y9" s="14" t="s">
        <v>1426</v>
      </c>
      <c r="Z9" s="14"/>
      <c r="AA9" s="14"/>
      <c r="AB9" s="13" t="s">
        <v>1422</v>
      </c>
      <c r="AC9" s="14"/>
      <c r="AD9" s="14"/>
      <c r="AE9" s="13" t="s">
        <v>172</v>
      </c>
      <c r="AF9" s="13"/>
      <c r="AG9" s="10" t="s">
        <v>1427</v>
      </c>
    </row>
    <row r="10" spans="1:33" ht="15.95" customHeight="1">
      <c r="A10" s="13" t="s">
        <v>1417</v>
      </c>
      <c r="B10" s="14"/>
      <c r="C10" s="14"/>
      <c r="D10" s="13" t="s">
        <v>72</v>
      </c>
      <c r="E10" s="9" t="str">
        <f t="shared" si="0"/>
        <v>Reader</v>
      </c>
      <c r="F10" s="9" t="str">
        <f t="shared" si="1"/>
        <v>etal</v>
      </c>
      <c r="G10" s="9" t="str">
        <f t="shared" si="2"/>
        <v>2011</v>
      </c>
      <c r="H10" s="9" t="str">
        <f t="shared" si="3"/>
        <v>Reader_etal_2011</v>
      </c>
      <c r="I10" s="9" t="str">
        <f t="shared" si="4"/>
        <v>10.1098%2Frstb.2010.0342</v>
      </c>
      <c r="J10" s="9" t="str">
        <f t="shared" si="5"/>
        <v>Reader_etal_2011_Table3</v>
      </c>
      <c r="K10" s="9" t="str">
        <f t="shared" si="6"/>
        <v>10.1098%2Frstb.2010.0342_Table3</v>
      </c>
      <c r="L10" s="9" t="str">
        <f t="array" ref="L10">IFERROR(INDEX(AUTO_Public_TSV_FileList!$A$1:$A$1000,MATCH(TRUE(),EXACT(K10,IFERROR(_xlfn.TEXTBEFORE(AUTO_Public_TSV_FileList!$A$1:$A$1000,".tsv"),"")),0)),"notfound")</f>
        <v>notfound</v>
      </c>
      <c r="M10" s="14" t="s">
        <v>1428</v>
      </c>
      <c r="N10" s="13" t="s">
        <v>1383</v>
      </c>
      <c r="O10" s="14" t="s">
        <v>1429</v>
      </c>
      <c r="Q10" s="14"/>
      <c r="R10" s="14" t="s">
        <v>1420</v>
      </c>
      <c r="S10" s="14" t="s">
        <v>324</v>
      </c>
      <c r="T10" s="14" t="s">
        <v>325</v>
      </c>
      <c r="U10" s="14"/>
      <c r="V10" s="14" t="s">
        <v>707</v>
      </c>
      <c r="W10" s="13" t="s">
        <v>93</v>
      </c>
      <c r="X10" s="14" t="s">
        <v>1430</v>
      </c>
      <c r="Y10" s="14" t="s">
        <v>1430</v>
      </c>
      <c r="Z10" s="14"/>
      <c r="AA10" s="14"/>
      <c r="AB10" s="13" t="s">
        <v>1431</v>
      </c>
      <c r="AC10" s="14"/>
      <c r="AD10" s="14"/>
      <c r="AE10" s="13" t="s">
        <v>172</v>
      </c>
      <c r="AF10" s="13"/>
      <c r="AG10" s="10" t="s">
        <v>1432</v>
      </c>
    </row>
    <row r="11" spans="1:33" ht="15.95" customHeight="1">
      <c r="A11" s="13" t="s">
        <v>1417</v>
      </c>
      <c r="B11" s="14"/>
      <c r="C11" s="14"/>
      <c r="D11" s="13" t="s">
        <v>34</v>
      </c>
      <c r="E11" s="9" t="str">
        <f t="shared" si="0"/>
        <v>Reader</v>
      </c>
      <c r="F11" s="9" t="str">
        <f t="shared" si="1"/>
        <v>etal</v>
      </c>
      <c r="G11" s="9" t="str">
        <f t="shared" si="2"/>
        <v>2011</v>
      </c>
      <c r="H11" s="9" t="str">
        <f t="shared" si="3"/>
        <v>Reader_etal_2011</v>
      </c>
      <c r="I11" s="9" t="str">
        <f t="shared" si="4"/>
        <v>10.1098%2Frstb.2010.0342</v>
      </c>
      <c r="J11" s="9" t="str">
        <f t="shared" si="5"/>
        <v>Reader_etal_2011_Table4</v>
      </c>
      <c r="K11" s="9" t="str">
        <f t="shared" si="6"/>
        <v>10.1098%2Frstb.2010.0342_Table4</v>
      </c>
      <c r="L11" s="9" t="str">
        <f t="array" ref="L11">IFERROR(INDEX(AUTO_Public_TSV_FileList!$A$1:$A$1000,MATCH(TRUE(),EXACT(K11,IFERROR(_xlfn.TEXTBEFORE(AUTO_Public_TSV_FileList!$A$1:$A$1000,".tsv"),"")),0)),"notfound")</f>
        <v>notfound</v>
      </c>
      <c r="M11" s="14" t="s">
        <v>1433</v>
      </c>
      <c r="N11" s="13" t="s">
        <v>1383</v>
      </c>
      <c r="O11" s="14" t="s">
        <v>1434</v>
      </c>
      <c r="Q11" s="14"/>
      <c r="R11" s="14" t="s">
        <v>1420</v>
      </c>
      <c r="S11" s="14" t="s">
        <v>324</v>
      </c>
      <c r="T11" s="14" t="s">
        <v>325</v>
      </c>
      <c r="U11" s="14"/>
      <c r="V11" s="14" t="s">
        <v>707</v>
      </c>
      <c r="W11" s="13" t="s">
        <v>93</v>
      </c>
      <c r="X11" s="14" t="s">
        <v>1435</v>
      </c>
      <c r="Y11" s="14" t="s">
        <v>1435</v>
      </c>
      <c r="Z11" s="14"/>
      <c r="AA11" s="14"/>
      <c r="AB11" s="13" t="s">
        <v>1436</v>
      </c>
      <c r="AC11" s="14"/>
      <c r="AD11" s="14"/>
      <c r="AE11" s="13" t="s">
        <v>172</v>
      </c>
      <c r="AF11" s="13"/>
      <c r="AG11" s="10" t="s">
        <v>1437</v>
      </c>
    </row>
    <row r="12" spans="1:33" ht="15.95" customHeight="1">
      <c r="A12" s="13" t="s">
        <v>1438</v>
      </c>
      <c r="B12" s="14"/>
      <c r="C12" s="14"/>
      <c r="D12" s="13" t="s">
        <v>81</v>
      </c>
      <c r="E12" s="9" t="str">
        <f t="shared" si="0"/>
        <v>Shultz</v>
      </c>
      <c r="F12" s="9" t="str">
        <f t="shared" si="1"/>
        <v>Dunbar</v>
      </c>
      <c r="G12" s="9" t="str">
        <f t="shared" si="2"/>
        <v>2010</v>
      </c>
      <c r="H12" s="9" t="str">
        <f t="shared" si="3"/>
        <v>Shultz_Dunbar_2010</v>
      </c>
      <c r="I12" s="9" t="str">
        <f t="shared" si="4"/>
        <v>10.1037%2Fa0018894</v>
      </c>
      <c r="J12" s="9" t="str">
        <f t="shared" si="5"/>
        <v>Shultz_Dunbar_2010_Table1</v>
      </c>
      <c r="K12" s="9" t="str">
        <f t="shared" si="6"/>
        <v>10.1037%2Fa0018894_Table1</v>
      </c>
      <c r="L12" s="9" t="str">
        <f t="array" ref="L12">IFERROR(INDEX(AUTO_Public_TSV_FileList!$A$1:$A$1000,MATCH(TRUE(),EXACT(K12,IFERROR(_xlfn.TEXTBEFORE(AUTO_Public_TSV_FileList!$A$1:$A$1000,".tsv"),"")),0)),"notfound")</f>
        <v>notfound</v>
      </c>
      <c r="M12" s="14" t="s">
        <v>1439</v>
      </c>
      <c r="N12" s="13" t="s">
        <v>1383</v>
      </c>
      <c r="O12" s="14" t="s">
        <v>1440</v>
      </c>
      <c r="Q12" s="14"/>
      <c r="R12" s="14" t="s">
        <v>1441</v>
      </c>
      <c r="S12" s="14" t="s">
        <v>324</v>
      </c>
      <c r="T12" s="14" t="s">
        <v>325</v>
      </c>
      <c r="U12" s="14"/>
      <c r="V12" s="14" t="s">
        <v>707</v>
      </c>
      <c r="W12" s="13" t="s">
        <v>93</v>
      </c>
      <c r="X12" s="14" t="s">
        <v>1442</v>
      </c>
      <c r="Y12" s="14" t="s">
        <v>1442</v>
      </c>
      <c r="Z12" s="14"/>
      <c r="AA12" s="14"/>
      <c r="AB12" s="13" t="s">
        <v>1443</v>
      </c>
      <c r="AC12" s="14"/>
      <c r="AD12" s="14"/>
      <c r="AE12" s="13" t="s">
        <v>172</v>
      </c>
      <c r="AF12" s="13"/>
      <c r="AG12" s="10" t="s">
        <v>1444</v>
      </c>
    </row>
    <row r="13" spans="1:33" ht="15.95" customHeight="1">
      <c r="A13" s="13" t="s">
        <v>1438</v>
      </c>
      <c r="B13" s="14"/>
      <c r="C13" s="14"/>
      <c r="D13" s="13" t="s">
        <v>70</v>
      </c>
      <c r="E13" s="9" t="str">
        <f t="shared" si="0"/>
        <v>Shultz</v>
      </c>
      <c r="F13" s="9" t="str">
        <f t="shared" si="1"/>
        <v>Dunbar</v>
      </c>
      <c r="G13" s="9" t="str">
        <f t="shared" si="2"/>
        <v>2010</v>
      </c>
      <c r="H13" s="9" t="str">
        <f t="shared" si="3"/>
        <v>Shultz_Dunbar_2010</v>
      </c>
      <c r="I13" s="9" t="str">
        <f t="shared" si="4"/>
        <v>10.1037%2Fa0018894</v>
      </c>
      <c r="J13" s="9" t="str">
        <f t="shared" si="5"/>
        <v>Shultz_Dunbar_2010_Table2</v>
      </c>
      <c r="K13" s="9" t="str">
        <f t="shared" si="6"/>
        <v>10.1037%2Fa0018894_Table2</v>
      </c>
      <c r="L13" s="9" t="str">
        <f t="array" ref="L13">IFERROR(INDEX(AUTO_Public_TSV_FileList!$A$1:$A$1000,MATCH(TRUE(),EXACT(K13,IFERROR(_xlfn.TEXTBEFORE(AUTO_Public_TSV_FileList!$A$1:$A$1000,".tsv"),"")),0)),"notfound")</f>
        <v>notfound</v>
      </c>
      <c r="M13" s="14" t="s">
        <v>1445</v>
      </c>
      <c r="N13" s="13" t="s">
        <v>1383</v>
      </c>
      <c r="O13" s="14" t="s">
        <v>1446</v>
      </c>
      <c r="Q13" s="14"/>
      <c r="R13" s="14" t="s">
        <v>1441</v>
      </c>
      <c r="S13" s="14" t="s">
        <v>324</v>
      </c>
      <c r="T13" s="14" t="s">
        <v>325</v>
      </c>
      <c r="U13" s="14"/>
      <c r="V13" s="14" t="s">
        <v>707</v>
      </c>
      <c r="W13" s="13" t="s">
        <v>93</v>
      </c>
      <c r="X13" s="14" t="s">
        <v>1447</v>
      </c>
      <c r="Y13" s="14" t="s">
        <v>1447</v>
      </c>
      <c r="Z13" s="14"/>
      <c r="AA13" s="14"/>
      <c r="AB13" s="13" t="s">
        <v>1448</v>
      </c>
      <c r="AC13" s="14"/>
      <c r="AD13" s="14"/>
      <c r="AE13" s="13" t="s">
        <v>172</v>
      </c>
      <c r="AF13" s="13"/>
      <c r="AG13" s="10" t="s">
        <v>1449</v>
      </c>
    </row>
    <row r="14" spans="1:33" ht="15.95" customHeight="1">
      <c r="A14" s="13" t="s">
        <v>1438</v>
      </c>
      <c r="B14" s="14"/>
      <c r="C14" s="14"/>
      <c r="D14" s="13" t="s">
        <v>72</v>
      </c>
      <c r="E14" s="9" t="str">
        <f t="shared" si="0"/>
        <v>Shultz</v>
      </c>
      <c r="F14" s="9" t="str">
        <f t="shared" si="1"/>
        <v>Dunbar</v>
      </c>
      <c r="G14" s="9" t="str">
        <f t="shared" si="2"/>
        <v>2010</v>
      </c>
      <c r="H14" s="9" t="str">
        <f t="shared" si="3"/>
        <v>Shultz_Dunbar_2010</v>
      </c>
      <c r="I14" s="9" t="str">
        <f t="shared" si="4"/>
        <v>10.1037%2Fa0018894</v>
      </c>
      <c r="J14" s="9" t="str">
        <f t="shared" si="5"/>
        <v>Shultz_Dunbar_2010_Table3</v>
      </c>
      <c r="K14" s="9" t="str">
        <f t="shared" si="6"/>
        <v>10.1037%2Fa0018894_Table3</v>
      </c>
      <c r="L14" s="9" t="str">
        <f t="array" ref="L14">IFERROR(INDEX(AUTO_Public_TSV_FileList!$A$1:$A$1000,MATCH(TRUE(),EXACT(K14,IFERROR(_xlfn.TEXTBEFORE(AUTO_Public_TSV_FileList!$A$1:$A$1000,".tsv"),"")),0)),"notfound")</f>
        <v>notfound</v>
      </c>
      <c r="M14" s="14" t="s">
        <v>1450</v>
      </c>
      <c r="N14" s="13" t="s">
        <v>1383</v>
      </c>
      <c r="O14" s="14" t="s">
        <v>1446</v>
      </c>
      <c r="Q14" s="14"/>
      <c r="R14" s="14" t="s">
        <v>1441</v>
      </c>
      <c r="S14" s="14" t="s">
        <v>324</v>
      </c>
      <c r="T14" s="14" t="s">
        <v>325</v>
      </c>
      <c r="U14" s="14"/>
      <c r="V14" s="14" t="s">
        <v>707</v>
      </c>
      <c r="W14" s="13" t="s">
        <v>93</v>
      </c>
      <c r="X14" s="14" t="s">
        <v>1451</v>
      </c>
      <c r="Y14" s="14" t="s">
        <v>1451</v>
      </c>
      <c r="Z14" s="14"/>
      <c r="AA14" s="14"/>
      <c r="AB14" s="13" t="s">
        <v>1452</v>
      </c>
      <c r="AC14" s="14"/>
      <c r="AD14" s="14"/>
      <c r="AE14" s="13" t="s">
        <v>172</v>
      </c>
      <c r="AF14" s="13"/>
      <c r="AG14" s="10" t="s">
        <v>1453</v>
      </c>
    </row>
    <row r="15" spans="1:33" ht="15.95" customHeight="1">
      <c r="A15" s="13" t="s">
        <v>1438</v>
      </c>
      <c r="B15" s="14"/>
      <c r="C15" s="14"/>
      <c r="D15" s="13" t="s">
        <v>34</v>
      </c>
      <c r="E15" s="9" t="str">
        <f t="shared" si="0"/>
        <v>Shultz</v>
      </c>
      <c r="F15" s="9" t="str">
        <f t="shared" si="1"/>
        <v>Dunbar</v>
      </c>
      <c r="G15" s="9" t="str">
        <f t="shared" si="2"/>
        <v>2010</v>
      </c>
      <c r="H15" s="9" t="str">
        <f t="shared" si="3"/>
        <v>Shultz_Dunbar_2010</v>
      </c>
      <c r="I15" s="9" t="str">
        <f t="shared" si="4"/>
        <v>10.1037%2Fa0018894</v>
      </c>
      <c r="J15" s="9" t="str">
        <f t="shared" si="5"/>
        <v>Shultz_Dunbar_2010_Table4</v>
      </c>
      <c r="K15" s="9" t="str">
        <f t="shared" si="6"/>
        <v>10.1037%2Fa0018894_Table4</v>
      </c>
      <c r="L15" s="9" t="str">
        <f t="array" ref="L15">IFERROR(INDEX(AUTO_Public_TSV_FileList!$A$1:$A$1000,MATCH(TRUE(),EXACT(K15,IFERROR(_xlfn.TEXTBEFORE(AUTO_Public_TSV_FileList!$A$1:$A$1000,".tsv"),"")),0)),"notfound")</f>
        <v>notfound</v>
      </c>
      <c r="M15" s="14" t="s">
        <v>1454</v>
      </c>
      <c r="N15" s="13" t="s">
        <v>1383</v>
      </c>
      <c r="O15" s="14" t="s">
        <v>1455</v>
      </c>
      <c r="Q15" s="14"/>
      <c r="R15" s="14" t="s">
        <v>1441</v>
      </c>
      <c r="S15" s="14" t="s">
        <v>324</v>
      </c>
      <c r="T15" s="14" t="s">
        <v>325</v>
      </c>
      <c r="U15" s="14"/>
      <c r="V15" s="14" t="s">
        <v>707</v>
      </c>
      <c r="W15" s="13" t="s">
        <v>93</v>
      </c>
      <c r="X15" s="14" t="s">
        <v>1456</v>
      </c>
      <c r="Y15" s="14" t="s">
        <v>1456</v>
      </c>
      <c r="Z15" s="14"/>
      <c r="AA15" s="14"/>
      <c r="AB15" s="13" t="s">
        <v>1431</v>
      </c>
      <c r="AC15" s="14"/>
      <c r="AD15" s="14"/>
      <c r="AE15" s="13" t="s">
        <v>172</v>
      </c>
      <c r="AF15" s="13"/>
      <c r="AG15" s="10" t="s">
        <v>1453</v>
      </c>
    </row>
    <row r="16" spans="1:33" ht="15.95" customHeight="1">
      <c r="A16" s="13" t="s">
        <v>1438</v>
      </c>
      <c r="B16" s="14"/>
      <c r="C16" s="14"/>
      <c r="D16" s="13" t="s">
        <v>74</v>
      </c>
      <c r="E16" s="9" t="str">
        <f t="shared" si="0"/>
        <v>Shultz</v>
      </c>
      <c r="F16" s="9" t="str">
        <f t="shared" si="1"/>
        <v>Dunbar</v>
      </c>
      <c r="G16" s="9" t="str">
        <f t="shared" si="2"/>
        <v>2010</v>
      </c>
      <c r="H16" s="9" t="str">
        <f t="shared" si="3"/>
        <v>Shultz_Dunbar_2010</v>
      </c>
      <c r="I16" s="9" t="str">
        <f t="shared" si="4"/>
        <v>10.1037%2Fa0018894</v>
      </c>
      <c r="J16" s="9" t="str">
        <f t="shared" si="5"/>
        <v>Shultz_Dunbar_2010_Table5</v>
      </c>
      <c r="K16" s="9" t="str">
        <f t="shared" si="6"/>
        <v>10.1037%2Fa0018894_Table5</v>
      </c>
      <c r="L16" s="9" t="str">
        <f t="array" ref="L16">IFERROR(INDEX(AUTO_Public_TSV_FileList!$A$1:$A$1000,MATCH(TRUE(),EXACT(K16,IFERROR(_xlfn.TEXTBEFORE(AUTO_Public_TSV_FileList!$A$1:$A$1000,".tsv"),"")),0)),"notfound")</f>
        <v>notfound</v>
      </c>
      <c r="M16" s="14" t="s">
        <v>1457</v>
      </c>
      <c r="N16" s="13" t="s">
        <v>1383</v>
      </c>
      <c r="O16" s="14" t="s">
        <v>1458</v>
      </c>
      <c r="Q16" s="14"/>
      <c r="R16" s="14" t="s">
        <v>1441</v>
      </c>
      <c r="S16" s="14" t="s">
        <v>324</v>
      </c>
      <c r="T16" s="14" t="s">
        <v>325</v>
      </c>
      <c r="U16" s="14"/>
      <c r="V16" s="14" t="s">
        <v>707</v>
      </c>
      <c r="W16" s="13" t="s">
        <v>93</v>
      </c>
      <c r="X16" s="14" t="s">
        <v>1456</v>
      </c>
      <c r="Y16" s="14" t="s">
        <v>1456</v>
      </c>
      <c r="Z16" s="14"/>
      <c r="AA16" s="14"/>
      <c r="AB16" s="13" t="s">
        <v>1459</v>
      </c>
      <c r="AC16" s="14"/>
      <c r="AD16" s="14"/>
      <c r="AE16" s="13" t="s">
        <v>172</v>
      </c>
      <c r="AF16" s="13"/>
      <c r="AG16" s="10" t="s">
        <v>1460</v>
      </c>
    </row>
    <row r="17" spans="1:16" ht="15.95" customHeight="1">
      <c r="A17" s="12" t="s">
        <v>1461</v>
      </c>
      <c r="C17" s="12"/>
      <c r="D17" s="12"/>
      <c r="E17" s="7" t="str">
        <f t="shared" si="0"/>
        <v>Weaver</v>
      </c>
      <c r="F17" s="7" t="str">
        <f t="shared" si="1"/>
        <v/>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12"/>
      <c r="O17" s="12" t="s">
        <v>1462</v>
      </c>
      <c r="P17" s="10"/>
    </row>
    <row r="18" spans="1:16" ht="15.95" customHeight="1">
      <c r="E18" s="11"/>
      <c r="F18" s="11"/>
      <c r="G18" s="11"/>
      <c r="H18" s="11"/>
      <c r="I18" s="11"/>
      <c r="J18" s="11"/>
      <c r="K18" s="11"/>
      <c r="L18" s="1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23"/>
  <sheetViews>
    <sheetView workbookViewId="0"/>
  </sheetViews>
  <sheetFormatPr defaultColWidth="11.42578125" defaultRowHeight="15"/>
  <sheetData>
    <row r="1" spans="1:1">
      <c r="A1" t="s">
        <v>1463</v>
      </c>
    </row>
    <row r="2" spans="1:1">
      <c r="A2" t="s">
        <v>1464</v>
      </c>
    </row>
    <row r="3" spans="1:1">
      <c r="A3" t="s">
        <v>1465</v>
      </c>
    </row>
    <row r="4" spans="1:1">
      <c r="A4" t="s">
        <v>1466</v>
      </c>
    </row>
    <row r="5" spans="1:1">
      <c r="A5" t="s">
        <v>1467</v>
      </c>
    </row>
    <row r="6" spans="1:1">
      <c r="A6" t="s">
        <v>1468</v>
      </c>
    </row>
    <row r="7" spans="1:1">
      <c r="A7" t="s">
        <v>1469</v>
      </c>
    </row>
    <row r="8" spans="1:1">
      <c r="A8" t="s">
        <v>1470</v>
      </c>
    </row>
    <row r="9" spans="1:1">
      <c r="A9" t="s">
        <v>1471</v>
      </c>
    </row>
    <row r="10" spans="1:1">
      <c r="A10" t="s">
        <v>1472</v>
      </c>
    </row>
    <row r="11" spans="1:1">
      <c r="A11" t="s">
        <v>1473</v>
      </c>
    </row>
    <row r="12" spans="1:1">
      <c r="A12" t="s">
        <v>1474</v>
      </c>
    </row>
    <row r="13" spans="1:1">
      <c r="A13" t="s">
        <v>1475</v>
      </c>
    </row>
    <row r="14" spans="1:1">
      <c r="A14" t="s">
        <v>1476</v>
      </c>
    </row>
    <row r="15" spans="1:1">
      <c r="A15" t="s">
        <v>1477</v>
      </c>
    </row>
    <row r="16" spans="1:1">
      <c r="A16" t="s">
        <v>1478</v>
      </c>
    </row>
    <row r="17" spans="1:1">
      <c r="A17" t="s">
        <v>1479</v>
      </c>
    </row>
    <row r="18" spans="1:1">
      <c r="A18" t="s">
        <v>1480</v>
      </c>
    </row>
    <row r="19" spans="1:1">
      <c r="A19" t="s">
        <v>1481</v>
      </c>
    </row>
    <row r="20" spans="1:1">
      <c r="A20" t="s">
        <v>1482</v>
      </c>
    </row>
    <row r="21" spans="1:1">
      <c r="A21" t="s">
        <v>1483</v>
      </c>
    </row>
    <row r="22" spans="1:1">
      <c r="A22" t="s">
        <v>1484</v>
      </c>
    </row>
    <row r="23" spans="1:1">
      <c r="A23" t="s">
        <v>1485</v>
      </c>
    </row>
    <row r="24" spans="1:1">
      <c r="A24" t="s">
        <v>1486</v>
      </c>
    </row>
    <row r="25" spans="1:1">
      <c r="A25" t="s">
        <v>1487</v>
      </c>
    </row>
    <row r="26" spans="1:1">
      <c r="A26" t="s">
        <v>1488</v>
      </c>
    </row>
    <row r="27" spans="1:1">
      <c r="A27" t="s">
        <v>1489</v>
      </c>
    </row>
    <row r="28" spans="1:1">
      <c r="A28" t="s">
        <v>1490</v>
      </c>
    </row>
    <row r="29" spans="1:1">
      <c r="A29" t="s">
        <v>1491</v>
      </c>
    </row>
    <row r="30" spans="1:1">
      <c r="A30" t="s">
        <v>1492</v>
      </c>
    </row>
    <row r="31" spans="1:1">
      <c r="A31" t="s">
        <v>1493</v>
      </c>
    </row>
    <row r="32" spans="1:1">
      <c r="A32" t="s">
        <v>1494</v>
      </c>
    </row>
    <row r="33" spans="1:1">
      <c r="A33" t="s">
        <v>1495</v>
      </c>
    </row>
    <row r="34" spans="1:1">
      <c r="A34" t="s">
        <v>1496</v>
      </c>
    </row>
    <row r="35" spans="1:1">
      <c r="A35" t="s">
        <v>1497</v>
      </c>
    </row>
    <row r="36" spans="1:1">
      <c r="A36" t="s">
        <v>1498</v>
      </c>
    </row>
    <row r="37" spans="1:1">
      <c r="A37" t="s">
        <v>1499</v>
      </c>
    </row>
    <row r="38" spans="1:1">
      <c r="A38" t="s">
        <v>1500</v>
      </c>
    </row>
    <row r="39" spans="1:1">
      <c r="A39" t="s">
        <v>1501</v>
      </c>
    </row>
    <row r="40" spans="1:1">
      <c r="A40" t="s">
        <v>1502</v>
      </c>
    </row>
    <row r="41" spans="1:1">
      <c r="A41" t="s">
        <v>1503</v>
      </c>
    </row>
    <row r="42" spans="1:1">
      <c r="A42" t="s">
        <v>1504</v>
      </c>
    </row>
    <row r="43" spans="1:1">
      <c r="A43" t="s">
        <v>1505</v>
      </c>
    </row>
    <row r="44" spans="1:1">
      <c r="A44" t="s">
        <v>1506</v>
      </c>
    </row>
    <row r="45" spans="1:1">
      <c r="A45" t="s">
        <v>1507</v>
      </c>
    </row>
    <row r="46" spans="1:1">
      <c r="A46" t="s">
        <v>1508</v>
      </c>
    </row>
    <row r="47" spans="1:1">
      <c r="A47" t="s">
        <v>1509</v>
      </c>
    </row>
    <row r="48" spans="1:1">
      <c r="A48" t="s">
        <v>1510</v>
      </c>
    </row>
    <row r="49" spans="1:1">
      <c r="A49" t="s">
        <v>1511</v>
      </c>
    </row>
    <row r="50" spans="1:1">
      <c r="A50" t="s">
        <v>1512</v>
      </c>
    </row>
    <row r="51" spans="1:1">
      <c r="A51" t="s">
        <v>1513</v>
      </c>
    </row>
    <row r="52" spans="1:1">
      <c r="A52" t="s">
        <v>1514</v>
      </c>
    </row>
    <row r="53" spans="1:1">
      <c r="A53" t="s">
        <v>1515</v>
      </c>
    </row>
    <row r="54" spans="1:1">
      <c r="A54" t="s">
        <v>1516</v>
      </c>
    </row>
    <row r="55" spans="1:1">
      <c r="A55" t="s">
        <v>1517</v>
      </c>
    </row>
    <row r="56" spans="1:1">
      <c r="A56" t="s">
        <v>1518</v>
      </c>
    </row>
    <row r="57" spans="1:1">
      <c r="A57" t="s">
        <v>1519</v>
      </c>
    </row>
    <row r="58" spans="1:1">
      <c r="A58" t="s">
        <v>1520</v>
      </c>
    </row>
    <row r="59" spans="1:1">
      <c r="A59" t="s">
        <v>1521</v>
      </c>
    </row>
    <row r="60" spans="1:1">
      <c r="A60" t="s">
        <v>1522</v>
      </c>
    </row>
    <row r="61" spans="1:1">
      <c r="A61" t="s">
        <v>1523</v>
      </c>
    </row>
    <row r="62" spans="1:1">
      <c r="A62" t="s">
        <v>1524</v>
      </c>
    </row>
    <row r="63" spans="1:1">
      <c r="A63" t="s">
        <v>1525</v>
      </c>
    </row>
    <row r="64" spans="1:1">
      <c r="A64" t="s">
        <v>1526</v>
      </c>
    </row>
    <row r="65" spans="1:1">
      <c r="A65" t="s">
        <v>1527</v>
      </c>
    </row>
    <row r="66" spans="1:1">
      <c r="A66" t="s">
        <v>1528</v>
      </c>
    </row>
    <row r="67" spans="1:1">
      <c r="A67" t="s">
        <v>1529</v>
      </c>
    </row>
    <row r="68" spans="1:1">
      <c r="A68" t="s">
        <v>1530</v>
      </c>
    </row>
    <row r="69" spans="1:1">
      <c r="A69" t="s">
        <v>1531</v>
      </c>
    </row>
    <row r="70" spans="1:1">
      <c r="A70" t="s">
        <v>1532</v>
      </c>
    </row>
    <row r="71" spans="1:1">
      <c r="A71" t="s">
        <v>1533</v>
      </c>
    </row>
    <row r="72" spans="1:1">
      <c r="A72" t="s">
        <v>1534</v>
      </c>
    </row>
    <row r="73" spans="1:1">
      <c r="A73" t="s">
        <v>1535</v>
      </c>
    </row>
    <row r="74" spans="1:1">
      <c r="A74" t="s">
        <v>1536</v>
      </c>
    </row>
    <row r="75" spans="1:1">
      <c r="A75" t="s">
        <v>1537</v>
      </c>
    </row>
    <row r="76" spans="1:1">
      <c r="A76" t="s">
        <v>1538</v>
      </c>
    </row>
    <row r="77" spans="1:1">
      <c r="A77" t="s">
        <v>1539</v>
      </c>
    </row>
    <row r="78" spans="1:1">
      <c r="A78" t="s">
        <v>1540</v>
      </c>
    </row>
    <row r="79" spans="1:1">
      <c r="A79" t="s">
        <v>1541</v>
      </c>
    </row>
    <row r="80" spans="1:1">
      <c r="A80" t="s">
        <v>1542</v>
      </c>
    </row>
    <row r="81" spans="1:1">
      <c r="A81" t="s">
        <v>1543</v>
      </c>
    </row>
    <row r="82" spans="1:1">
      <c r="A82" t="s">
        <v>1544</v>
      </c>
    </row>
    <row r="83" spans="1:1">
      <c r="A83" t="s">
        <v>1545</v>
      </c>
    </row>
    <row r="84" spans="1:1">
      <c r="A84" t="s">
        <v>1546</v>
      </c>
    </row>
    <row r="85" spans="1:1">
      <c r="A85" t="s">
        <v>1547</v>
      </c>
    </row>
    <row r="86" spans="1:1">
      <c r="A86" t="s">
        <v>1548</v>
      </c>
    </row>
    <row r="87" spans="1:1">
      <c r="A87" t="s">
        <v>1549</v>
      </c>
    </row>
    <row r="88" spans="1:1">
      <c r="A88" t="s">
        <v>1550</v>
      </c>
    </row>
    <row r="89" spans="1:1">
      <c r="A89" t="s">
        <v>1551</v>
      </c>
    </row>
    <row r="90" spans="1:1">
      <c r="A90" t="s">
        <v>1552</v>
      </c>
    </row>
    <row r="91" spans="1:1">
      <c r="A91" t="s">
        <v>1553</v>
      </c>
    </row>
    <row r="92" spans="1:1">
      <c r="A92" t="s">
        <v>1554</v>
      </c>
    </row>
    <row r="93" spans="1:1">
      <c r="A93" t="s">
        <v>1555</v>
      </c>
    </row>
    <row r="94" spans="1:1">
      <c r="A94" t="s">
        <v>1556</v>
      </c>
    </row>
    <row r="95" spans="1:1">
      <c r="A95" t="s">
        <v>1557</v>
      </c>
    </row>
    <row r="96" spans="1:1">
      <c r="A96" t="s">
        <v>1558</v>
      </c>
    </row>
    <row r="97" spans="1:1">
      <c r="A97" t="s">
        <v>1559</v>
      </c>
    </row>
    <row r="98" spans="1:1">
      <c r="A98" t="s">
        <v>1560</v>
      </c>
    </row>
    <row r="99" spans="1:1">
      <c r="A99" t="s">
        <v>1561</v>
      </c>
    </row>
    <row r="100" spans="1:1">
      <c r="A100" t="s">
        <v>1562</v>
      </c>
    </row>
    <row r="101" spans="1:1">
      <c r="A101" t="s">
        <v>1563</v>
      </c>
    </row>
    <row r="102" spans="1:1">
      <c r="A102" t="s">
        <v>1564</v>
      </c>
    </row>
    <row r="103" spans="1:1">
      <c r="A103" t="s">
        <v>1565</v>
      </c>
    </row>
    <row r="104" spans="1:1">
      <c r="A104" t="s">
        <v>1566</v>
      </c>
    </row>
    <row r="105" spans="1:1">
      <c r="A105" t="s">
        <v>1567</v>
      </c>
    </row>
    <row r="106" spans="1:1">
      <c r="A106" t="s">
        <v>1568</v>
      </c>
    </row>
    <row r="107" spans="1:1">
      <c r="A107" t="s">
        <v>1569</v>
      </c>
    </row>
    <row r="108" spans="1:1">
      <c r="A108" t="s">
        <v>1570</v>
      </c>
    </row>
    <row r="109" spans="1:1">
      <c r="A109" t="s">
        <v>1571</v>
      </c>
    </row>
    <row r="110" spans="1:1">
      <c r="A110" t="s">
        <v>1572</v>
      </c>
    </row>
    <row r="111" spans="1:1">
      <c r="A111" t="s">
        <v>1573</v>
      </c>
    </row>
    <row r="112" spans="1:1">
      <c r="A112" t="s">
        <v>1574</v>
      </c>
    </row>
    <row r="113" spans="1:1">
      <c r="A113" t="s">
        <v>1575</v>
      </c>
    </row>
    <row r="114" spans="1:1">
      <c r="A114" t="s">
        <v>1576</v>
      </c>
    </row>
    <row r="115" spans="1:1">
      <c r="A115" t="s">
        <v>1577</v>
      </c>
    </row>
    <row r="116" spans="1:1">
      <c r="A116" t="s">
        <v>1578</v>
      </c>
    </row>
    <row r="117" spans="1:1">
      <c r="A117" t="s">
        <v>1579</v>
      </c>
    </row>
    <row r="118" spans="1:1">
      <c r="A118" t="s">
        <v>1580</v>
      </c>
    </row>
    <row r="119" spans="1:1">
      <c r="A119" t="s">
        <v>1581</v>
      </c>
    </row>
    <row r="120" spans="1:1">
      <c r="A120" t="s">
        <v>1582</v>
      </c>
    </row>
    <row r="121" spans="1:1">
      <c r="A121" t="s">
        <v>1583</v>
      </c>
    </row>
    <row r="122" spans="1:1">
      <c r="A122" t="s">
        <v>1584</v>
      </c>
    </row>
    <row r="123" spans="1:1">
      <c r="A123" t="s">
        <v>1585</v>
      </c>
    </row>
    <row r="124" spans="1:1">
      <c r="A124" t="s">
        <v>1586</v>
      </c>
    </row>
    <row r="125" spans="1:1">
      <c r="A125" t="s">
        <v>1587</v>
      </c>
    </row>
    <row r="126" spans="1:1">
      <c r="A126" t="s">
        <v>1588</v>
      </c>
    </row>
    <row r="127" spans="1:1">
      <c r="A127" t="s">
        <v>1589</v>
      </c>
    </row>
    <row r="128" spans="1:1">
      <c r="A128" t="s">
        <v>1590</v>
      </c>
    </row>
    <row r="129" spans="1:1">
      <c r="A129" t="s">
        <v>1591</v>
      </c>
    </row>
    <row r="130" spans="1:1">
      <c r="A130" t="s">
        <v>1592</v>
      </c>
    </row>
    <row r="131" spans="1:1">
      <c r="A131" t="s">
        <v>1593</v>
      </c>
    </row>
    <row r="132" spans="1:1">
      <c r="A132" t="s">
        <v>1594</v>
      </c>
    </row>
    <row r="133" spans="1:1">
      <c r="A133" t="s">
        <v>1595</v>
      </c>
    </row>
    <row r="134" spans="1:1">
      <c r="A134" t="s">
        <v>1596</v>
      </c>
    </row>
    <row r="135" spans="1:1">
      <c r="A135" t="s">
        <v>1597</v>
      </c>
    </row>
    <row r="136" spans="1:1">
      <c r="A136" t="s">
        <v>1598</v>
      </c>
    </row>
    <row r="137" spans="1:1">
      <c r="A137" t="s">
        <v>1599</v>
      </c>
    </row>
    <row r="138" spans="1:1">
      <c r="A138" t="s">
        <v>1600</v>
      </c>
    </row>
    <row r="139" spans="1:1">
      <c r="A139" t="s">
        <v>1601</v>
      </c>
    </row>
    <row r="140" spans="1:1">
      <c r="A140" t="s">
        <v>1602</v>
      </c>
    </row>
    <row r="141" spans="1:1">
      <c r="A141" t="s">
        <v>1603</v>
      </c>
    </row>
    <row r="142" spans="1:1">
      <c r="A142" t="s">
        <v>1604</v>
      </c>
    </row>
    <row r="143" spans="1:1">
      <c r="A143" t="s">
        <v>1605</v>
      </c>
    </row>
    <row r="144" spans="1:1">
      <c r="A144" t="s">
        <v>1606</v>
      </c>
    </row>
    <row r="145" spans="1:1">
      <c r="A145" t="s">
        <v>1607</v>
      </c>
    </row>
    <row r="146" spans="1:1">
      <c r="A146" t="s">
        <v>1608</v>
      </c>
    </row>
    <row r="147" spans="1:1">
      <c r="A147" t="s">
        <v>1609</v>
      </c>
    </row>
    <row r="148" spans="1:1">
      <c r="A148" t="s">
        <v>1610</v>
      </c>
    </row>
    <row r="149" spans="1:1">
      <c r="A149" t="s">
        <v>1611</v>
      </c>
    </row>
    <row r="150" spans="1:1">
      <c r="A150" t="s">
        <v>1612</v>
      </c>
    </row>
    <row r="151" spans="1:1">
      <c r="A151" t="s">
        <v>1613</v>
      </c>
    </row>
    <row r="152" spans="1:1">
      <c r="A152" t="s">
        <v>1614</v>
      </c>
    </row>
    <row r="153" spans="1:1">
      <c r="A153" t="s">
        <v>1615</v>
      </c>
    </row>
    <row r="154" spans="1:1">
      <c r="A154" t="s">
        <v>1616</v>
      </c>
    </row>
    <row r="155" spans="1:1">
      <c r="A155" t="s">
        <v>1617</v>
      </c>
    </row>
    <row r="156" spans="1:1">
      <c r="A156" t="s">
        <v>1618</v>
      </c>
    </row>
    <row r="157" spans="1:1">
      <c r="A157" t="s">
        <v>1619</v>
      </c>
    </row>
    <row r="158" spans="1:1">
      <c r="A158" t="s">
        <v>1620</v>
      </c>
    </row>
    <row r="159" spans="1:1">
      <c r="A159" t="s">
        <v>1621</v>
      </c>
    </row>
    <row r="160" spans="1:1">
      <c r="A160" t="s">
        <v>1622</v>
      </c>
    </row>
    <row r="161" spans="1:1">
      <c r="A161" t="s">
        <v>1623</v>
      </c>
    </row>
    <row r="162" spans="1:1">
      <c r="A162" t="s">
        <v>1624</v>
      </c>
    </row>
    <row r="163" spans="1:1">
      <c r="A163" t="s">
        <v>1625</v>
      </c>
    </row>
    <row r="164" spans="1:1">
      <c r="A164" t="s">
        <v>1626</v>
      </c>
    </row>
    <row r="165" spans="1:1">
      <c r="A165" t="s">
        <v>1627</v>
      </c>
    </row>
    <row r="166" spans="1:1">
      <c r="A166" t="s">
        <v>1628</v>
      </c>
    </row>
    <row r="167" spans="1:1">
      <c r="A167" t="s">
        <v>1629</v>
      </c>
    </row>
    <row r="168" spans="1:1">
      <c r="A168" t="s">
        <v>1630</v>
      </c>
    </row>
    <row r="169" spans="1:1">
      <c r="A169" t="s">
        <v>1631</v>
      </c>
    </row>
    <row r="170" spans="1:1">
      <c r="A170" t="s">
        <v>1632</v>
      </c>
    </row>
    <row r="171" spans="1:1">
      <c r="A171" t="s">
        <v>1633</v>
      </c>
    </row>
    <row r="172" spans="1:1">
      <c r="A172" t="s">
        <v>1634</v>
      </c>
    </row>
    <row r="173" spans="1:1">
      <c r="A173" t="s">
        <v>1635</v>
      </c>
    </row>
    <row r="174" spans="1:1">
      <c r="A174" t="s">
        <v>1636</v>
      </c>
    </row>
    <row r="175" spans="1:1">
      <c r="A175" t="s">
        <v>1637</v>
      </c>
    </row>
    <row r="176" spans="1:1">
      <c r="A176" t="s">
        <v>1638</v>
      </c>
    </row>
    <row r="177" spans="1:1">
      <c r="A177" t="s">
        <v>1639</v>
      </c>
    </row>
    <row r="178" spans="1:1">
      <c r="A178" t="s">
        <v>1640</v>
      </c>
    </row>
    <row r="179" spans="1:1">
      <c r="A179" t="s">
        <v>1641</v>
      </c>
    </row>
    <row r="180" spans="1:1">
      <c r="A180" t="s">
        <v>1642</v>
      </c>
    </row>
    <row r="181" spans="1:1">
      <c r="A181" t="s">
        <v>1643</v>
      </c>
    </row>
    <row r="182" spans="1:1">
      <c r="A182" t="s">
        <v>1644</v>
      </c>
    </row>
    <row r="183" spans="1:1">
      <c r="A183" t="s">
        <v>1645</v>
      </c>
    </row>
    <row r="184" spans="1:1">
      <c r="A184" t="s">
        <v>1646</v>
      </c>
    </row>
    <row r="185" spans="1:1">
      <c r="A185" t="s">
        <v>1647</v>
      </c>
    </row>
    <row r="186" spans="1:1">
      <c r="A186" t="s">
        <v>1648</v>
      </c>
    </row>
    <row r="187" spans="1:1">
      <c r="A187" t="s">
        <v>1649</v>
      </c>
    </row>
    <row r="188" spans="1:1">
      <c r="A188" t="s">
        <v>1650</v>
      </c>
    </row>
    <row r="189" spans="1:1">
      <c r="A189" t="s">
        <v>1651</v>
      </c>
    </row>
    <row r="190" spans="1:1">
      <c r="A190" t="s">
        <v>1652</v>
      </c>
    </row>
    <row r="191" spans="1:1">
      <c r="A191" t="s">
        <v>1653</v>
      </c>
    </row>
    <row r="192" spans="1:1">
      <c r="A192" t="s">
        <v>1654</v>
      </c>
    </row>
    <row r="193" spans="1:1">
      <c r="A193" t="s">
        <v>1655</v>
      </c>
    </row>
    <row r="194" spans="1:1">
      <c r="A194" t="s">
        <v>1656</v>
      </c>
    </row>
    <row r="195" spans="1:1">
      <c r="A195" t="s">
        <v>1657</v>
      </c>
    </row>
    <row r="196" spans="1:1">
      <c r="A196" t="s">
        <v>1658</v>
      </c>
    </row>
    <row r="197" spans="1:1">
      <c r="A197" t="s">
        <v>1659</v>
      </c>
    </row>
    <row r="198" spans="1:1">
      <c r="A198" t="s">
        <v>1660</v>
      </c>
    </row>
    <row r="199" spans="1:1">
      <c r="A199" t="s">
        <v>1661</v>
      </c>
    </row>
    <row r="200" spans="1:1">
      <c r="A200" t="s">
        <v>1662</v>
      </c>
    </row>
    <row r="201" spans="1:1">
      <c r="A201" t="s">
        <v>1663</v>
      </c>
    </row>
    <row r="202" spans="1:1">
      <c r="A202" t="s">
        <v>1664</v>
      </c>
    </row>
    <row r="203" spans="1:1">
      <c r="A203" t="s">
        <v>1665</v>
      </c>
    </row>
    <row r="204" spans="1:1">
      <c r="A204" t="s">
        <v>1666</v>
      </c>
    </row>
    <row r="205" spans="1:1">
      <c r="A205" t="s">
        <v>1667</v>
      </c>
    </row>
    <row r="206" spans="1:1">
      <c r="A206" t="s">
        <v>1668</v>
      </c>
    </row>
    <row r="207" spans="1:1">
      <c r="A207" t="s">
        <v>1669</v>
      </c>
    </row>
    <row r="208" spans="1:1">
      <c r="A208" t="s">
        <v>1670</v>
      </c>
    </row>
    <row r="209" spans="1:1">
      <c r="A209" t="s">
        <v>1671</v>
      </c>
    </row>
    <row r="210" spans="1:1">
      <c r="A210" t="s">
        <v>1672</v>
      </c>
    </row>
    <row r="211" spans="1:1">
      <c r="A211" t="s">
        <v>1673</v>
      </c>
    </row>
    <row r="212" spans="1:1">
      <c r="A212" t="s">
        <v>1674</v>
      </c>
    </row>
    <row r="213" spans="1:1">
      <c r="A213" t="s">
        <v>1675</v>
      </c>
    </row>
    <row r="214" spans="1:1">
      <c r="A214" t="s">
        <v>1676</v>
      </c>
    </row>
    <row r="215" spans="1:1">
      <c r="A215" t="s">
        <v>1677</v>
      </c>
    </row>
    <row r="216" spans="1:1">
      <c r="A216" t="s">
        <v>1678</v>
      </c>
    </row>
    <row r="217" spans="1:1">
      <c r="A217" t="s">
        <v>1679</v>
      </c>
    </row>
    <row r="218" spans="1:1">
      <c r="A218" t="s">
        <v>1680</v>
      </c>
    </row>
    <row r="219" spans="1:1">
      <c r="A219" t="s">
        <v>1681</v>
      </c>
    </row>
    <row r="220" spans="1:1">
      <c r="A220" t="s">
        <v>1682</v>
      </c>
    </row>
    <row r="221" spans="1:1">
      <c r="A221" t="s">
        <v>1683</v>
      </c>
    </row>
    <row r="222" spans="1:1">
      <c r="A222" t="s">
        <v>1684</v>
      </c>
    </row>
    <row r="223" spans="1:1">
      <c r="A223" t="s">
        <v>1685</v>
      </c>
    </row>
    <row r="224" spans="1:1">
      <c r="A224" t="s">
        <v>1686</v>
      </c>
    </row>
    <row r="225" spans="1:1">
      <c r="A225" t="s">
        <v>1687</v>
      </c>
    </row>
    <row r="226" spans="1:1">
      <c r="A226" t="s">
        <v>1688</v>
      </c>
    </row>
    <row r="227" spans="1:1">
      <c r="A227" t="s">
        <v>1689</v>
      </c>
    </row>
    <row r="228" spans="1:1">
      <c r="A228" t="s">
        <v>1690</v>
      </c>
    </row>
    <row r="229" spans="1:1">
      <c r="A229" t="s">
        <v>1691</v>
      </c>
    </row>
    <row r="230" spans="1:1">
      <c r="A230" t="s">
        <v>1692</v>
      </c>
    </row>
    <row r="231" spans="1:1">
      <c r="A231" t="s">
        <v>1693</v>
      </c>
    </row>
    <row r="232" spans="1:1">
      <c r="A232" t="s">
        <v>1694</v>
      </c>
    </row>
    <row r="233" spans="1:1">
      <c r="A233" t="s">
        <v>1695</v>
      </c>
    </row>
    <row r="234" spans="1:1">
      <c r="A234" t="s">
        <v>1696</v>
      </c>
    </row>
    <row r="235" spans="1:1">
      <c r="A235" t="s">
        <v>1697</v>
      </c>
    </row>
    <row r="236" spans="1:1">
      <c r="A236" t="s">
        <v>1698</v>
      </c>
    </row>
    <row r="237" spans="1:1">
      <c r="A237" t="s">
        <v>1699</v>
      </c>
    </row>
    <row r="238" spans="1:1">
      <c r="A238" t="s">
        <v>1700</v>
      </c>
    </row>
    <row r="239" spans="1:1">
      <c r="A239" t="s">
        <v>1701</v>
      </c>
    </row>
    <row r="240" spans="1:1">
      <c r="A240" t="s">
        <v>1702</v>
      </c>
    </row>
    <row r="241" spans="1:1">
      <c r="A241" t="s">
        <v>1703</v>
      </c>
    </row>
    <row r="242" spans="1:1">
      <c r="A242" t="s">
        <v>1704</v>
      </c>
    </row>
    <row r="243" spans="1:1">
      <c r="A243" t="s">
        <v>1705</v>
      </c>
    </row>
    <row r="244" spans="1:1">
      <c r="A244" t="s">
        <v>1706</v>
      </c>
    </row>
    <row r="245" spans="1:1">
      <c r="A245" t="s">
        <v>1707</v>
      </c>
    </row>
    <row r="246" spans="1:1">
      <c r="A246" t="s">
        <v>1708</v>
      </c>
    </row>
    <row r="247" spans="1:1">
      <c r="A247" t="s">
        <v>1709</v>
      </c>
    </row>
    <row r="248" spans="1:1">
      <c r="A248" t="s">
        <v>1710</v>
      </c>
    </row>
    <row r="249" spans="1:1">
      <c r="A249" t="s">
        <v>1711</v>
      </c>
    </row>
    <row r="250" spans="1:1">
      <c r="A250" t="s">
        <v>1712</v>
      </c>
    </row>
    <row r="251" spans="1:1">
      <c r="A251" t="s">
        <v>1713</v>
      </c>
    </row>
    <row r="252" spans="1:1">
      <c r="A252" t="s">
        <v>1714</v>
      </c>
    </row>
    <row r="253" spans="1:1">
      <c r="A253" t="s">
        <v>1715</v>
      </c>
    </row>
    <row r="254" spans="1:1">
      <c r="A254" t="s">
        <v>1716</v>
      </c>
    </row>
    <row r="255" spans="1:1">
      <c r="A255" t="s">
        <v>1717</v>
      </c>
    </row>
    <row r="256" spans="1:1">
      <c r="A256" t="s">
        <v>1718</v>
      </c>
    </row>
    <row r="257" spans="1:1">
      <c r="A257" t="s">
        <v>1719</v>
      </c>
    </row>
    <row r="258" spans="1:1">
      <c r="A258" t="s">
        <v>1720</v>
      </c>
    </row>
    <row r="259" spans="1:1">
      <c r="A259" t="s">
        <v>1721</v>
      </c>
    </row>
    <row r="260" spans="1:1">
      <c r="A260" t="s">
        <v>1722</v>
      </c>
    </row>
    <row r="261" spans="1:1">
      <c r="A261" t="s">
        <v>1723</v>
      </c>
    </row>
    <row r="262" spans="1:1">
      <c r="A262" t="s">
        <v>1724</v>
      </c>
    </row>
    <row r="263" spans="1:1">
      <c r="A263" t="s">
        <v>1725</v>
      </c>
    </row>
    <row r="264" spans="1:1">
      <c r="A264" t="s">
        <v>1726</v>
      </c>
    </row>
    <row r="265" spans="1:1">
      <c r="A265" t="s">
        <v>1727</v>
      </c>
    </row>
    <row r="266" spans="1:1">
      <c r="A266" t="s">
        <v>1728</v>
      </c>
    </row>
    <row r="267" spans="1:1">
      <c r="A267" t="s">
        <v>1729</v>
      </c>
    </row>
    <row r="268" spans="1:1">
      <c r="A268" t="s">
        <v>1730</v>
      </c>
    </row>
    <row r="269" spans="1:1">
      <c r="A269" t="s">
        <v>1731</v>
      </c>
    </row>
    <row r="270" spans="1:1">
      <c r="A270" t="s">
        <v>1732</v>
      </c>
    </row>
    <row r="271" spans="1:1">
      <c r="A271" t="s">
        <v>1733</v>
      </c>
    </row>
    <row r="272" spans="1:1">
      <c r="A272" t="s">
        <v>1734</v>
      </c>
    </row>
    <row r="273" spans="1:1">
      <c r="A273" t="s">
        <v>1735</v>
      </c>
    </row>
    <row r="274" spans="1:1">
      <c r="A274" t="s">
        <v>1736</v>
      </c>
    </row>
    <row r="275" spans="1:1">
      <c r="A275" t="s">
        <v>1737</v>
      </c>
    </row>
    <row r="276" spans="1:1">
      <c r="A276" t="s">
        <v>1738</v>
      </c>
    </row>
    <row r="277" spans="1:1">
      <c r="A277" t="s">
        <v>1739</v>
      </c>
    </row>
    <row r="278" spans="1:1">
      <c r="A278" t="s">
        <v>1740</v>
      </c>
    </row>
    <row r="279" spans="1:1">
      <c r="A279" t="s">
        <v>1741</v>
      </c>
    </row>
    <row r="280" spans="1:1">
      <c r="A280" t="s">
        <v>1742</v>
      </c>
    </row>
    <row r="281" spans="1:1">
      <c r="A281" t="s">
        <v>1743</v>
      </c>
    </row>
    <row r="282" spans="1:1">
      <c r="A282" t="s">
        <v>1744</v>
      </c>
    </row>
    <row r="283" spans="1:1">
      <c r="A283" t="s">
        <v>1745</v>
      </c>
    </row>
    <row r="284" spans="1:1">
      <c r="A284" t="s">
        <v>1746</v>
      </c>
    </row>
    <row r="285" spans="1:1">
      <c r="A285" t="s">
        <v>1747</v>
      </c>
    </row>
    <row r="286" spans="1:1">
      <c r="A286" t="s">
        <v>1748</v>
      </c>
    </row>
    <row r="287" spans="1:1">
      <c r="A287" t="s">
        <v>1749</v>
      </c>
    </row>
    <row r="288" spans="1:1">
      <c r="A288" t="s">
        <v>1750</v>
      </c>
    </row>
    <row r="289" spans="1:1">
      <c r="A289" t="s">
        <v>1751</v>
      </c>
    </row>
    <row r="290" spans="1:1">
      <c r="A290" t="s">
        <v>1752</v>
      </c>
    </row>
    <row r="291" spans="1:1">
      <c r="A291" t="s">
        <v>1753</v>
      </c>
    </row>
    <row r="292" spans="1:1">
      <c r="A292" t="s">
        <v>1754</v>
      </c>
    </row>
    <row r="293" spans="1:1">
      <c r="A293" t="s">
        <v>1755</v>
      </c>
    </row>
    <row r="294" spans="1:1">
      <c r="A294" t="s">
        <v>1756</v>
      </c>
    </row>
    <row r="295" spans="1:1">
      <c r="A295" t="s">
        <v>1757</v>
      </c>
    </row>
    <row r="296" spans="1:1">
      <c r="A296" t="s">
        <v>1758</v>
      </c>
    </row>
    <row r="297" spans="1:1">
      <c r="A297" t="s">
        <v>1759</v>
      </c>
    </row>
    <row r="298" spans="1:1">
      <c r="A298" t="s">
        <v>1760</v>
      </c>
    </row>
    <row r="299" spans="1:1">
      <c r="A299" t="s">
        <v>1761</v>
      </c>
    </row>
    <row r="300" spans="1:1">
      <c r="A300" t="s">
        <v>1762</v>
      </c>
    </row>
    <row r="301" spans="1:1">
      <c r="A301" t="s">
        <v>1763</v>
      </c>
    </row>
    <row r="302" spans="1:1">
      <c r="A302" t="s">
        <v>1764</v>
      </c>
    </row>
    <row r="303" spans="1:1">
      <c r="A303" t="s">
        <v>1765</v>
      </c>
    </row>
    <row r="304" spans="1:1">
      <c r="A304" t="s">
        <v>1766</v>
      </c>
    </row>
    <row r="305" spans="1:1">
      <c r="A305" t="s">
        <v>1767</v>
      </c>
    </row>
    <row r="306" spans="1:1">
      <c r="A306" t="s">
        <v>1768</v>
      </c>
    </row>
    <row r="307" spans="1:1">
      <c r="A307" t="s">
        <v>1769</v>
      </c>
    </row>
    <row r="308" spans="1:1">
      <c r="A308" t="s">
        <v>1770</v>
      </c>
    </row>
    <row r="309" spans="1:1">
      <c r="A309" t="s">
        <v>1771</v>
      </c>
    </row>
    <row r="310" spans="1:1">
      <c r="A310" t="s">
        <v>1772</v>
      </c>
    </row>
    <row r="311" spans="1:1">
      <c r="A311" t="s">
        <v>1773</v>
      </c>
    </row>
    <row r="312" spans="1:1">
      <c r="A312" t="s">
        <v>1774</v>
      </c>
    </row>
    <row r="313" spans="1:1">
      <c r="A313" t="s">
        <v>1775</v>
      </c>
    </row>
    <row r="314" spans="1:1">
      <c r="A314" t="s">
        <v>1776</v>
      </c>
    </row>
    <row r="315" spans="1:1">
      <c r="A315" t="s">
        <v>1777</v>
      </c>
    </row>
    <row r="316" spans="1:1">
      <c r="A316" t="s">
        <v>1778</v>
      </c>
    </row>
    <row r="317" spans="1:1">
      <c r="A317" t="s">
        <v>1779</v>
      </c>
    </row>
    <row r="318" spans="1:1">
      <c r="A318" t="s">
        <v>1780</v>
      </c>
    </row>
    <row r="319" spans="1:1">
      <c r="A319" t="s">
        <v>1781</v>
      </c>
    </row>
    <row r="320" spans="1:1">
      <c r="A320" t="s">
        <v>1782</v>
      </c>
    </row>
    <row r="321" spans="1:1">
      <c r="A321" t="s">
        <v>1783</v>
      </c>
    </row>
    <row r="322" spans="1:1">
      <c r="A322" t="s">
        <v>1784</v>
      </c>
    </row>
    <row r="323" spans="1:1">
      <c r="A323" t="s">
        <v>1785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81820E2-59C4-4568-B7F5-60243FBB405E}"/>
</file>

<file path=customXml/itemProps2.xml><?xml version="1.0" encoding="utf-8"?>
<ds:datastoreItem xmlns:ds="http://schemas.openxmlformats.org/officeDocument/2006/customXml" ds:itemID="{A919DBA2-D5CA-4F0A-992E-75CA2907D4F8}"/>
</file>

<file path=customXml/itemProps3.xml><?xml version="1.0" encoding="utf-8"?>
<ds:datastoreItem xmlns:ds="http://schemas.openxmlformats.org/officeDocument/2006/customXml" ds:itemID="{03CFE7B2-E831-4594-BE86-DD1F7A32D3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2026-09-10T05:07:35Z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