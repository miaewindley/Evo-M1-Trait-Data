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57" documentId="11_FA46C43C1140D6C6F3C0CC2500AC1736DC0075F6" xr6:coauthVersionLast="47" xr6:coauthVersionMax="47" xr10:uidLastSave="{835C1636-6A39-3A4E-A837-AD94FED8EC22}"/>
  <bookViews>
    <workbookView xWindow="36100" yWindow="3200" windowWidth="38960" windowHeight="13600" xr2:uid="{00000000-000D-0000-FFFF-FFFF00000000}"/>
  </bookViews>
  <sheets>
    <sheet name="Sheet1" sheetId="1" r:id="rId1"/>
    <sheet name="Pipeline" sheetId="2" r:id="rId2"/>
    <sheet name="Conflicts" sheetId="3" r:id="rId3"/>
    <sheet name="File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1" l="1"/>
  <c r="G7" i="1"/>
  <c r="F7" i="1" s="1"/>
  <c r="K7" i="1" s="1"/>
  <c r="H7" i="1"/>
  <c r="I7" i="1"/>
  <c r="J7" i="1"/>
  <c r="L7" i="1"/>
  <c r="M7" i="1" s="1" a="1"/>
  <c r="M7" i="1" s="1"/>
  <c r="E8" i="1"/>
  <c r="G8" i="1"/>
  <c r="F8" i="1" s="1"/>
  <c r="K8" i="1" s="1"/>
  <c r="H8" i="1"/>
  <c r="I8" i="1"/>
  <c r="J8" i="1"/>
  <c r="L8" i="1"/>
  <c r="M8" i="1" s="1" a="1"/>
  <c r="M8" i="1" s="1"/>
  <c r="J96" i="1" l="1"/>
  <c r="L96" i="1" s="1"/>
  <c r="M96" i="1" s="1" a="1"/>
  <c r="M96" i="1" s="1"/>
  <c r="I96" i="1"/>
  <c r="H96" i="1"/>
  <c r="G96" i="1"/>
  <c r="F96" i="1" s="1"/>
  <c r="K96" i="1" s="1"/>
  <c r="E96" i="1"/>
  <c r="E109" i="1"/>
  <c r="G109" i="1"/>
  <c r="H109" i="1"/>
  <c r="I109" i="1"/>
  <c r="J109" i="1"/>
  <c r="L109" i="1" s="1"/>
  <c r="M109" i="1" s="1" a="1"/>
  <c r="M109" i="1" s="1"/>
  <c r="E103" i="1"/>
  <c r="G103" i="1"/>
  <c r="H103" i="1"/>
  <c r="I103" i="1"/>
  <c r="J103" i="1"/>
  <c r="L103" i="1" s="1"/>
  <c r="M103" i="1" s="1" a="1"/>
  <c r="M103" i="1" s="1"/>
  <c r="F109" i="1" l="1"/>
  <c r="K109" i="1" s="1"/>
  <c r="F103" i="1"/>
  <c r="K103" i="1" s="1"/>
  <c r="E126" i="1" l="1"/>
  <c r="G126" i="1"/>
  <c r="H126" i="1"/>
  <c r="I126" i="1"/>
  <c r="J126" i="1"/>
  <c r="L126" i="1" s="1"/>
  <c r="M126" i="1" s="1" a="1"/>
  <c r="M126" i="1" s="1"/>
  <c r="E127" i="1"/>
  <c r="G127" i="1"/>
  <c r="H127" i="1"/>
  <c r="I127" i="1"/>
  <c r="J127" i="1"/>
  <c r="L127" i="1" s="1"/>
  <c r="M127" i="1" s="1" a="1"/>
  <c r="M127" i="1" s="1"/>
  <c r="L120" i="1"/>
  <c r="M120" i="1" s="1" a="1"/>
  <c r="M120" i="1" s="1"/>
  <c r="J120" i="1"/>
  <c r="I120" i="1"/>
  <c r="H120" i="1"/>
  <c r="G120" i="1"/>
  <c r="E120" i="1"/>
  <c r="L119" i="1"/>
  <c r="M119" i="1" s="1" a="1"/>
  <c r="M119" i="1" s="1"/>
  <c r="J119" i="1"/>
  <c r="I119" i="1"/>
  <c r="H119" i="1"/>
  <c r="G119" i="1"/>
  <c r="E119" i="1"/>
  <c r="L118" i="1"/>
  <c r="M118" i="1" s="1" a="1"/>
  <c r="M118" i="1" s="1"/>
  <c r="J118" i="1"/>
  <c r="I118" i="1"/>
  <c r="H118" i="1"/>
  <c r="G118" i="1"/>
  <c r="E118" i="1"/>
  <c r="L117" i="1"/>
  <c r="M117" i="1" s="1" a="1"/>
  <c r="M117" i="1" s="1"/>
  <c r="J117" i="1"/>
  <c r="I117" i="1"/>
  <c r="H117" i="1"/>
  <c r="G117" i="1"/>
  <c r="E117" i="1"/>
  <c r="L116" i="1"/>
  <c r="M116" i="1" s="1" a="1"/>
  <c r="M116" i="1" s="1"/>
  <c r="J116" i="1"/>
  <c r="I116" i="1"/>
  <c r="H116" i="1"/>
  <c r="G116" i="1"/>
  <c r="E116" i="1"/>
  <c r="E121" i="1"/>
  <c r="G121" i="1"/>
  <c r="H121" i="1"/>
  <c r="I121" i="1"/>
  <c r="J121" i="1"/>
  <c r="L121" i="1"/>
  <c r="M121" i="1" s="1" a="1"/>
  <c r="M121" i="1" s="1"/>
  <c r="J14" i="1"/>
  <c r="L14" i="1" s="1"/>
  <c r="M14" i="1" s="1" a="1"/>
  <c r="M14" i="1" s="1"/>
  <c r="I14" i="1"/>
  <c r="H14" i="1"/>
  <c r="G14" i="1"/>
  <c r="E14" i="1"/>
  <c r="J15" i="1"/>
  <c r="L15" i="1" s="1"/>
  <c r="M15" i="1" s="1" a="1"/>
  <c r="M15" i="1" s="1"/>
  <c r="I15" i="1"/>
  <c r="H15" i="1"/>
  <c r="G15" i="1"/>
  <c r="E15" i="1"/>
  <c r="J135" i="1"/>
  <c r="L135" i="1" s="1"/>
  <c r="M135" i="1" s="1" a="1"/>
  <c r="M135" i="1" s="1"/>
  <c r="I135" i="1"/>
  <c r="H135" i="1"/>
  <c r="G135" i="1"/>
  <c r="E135" i="1"/>
  <c r="L134" i="1"/>
  <c r="M134" i="1" s="1" a="1"/>
  <c r="M134" i="1" s="1"/>
  <c r="J134" i="1"/>
  <c r="I134" i="1"/>
  <c r="H134" i="1"/>
  <c r="G134" i="1"/>
  <c r="E134" i="1"/>
  <c r="J133" i="1"/>
  <c r="L133" i="1" s="1"/>
  <c r="M133" i="1" s="1" a="1"/>
  <c r="M133" i="1" s="1"/>
  <c r="I133" i="1"/>
  <c r="H133" i="1"/>
  <c r="G133" i="1"/>
  <c r="E133" i="1"/>
  <c r="T132" i="1"/>
  <c r="J132" i="1"/>
  <c r="L132" i="1" s="1"/>
  <c r="M132" i="1" s="1" a="1"/>
  <c r="M132" i="1" s="1"/>
  <c r="I132" i="1"/>
  <c r="H132" i="1"/>
  <c r="G132" i="1"/>
  <c r="E132" i="1"/>
  <c r="T131" i="1"/>
  <c r="J131" i="1"/>
  <c r="L131" i="1" s="1"/>
  <c r="M131" i="1" s="1" a="1"/>
  <c r="M131" i="1" s="1"/>
  <c r="I131" i="1"/>
  <c r="H131" i="1"/>
  <c r="G131" i="1"/>
  <c r="E131" i="1"/>
  <c r="J130" i="1"/>
  <c r="L130" i="1" s="1"/>
  <c r="M130" i="1" s="1" a="1"/>
  <c r="M130" i="1" s="1"/>
  <c r="I130" i="1"/>
  <c r="H130" i="1"/>
  <c r="G130" i="1"/>
  <c r="E130" i="1"/>
  <c r="J129" i="1"/>
  <c r="L129" i="1" s="1"/>
  <c r="M129" i="1" s="1" a="1"/>
  <c r="M129" i="1" s="1"/>
  <c r="I129" i="1"/>
  <c r="H129" i="1"/>
  <c r="G129" i="1"/>
  <c r="E129" i="1"/>
  <c r="J128" i="1"/>
  <c r="L128" i="1" s="1"/>
  <c r="M128" i="1" s="1" a="1"/>
  <c r="M128" i="1" s="1"/>
  <c r="I128" i="1"/>
  <c r="H128" i="1"/>
  <c r="G128" i="1"/>
  <c r="E128" i="1"/>
  <c r="J125" i="1"/>
  <c r="L125" i="1" s="1"/>
  <c r="M125" i="1" s="1" a="1"/>
  <c r="M125" i="1" s="1"/>
  <c r="I125" i="1"/>
  <c r="H125" i="1"/>
  <c r="G125" i="1"/>
  <c r="E125" i="1"/>
  <c r="L124" i="1"/>
  <c r="M124" i="1" s="1" a="1"/>
  <c r="M124" i="1" s="1"/>
  <c r="J124" i="1"/>
  <c r="I124" i="1"/>
  <c r="H124" i="1"/>
  <c r="G124" i="1"/>
  <c r="E124" i="1"/>
  <c r="L123" i="1"/>
  <c r="M123" i="1" s="1" a="1"/>
  <c r="M123" i="1" s="1"/>
  <c r="J123" i="1"/>
  <c r="I123" i="1"/>
  <c r="H123" i="1"/>
  <c r="G123" i="1"/>
  <c r="E123" i="1"/>
  <c r="L122" i="1"/>
  <c r="M122" i="1" s="1" a="1"/>
  <c r="M122" i="1" s="1"/>
  <c r="J122" i="1"/>
  <c r="I122" i="1"/>
  <c r="H122" i="1"/>
  <c r="G122" i="1"/>
  <c r="E122" i="1"/>
  <c r="L115" i="1"/>
  <c r="M115" i="1" s="1" a="1"/>
  <c r="M115" i="1" s="1"/>
  <c r="J115" i="1"/>
  <c r="I115" i="1"/>
  <c r="H115" i="1"/>
  <c r="G115" i="1"/>
  <c r="E115" i="1"/>
  <c r="J114" i="1"/>
  <c r="L114" i="1" s="1"/>
  <c r="M114" i="1" s="1" a="1"/>
  <c r="M114" i="1" s="1"/>
  <c r="I114" i="1"/>
  <c r="H114" i="1"/>
  <c r="G114" i="1"/>
  <c r="E114" i="1"/>
  <c r="J113" i="1"/>
  <c r="L113" i="1" s="1"/>
  <c r="M113" i="1" s="1" a="1"/>
  <c r="M113" i="1" s="1"/>
  <c r="I113" i="1"/>
  <c r="H113" i="1"/>
  <c r="G113" i="1"/>
  <c r="E113" i="1"/>
  <c r="J112" i="1"/>
  <c r="L112" i="1" s="1"/>
  <c r="M112" i="1" s="1" a="1"/>
  <c r="M112" i="1" s="1"/>
  <c r="I112" i="1"/>
  <c r="H112" i="1"/>
  <c r="G112" i="1"/>
  <c r="E112" i="1"/>
  <c r="L111" i="1"/>
  <c r="M111" i="1" s="1" a="1"/>
  <c r="M111" i="1" s="1"/>
  <c r="J111" i="1"/>
  <c r="I111" i="1"/>
  <c r="H111" i="1"/>
  <c r="G111" i="1"/>
  <c r="E111" i="1"/>
  <c r="T110" i="1"/>
  <c r="J110" i="1"/>
  <c r="L110" i="1" s="1"/>
  <c r="M110" i="1" s="1" a="1"/>
  <c r="M110" i="1" s="1"/>
  <c r="I110" i="1"/>
  <c r="H110" i="1"/>
  <c r="G110" i="1"/>
  <c r="E110" i="1"/>
  <c r="T108" i="1"/>
  <c r="J108" i="1"/>
  <c r="L108" i="1" s="1"/>
  <c r="M108" i="1" s="1" a="1"/>
  <c r="M108" i="1" s="1"/>
  <c r="I108" i="1"/>
  <c r="H108" i="1"/>
  <c r="G108" i="1"/>
  <c r="E108" i="1"/>
  <c r="J107" i="1"/>
  <c r="L107" i="1" s="1"/>
  <c r="M107" i="1" s="1" a="1"/>
  <c r="M107" i="1" s="1"/>
  <c r="I107" i="1"/>
  <c r="H107" i="1"/>
  <c r="G107" i="1"/>
  <c r="E107" i="1"/>
  <c r="J106" i="1"/>
  <c r="L106" i="1" s="1"/>
  <c r="M106" i="1" s="1" a="1"/>
  <c r="M106" i="1" s="1"/>
  <c r="I106" i="1"/>
  <c r="H106" i="1"/>
  <c r="G106" i="1"/>
  <c r="E106" i="1"/>
  <c r="J105" i="1"/>
  <c r="L105" i="1" s="1"/>
  <c r="M105" i="1" s="1" a="1"/>
  <c r="M105" i="1" s="1"/>
  <c r="I105" i="1"/>
  <c r="H105" i="1"/>
  <c r="G105" i="1"/>
  <c r="E105" i="1"/>
  <c r="J104" i="1"/>
  <c r="L104" i="1" s="1"/>
  <c r="M104" i="1" s="1" a="1"/>
  <c r="M104" i="1" s="1"/>
  <c r="I104" i="1"/>
  <c r="H104" i="1"/>
  <c r="G104" i="1"/>
  <c r="E104" i="1"/>
  <c r="T102" i="1"/>
  <c r="L102" i="1"/>
  <c r="M102" i="1" s="1" a="1"/>
  <c r="M102" i="1" s="1"/>
  <c r="J102" i="1"/>
  <c r="I102" i="1"/>
  <c r="H102" i="1"/>
  <c r="G102" i="1"/>
  <c r="E102" i="1"/>
  <c r="J101" i="1"/>
  <c r="L101" i="1" s="1"/>
  <c r="M101" i="1" s="1" a="1"/>
  <c r="M101" i="1" s="1"/>
  <c r="I101" i="1"/>
  <c r="H101" i="1"/>
  <c r="G101" i="1"/>
  <c r="E101" i="1"/>
  <c r="J100" i="1"/>
  <c r="L100" i="1" s="1"/>
  <c r="M100" i="1" s="1" a="1"/>
  <c r="M100" i="1" s="1"/>
  <c r="I100" i="1"/>
  <c r="H100" i="1"/>
  <c r="G100" i="1"/>
  <c r="E100" i="1"/>
  <c r="J99" i="1"/>
  <c r="L99" i="1" s="1"/>
  <c r="M99" i="1" s="1" a="1"/>
  <c r="M99" i="1" s="1"/>
  <c r="I99" i="1"/>
  <c r="H99" i="1"/>
  <c r="G99" i="1"/>
  <c r="E99" i="1"/>
  <c r="J98" i="1"/>
  <c r="L98" i="1" s="1"/>
  <c r="M98" i="1" s="1" a="1"/>
  <c r="M98" i="1" s="1"/>
  <c r="I98" i="1"/>
  <c r="H98" i="1"/>
  <c r="G98" i="1"/>
  <c r="E98" i="1"/>
  <c r="T97" i="1"/>
  <c r="J97" i="1"/>
  <c r="L97" i="1" s="1"/>
  <c r="M97" i="1" s="1" a="1"/>
  <c r="M97" i="1" s="1"/>
  <c r="I97" i="1"/>
  <c r="H97" i="1"/>
  <c r="G97" i="1"/>
  <c r="E97" i="1"/>
  <c r="J95" i="1"/>
  <c r="L95" i="1" s="1"/>
  <c r="M95" i="1" s="1" a="1"/>
  <c r="M95" i="1" s="1"/>
  <c r="I95" i="1"/>
  <c r="H95" i="1"/>
  <c r="G95" i="1"/>
  <c r="E95" i="1"/>
  <c r="J94" i="1"/>
  <c r="L94" i="1" s="1"/>
  <c r="M94" i="1" s="1" a="1"/>
  <c r="M94" i="1" s="1"/>
  <c r="I94" i="1"/>
  <c r="H94" i="1"/>
  <c r="G94" i="1"/>
  <c r="E94" i="1"/>
  <c r="J93" i="1"/>
  <c r="L93" i="1" s="1"/>
  <c r="M93" i="1" s="1" a="1"/>
  <c r="M93" i="1" s="1"/>
  <c r="I93" i="1"/>
  <c r="H93" i="1"/>
  <c r="G93" i="1"/>
  <c r="E93" i="1"/>
  <c r="L92" i="1"/>
  <c r="M92" i="1" s="1" a="1"/>
  <c r="M92" i="1" s="1"/>
  <c r="J92" i="1"/>
  <c r="I92" i="1"/>
  <c r="H92" i="1"/>
  <c r="G92" i="1"/>
  <c r="E92" i="1"/>
  <c r="J91" i="1"/>
  <c r="L91" i="1" s="1"/>
  <c r="M91" i="1" s="1" a="1"/>
  <c r="M91" i="1" s="1"/>
  <c r="I91" i="1"/>
  <c r="H91" i="1"/>
  <c r="G91" i="1"/>
  <c r="E91" i="1"/>
  <c r="J90" i="1"/>
  <c r="L90" i="1" s="1"/>
  <c r="M90" i="1" s="1" a="1"/>
  <c r="M90" i="1" s="1"/>
  <c r="I90" i="1"/>
  <c r="H90" i="1"/>
  <c r="G90" i="1"/>
  <c r="E90" i="1"/>
  <c r="J89" i="1"/>
  <c r="L89" i="1" s="1"/>
  <c r="M89" i="1" s="1" a="1"/>
  <c r="M89" i="1" s="1"/>
  <c r="I89" i="1"/>
  <c r="H89" i="1"/>
  <c r="G89" i="1"/>
  <c r="E89" i="1"/>
  <c r="J88" i="1"/>
  <c r="L88" i="1" s="1"/>
  <c r="M88" i="1" s="1" a="1"/>
  <c r="M88" i="1" s="1"/>
  <c r="I88" i="1"/>
  <c r="H88" i="1"/>
  <c r="G88" i="1"/>
  <c r="E88" i="1"/>
  <c r="L87" i="1"/>
  <c r="M87" i="1" s="1" a="1"/>
  <c r="M87" i="1" s="1"/>
  <c r="J87" i="1"/>
  <c r="I87" i="1"/>
  <c r="H87" i="1"/>
  <c r="G87" i="1"/>
  <c r="E87" i="1"/>
  <c r="J86" i="1"/>
  <c r="L86" i="1" s="1"/>
  <c r="M86" i="1" s="1" a="1"/>
  <c r="M86" i="1" s="1"/>
  <c r="I86" i="1"/>
  <c r="H86" i="1"/>
  <c r="G86" i="1"/>
  <c r="E86" i="1"/>
  <c r="J85" i="1"/>
  <c r="L85" i="1" s="1"/>
  <c r="M85" i="1" s="1" a="1"/>
  <c r="M85" i="1" s="1"/>
  <c r="I85" i="1"/>
  <c r="H85" i="1"/>
  <c r="G85" i="1"/>
  <c r="E85" i="1"/>
  <c r="J84" i="1"/>
  <c r="L84" i="1" s="1"/>
  <c r="M84" i="1" s="1" a="1"/>
  <c r="M84" i="1" s="1"/>
  <c r="I84" i="1"/>
  <c r="H84" i="1"/>
  <c r="G84" i="1"/>
  <c r="E84" i="1"/>
  <c r="J83" i="1"/>
  <c r="L83" i="1" s="1"/>
  <c r="M83" i="1" s="1" a="1"/>
  <c r="M83" i="1" s="1"/>
  <c r="I83" i="1"/>
  <c r="H83" i="1"/>
  <c r="G83" i="1"/>
  <c r="E83" i="1"/>
  <c r="J82" i="1"/>
  <c r="L82" i="1" s="1"/>
  <c r="M82" i="1" s="1" a="1"/>
  <c r="M82" i="1" s="1"/>
  <c r="I82" i="1"/>
  <c r="H82" i="1"/>
  <c r="G82" i="1"/>
  <c r="E82" i="1"/>
  <c r="J81" i="1"/>
  <c r="L81" i="1" s="1"/>
  <c r="M81" i="1" s="1" a="1"/>
  <c r="M81" i="1" s="1"/>
  <c r="I81" i="1"/>
  <c r="H81" i="1"/>
  <c r="G81" i="1"/>
  <c r="E81" i="1"/>
  <c r="T80" i="1"/>
  <c r="J80" i="1"/>
  <c r="L80" i="1" s="1"/>
  <c r="M80" i="1" s="1" a="1"/>
  <c r="M80" i="1" s="1"/>
  <c r="I80" i="1"/>
  <c r="H80" i="1"/>
  <c r="G80" i="1"/>
  <c r="E80" i="1"/>
  <c r="T79" i="1"/>
  <c r="J79" i="1"/>
  <c r="L79" i="1" s="1"/>
  <c r="M79" i="1" s="1" a="1"/>
  <c r="M79" i="1" s="1"/>
  <c r="I79" i="1"/>
  <c r="H79" i="1"/>
  <c r="G79" i="1"/>
  <c r="E79" i="1"/>
  <c r="T78" i="1"/>
  <c r="J78" i="1"/>
  <c r="L78" i="1" s="1"/>
  <c r="M78" i="1" s="1" a="1"/>
  <c r="M78" i="1" s="1"/>
  <c r="I78" i="1"/>
  <c r="H78" i="1"/>
  <c r="G78" i="1"/>
  <c r="F85" i="1" s="1"/>
  <c r="K85" i="1" s="1"/>
  <c r="E78" i="1"/>
  <c r="T77" i="1"/>
  <c r="J77" i="1"/>
  <c r="L77" i="1" s="1"/>
  <c r="M77" i="1" s="1" a="1"/>
  <c r="M77" i="1" s="1"/>
  <c r="I77" i="1"/>
  <c r="H77" i="1"/>
  <c r="G77" i="1"/>
  <c r="E77" i="1"/>
  <c r="J76" i="1"/>
  <c r="L76" i="1" s="1"/>
  <c r="M76" i="1" s="1" a="1"/>
  <c r="M76" i="1" s="1"/>
  <c r="I76" i="1"/>
  <c r="H76" i="1"/>
  <c r="G76" i="1"/>
  <c r="E76" i="1"/>
  <c r="J75" i="1"/>
  <c r="L75" i="1" s="1"/>
  <c r="M75" i="1" s="1" a="1"/>
  <c r="M75" i="1" s="1"/>
  <c r="I75" i="1"/>
  <c r="H75" i="1"/>
  <c r="G75" i="1"/>
  <c r="E75" i="1"/>
  <c r="J74" i="1"/>
  <c r="L74" i="1" s="1"/>
  <c r="M74" i="1" s="1" a="1"/>
  <c r="M74" i="1" s="1"/>
  <c r="I74" i="1"/>
  <c r="H74" i="1"/>
  <c r="G74" i="1"/>
  <c r="E74" i="1"/>
  <c r="J73" i="1"/>
  <c r="L73" i="1" s="1"/>
  <c r="M73" i="1" s="1" a="1"/>
  <c r="M73" i="1" s="1"/>
  <c r="I73" i="1"/>
  <c r="H73" i="1"/>
  <c r="G73" i="1"/>
  <c r="E73" i="1"/>
  <c r="J72" i="1"/>
  <c r="L72" i="1" s="1"/>
  <c r="M72" i="1" s="1" a="1"/>
  <c r="M72" i="1" s="1"/>
  <c r="I72" i="1"/>
  <c r="H72" i="1"/>
  <c r="G72" i="1"/>
  <c r="E72" i="1"/>
  <c r="J71" i="1"/>
  <c r="L71" i="1" s="1"/>
  <c r="M71" i="1" s="1" a="1"/>
  <c r="M71" i="1" s="1"/>
  <c r="I71" i="1"/>
  <c r="H71" i="1"/>
  <c r="G71" i="1"/>
  <c r="E71" i="1"/>
  <c r="J70" i="1"/>
  <c r="L70" i="1" s="1"/>
  <c r="M70" i="1" s="1" a="1"/>
  <c r="M70" i="1" s="1"/>
  <c r="I70" i="1"/>
  <c r="H70" i="1"/>
  <c r="G70" i="1"/>
  <c r="E70" i="1"/>
  <c r="J69" i="1"/>
  <c r="L69" i="1" s="1"/>
  <c r="M69" i="1" s="1" a="1"/>
  <c r="M69" i="1" s="1"/>
  <c r="I69" i="1"/>
  <c r="H69" i="1"/>
  <c r="G69" i="1"/>
  <c r="E69" i="1"/>
  <c r="J68" i="1"/>
  <c r="L68" i="1" s="1"/>
  <c r="M68" i="1" s="1" a="1"/>
  <c r="M68" i="1" s="1"/>
  <c r="I68" i="1"/>
  <c r="H68" i="1"/>
  <c r="G68" i="1"/>
  <c r="E68" i="1"/>
  <c r="J67" i="1"/>
  <c r="L67" i="1" s="1"/>
  <c r="M67" i="1" s="1" a="1"/>
  <c r="M67" i="1" s="1"/>
  <c r="I67" i="1"/>
  <c r="H67" i="1"/>
  <c r="G67" i="1"/>
  <c r="E67" i="1"/>
  <c r="J66" i="1"/>
  <c r="L66" i="1" s="1"/>
  <c r="M66" i="1" s="1" a="1"/>
  <c r="M66" i="1" s="1"/>
  <c r="I66" i="1"/>
  <c r="H66" i="1"/>
  <c r="G66" i="1"/>
  <c r="E66" i="1"/>
  <c r="J65" i="1"/>
  <c r="L65" i="1" s="1"/>
  <c r="M65" i="1" s="1" a="1"/>
  <c r="M65" i="1" s="1"/>
  <c r="I65" i="1"/>
  <c r="H65" i="1"/>
  <c r="G65" i="1"/>
  <c r="E65" i="1"/>
  <c r="J64" i="1"/>
  <c r="L64" i="1" s="1"/>
  <c r="M64" i="1" s="1" a="1"/>
  <c r="M64" i="1" s="1"/>
  <c r="I64" i="1"/>
  <c r="H64" i="1"/>
  <c r="G64" i="1"/>
  <c r="E64" i="1"/>
  <c r="J63" i="1"/>
  <c r="L63" i="1" s="1"/>
  <c r="M63" i="1" s="1" a="1"/>
  <c r="M63" i="1" s="1"/>
  <c r="I63" i="1"/>
  <c r="H63" i="1"/>
  <c r="G63" i="1"/>
  <c r="E63" i="1"/>
  <c r="J62" i="1"/>
  <c r="L62" i="1" s="1"/>
  <c r="M62" i="1" s="1" a="1"/>
  <c r="M62" i="1" s="1"/>
  <c r="I62" i="1"/>
  <c r="H62" i="1"/>
  <c r="G62" i="1"/>
  <c r="E62" i="1"/>
  <c r="J61" i="1"/>
  <c r="L61" i="1" s="1"/>
  <c r="M61" i="1" s="1" a="1"/>
  <c r="M61" i="1" s="1"/>
  <c r="I61" i="1"/>
  <c r="H61" i="1"/>
  <c r="G61" i="1"/>
  <c r="E61" i="1"/>
  <c r="J60" i="1"/>
  <c r="L60" i="1" s="1"/>
  <c r="M60" i="1" s="1" a="1"/>
  <c r="M60" i="1" s="1"/>
  <c r="I60" i="1"/>
  <c r="H60" i="1"/>
  <c r="G60" i="1"/>
  <c r="E60" i="1"/>
  <c r="J59" i="1"/>
  <c r="L59" i="1" s="1"/>
  <c r="M59" i="1" s="1" a="1"/>
  <c r="M59" i="1" s="1"/>
  <c r="I59" i="1"/>
  <c r="H59" i="1"/>
  <c r="G59" i="1"/>
  <c r="E59" i="1"/>
  <c r="T58" i="1"/>
  <c r="J58" i="1"/>
  <c r="L58" i="1" s="1"/>
  <c r="M58" i="1" s="1" a="1"/>
  <c r="M58" i="1" s="1"/>
  <c r="I58" i="1"/>
  <c r="H58" i="1"/>
  <c r="G58" i="1"/>
  <c r="E58" i="1"/>
  <c r="L57" i="1"/>
  <c r="M57" i="1" s="1" a="1"/>
  <c r="M57" i="1" s="1"/>
  <c r="J57" i="1"/>
  <c r="I57" i="1"/>
  <c r="H57" i="1"/>
  <c r="G57" i="1"/>
  <c r="E57" i="1"/>
  <c r="J56" i="1"/>
  <c r="L56" i="1" s="1"/>
  <c r="M56" i="1" s="1" a="1"/>
  <c r="M56" i="1" s="1"/>
  <c r="I56" i="1"/>
  <c r="H56" i="1"/>
  <c r="G56" i="1"/>
  <c r="E56" i="1"/>
  <c r="T55" i="1"/>
  <c r="J55" i="1"/>
  <c r="L55" i="1" s="1"/>
  <c r="M55" i="1" s="1" a="1"/>
  <c r="M55" i="1" s="1"/>
  <c r="I55" i="1"/>
  <c r="H55" i="1"/>
  <c r="G55" i="1"/>
  <c r="E55" i="1"/>
  <c r="J54" i="1"/>
  <c r="L54" i="1" s="1"/>
  <c r="M54" i="1" s="1" a="1"/>
  <c r="M54" i="1" s="1"/>
  <c r="I54" i="1"/>
  <c r="H54" i="1"/>
  <c r="G54" i="1"/>
  <c r="E54" i="1"/>
  <c r="J53" i="1"/>
  <c r="L53" i="1" s="1"/>
  <c r="M53" i="1" s="1" a="1"/>
  <c r="M53" i="1" s="1"/>
  <c r="I53" i="1"/>
  <c r="H53" i="1"/>
  <c r="G53" i="1"/>
  <c r="E53" i="1"/>
  <c r="J52" i="1"/>
  <c r="L52" i="1" s="1"/>
  <c r="M52" i="1" s="1" a="1"/>
  <c r="M52" i="1" s="1"/>
  <c r="I52" i="1"/>
  <c r="H52" i="1"/>
  <c r="G52" i="1"/>
  <c r="E52" i="1"/>
  <c r="J51" i="1"/>
  <c r="L51" i="1" s="1"/>
  <c r="M51" i="1" s="1" a="1"/>
  <c r="M51" i="1" s="1"/>
  <c r="I51" i="1"/>
  <c r="H51" i="1"/>
  <c r="G51" i="1"/>
  <c r="E51" i="1"/>
  <c r="J50" i="1"/>
  <c r="L50" i="1" s="1"/>
  <c r="M50" i="1" s="1" a="1"/>
  <c r="M50" i="1" s="1"/>
  <c r="I50" i="1"/>
  <c r="H50" i="1"/>
  <c r="G50" i="1"/>
  <c r="E50" i="1"/>
  <c r="J49" i="1"/>
  <c r="L49" i="1" s="1"/>
  <c r="M49" i="1" s="1" a="1"/>
  <c r="M49" i="1" s="1"/>
  <c r="I49" i="1"/>
  <c r="H49" i="1"/>
  <c r="G49" i="1"/>
  <c r="E49" i="1"/>
  <c r="L48" i="1"/>
  <c r="M48" i="1" s="1" a="1"/>
  <c r="M48" i="1" s="1"/>
  <c r="J48" i="1"/>
  <c r="I48" i="1"/>
  <c r="H48" i="1"/>
  <c r="G48" i="1"/>
  <c r="E48" i="1"/>
  <c r="L47" i="1"/>
  <c r="M47" i="1" s="1" a="1"/>
  <c r="M47" i="1" s="1"/>
  <c r="J47" i="1"/>
  <c r="I47" i="1"/>
  <c r="H47" i="1"/>
  <c r="G47" i="1"/>
  <c r="E47" i="1"/>
  <c r="L46" i="1"/>
  <c r="M46" i="1" s="1" a="1"/>
  <c r="M46" i="1" s="1"/>
  <c r="J46" i="1"/>
  <c r="I46" i="1"/>
  <c r="H46" i="1"/>
  <c r="G46" i="1"/>
  <c r="E46" i="1"/>
  <c r="L45" i="1"/>
  <c r="M45" i="1" s="1" a="1"/>
  <c r="M45" i="1" s="1"/>
  <c r="J45" i="1"/>
  <c r="I45" i="1"/>
  <c r="H45" i="1"/>
  <c r="G45" i="1"/>
  <c r="E45" i="1"/>
  <c r="L44" i="1"/>
  <c r="M44" i="1" s="1" a="1"/>
  <c r="M44" i="1" s="1"/>
  <c r="J44" i="1"/>
  <c r="I44" i="1"/>
  <c r="H44" i="1"/>
  <c r="G44" i="1"/>
  <c r="E44" i="1"/>
  <c r="L43" i="1"/>
  <c r="M43" i="1" s="1" a="1"/>
  <c r="M43" i="1" s="1"/>
  <c r="J43" i="1"/>
  <c r="I43" i="1"/>
  <c r="H43" i="1"/>
  <c r="G43" i="1"/>
  <c r="E43" i="1"/>
  <c r="J42" i="1"/>
  <c r="L42" i="1" s="1"/>
  <c r="M42" i="1" s="1" a="1"/>
  <c r="M42" i="1" s="1"/>
  <c r="I42" i="1"/>
  <c r="H42" i="1"/>
  <c r="G42" i="1"/>
  <c r="E42" i="1"/>
  <c r="J41" i="1"/>
  <c r="L41" i="1" s="1"/>
  <c r="M41" i="1" s="1" a="1"/>
  <c r="M41" i="1" s="1"/>
  <c r="I41" i="1"/>
  <c r="H41" i="1"/>
  <c r="G41" i="1"/>
  <c r="E41" i="1"/>
  <c r="J40" i="1"/>
  <c r="L40" i="1" s="1"/>
  <c r="M40" i="1" s="1" a="1"/>
  <c r="M40" i="1" s="1"/>
  <c r="I40" i="1"/>
  <c r="H40" i="1"/>
  <c r="G40" i="1"/>
  <c r="E40" i="1"/>
  <c r="J39" i="1"/>
  <c r="L39" i="1" s="1"/>
  <c r="M39" i="1" s="1" a="1"/>
  <c r="M39" i="1" s="1"/>
  <c r="I39" i="1"/>
  <c r="H39" i="1"/>
  <c r="G39" i="1"/>
  <c r="E39" i="1"/>
  <c r="J38" i="1"/>
  <c r="L38" i="1" s="1"/>
  <c r="M38" i="1" s="1" a="1"/>
  <c r="M38" i="1" s="1"/>
  <c r="I38" i="1"/>
  <c r="H38" i="1"/>
  <c r="G38" i="1"/>
  <c r="E38" i="1"/>
  <c r="J37" i="1"/>
  <c r="L37" i="1" s="1"/>
  <c r="M37" i="1" s="1" a="1"/>
  <c r="M37" i="1" s="1"/>
  <c r="I37" i="1"/>
  <c r="H37" i="1"/>
  <c r="G37" i="1"/>
  <c r="E37" i="1"/>
  <c r="J36" i="1"/>
  <c r="L36" i="1" s="1"/>
  <c r="M36" i="1" s="1" a="1"/>
  <c r="M36" i="1" s="1"/>
  <c r="I36" i="1"/>
  <c r="H36" i="1"/>
  <c r="G36" i="1"/>
  <c r="E36" i="1"/>
  <c r="J35" i="1"/>
  <c r="L35" i="1" s="1"/>
  <c r="M35" i="1" s="1" a="1"/>
  <c r="M35" i="1" s="1"/>
  <c r="I35" i="1"/>
  <c r="H35" i="1"/>
  <c r="G35" i="1"/>
  <c r="E35" i="1"/>
  <c r="J34" i="1"/>
  <c r="L34" i="1" s="1"/>
  <c r="M34" i="1" s="1" a="1"/>
  <c r="M34" i="1" s="1"/>
  <c r="I34" i="1"/>
  <c r="H34" i="1"/>
  <c r="G34" i="1"/>
  <c r="E34" i="1"/>
  <c r="J33" i="1"/>
  <c r="L33" i="1" s="1"/>
  <c r="M33" i="1" s="1" a="1"/>
  <c r="M33" i="1" s="1"/>
  <c r="I33" i="1"/>
  <c r="H33" i="1"/>
  <c r="G33" i="1"/>
  <c r="E33" i="1"/>
  <c r="J32" i="1"/>
  <c r="L32" i="1" s="1"/>
  <c r="M32" i="1" s="1" a="1"/>
  <c r="M32" i="1" s="1"/>
  <c r="I32" i="1"/>
  <c r="H32" i="1"/>
  <c r="G32" i="1"/>
  <c r="E32" i="1"/>
  <c r="J31" i="1"/>
  <c r="L31" i="1" s="1"/>
  <c r="M31" i="1" s="1" a="1"/>
  <c r="M31" i="1" s="1"/>
  <c r="I31" i="1"/>
  <c r="H31" i="1"/>
  <c r="G31" i="1"/>
  <c r="E31" i="1"/>
  <c r="J30" i="1"/>
  <c r="L30" i="1" s="1"/>
  <c r="M30" i="1" s="1" a="1"/>
  <c r="M30" i="1" s="1"/>
  <c r="I30" i="1"/>
  <c r="H30" i="1"/>
  <c r="G30" i="1"/>
  <c r="E30" i="1"/>
  <c r="J29" i="1"/>
  <c r="L29" i="1" s="1"/>
  <c r="M29" i="1" s="1" a="1"/>
  <c r="M29" i="1" s="1"/>
  <c r="I29" i="1"/>
  <c r="H29" i="1"/>
  <c r="G29" i="1"/>
  <c r="E29" i="1"/>
  <c r="J28" i="1"/>
  <c r="L28" i="1" s="1"/>
  <c r="M28" i="1" s="1" a="1"/>
  <c r="M28" i="1" s="1"/>
  <c r="I28" i="1"/>
  <c r="H28" i="1"/>
  <c r="G28" i="1"/>
  <c r="E28" i="1"/>
  <c r="J27" i="1"/>
  <c r="L27" i="1" s="1"/>
  <c r="M27" i="1" s="1" a="1"/>
  <c r="M27" i="1" s="1"/>
  <c r="I27" i="1"/>
  <c r="H27" i="1"/>
  <c r="G27" i="1"/>
  <c r="E27" i="1"/>
  <c r="T26" i="1"/>
  <c r="J26" i="1"/>
  <c r="L26" i="1" s="1"/>
  <c r="M26" i="1" s="1" a="1"/>
  <c r="M26" i="1" s="1"/>
  <c r="I26" i="1"/>
  <c r="H26" i="1"/>
  <c r="G26" i="1"/>
  <c r="E26" i="1"/>
  <c r="J25" i="1"/>
  <c r="L25" i="1" s="1"/>
  <c r="M25" i="1" s="1" a="1"/>
  <c r="M25" i="1" s="1"/>
  <c r="I25" i="1"/>
  <c r="H25" i="1"/>
  <c r="G25" i="1"/>
  <c r="E25" i="1"/>
  <c r="J24" i="1"/>
  <c r="L24" i="1" s="1"/>
  <c r="M24" i="1" s="1" a="1"/>
  <c r="M24" i="1" s="1"/>
  <c r="I24" i="1"/>
  <c r="H24" i="1"/>
  <c r="G24" i="1"/>
  <c r="E24" i="1"/>
  <c r="T23" i="1"/>
  <c r="J23" i="1"/>
  <c r="L23" i="1" s="1"/>
  <c r="M23" i="1" s="1" a="1"/>
  <c r="M23" i="1" s="1"/>
  <c r="I23" i="1"/>
  <c r="H23" i="1"/>
  <c r="G23" i="1"/>
  <c r="E23" i="1"/>
  <c r="J22" i="1"/>
  <c r="L22" i="1" s="1"/>
  <c r="M22" i="1" s="1" a="1"/>
  <c r="M22" i="1" s="1"/>
  <c r="I22" i="1"/>
  <c r="H22" i="1"/>
  <c r="G22" i="1"/>
  <c r="E22" i="1"/>
  <c r="J21" i="1"/>
  <c r="L21" i="1" s="1"/>
  <c r="M21" i="1" s="1" a="1"/>
  <c r="M21" i="1" s="1"/>
  <c r="I21" i="1"/>
  <c r="H21" i="1"/>
  <c r="G21" i="1"/>
  <c r="E21" i="1"/>
  <c r="J20" i="1"/>
  <c r="L20" i="1" s="1"/>
  <c r="M20" i="1" s="1" a="1"/>
  <c r="M20" i="1" s="1"/>
  <c r="I20" i="1"/>
  <c r="H20" i="1"/>
  <c r="G20" i="1"/>
  <c r="E20" i="1"/>
  <c r="J19" i="1"/>
  <c r="L19" i="1" s="1"/>
  <c r="M19" i="1" s="1" a="1"/>
  <c r="M19" i="1" s="1"/>
  <c r="I19" i="1"/>
  <c r="H19" i="1"/>
  <c r="G19" i="1"/>
  <c r="E19" i="1"/>
  <c r="J18" i="1"/>
  <c r="L18" i="1" s="1"/>
  <c r="M18" i="1" s="1" a="1"/>
  <c r="M18" i="1" s="1"/>
  <c r="I18" i="1"/>
  <c r="H18" i="1"/>
  <c r="G18" i="1"/>
  <c r="E18" i="1"/>
  <c r="T17" i="1"/>
  <c r="J17" i="1"/>
  <c r="L17" i="1" s="1"/>
  <c r="M17" i="1" s="1" a="1"/>
  <c r="M17" i="1" s="1"/>
  <c r="I17" i="1"/>
  <c r="H17" i="1"/>
  <c r="G17" i="1"/>
  <c r="E17" i="1"/>
  <c r="L16" i="1"/>
  <c r="M16" i="1" s="1" a="1"/>
  <c r="M16" i="1" s="1"/>
  <c r="J16" i="1"/>
  <c r="I16" i="1"/>
  <c r="H16" i="1"/>
  <c r="G16" i="1"/>
  <c r="E16" i="1"/>
  <c r="J13" i="1"/>
  <c r="L13" i="1" s="1"/>
  <c r="M13" i="1" s="1" a="1"/>
  <c r="M13" i="1" s="1"/>
  <c r="I13" i="1"/>
  <c r="H13" i="1"/>
  <c r="G13" i="1"/>
  <c r="E13" i="1"/>
  <c r="L12" i="1"/>
  <c r="M12" i="1" s="1" a="1"/>
  <c r="M12" i="1" s="1"/>
  <c r="J12" i="1"/>
  <c r="I12" i="1"/>
  <c r="H12" i="1"/>
  <c r="G12" i="1"/>
  <c r="E12" i="1"/>
  <c r="L11" i="1"/>
  <c r="M11" i="1" s="1" a="1"/>
  <c r="M11" i="1" s="1"/>
  <c r="J11" i="1"/>
  <c r="I11" i="1"/>
  <c r="H11" i="1"/>
  <c r="G11" i="1"/>
  <c r="E11" i="1"/>
  <c r="L10" i="1"/>
  <c r="M10" i="1" s="1" a="1"/>
  <c r="M10" i="1" s="1"/>
  <c r="J10" i="1"/>
  <c r="I10" i="1"/>
  <c r="H10" i="1"/>
  <c r="G10" i="1"/>
  <c r="E10" i="1"/>
  <c r="L9" i="1"/>
  <c r="M9" i="1" s="1" a="1"/>
  <c r="M9" i="1" s="1"/>
  <c r="J9" i="1"/>
  <c r="I9" i="1"/>
  <c r="H9" i="1"/>
  <c r="G9" i="1"/>
  <c r="E9" i="1"/>
  <c r="J6" i="1"/>
  <c r="L6" i="1" s="1"/>
  <c r="M6" i="1" s="1" a="1"/>
  <c r="M6" i="1" s="1"/>
  <c r="I6" i="1"/>
  <c r="H6" i="1"/>
  <c r="G6" i="1"/>
  <c r="E6" i="1"/>
  <c r="J5" i="1"/>
  <c r="L5" i="1" s="1"/>
  <c r="M5" i="1" s="1" a="1"/>
  <c r="M5" i="1" s="1"/>
  <c r="I5" i="1"/>
  <c r="H5" i="1"/>
  <c r="G5" i="1"/>
  <c r="E5" i="1"/>
  <c r="J4" i="1"/>
  <c r="L4" i="1" s="1"/>
  <c r="M4" i="1" s="1" a="1"/>
  <c r="M4" i="1" s="1"/>
  <c r="I4" i="1"/>
  <c r="H4" i="1"/>
  <c r="G4" i="1"/>
  <c r="E4" i="1"/>
  <c r="J3" i="1"/>
  <c r="L3" i="1" s="1"/>
  <c r="M3" i="1" s="1" a="1"/>
  <c r="M3" i="1" s="1"/>
  <c r="I3" i="1"/>
  <c r="H3" i="1"/>
  <c r="G3" i="1"/>
  <c r="E3" i="1"/>
  <c r="J2" i="1"/>
  <c r="L2" i="1" s="1"/>
  <c r="M2" i="1" s="1" a="1"/>
  <c r="M2" i="1" s="1"/>
  <c r="I2" i="1"/>
  <c r="H2" i="1"/>
  <c r="G2" i="1"/>
  <c r="E2" i="1"/>
  <c r="F127" i="1" l="1"/>
  <c r="K127" i="1" s="1"/>
  <c r="F126" i="1"/>
  <c r="K126" i="1" s="1"/>
  <c r="F117" i="1"/>
  <c r="K117" i="1" s="1"/>
  <c r="F119" i="1"/>
  <c r="K119" i="1" s="1"/>
  <c r="F116" i="1"/>
  <c r="K116" i="1" s="1"/>
  <c r="F118" i="1"/>
  <c r="K118" i="1" s="1"/>
  <c r="F120" i="1"/>
  <c r="K120" i="1" s="1"/>
  <c r="F77" i="1"/>
  <c r="K77" i="1" s="1"/>
  <c r="F70" i="1"/>
  <c r="K70" i="1" s="1"/>
  <c r="F15" i="1"/>
  <c r="K15" i="1" s="1"/>
  <c r="F83" i="1"/>
  <c r="K83" i="1" s="1"/>
  <c r="F43" i="1"/>
  <c r="K43" i="1" s="1"/>
  <c r="F69" i="1"/>
  <c r="K69" i="1" s="1"/>
  <c r="F73" i="1"/>
  <c r="K73" i="1" s="1"/>
  <c r="F38" i="1"/>
  <c r="K38" i="1" s="1"/>
  <c r="F34" i="1"/>
  <c r="K34" i="1" s="1"/>
  <c r="F121" i="1"/>
  <c r="K121" i="1" s="1"/>
  <c r="F36" i="1"/>
  <c r="K36" i="1" s="1"/>
  <c r="F55" i="1"/>
  <c r="K55" i="1" s="1"/>
  <c r="F74" i="1"/>
  <c r="K74" i="1" s="1"/>
  <c r="F13" i="1"/>
  <c r="K13" i="1" s="1"/>
  <c r="F61" i="1"/>
  <c r="K61" i="1" s="1"/>
  <c r="F63" i="1"/>
  <c r="K63" i="1" s="1"/>
  <c r="F78" i="1"/>
  <c r="K78" i="1" s="1"/>
  <c r="F80" i="1"/>
  <c r="K80" i="1" s="1"/>
  <c r="F29" i="1"/>
  <c r="K29" i="1" s="1"/>
  <c r="F31" i="1"/>
  <c r="K31" i="1" s="1"/>
  <c r="F84" i="1"/>
  <c r="K84" i="1" s="1"/>
  <c r="F14" i="1"/>
  <c r="K14" i="1" s="1"/>
  <c r="F64" i="1"/>
  <c r="K64" i="1" s="1"/>
  <c r="F18" i="1"/>
  <c r="K18" i="1" s="1"/>
  <c r="F54" i="1"/>
  <c r="K54" i="1" s="1"/>
  <c r="F66" i="1"/>
  <c r="K66" i="1" s="1"/>
  <c r="F124" i="1"/>
  <c r="K124" i="1" s="1"/>
  <c r="F33" i="1"/>
  <c r="K33" i="1" s="1"/>
  <c r="F39" i="1"/>
  <c r="K39" i="1" s="1"/>
  <c r="F41" i="1"/>
  <c r="K41" i="1" s="1"/>
  <c r="F46" i="1"/>
  <c r="K46" i="1" s="1"/>
  <c r="F99" i="1"/>
  <c r="K99" i="1" s="1"/>
  <c r="F20" i="1"/>
  <c r="K20" i="1" s="1"/>
  <c r="F48" i="1"/>
  <c r="K48" i="1" s="1"/>
  <c r="F60" i="1"/>
  <c r="K60" i="1" s="1"/>
  <c r="F67" i="1"/>
  <c r="K67" i="1" s="1"/>
  <c r="F79" i="1"/>
  <c r="K79" i="1" s="1"/>
  <c r="F106" i="1"/>
  <c r="K106" i="1" s="1"/>
  <c r="F28" i="1"/>
  <c r="K28" i="1" s="1"/>
  <c r="F71" i="1"/>
  <c r="K71" i="1" s="1"/>
  <c r="F108" i="1"/>
  <c r="K108" i="1" s="1"/>
  <c r="F122" i="1"/>
  <c r="K122" i="1" s="1"/>
  <c r="F133" i="1"/>
  <c r="K133" i="1" s="1"/>
  <c r="F68" i="1"/>
  <c r="K68" i="1" s="1"/>
  <c r="F75" i="1"/>
  <c r="K75" i="1" s="1"/>
  <c r="F12" i="1"/>
  <c r="K12" i="1" s="1"/>
  <c r="F23" i="1"/>
  <c r="K23" i="1" s="1"/>
  <c r="F26" i="1"/>
  <c r="K26" i="1" s="1"/>
  <c r="F97" i="1"/>
  <c r="K97" i="1" s="1"/>
  <c r="F102" i="1"/>
  <c r="K102" i="1" s="1"/>
  <c r="F134" i="1"/>
  <c r="K134" i="1" s="1"/>
  <c r="F49" i="1"/>
  <c r="K49" i="1" s="1"/>
  <c r="F57" i="1"/>
  <c r="K57" i="1" s="1"/>
  <c r="F95" i="1"/>
  <c r="K95" i="1" s="1"/>
  <c r="F123" i="1"/>
  <c r="K123" i="1" s="1"/>
  <c r="F22" i="1"/>
  <c r="K22" i="1" s="1"/>
  <c r="F25" i="1"/>
  <c r="K25" i="1" s="1"/>
  <c r="F30" i="1"/>
  <c r="K30" i="1" s="1"/>
  <c r="F35" i="1"/>
  <c r="K35" i="1" s="1"/>
  <c r="F40" i="1"/>
  <c r="K40" i="1" s="1"/>
  <c r="F45" i="1"/>
  <c r="K45" i="1" s="1"/>
  <c r="F51" i="1"/>
  <c r="K51" i="1" s="1"/>
  <c r="F56" i="1"/>
  <c r="K56" i="1" s="1"/>
  <c r="F89" i="1"/>
  <c r="K89" i="1" s="1"/>
  <c r="F19" i="1"/>
  <c r="K19" i="1" s="1"/>
  <c r="F3" i="1"/>
  <c r="K3" i="1" s="1"/>
  <c r="F32" i="1"/>
  <c r="K32" i="1" s="1"/>
  <c r="F42" i="1"/>
  <c r="K42" i="1" s="1"/>
  <c r="F53" i="1"/>
  <c r="K53" i="1" s="1"/>
  <c r="F59" i="1"/>
  <c r="K59" i="1" s="1"/>
  <c r="F81" i="1"/>
  <c r="K81" i="1" s="1"/>
  <c r="F86" i="1"/>
  <c r="K86" i="1" s="1"/>
  <c r="F105" i="1"/>
  <c r="K105" i="1" s="1"/>
  <c r="F110" i="1"/>
  <c r="K110" i="1" s="1"/>
  <c r="F125" i="1"/>
  <c r="K125" i="1" s="1"/>
  <c r="F129" i="1"/>
  <c r="K129" i="1" s="1"/>
  <c r="F131" i="1"/>
  <c r="K131" i="1" s="1"/>
  <c r="F76" i="1"/>
  <c r="K76" i="1" s="1"/>
  <c r="F94" i="1"/>
  <c r="K94" i="1" s="1"/>
  <c r="F135" i="1"/>
  <c r="K135" i="1" s="1"/>
  <c r="F21" i="1"/>
  <c r="K21" i="1" s="1"/>
  <c r="F27" i="1"/>
  <c r="K27" i="1" s="1"/>
  <c r="F24" i="1"/>
  <c r="K24" i="1" s="1"/>
  <c r="F47" i="1"/>
  <c r="K47" i="1" s="1"/>
  <c r="F50" i="1"/>
  <c r="K50" i="1" s="1"/>
  <c r="F62" i="1"/>
  <c r="K62" i="1" s="1"/>
  <c r="F104" i="1"/>
  <c r="K104" i="1" s="1"/>
  <c r="F37" i="1"/>
  <c r="K37" i="1" s="1"/>
  <c r="F6" i="1"/>
  <c r="K6" i="1" s="1"/>
  <c r="F10" i="1"/>
  <c r="K10" i="1" s="1"/>
  <c r="F2" i="1"/>
  <c r="K2" i="1" s="1"/>
  <c r="F4" i="1"/>
  <c r="K4" i="1" s="1"/>
  <c r="F44" i="1"/>
  <c r="K44" i="1" s="1"/>
  <c r="F58" i="1"/>
  <c r="K58" i="1" s="1"/>
  <c r="F65" i="1"/>
  <c r="K65" i="1" s="1"/>
  <c r="F72" i="1"/>
  <c r="K72" i="1" s="1"/>
  <c r="F100" i="1"/>
  <c r="K100" i="1" s="1"/>
  <c r="F107" i="1"/>
  <c r="K107" i="1" s="1"/>
  <c r="F52" i="1"/>
  <c r="K52" i="1" s="1"/>
  <c r="F11" i="1"/>
  <c r="K11" i="1" s="1"/>
  <c r="F88" i="1"/>
  <c r="K88" i="1" s="1"/>
  <c r="F93" i="1"/>
  <c r="K93" i="1" s="1"/>
  <c r="F9" i="1"/>
  <c r="K9" i="1" s="1"/>
  <c r="F112" i="1"/>
  <c r="K112" i="1" s="1"/>
  <c r="F114" i="1"/>
  <c r="K114" i="1" s="1"/>
  <c r="F82" i="1"/>
  <c r="K82" i="1" s="1"/>
  <c r="F87" i="1"/>
  <c r="K87" i="1" s="1"/>
  <c r="F92" i="1"/>
  <c r="K92" i="1" s="1"/>
  <c r="F98" i="1"/>
  <c r="K98" i="1" s="1"/>
  <c r="F91" i="1"/>
  <c r="K91" i="1" s="1"/>
  <c r="F5" i="1"/>
  <c r="K5" i="1" s="1"/>
  <c r="F17" i="1"/>
  <c r="K17" i="1" s="1"/>
  <c r="F111" i="1"/>
  <c r="K111" i="1" s="1"/>
  <c r="F16" i="1"/>
  <c r="K16" i="1" s="1"/>
  <c r="F90" i="1"/>
  <c r="K90" i="1" s="1"/>
  <c r="F101" i="1"/>
  <c r="K101" i="1" s="1"/>
  <c r="F113" i="1"/>
  <c r="K113" i="1" s="1"/>
  <c r="F115" i="1"/>
  <c r="K115" i="1" s="1"/>
  <c r="F128" i="1"/>
  <c r="K128" i="1" s="1"/>
  <c r="F130" i="1"/>
  <c r="K130" i="1" s="1"/>
  <c r="F132" i="1"/>
  <c r="K132" i="1" s="1"/>
</calcChain>
</file>

<file path=xl/sharedStrings.xml><?xml version="1.0" encoding="utf-8"?>
<sst xmlns="http://schemas.openxmlformats.org/spreadsheetml/2006/main" count="1775" uniqueCount="730">
  <si>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</si>
  <si>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</si>
  <si>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</si>
  <si>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</si>
  <si>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</si>
  <si>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</si>
  <si>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</si>
  <si>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</si>
  <si>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</si>
  <si>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</si>
  <si>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</si>
  <si>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</si>
  <si>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</si>
  <si>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</si>
  <si>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</si>
  <si>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</si>
  <si>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</si>
  <si>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</si>
  <si>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</si>
  <si>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</si>
  <si>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</si>
  <si>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</si>
  <si>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</si>
  <si>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</si>
  <si>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</si>
  <si>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</si>
  <si>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</si>
  <si>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</si>
  <si>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</si>
  <si>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</si>
  <si>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</si>
  <si>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Flags pre-addressed</t>
  </si>
  <si>
    <t>Flags possible</t>
  </si>
  <si>
    <t>Flags active (skips)</t>
  </si>
  <si>
    <t>Taxon group</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</si>
  <si>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</si>
  <si>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</si>
  <si>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</si>
  <si>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</si>
  <si>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</si>
  <si>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</si>
  <si>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</si>
  <si>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</si>
  <si>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</si>
  <si>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</si>
  <si>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</si>
  <si>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</si>
  <si>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</si>
  <si>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</si>
  <si>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</si>
  <si>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</si>
  <si>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</si>
  <si>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neuron number</t>
  </si>
  <si>
    <t>primary</t>
  </si>
  <si>
    <t>HH</t>
  </si>
  <si>
    <t>placental mammals</t>
  </si>
  <si>
    <t>Cetaceans &amp; other placental mammals</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</si>
  <si>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</si>
  <si>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</si>
  <si>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data_figshare.xlsx</t>
  </si>
  <si>
    <t>Barger, N., Stefanacci, L., &amp; Semendeferi, K. (2007). A comparative volumetric analysis of the amygdaloid complex and basolateral division in the human and ape brain. Am J Phys Anthropol, 134(3), 392-403. https://doi.org/10.1002/ajpa.20684</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</si>
  <si>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</si>
  <si>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</si>
  <si>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</si>
  <si>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</si>
  <si>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amygdala neuron populations</t>
  </si>
  <si>
    <t>cell count (amygdala)</t>
  </si>
  <si>
    <t>Baron, G., Frahm, H. D., &amp; Stephan, H. (1988). Comparison of brain structure volumes in Insectivora and Primates. VIII. Vestibular complex. J Hirnforsch, 29(5), 509-523. http://www.ncbi.nlm.nih.gov/pubmed/3216099</t>
  </si>
  <si>
    <t>PMID:3216099</t>
  </si>
  <si>
    <t>Table1</t>
  </si>
  <si>
    <t>Table 1. Volumes and indices of the vestibular complex (VC) and its main components (VM, V1, VL, VS) in Insectivora and Scadentia</t>
  </si>
  <si>
    <t>vestibular nuclear complex volume</t>
  </si>
  <si>
    <t>Stephan</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</si>
  <si>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</si>
  <si>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</si>
  <si>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</si>
  <si>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</si>
  <si>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</si>
  <si>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</si>
  <si>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</si>
  <si>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</si>
  <si>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</si>
  <si>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</si>
  <si>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trigeminal complex volume</t>
  </si>
  <si>
    <t>volumetry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</si>
  <si>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</si>
  <si>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Primates</t>
  </si>
  <si>
    <t>Volumetric comparison of the insular cortex (Table 1)</t>
  </si>
  <si>
    <t>insular cortex volumes</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</si>
  <si>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</si>
  <si>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</si>
  <si>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</si>
  <si>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</si>
  <si>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</si>
  <si>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</si>
  <si>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</si>
  <si>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</si>
  <si>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</si>
  <si>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</si>
  <si>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</si>
  <si>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</si>
  <si>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</si>
  <si>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Brain and body size</t>
  </si>
  <si>
    <t>secondary</t>
  </si>
  <si>
    <t>derived relative brain size data are problematic</t>
  </si>
  <si>
    <t>mammals</t>
  </si>
  <si>
    <t>Mammals</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</si>
  <si>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</si>
  <si>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</si>
  <si>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</si>
  <si>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</si>
  <si>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</si>
  <si>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</si>
  <si>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primary (individual)</t>
  </si>
  <si>
    <t>number spinal cord neurons</t>
  </si>
  <si>
    <t>primates and tree shrew</t>
  </si>
  <si>
    <t>Primates (+ other mammals)</t>
  </si>
  <si>
    <t>Table 1</t>
  </si>
  <si>
    <t>Table 1. Cellular composition of the spinal cord</t>
  </si>
  <si>
    <t>Burish_etal_2010_Table1_snapshot.csv</t>
  </si>
  <si>
    <t>Burish_etal_2010_Table1.csv</t>
  </si>
  <si>
    <t>https://doi.org/10.1159/000319019</t>
  </si>
  <si>
    <t>primary (averages)</t>
  </si>
  <si>
    <t>species-name-error: species-name typo corrected from paper text (in .R script).</t>
  </si>
  <si>
    <t>Bush, E. C., &amp; Allman, J. M. (2003). The scaling of white matter to gray matter in cerebellum and neocortex. Brain Behav Evol, 61(1), 1-5. https://doi.org/10.1159/000068880</t>
  </si>
  <si>
    <t>Table 2</t>
  </si>
  <si>
    <t>Table 2. Major axis regression slopes and 95% confidence intervals</t>
  </si>
  <si>
    <t>not extracted (regression statistics, not species trait data)</t>
  </si>
  <si>
    <t>Table 1. White matter and gray matter volumes (cm3) for neocortex and cerebellum for 45 mammals</t>
  </si>
  <si>
    <t>Data readable</t>
  </si>
  <si>
    <t>Bush_Allman_2003_Table1_snapshot.csv</t>
  </si>
  <si>
    <t>Bush_Allman_2003_Table1.csv</t>
  </si>
  <si>
    <t>neocortex &amp; cerebellum grey/white volumes</t>
  </si>
  <si>
    <t>Allman</t>
  </si>
  <si>
    <t>mammals (incl. primates)</t>
  </si>
  <si>
    <t>Bush, E. C., &amp; Allman, J. M. (2004). Three-dimensional structure and evolution of primate primary visual cortex. Anat Rec (Hoboken), 281(1), 1088-1094. https://doi.org/10.1002/ar.a.20114</t>
  </si>
  <si>
    <t>Table 1. Measurements in V1 and the rest of the brain for a sample of primates</t>
  </si>
  <si>
    <t>Bush_Allman_2004_Table1_snapshot.csv</t>
  </si>
  <si>
    <t>Bush_Allman_2004_Table1.csv</t>
  </si>
  <si>
    <t>V1 grey, LGN, V1 surface, neocortex GM/WM</t>
  </si>
  <si>
    <t>volumetry/stereology</t>
  </si>
  <si>
    <t>primates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</si>
  <si>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</si>
  <si>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</si>
  <si>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</si>
  <si>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</si>
  <si>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</si>
  <si>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</si>
  <si>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</si>
  <si>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</si>
  <si>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</si>
  <si>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</si>
  <si>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</si>
  <si>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</si>
  <si>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</si>
  <si>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</si>
  <si>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</si>
  <si>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derived from primary</t>
  </si>
  <si>
    <t>perhaps useful to get raw data as well?</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</si>
  <si>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</si>
  <si>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</si>
  <si>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</si>
  <si>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</si>
  <si>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</si>
  <si>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</si>
  <si>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</si>
  <si>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</si>
  <si>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</si>
  <si>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number of cortical areas</t>
  </si>
  <si>
    <t>primary (derived from published materials)</t>
  </si>
  <si>
    <t>summary to check more precise areas from ProjectKaskan</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</si>
  <si>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</si>
  <si>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</si>
  <si>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</si>
  <si>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</si>
  <si>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</si>
  <si>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</si>
  <si>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</si>
  <si>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</si>
  <si>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</si>
  <si>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</si>
  <si>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</si>
  <si>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</si>
  <si>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</si>
  <si>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</si>
  <si>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</si>
  <si>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</si>
  <si>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</si>
  <si>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Kaas</t>
  </si>
  <si>
    <t>isotropic fractionator</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</si>
  <si>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</si>
  <si>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</si>
  <si>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</si>
  <si>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</si>
  <si>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</si>
  <si>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LGN volume + parvocellular lamination + brain weight</t>
  </si>
  <si>
    <t>catarrhine primates</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</si>
  <si>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</si>
  <si>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</si>
  <si>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</si>
  <si>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</si>
  <si>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</si>
  <si>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</si>
  <si>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</si>
  <si>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</si>
  <si>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</si>
  <si>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brain, neocortex, V1 (area striata), LGN mean volumes</t>
  </si>
  <si>
    <t>Online supplementary Table 2 (file 1-s2.0-S0047248410000023-mmc2.doc). Snapshot reproduces the published table verbatim incl. the error; cleaned CSV corrects it. See deSousa_etal_2010.ReadMe.md.</t>
  </si>
  <si>
    <t>value error (transcription) + species-name errors</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</si>
  <si>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</si>
  <si>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</si>
  <si>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Hominoid visual brain structure volumes (Table 1)</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</si>
  <si>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</si>
  <si>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</si>
  <si>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</si>
  <si>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</si>
  <si>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</si>
  <si>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</si>
  <si>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Brain Regions Volumes</t>
  </si>
  <si>
    <t>mostly Stephan and other Ddorf studies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</si>
  <si>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</si>
  <si>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</si>
  <si>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</si>
  <si>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</si>
  <si>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</si>
  <si>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</si>
  <si>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</si>
  <si>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</si>
  <si>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</si>
  <si>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</si>
  <si>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</si>
  <si>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</si>
  <si>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</si>
  <si>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</si>
  <si>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Cell numbers, region size</t>
  </si>
  <si>
    <t>primary; secondary (compiled team data)</t>
  </si>
  <si>
    <t>microglia</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</si>
  <si>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</si>
  <si>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</si>
  <si>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</si>
  <si>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</si>
  <si>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</si>
  <si>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</si>
  <si>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</si>
  <si>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</si>
  <si>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</si>
  <si>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</si>
  <si>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</si>
  <si>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</si>
  <si>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</si>
  <si>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</si>
  <si>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</si>
  <si>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marsupials</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</si>
  <si>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</si>
  <si>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</si>
  <si>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</si>
  <si>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</si>
  <si>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</si>
  <si>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</si>
  <si>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</si>
  <si>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</si>
  <si>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</si>
  <si>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</si>
  <si>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</si>
  <si>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</si>
  <si>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</si>
  <si>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</si>
  <si>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</si>
  <si>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</si>
  <si>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</si>
  <si>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</si>
  <si>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</si>
  <si>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</si>
  <si>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</si>
  <si>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</si>
  <si>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</si>
  <si>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</si>
  <si>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</si>
  <si>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</si>
  <si>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</si>
  <si>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</si>
  <si>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</si>
  <si>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</si>
  <si>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</si>
  <si>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</si>
  <si>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</si>
  <si>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</si>
  <si>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</si>
  <si>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</si>
  <si>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</si>
  <si>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</si>
  <si>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</si>
  <si>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</si>
  <si>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</si>
  <si>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</si>
  <si>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</si>
  <si>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</si>
  <si>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</si>
  <si>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</si>
  <si>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</si>
  <si>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</si>
  <si>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</si>
  <si>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</si>
  <si>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</si>
  <si>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</si>
  <si>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</si>
  <si>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</si>
  <si>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</si>
  <si>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</si>
  <si>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</si>
  <si>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</si>
  <si>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Heffner, R. S., &amp; Masterton, R. B. (1983). The role of the corticospinal tract in the evolution of human digital dexterity. Brain Behav Evol, 23(3-4), 165-183. https://doi.org/10.1159/000121494</t>
  </si>
  <si>
    <t>Table I</t>
  </si>
  <si>
    <t>digital dexterity</t>
  </si>
  <si>
    <t>compare to 1975</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</si>
  <si>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</si>
  <si>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</si>
  <si>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</si>
  <si>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</si>
  <si>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mostly secondary</t>
  </si>
  <si>
    <t>area of pyramidal tract; deepest lamina</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</si>
  <si>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</si>
  <si>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</si>
  <si>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</si>
  <si>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</si>
  <si>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</si>
  <si>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</si>
  <si>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</si>
  <si>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</si>
  <si>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</si>
  <si>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</si>
  <si>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</si>
  <si>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</si>
  <si>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</si>
  <si>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</si>
  <si>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</si>
  <si>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</si>
  <si>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</si>
  <si>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</si>
  <si>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</si>
  <si>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</si>
  <si>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</si>
  <si>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</si>
  <si>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</si>
  <si>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</si>
  <si>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</si>
  <si>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</si>
  <si>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</si>
  <si>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</si>
  <si>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</si>
  <si>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</si>
  <si>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</si>
  <si>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</si>
  <si>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</si>
  <si>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</si>
  <si>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</si>
  <si>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</si>
  <si>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</si>
  <si>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</si>
  <si>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</si>
  <si>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</si>
  <si>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</si>
  <si>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</si>
  <si>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region size</t>
  </si>
  <si>
    <t>bats</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</si>
  <si>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</si>
  <si>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</si>
  <si>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</si>
  <si>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</si>
  <si>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</si>
  <si>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</si>
  <si>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</si>
  <si>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</si>
  <si>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</si>
  <si>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</si>
  <si>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</si>
  <si>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</si>
  <si>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</si>
  <si>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</si>
  <si>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</si>
  <si>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</si>
  <si>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</si>
  <si>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</si>
  <si>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</si>
  <si>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</si>
  <si>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</si>
  <si>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</si>
  <si>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play</t>
  </si>
  <si>
    <t>mammal clades</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</si>
  <si>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</si>
  <si>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</si>
  <si>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</si>
  <si>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</si>
  <si>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</si>
  <si>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</si>
  <si>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</si>
  <si>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</si>
  <si>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</si>
  <si>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</si>
  <si>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</si>
  <si>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</si>
  <si>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</si>
  <si>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</si>
  <si>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</si>
  <si>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</si>
  <si>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</si>
  <si>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</si>
  <si>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</si>
  <si>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</si>
  <si>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</si>
  <si>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</si>
  <si>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</si>
  <si>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</si>
  <si>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brain metabolic scaling</t>
  </si>
  <si>
    <t>meta-analysis</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</si>
  <si>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</si>
  <si>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</si>
  <si>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</si>
  <si>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</si>
  <si>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brain/body scaling</t>
  </si>
  <si>
    <t>Doctoral dissertation (not in PubMed; no DOI). Use ProQuest Dissertations &amp; Theses number (or WashU OpenScholarship URI) as the identifier - add the actual number.</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</si>
  <si>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</si>
  <si>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</si>
  <si>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</si>
  <si>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</si>
  <si>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</si>
  <si>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</si>
  <si>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sample size and information</t>
  </si>
  <si>
    <t>African mole-rats (Bathyergidae)</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</si>
  <si>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</si>
  <si>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</si>
  <si>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</si>
  <si>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</si>
  <si>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</si>
  <si>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</si>
  <si>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Kverkova</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</si>
  <si>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</si>
  <si>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</si>
  <si>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</si>
  <si>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</si>
  <si>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</si>
  <si>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</si>
  <si>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</si>
  <si>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</si>
  <si>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</si>
  <si>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</si>
  <si>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</si>
  <si>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</si>
  <si>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</si>
  <si>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</si>
  <si>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</si>
  <si>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</si>
  <si>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</si>
  <si>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</si>
  <si>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</si>
  <si>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</si>
  <si>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cerebellum / neocerebellum volume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</si>
  <si>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</si>
  <si>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</si>
  <si>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</si>
  <si>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</si>
  <si>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</si>
  <si>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</si>
  <si>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behavioural (cognition / vocalization)</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</si>
  <si>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</si>
  <si>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</si>
  <si>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</si>
  <si>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</si>
  <si>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</si>
  <si>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</si>
  <si>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</si>
  <si>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</si>
  <si>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</si>
  <si>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</si>
  <si>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</si>
  <si>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</si>
  <si>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</si>
  <si>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</si>
  <si>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</si>
  <si>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</si>
  <si>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Semendeferi, K., Armstrong, E., Schleicher, A., Zilles, K., &amp; Van Hoesen, G. W. (1998). Limbic frontal cortex in hominoids: a comparative study of area 13. Am J Phys Anthropol, 106(2), 129-155. https://doi.org/10.1002/(SICI)1096-8644(199806)106:2&lt;129::AID-AJPA3&gt;3.0.CO;2-L</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</si>
  <si>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</si>
  <si>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</si>
  <si>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frontal cortex (area 10) volume</t>
  </si>
  <si>
    <t>Semendeferi, K., Lu, A., Schenker, N., &amp; Damasio, H. (2002). Humans and great apes share a large frontal cortex. Nat Neurosci, 5(3), 272-276. https://doi.org/10.1038/nn814</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</si>
  <si>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</si>
  <si>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</si>
  <si>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</si>
  <si>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</si>
  <si>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</si>
  <si>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</si>
  <si>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</si>
  <si>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</si>
  <si>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</si>
  <si>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</si>
  <si>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</si>
  <si>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</si>
  <si>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</si>
  <si>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</si>
  <si>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</si>
  <si>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</si>
  <si>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</si>
  <si>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</si>
  <si>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Exceptional expansion of prefrontal cortex (Table 1)</t>
  </si>
  <si>
    <t>prefrontal cortex size</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</si>
  <si>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</si>
  <si>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</si>
  <si>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</si>
  <si>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</si>
  <si>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</si>
  <si>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</si>
  <si>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</si>
  <si>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</si>
  <si>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</si>
  <si>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</si>
  <si>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</si>
  <si>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</si>
  <si>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</si>
  <si>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</si>
  <si>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</si>
  <si>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</si>
  <si>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</si>
  <si>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</si>
  <si>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</si>
  <si>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</si>
  <si>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</si>
  <si>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</si>
  <si>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New and revised data on volumes of brain structures (Table 1)</t>
  </si>
  <si>
    <t>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</si>
  <si>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</si>
  <si>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</si>
  <si>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</si>
  <si>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</si>
  <si>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</si>
  <si>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</si>
  <si>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</si>
  <si>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</si>
  <si>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</si>
  <si>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</si>
  <si>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</si>
  <si>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</si>
  <si>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</si>
  <si>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</si>
  <si>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</si>
  <si>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</si>
  <si>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</si>
  <si>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</si>
  <si>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</si>
  <si>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</si>
  <si>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</si>
  <si>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</si>
  <si>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</si>
  <si>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</si>
  <si>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</si>
  <si>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</si>
  <si>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</si>
  <si>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</si>
  <si>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Development of cortical folding (review)</t>
  </si>
  <si>
    <t>cortical folding / gyrification</t>
  </si>
  <si>
    <t>Zilles</t>
  </si>
  <si>
    <t>Mammals (+ primates)</t>
  </si>
  <si>
    <t>cortical folding (gyrification index)</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</si>
  <si>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</si>
  <si>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</si>
  <si>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</si>
  <si>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</si>
  <si>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</si>
  <si>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</si>
  <si>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</si>
  <si>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</si>
  <si>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</si>
  <si>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</si>
  <si>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</si>
  <si>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if there are typos or shorthand species names used, can update based on heading, note, text</t>
  </si>
  <si>
    <t>--&gt; Species note</t>
  </si>
  <si>
    <t xml:space="preserve">add a column to include any additional information about the species from the table legend, paper text, personal communication, etc </t>
  </si>
  <si>
    <t>--&gt; Species correction</t>
  </si>
  <si>
    <t>add a column to correct any errors in species designations (e.g., misidentified or combined different species of same genus)</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</si>
  <si>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</si>
  <si>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</si>
  <si>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</si>
  <si>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</si>
  <si>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</si>
  <si>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</si>
  <si>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</si>
  <si>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</si>
  <si>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</si>
  <si>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</si>
  <si>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</si>
  <si>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</si>
  <si>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</si>
  <si>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</si>
  <si>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</si>
  <si>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</si>
  <si>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</si>
  <si>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b</t>
  </si>
  <si>
    <t>a</t>
  </si>
  <si>
    <t>Bush, E. C., &amp; Allman, J. M. (2004). The scaling of frontal cortex in primates and carnivores. Proc Natl Acad Sci U S A, 101(11), 3962-3966. https://doi.org/10.1073/pnas.0305760101</t>
  </si>
  <si>
    <t>Matano, S., Stephan, H., &amp; Baron, G. (1985). Volume comparisons in the cerebellar complex of primates. I. Ventral pons. Folia Primatol (Basel), 44(3-4), 171-181. https://doi.org/10.1159/000156211</t>
  </si>
  <si>
    <t>Table 12-2</t>
  </si>
  <si>
    <t>TABLE 1. Volumetric estimates of the amygdaloid complex and the basolateral division</t>
  </si>
  <si>
    <t>Kaufman, J. A. (2004). Pattern and scaling of regional cerebral glucose metabolism in mammals (Publication Number 3147447) [Ph.D., Washington University in St. Louis]. ProQuest Dissertations &amp; Theses Global. United States -- Missouri</t>
  </si>
  <si>
    <t>Collection</t>
  </si>
  <si>
    <t>Stephan, Sherwood</t>
  </si>
  <si>
    <t>Stephan, Zilles</t>
  </si>
  <si>
    <t>AFIP</t>
  </si>
  <si>
    <t>Stephan, Zilles, AFIP, Sherwood, Hof</t>
  </si>
  <si>
    <t>Stephan,Zilles</t>
  </si>
  <si>
    <t xml:space="preserve">Table 1 .IX. Trigeminal complex </t>
  </si>
  <si>
    <t>UMI:3147447</t>
  </si>
  <si>
    <t>both (compilation)</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</si>
  <si>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</si>
  <si>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</si>
  <si>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Ashwell, K. W. S. (2020). Quantitative analysis of cerebellar morphology in monotreme, metatherian and eutherian mammals. Zoology (Jena), 139, 125753. https://doi.org/10.1016/j.zool.2020.125753</t>
  </si>
  <si>
    <t>Supplementary Table.  Cerebellar Morphology Data</t>
  </si>
  <si>
    <t>Supplementary Table</t>
  </si>
  <si>
    <t>10.1002%2Fajpa.20684_TABLE1.tsv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</si>
  <si>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</si>
  <si>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</si>
  <si>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</si>
  <si>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</si>
  <si>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</si>
  <si>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</si>
  <si>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</si>
  <si>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</si>
  <si>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</si>
  <si>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10.1016%2Fj.cub.2017.01.020_TableS1part1volumes.tsv</t>
  </si>
  <si>
    <t>10.1016%2Fj.cub.2017.01.020_TableS1part2surfacearea.tsv</t>
  </si>
  <si>
    <t>10.1016%2Fj.jhevol.2008.08.004_Table2.tsv</t>
  </si>
  <si>
    <t>10.1016%2Fj.jhevol.2008.08.004_Table7.tsv</t>
  </si>
  <si>
    <t>10.1016%2Fj.jhevol.2008.08.004_TableS1.tsv</t>
  </si>
  <si>
    <t>10.1016%2Fj.jhevol.2008.08.004_TableS2.tsv</t>
  </si>
  <si>
    <t>10.1016%2Fj.jhevol.2008.08.004_TableS3.tsv</t>
  </si>
  <si>
    <t>10.1016%2Fj.jhevol.2009.11.011_Table1.tsv</t>
  </si>
  <si>
    <t>10.1016%2Fj.jhevol.2012.12.003_Table1.tsv</t>
  </si>
  <si>
    <t>10.1016%2Fj.zool.2020.125753_SupplementaryTable.tsv</t>
  </si>
  <si>
    <t>10.1016%2Fs0047-2484(03)00028-9_.tsv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</si>
  <si>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</si>
  <si>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</si>
  <si>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</si>
  <si>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</si>
  <si>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</si>
  <si>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</si>
  <si>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</si>
  <si>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</si>
  <si>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</si>
  <si>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</si>
  <si>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</si>
  <si>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10.1093%2Fcercor%2Fbhy315_Table4.tsv</t>
  </si>
  <si>
    <t>10.1093%2Fjmammal%2Fgyz043_SupplementaryDataSD1.tsv</t>
  </si>
  <si>
    <t>10.1093%2Foso%2F9780198568742.003.0006_Table6.1.tsv</t>
  </si>
  <si>
    <t>10.1098%2Frspb.2015.1853_Table1.tsv</t>
  </si>
  <si>
    <t>10.1126%2Fscience.aaa9101_TableS1.tsv</t>
  </si>
  <si>
    <t>10.1159%2F000068880_Table1.tsv</t>
  </si>
  <si>
    <t>10.1159%2F000124401_TableI.tsv</t>
  </si>
  <si>
    <t>10.1159%2F000155963_Table1.tsv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</si>
  <si>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</si>
  <si>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</si>
  <si>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</si>
  <si>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</si>
  <si>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</si>
  <si>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</si>
  <si>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</si>
  <si>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</si>
  <si>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</si>
  <si>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</si>
  <si>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</si>
  <si>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</si>
  <si>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</si>
  <si>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</si>
  <si>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</si>
  <si>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</si>
  <si>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</si>
  <si>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</si>
  <si>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</si>
  <si>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</si>
  <si>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</si>
  <si>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</si>
  <si>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10.3389%2Ffnins.2021.632853_TABLE1.tsv</t>
  </si>
  <si>
    <t>10.6084%2Fm9.figshare.c.3899422.v1_Dataset1.tsv</t>
  </si>
  <si>
    <t>10.7554%2FeLife.77875_Supplementaryfile3.tsv</t>
  </si>
  <si>
    <t>10.7554%2FeLife.77875_Table1.tsv</t>
  </si>
  <si>
    <t>ISBN%3A9780195043716_Table12-2.tsv</t>
  </si>
  <si>
    <t>NA.tsv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</si>
  <si>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</si>
  <si>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</si>
  <si>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</si>
  <si>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</si>
  <si>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</si>
  <si>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</si>
  <si>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</si>
  <si>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</si>
  <si>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</si>
  <si>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</si>
  <si>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</si>
  <si>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</si>
  <si>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ISBN: 0390672505</t>
  </si>
  <si>
    <t>Stephan, H., Bauchot, R., &amp; Andy, O. J. (1970). Data on the size of the brain and of the various brain parts in insectivores and primates. In C. R. Noback &amp; W. Montagna (Eds.), The Primate Brain (pp. 289-296). Appleton-Century-Crofts</t>
  </si>
  <si>
    <t>TABLE 3</t>
  </si>
  <si>
    <t>TABLE 4</t>
  </si>
  <si>
    <t>TABLE 5</t>
  </si>
  <si>
    <t>TABLE 6</t>
  </si>
  <si>
    <t>TABLE 1 Data on body and brain weight (in g and mg) and volume of the fundemental brain sections (in mm3) in Insectivores</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</si>
  <si>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</si>
  <si>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</si>
  <si>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</si>
  <si>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</si>
  <si>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 Volume of the various components of the telencephalon in Simians (in mm3)</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</si>
  <si>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</si>
  <si>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</si>
  <si>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</si>
  <si>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Sherwood</t>
  </si>
  <si>
    <t>Table 1. Mean (±ÛSEM) body weight, brain volume and cerebellum volume in 11 haplorhine primate species</t>
  </si>
  <si>
    <t>Rilling, J. K., &amp; Insel, T. R. (1998). Evolution of the cerebellum in primates: differences in relative volume among monkeys, apes and humans. Brain Behav Evol, 52(6), 308-314. https://doi.org/10.1159/000006575</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</si>
  <si>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</si>
  <si>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</si>
  <si>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TABLE I</t>
  </si>
  <si>
    <t>Hof</t>
  </si>
  <si>
    <t>MRI</t>
  </si>
  <si>
    <t>Sample type</t>
  </si>
  <si>
    <t>histological sections</t>
  </si>
  <si>
    <t>histological sections &amp; MRI</t>
  </si>
  <si>
    <t>Table 1 Volumetric data from the Yerkes sample</t>
  </si>
  <si>
    <t>Table 2 Volumetric data from the Hirnforschung sample</t>
  </si>
  <si>
    <t>Rilling</t>
  </si>
  <si>
    <t>TABLE 2. Volumes of the brain and area 13 in all hominoids</t>
  </si>
  <si>
    <t>TABLE 2. Volumes of the brain and area 10 in all hominoids</t>
  </si>
  <si>
    <t>Table 1. The relative size of the frontal cortex</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</si>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</sst>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2"/>
      <color theme="1"/>
      <name val="Calibri"/>
      <family val="2"/>
    </font>
    <font>
      <sz val="12"/>
      <color rgb="FF3F3F76"/>
      <name val="Calibri"/>
      <family val="2"/>
      <scheme val="minor"/>
    </font>
    <font>
      <sz val="12"/>
      <color theme="1"/>
      <name val="Calibri"/>
      <family val="2"/>
    </font>
    <font>
      <i/>
      <sz val="12"/>
      <color theme="1"/>
      <name val="Calibri"/>
      <family val="2"/>
    </font>
    <font>
      <sz val="8"/>
      <name val="Calibri"/>
      <family val="2"/>
      <scheme val="minor"/>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s>
  <cellStyleXfs count="2">
    <xf numFmtId="0" fontId="0" fillId="0" borderId="0"/>
    <xf numFmtId="0" fontId="2" fillId="2" borderId="1" applyNumberFormat="0" applyAlignment="0" applyProtection="0"/>
  </cellStyleXfs>
  <cellXfs count="9">
    <xf numFmtId="0" fontId="0" fillId="0" borderId="0" xfId="0"/>
    <xf numFmtId="0" fontId="1" fillId="0" borderId="0" xfId="0" applyFont="1"/>
    <xf numFmtId="0" fontId="2" fillId="2" borderId="1" xfId="0" applyFont="1" applyFill="1" applyBorder="1"/>
    <xf numFmtId="0" fontId="3" fillId="0" borderId="0" xfId="0" applyFont="1" applyAlignment="1">
      <alignment wrapText="1"/>
    </xf>
    <xf numFmtId="0" fontId="3" fillId="0" borderId="0" xfId="0" applyFont="1"/>
    <xf numFmtId="0" fontId="4" fillId="0" borderId="0" xfId="0" applyFont="1"/>
    <xf numFmtId="0" fontId="2" fillId="2" borderId="0" xfId="0" applyFont="1" applyFill="1" applyBorder="1"/>
    <xf numFmtId="0" fontId="2" fillId="2" borderId="2" xfId="0" applyFont="1" applyFill="1" applyBorder="1"/>
    <xf numFmtId="0" fontId="2" fillId="2" borderId="1" xfId="1"/>
  </cellXfs>
  <cellStyles count="2">
    <cellStyle name="Input" xfId="1"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karger.com/bbe/article-pdf/86/3-4/145/2264694/000437413.pdf" TargetMode="External"/><Relationship Id="rId18" Type="http://schemas.openxmlformats.org/officeDocument/2006/relationships/hyperlink" Target="https://github.com/ManyPrimates/mp1_short_term_memory/raw/master/data/species_predictors.xlsx"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www.pnas.org/doi/suppl/10.1073/pnas.0905777106/suppl_file/0905777106si.pdf" TargetMode="External"/><Relationship Id="rId12" Type="http://schemas.openxmlformats.org/officeDocument/2006/relationships/hyperlink" Target="https://karger.com/bbe/article-pdf/86/3-4/145/2264694/000437413.pdf" TargetMode="External"/><Relationship Id="rId17" Type="http://schemas.openxmlformats.org/officeDocument/2006/relationships/hyperlink" Target="https://static-content.springer.com/esm/art%3A10.1038%2Fs41598-018-26062-8/MediaObjects/41598_2018_26062_MOESM1_ESM.docx" TargetMode="External"/><Relationship Id="rId2"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16" Type="http://schemas.openxmlformats.org/officeDocument/2006/relationships/hyperlink" Target="https://static-content.springer.com/esm/art%3A10.1038%2Fs41598-018-26062-8/MediaObjects/41598_2018_26062_MOESM1_ESM.docx" TargetMode="External"/><Relationship Id="rId1" Type="http://schemas.openxmlformats.org/officeDocument/2006/relationships/hyperlink" Target="https://cdn.elifesciences.org/articles/77875/elife-77875-supp3-v1.xlsx" TargetMode="External"/><Relationship Id="rId6" Type="http://schemas.openxmlformats.org/officeDocument/2006/relationships/hyperlink" Target="https://www.pnas.org/doi/suppl/10.1073/pnas.0905777106/suppl_file/0905777106si.pdf" TargetMode="External"/><Relationship Id="rId11" Type="http://schemas.openxmlformats.org/officeDocument/2006/relationships/hyperlink" Target="https://karger.com/bbe/article-pdf/86/3-4/145/2264694/000437413.pdf" TargetMode="External"/><Relationship Id="rId5" Type="http://schemas.openxmlformats.org/officeDocument/2006/relationships/hyperlink" Target="https://www.researchgate.net/publication/299027052_Developmental_constraints_on_or_developmental_structure_in_brain_evolution" TargetMode="External"/><Relationship Id="rId15" Type="http://schemas.openxmlformats.org/officeDocument/2006/relationships/hyperlink" Target="https://doi.org/10.3389/fnana.2017.00118" TargetMode="External"/><Relationship Id="rId10" Type="http://schemas.openxmlformats.org/officeDocument/2006/relationships/hyperlink" Target="https://karger.com/bbe/article-pdf/86/3-4/145/2264694/000437413.pdf" TargetMode="External"/><Relationship Id="rId19" Type="http://schemas.openxmlformats.org/officeDocument/2006/relationships/hyperlink" Target="https://figshare.com/ndownloader/files/9479092"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135"/>
  <sheetViews>
    <sheetView tabSelected="1" zoomScale="93" zoomScaleNormal="93" workbookViewId="0">
      <pane xSplit="2" ySplit="1" topLeftCell="C2" activePane="bottomRight" state="frozen"/>
      <selection pane="topRight" activeCell="B1" sqref="B1"/>
      <selection pane="bottomLeft" activeCell="A2" sqref="A2"/>
      <selection pane="bottomRight" activeCell="K8" sqref="K8"/>
    </sheetView>
  </sheetViews>
  <sheetFormatPr baseColWidth="10" defaultRowHeight="16" x14ac:dyDescent="0.2"/>
  <cols>
    <col min="1" max="1" width="25.1640625" customWidth="1"/>
    <col min="2" max="2" width="1.6640625" customWidth="1"/>
    <col min="3" max="3" width="3.5" customWidth="1"/>
    <col min="4" max="4" width="7.1640625" customWidth="1"/>
    <col min="5" max="5" width="1.5" customWidth="1"/>
    <col min="6" max="6" width="14.5" customWidth="1"/>
    <col min="7" max="8" width="10.33203125" customWidth="1"/>
    <col min="9" max="9" width="6.1640625" customWidth="1"/>
    <col min="10" max="10" width="14.5" customWidth="1"/>
    <col min="11" max="11" width="31.83203125" customWidth="1"/>
    <col min="12" max="12" width="49" customWidth="1"/>
    <col min="13" max="13" width="10.33203125" customWidth="1"/>
    <col min="14" max="39" width="7.33203125" style="8" customWidth="1"/>
  </cols>
  <sheetData>
    <row r="1" spans="1:39" ht="16" customHeight="1" x14ac:dyDescent="0.2">
      <c r="A1" s="2" t="s">
        <v>0</v>
      </c>
      <c r="B1" s="2" t="s">
        <v>1</v>
      </c>
      <c r="C1" s="2" t="s">
        <v>2</v>
      </c>
      <c r="D1" s="2" t="s">
        <v>3</v>
      </c>
      <c r="E1" s="1" t="s">
        <v>4</v>
      </c>
      <c r="F1" s="1" t="s">
        <v>5</v>
      </c>
      <c r="G1" s="1" t="s">
        <v>6</v>
      </c>
      <c r="H1" s="1" t="s">
        <v>7</v>
      </c>
      <c r="I1" s="1" t="s">
        <v>8</v>
      </c>
      <c r="J1" s="1" t="s">
        <v>9</v>
      </c>
      <c r="K1" s="1" t="s">
        <v>10</v>
      </c>
      <c r="L1" s="1" t="s">
        <v>11</v>
      </c>
      <c r="M1" s="1" t="s">
        <v>12</v>
      </c>
      <c r="N1" s="8" t="s">
        <v>13</v>
      </c>
      <c r="O1" s="8" t="s">
        <v>14</v>
      </c>
      <c r="P1" s="8" t="s">
        <v>15</v>
      </c>
      <c r="Q1" s="8" t="s">
        <v>16</v>
      </c>
      <c r="R1" s="8" t="s">
        <v>17</v>
      </c>
      <c r="S1" s="8" t="s">
        <v>18</v>
      </c>
      <c r="T1" s="8" t="s">
        <v>19</v>
      </c>
      <c r="U1" s="8" t="s">
        <v>20</v>
      </c>
      <c r="V1" s="8" t="s">
        <v>21</v>
      </c>
      <c r="W1" s="8" t="s">
        <v>22</v>
      </c>
      <c r="X1" s="8" t="s">
        <v>23</v>
      </c>
      <c r="Y1" s="8" t="s">
        <v>24</v>
      </c>
      <c r="Z1" s="8" t="s">
        <v>25</v>
      </c>
      <c r="AA1" s="8" t="s">
        <v>26</v>
      </c>
      <c r="AB1" s="8" t="s">
        <v>719</v>
      </c>
      <c r="AC1" s="8" t="s">
        <v>27</v>
      </c>
      <c r="AD1" s="8" t="s">
        <v>602</v>
      </c>
      <c r="AE1" s="8" t="s">
        <v>28</v>
      </c>
      <c r="AF1" s="8" t="s">
        <v>29</v>
      </c>
      <c r="AG1" s="8" t="s">
        <v>30</v>
      </c>
      <c r="AH1" s="8" t="s">
        <v>31</v>
      </c>
      <c r="AI1" s="8" t="s">
        <v>32</v>
      </c>
      <c r="AJ1" s="8" t="s">
        <v>33</v>
      </c>
      <c r="AK1" s="8" t="s">
        <v>34</v>
      </c>
      <c r="AL1" s="8" t="s">
        <v>35</v>
      </c>
      <c r="AM1" s="8" t="s">
        <v>36</v>
      </c>
    </row>
    <row r="2" spans="1:39" ht="16" customHeight="1" x14ac:dyDescent="0.2">
      <c r="A2" s="2" t="s">
        <v>37</v>
      </c>
      <c r="D2" s="2" t="s">
        <v>38</v>
      </c>
      <c r="E2" t="str">
        <f t="shared" ref="E2:E37" si="0">RIGHT(A2,1)</f>
        <v>5</v>
      </c>
      <c r="F2" t="str">
        <f t="shared" ref="F2:F37" si="1">G2 &amp; IF(H2&lt;&gt;"", "_" &amp; H2, "_") &amp; IF(I2&lt;&gt;"", "_" &amp; I2, "_") &amp; IF(B2&lt;&gt;"", "_" &amp; B2, "")</f>
        <v>Andelin_etal_2019</v>
      </c>
      <c r="G2" t="str">
        <f t="shared" ref="G2:G37" si="2">SUBSTITUTE(SUBSTITUTE(_xlfn.TEXTBEFORE(A2,","), "-", ""), " ", "")</f>
        <v>Andelin</v>
      </c>
      <c r="H2" t="str">
        <f t="shared" ref="H2" si="3">IF(ISNUMBER(FIND("&amp;", A2)),
IF(LEN(A2)-LEN(SUBSTITUTE(A2, ",", ""))&gt;=6, "etal", MID(A2, SEARCH("&amp; ", A2)+2, SEARCH(",", A2, SEARCH("&amp; ", A2)+2) - SEARCH("&amp; ", A2)-2)),
""
)</f>
        <v>etal</v>
      </c>
      <c r="I2" t="str">
        <f t="shared" ref="I2:I37" si="4">_xlfn.TEXTBEFORE(_xlfn.TEXTAFTER(A2, "("), ")")</f>
        <v>2019</v>
      </c>
      <c r="J2" t="str">
        <f t="shared" ref="J2:J42" si="5">IF(C2&lt;&gt;"", C2, IF(C2="", _xlfn.TEXTAFTER(A2,"https://doi.org/"), C2))</f>
        <v>10.1093/cercor/bhy315</v>
      </c>
      <c r="K2" t="str">
        <f t="shared" ref="K2:K32" si="6">TRIM(_xlfn.TEXTJOIN("_",FALSE,F2,(SUBSTITUTE(SUBSTITUTE(D2," ",""), "_", ""))))</f>
        <v>Andelin_etal_2019_Table4</v>
      </c>
      <c r="L2" t="str">
        <f t="shared" ref="L2:L24" si="7">IF(ISBLANK(C2),TRIM(SUBSTITUTE(SUBSTITUTE(SUBSTITUTE(_xlfn.TEXTJOIN("_", FALSE, J2, SUBSTITUTE(D2,"_", "")), "/", "%2F"), ":", "%3A"), " ", "")),TRIM(SUBSTITUTE(SUBSTITUTE(SUBSTITUTE(_xlfn.TEXTJOIN("_", FALSE, C2, SUBSTITUTE(D2,"_", "")), "/", "%2F"), ":", "%3A"), " ", "")))</f>
        <v>10.1093%2Fcercor%2Fbhy315_Table4</v>
      </c>
      <c r="M2" t="str">
        <f t="array" ref="M2">IFERROR(INDEX(FileList!$A$1:$A$100, MATCH(L2, _xlfn.TEXTBEFORE(FileList!$A$1:$A$100, ".tsv"), 0)), "notfound")</f>
        <v>10.1093%2Fcercor%2Fbhy315_Table4.tsv</v>
      </c>
      <c r="V2" s="8" t="s">
        <v>39</v>
      </c>
      <c r="AK2" s="8" t="s">
        <v>40</v>
      </c>
      <c r="AL2" s="8" t="s">
        <v>40</v>
      </c>
      <c r="AM2" s="8" t="s">
        <v>40</v>
      </c>
    </row>
    <row r="3" spans="1:39" ht="16" customHeight="1" x14ac:dyDescent="0.2">
      <c r="A3" s="2" t="s">
        <v>613</v>
      </c>
      <c r="D3" s="2" t="s">
        <v>615</v>
      </c>
      <c r="E3" t="str">
        <f t="shared" ref="E3" si="8">RIGHT(A3,1)</f>
        <v>3</v>
      </c>
      <c r="F3" t="str">
        <f t="shared" ref="F3" si="9">G3 &amp; IF(H3&lt;&gt;"", "_" &amp; H3, "_") &amp; IF(I3&lt;&gt;"", "_" &amp; I3, "_") &amp; IF(B3&lt;&gt;"", "_" &amp; B3, "")</f>
        <v>Ashwell__2020</v>
      </c>
      <c r="G3" t="str">
        <f t="shared" ref="G3" si="10">SUBSTITUTE(SUBSTITUTE(_xlfn.TEXTBEFORE(A3,","), "-", ""), " ", "")</f>
        <v>Ashwell</v>
      </c>
      <c r="H3" t="str">
        <f t="shared" ref="H3" si="11">IF(ISNUMBER(FIND("&amp;", A3)),
IF(LEN(A3)-LEN(SUBSTITUTE(A3, ",", ""))&gt;=6, "etal", MID(A3, SEARCH("&amp; ", A3)+2, SEARCH(",", A3, SEARCH("&amp; ", A3)+2) - SEARCH("&amp; ", A3)-2)),
""
)</f>
        <v/>
      </c>
      <c r="I3" t="str">
        <f t="shared" ref="I3" si="12">_xlfn.TEXTBEFORE(_xlfn.TEXTAFTER(A3, "("), ")")</f>
        <v>2020</v>
      </c>
      <c r="J3" t="str">
        <f t="shared" ref="J3" si="13">IF(C3&lt;&gt;"", C3, IF(C3="", _xlfn.TEXTAFTER(A3,"https://doi.org/"), C3))</f>
        <v>10.1016/j.zool.2020.125753</v>
      </c>
      <c r="K3" t="str">
        <f t="shared" ref="K3" si="14">TRIM(_xlfn.TEXTJOIN("_",FALSE,F3,(SUBSTITUTE(SUBSTITUTE(D3," ",""), "_", ""))))</f>
        <v>Ashwell__2020_SupplementaryTable</v>
      </c>
      <c r="L3" t="str">
        <f t="shared" ref="L3" si="15">IF(ISBLANK(C3),TRIM(SUBSTITUTE(SUBSTITUTE(SUBSTITUTE(_xlfn.TEXTJOIN("_", FALSE, J3, SUBSTITUTE(D3,"_", "")), "/", "%2F"), ":", "%3A"), " ", "")),TRIM(SUBSTITUTE(SUBSTITUTE(SUBSTITUTE(_xlfn.TEXTJOIN("_", FALSE, C3, SUBSTITUTE(D3,"_", "")), "/", "%2F"), ":", "%3A"), " ", "")))</f>
        <v>10.1016%2Fj.zool.2020.125753_SupplementaryTable</v>
      </c>
      <c r="M3" t="str">
        <f t="array" ref="M3">IFERROR(INDEX(FileList!$A$1:$A$100, MATCH(L3, _xlfn.TEXTBEFORE(FileList!$A$1:$A$100, ".tsv"), 0)), "notfound")</f>
        <v>10.1016%2Fj.zool.2020.125753_SupplementaryTable.tsv</v>
      </c>
      <c r="N3" s="8" t="s">
        <v>614</v>
      </c>
    </row>
    <row r="4" spans="1:39" ht="16" customHeight="1" x14ac:dyDescent="0.2">
      <c r="A4" s="2" t="s">
        <v>41</v>
      </c>
      <c r="D4" s="2" t="s">
        <v>42</v>
      </c>
      <c r="E4" t="str">
        <f t="shared" si="0"/>
        <v>9</v>
      </c>
      <c r="F4" t="str">
        <f t="shared" si="1"/>
        <v>AvelinodeSouza_etal_2025</v>
      </c>
      <c r="G4" t="str">
        <f t="shared" si="2"/>
        <v>AvelinodeSouza</v>
      </c>
      <c r="H4" t="str">
        <f t="shared" ref="H4:H70" si="16">_xlfn.LET(_xlpm.authorPart,_xlfn.TEXTBEFORE(A4," ("),IFERROR(IF(ISNUMBER(FIND("&amp;",_xlpm.authorPart)),IF(LEN(A4)-LEN(SUBSTITUTE(A4,",",""))&gt;=6,"etal",_xlfn.TEXTBEFORE(_xlfn.TEXTAFTER(_xlpm.authorPart,"&amp; "),",")),""),""))</f>
        <v>etal</v>
      </c>
      <c r="I4" t="str">
        <f t="shared" si="4"/>
        <v>2025</v>
      </c>
      <c r="J4" t="str">
        <f t="shared" si="5"/>
        <v>10.1002/cne.70089</v>
      </c>
      <c r="K4" t="str">
        <f t="shared" si="6"/>
        <v>AvelinodeSouza_etal_2025_TABLE1</v>
      </c>
      <c r="L4" t="str">
        <f t="shared" si="7"/>
        <v>10.1002%2Fcne.70089_TABLE1</v>
      </c>
      <c r="M4" t="str">
        <f t="array" ref="M4">IFERROR(INDEX(FileList!$A$1:$A$100, MATCH(L4, _xlfn.TEXTBEFORE(FileList!$A$1:$A$100, ".tsv"), 0)), "notfound")</f>
        <v>10.1002%2Fcne.70089_TABLE1.tsv</v>
      </c>
      <c r="N4" s="8" t="s">
        <v>43</v>
      </c>
      <c r="P4" s="8" t="s">
        <v>44</v>
      </c>
      <c r="Q4" s="8" t="s">
        <v>45</v>
      </c>
      <c r="R4" s="8" t="s">
        <v>46</v>
      </c>
      <c r="S4" s="8" t="s">
        <v>47</v>
      </c>
      <c r="T4" s="8" t="s">
        <v>48</v>
      </c>
      <c r="U4" s="8" t="s">
        <v>49</v>
      </c>
      <c r="V4" s="8" t="s">
        <v>39</v>
      </c>
      <c r="W4" s="8" t="s">
        <v>50</v>
      </c>
      <c r="X4" s="8" t="s">
        <v>51</v>
      </c>
      <c r="Y4" s="8" t="s">
        <v>52</v>
      </c>
      <c r="Z4" s="8" t="s">
        <v>53</v>
      </c>
      <c r="AA4" s="8" t="s">
        <v>54</v>
      </c>
      <c r="AC4" s="8" t="s">
        <v>189</v>
      </c>
      <c r="AG4" s="8" t="s">
        <v>55</v>
      </c>
      <c r="AK4" s="8" t="s">
        <v>56</v>
      </c>
      <c r="AL4" s="8" t="s">
        <v>53</v>
      </c>
      <c r="AM4" s="8" t="s">
        <v>57</v>
      </c>
    </row>
    <row r="5" spans="1:39" ht="16" customHeight="1" x14ac:dyDescent="0.2">
      <c r="A5" s="2" t="s">
        <v>58</v>
      </c>
      <c r="D5" s="2" t="s">
        <v>59</v>
      </c>
      <c r="E5" t="str">
        <f t="shared" si="0"/>
        <v>1</v>
      </c>
      <c r="F5" t="str">
        <f t="shared" si="1"/>
        <v>BarbeitoAndres_etal_2019</v>
      </c>
      <c r="G5" t="str">
        <f t="shared" si="2"/>
        <v>BarbeitoAndres</v>
      </c>
      <c r="H5" t="str">
        <f t="shared" si="16"/>
        <v>etal</v>
      </c>
      <c r="I5" t="str">
        <f t="shared" si="4"/>
        <v>2019</v>
      </c>
      <c r="J5" t="str">
        <f t="shared" si="5"/>
        <v>10.1242/jeb.204651</v>
      </c>
      <c r="K5" t="str">
        <f t="shared" si="6"/>
        <v>BarbeitoAndres_etal_2019_datafigshare.xlsx</v>
      </c>
      <c r="L5" t="str">
        <f t="shared" si="7"/>
        <v>10.1242%2Fjeb.204651_datafigshare.xlsx</v>
      </c>
      <c r="M5" t="str">
        <f t="array" ref="M5">IFERROR(INDEX(FileList!$A$1:$A$100, MATCH(L5, _xlfn.TEXTBEFORE(FileList!$A$1:$A$100, ".tsv"), 0)), "notfound")</f>
        <v>notfound</v>
      </c>
      <c r="AC5" s="8" t="s">
        <v>189</v>
      </c>
      <c r="AK5" s="8" t="s">
        <v>40</v>
      </c>
      <c r="AL5" s="8" t="s">
        <v>40</v>
      </c>
      <c r="AM5" s="8" t="s">
        <v>40</v>
      </c>
    </row>
    <row r="6" spans="1:39" ht="16" customHeight="1" x14ac:dyDescent="0.2">
      <c r="A6" s="2" t="s">
        <v>60</v>
      </c>
      <c r="D6" s="2" t="s">
        <v>42</v>
      </c>
      <c r="E6" t="str">
        <f t="shared" si="0"/>
        <v>4</v>
      </c>
      <c r="F6" t="str">
        <f t="shared" si="1"/>
        <v>Barger_etal_2007</v>
      </c>
      <c r="G6" t="str">
        <f t="shared" si="2"/>
        <v>Barger</v>
      </c>
      <c r="H6" t="str">
        <f t="shared" si="16"/>
        <v>etal</v>
      </c>
      <c r="I6" t="str">
        <f t="shared" si="4"/>
        <v>2007</v>
      </c>
      <c r="J6" t="str">
        <f t="shared" si="5"/>
        <v>10.1002/ajpa.20684</v>
      </c>
      <c r="K6" t="str">
        <f t="shared" si="6"/>
        <v>Barger_etal_2007_TABLE1</v>
      </c>
      <c r="L6" t="str">
        <f t="shared" si="7"/>
        <v>10.1002%2Fajpa.20684_TABLE1</v>
      </c>
      <c r="M6" t="str">
        <f t="array" ref="M6">IFERROR(INDEX(FileList!$A$1:$A$100, MATCH(L6, _xlfn.TEXTBEFORE(FileList!$A$1:$A$100, ".tsv"), 0)), "notfound")</f>
        <v>10.1002%2Fajpa.20684_TABLE1.tsv</v>
      </c>
      <c r="N6" s="8" t="s">
        <v>600</v>
      </c>
      <c r="Y6" s="8" t="s">
        <v>61</v>
      </c>
      <c r="AB6" s="8" t="s">
        <v>720</v>
      </c>
      <c r="AC6" s="8" t="s">
        <v>559</v>
      </c>
      <c r="AD6" s="8" t="s">
        <v>559</v>
      </c>
      <c r="AK6" s="8" t="s">
        <v>62</v>
      </c>
      <c r="AL6" s="8" t="s">
        <v>53</v>
      </c>
      <c r="AM6" s="8" t="s">
        <v>63</v>
      </c>
    </row>
    <row r="7" spans="1:39" ht="16" customHeight="1" x14ac:dyDescent="0.2">
      <c r="A7" s="2" t="s">
        <v>64</v>
      </c>
      <c r="E7" t="str">
        <f t="shared" ref="E7:E8" si="17">RIGHT(A7,1)</f>
        <v>8</v>
      </c>
      <c r="F7" t="str">
        <f t="shared" ref="F7:F8" si="18">G7 &amp; IF(H7&lt;&gt;"", "_" &amp; H7, "_") &amp; IF(I7&lt;&gt;"", "_" &amp; I7, "_") &amp; IF(B7&lt;&gt;"", "_" &amp; B7, "")</f>
        <v>Barger_etal_2012</v>
      </c>
      <c r="G7" t="str">
        <f t="shared" ref="G7:G8" si="19">SUBSTITUTE(SUBSTITUTE(_xlfn.TEXTBEFORE(A7,","), "-", ""), " ", "")</f>
        <v>Barger</v>
      </c>
      <c r="H7" t="str">
        <f t="shared" ref="H7:H8" si="20">_xlfn.LET(_xlpm.authorPart,_xlfn.TEXTBEFORE(A7," ("),IFERROR(IF(ISNUMBER(FIND("&amp;",_xlpm.authorPart)),IF(LEN(A7)-LEN(SUBSTITUTE(A7,",",""))&gt;=6,"etal",_xlfn.TEXTBEFORE(_xlfn.TEXTAFTER(_xlpm.authorPart,"&amp; "),",")),""),""))</f>
        <v>etal</v>
      </c>
      <c r="I7" t="str">
        <f t="shared" ref="I7:I8" si="21">_xlfn.TEXTBEFORE(_xlfn.TEXTAFTER(A7, "("), ")")</f>
        <v>2012</v>
      </c>
      <c r="J7" t="str">
        <f t="shared" ref="J7:J8" si="22">IF(C7&lt;&gt;"", C7, IF(C7="", _xlfn.TEXTAFTER(A7,"https://doi.org/"), C7))</f>
        <v>10.1002/cne.23118</v>
      </c>
      <c r="K7" t="str">
        <f t="shared" ref="K7:K8" si="23">TRIM(_xlfn.TEXTJOIN("_",FALSE,F7,(SUBSTITUTE(SUBSTITUTE(D7," ",""), "_", ""))))</f>
        <v>Barger_etal_2012_</v>
      </c>
      <c r="L7" t="str">
        <f t="shared" ref="L7:L8" si="24">IF(ISBLANK(C7),TRIM(SUBSTITUTE(SUBSTITUTE(SUBSTITUTE(_xlfn.TEXTJOIN("_", FALSE, J7, SUBSTITUTE(D7,"_", "")), "/", "%2F"), ":", "%3A"), " ", "")),TRIM(SUBSTITUTE(SUBSTITUTE(SUBSTITUTE(_xlfn.TEXTJOIN("_", FALSE, C7, SUBSTITUTE(D7,"_", "")), "/", "%2F"), ":", "%3A"), " ", "")))</f>
        <v>10.1002%2Fcne.23118_</v>
      </c>
      <c r="M7" t="str">
        <f t="array" ref="M7">IFERROR(INDEX(FileList!$A$1:$A$100, MATCH(L7, _xlfn.TEXTBEFORE(FileList!$A$1:$A$100, ".tsv"), 0)), "notfound")</f>
        <v>notfound</v>
      </c>
      <c r="Y7" s="8" t="s">
        <v>65</v>
      </c>
      <c r="AD7" s="8" t="s">
        <v>559</v>
      </c>
      <c r="AK7" s="8" t="s">
        <v>62</v>
      </c>
      <c r="AL7" s="8" t="s">
        <v>53</v>
      </c>
      <c r="AM7" s="8" t="s">
        <v>66</v>
      </c>
    </row>
    <row r="8" spans="1:39" ht="16" customHeight="1" x14ac:dyDescent="0.2">
      <c r="A8" s="2" t="s">
        <v>728</v>
      </c>
      <c r="D8" s="6" t="s">
        <v>42</v>
      </c>
      <c r="E8" t="str">
        <f t="shared" si="17"/>
        <v>6</v>
      </c>
      <c r="F8" t="str">
        <f t="shared" si="18"/>
        <v>Barks_etal_2014</v>
      </c>
      <c r="G8" t="str">
        <f t="shared" si="19"/>
        <v>Barks</v>
      </c>
      <c r="H8" t="str">
        <f t="shared" si="20"/>
        <v>etal</v>
      </c>
      <c r="I8" t="str">
        <f t="shared" si="21"/>
        <v>2014</v>
      </c>
      <c r="J8" t="str">
        <f t="shared" si="22"/>
        <v>10.1002/ajpa.22646</v>
      </c>
      <c r="K8" t="str">
        <f t="shared" si="23"/>
        <v>Barks_etal_2014_TABLE1</v>
      </c>
      <c r="L8" t="str">
        <f t="shared" si="24"/>
        <v>10.1002%2Fajpa.22646_TABLE1</v>
      </c>
      <c r="M8" t="str">
        <f t="array" ref="M8">IFERROR(INDEX(FileList!$A$1:$A$100, MATCH(L8, _xlfn.TEXTBEFORE(FileList!$A$1:$A$100, ".tsv"), 0)), "notfound")</f>
        <v>notfound</v>
      </c>
      <c r="N8" s="8" t="s">
        <v>729</v>
      </c>
    </row>
    <row r="9" spans="1:39" ht="16" customHeight="1" x14ac:dyDescent="0.2">
      <c r="A9" s="2" t="s">
        <v>67</v>
      </c>
      <c r="C9" s="2" t="s">
        <v>68</v>
      </c>
      <c r="D9" s="2" t="s">
        <v>117</v>
      </c>
      <c r="E9" t="str">
        <f t="shared" si="0"/>
        <v>9</v>
      </c>
      <c r="F9" t="str">
        <f t="shared" si="1"/>
        <v>Baron_etal_1988</v>
      </c>
      <c r="G9" t="str">
        <f t="shared" si="2"/>
        <v>Baron</v>
      </c>
      <c r="H9" t="str">
        <f t="shared" si="16"/>
        <v>etal</v>
      </c>
      <c r="I9" t="str">
        <f t="shared" si="4"/>
        <v>1988</v>
      </c>
      <c r="J9" t="str">
        <f t="shared" si="5"/>
        <v>PMID:3216099</v>
      </c>
      <c r="K9" t="str">
        <f t="shared" si="6"/>
        <v>Baron_etal_1988_Table1</v>
      </c>
      <c r="L9" t="str">
        <f t="shared" si="7"/>
        <v>PMID%3A3216099_Table1</v>
      </c>
      <c r="M9" t="str">
        <f t="array" ref="M9">IFERROR(INDEX(FileList!$A$1:$A$100, MATCH(L9, _xlfn.TEXTBEFORE(FileList!$A$1:$A$100, ".tsv"), 0)), "notfound")</f>
        <v>PMID%3A3216099_Table1.tsv</v>
      </c>
      <c r="N9" s="8" t="s">
        <v>70</v>
      </c>
      <c r="Y9" s="8" t="s">
        <v>71</v>
      </c>
      <c r="AA9" s="8" t="s">
        <v>72</v>
      </c>
      <c r="AB9" s="8" t="s">
        <v>720</v>
      </c>
      <c r="AC9" s="8" t="s">
        <v>72</v>
      </c>
      <c r="AD9" s="8" t="s">
        <v>72</v>
      </c>
      <c r="AK9" s="8" t="s">
        <v>73</v>
      </c>
      <c r="AL9" s="8" t="s">
        <v>53</v>
      </c>
      <c r="AM9" s="8" t="s">
        <v>63</v>
      </c>
    </row>
    <row r="10" spans="1:39" ht="17" customHeight="1" x14ac:dyDescent="0.2">
      <c r="A10" s="2" t="s">
        <v>74</v>
      </c>
      <c r="C10" s="2" t="s">
        <v>75</v>
      </c>
      <c r="D10" s="2" t="s">
        <v>117</v>
      </c>
      <c r="E10" t="str">
        <f t="shared" si="0"/>
        <v>5</v>
      </c>
      <c r="F10" t="str">
        <f t="shared" si="1"/>
        <v>Baron_etal_1983</v>
      </c>
      <c r="G10" t="str">
        <f t="shared" si="2"/>
        <v>Baron</v>
      </c>
      <c r="H10" t="str">
        <f t="shared" si="16"/>
        <v>etal</v>
      </c>
      <c r="I10" t="str">
        <f t="shared" si="4"/>
        <v>1983</v>
      </c>
      <c r="J10" t="str">
        <f t="shared" si="5"/>
        <v>PMID:6663055</v>
      </c>
      <c r="K10" t="str">
        <f t="shared" si="6"/>
        <v>Baron_etal_1983_Table1</v>
      </c>
      <c r="L10" t="str">
        <f t="shared" si="7"/>
        <v>PMID%3A6663055_Table1</v>
      </c>
      <c r="M10" t="str">
        <f t="array" ref="M10">IFERROR(INDEX(FileList!$A$1:$A$100, MATCH(L10, _xlfn.TEXTBEFORE(FileList!$A$1:$A$100, ".tsv"), 0)), "notfound")</f>
        <v>PMID%3A6663055_Table1.tsv</v>
      </c>
      <c r="V10" s="8" t="s">
        <v>39</v>
      </c>
      <c r="W10" s="8" t="s">
        <v>76</v>
      </c>
      <c r="Y10" s="8" t="s">
        <v>77</v>
      </c>
      <c r="Z10" s="8" t="s">
        <v>53</v>
      </c>
      <c r="AB10" s="8" t="s">
        <v>720</v>
      </c>
      <c r="AC10" s="8" t="s">
        <v>72</v>
      </c>
      <c r="AD10" s="8" t="s">
        <v>72</v>
      </c>
      <c r="AK10" s="8" t="s">
        <v>73</v>
      </c>
      <c r="AL10" s="8" t="s">
        <v>53</v>
      </c>
      <c r="AM10" s="8" t="s">
        <v>63</v>
      </c>
    </row>
    <row r="11" spans="1:39" ht="17" customHeight="1" x14ac:dyDescent="0.2">
      <c r="A11" s="2" t="s">
        <v>78</v>
      </c>
      <c r="C11" s="2" t="s">
        <v>79</v>
      </c>
      <c r="D11" s="2" t="s">
        <v>117</v>
      </c>
      <c r="E11" t="str">
        <f t="shared" si="0"/>
        <v>6</v>
      </c>
      <c r="F11" t="str">
        <f t="shared" si="1"/>
        <v>Baron_etal_1987</v>
      </c>
      <c r="G11" t="str">
        <f t="shared" si="2"/>
        <v>Baron</v>
      </c>
      <c r="H11" t="str">
        <f t="shared" si="16"/>
        <v>etal</v>
      </c>
      <c r="I11" t="str">
        <f t="shared" si="4"/>
        <v>1987</v>
      </c>
      <c r="J11" t="str">
        <f t="shared" si="5"/>
        <v>PMID:3116076</v>
      </c>
      <c r="K11" t="str">
        <f t="shared" si="6"/>
        <v>Baron_etal_1987_Table1</v>
      </c>
      <c r="L11" t="str">
        <f t="shared" si="7"/>
        <v>PMID%3A3116076_Table1</v>
      </c>
      <c r="M11" t="str">
        <f t="array" ref="M11">IFERROR(INDEX(FileList!$A$1:$A$100, MATCH(L11, _xlfn.TEXTBEFORE(FileList!$A$1:$A$100, ".tsv"), 0)), "notfound")</f>
        <v>PMID%3A3116076_Table1.tsv</v>
      </c>
      <c r="V11" s="8" t="s">
        <v>39</v>
      </c>
      <c r="W11" s="8" t="s">
        <v>76</v>
      </c>
      <c r="Y11" s="8" t="s">
        <v>80</v>
      </c>
      <c r="Z11" s="8" t="s">
        <v>53</v>
      </c>
      <c r="AB11" s="8" t="s">
        <v>720</v>
      </c>
      <c r="AC11" s="8" t="s">
        <v>72</v>
      </c>
      <c r="AD11" s="8" t="s">
        <v>72</v>
      </c>
      <c r="AK11" s="8" t="s">
        <v>73</v>
      </c>
      <c r="AL11" s="8" t="s">
        <v>53</v>
      </c>
      <c r="AM11" s="8" t="s">
        <v>63</v>
      </c>
    </row>
    <row r="12" spans="1:39" ht="16" customHeight="1" x14ac:dyDescent="0.2">
      <c r="A12" s="2" t="s">
        <v>81</v>
      </c>
      <c r="C12" s="2" t="s">
        <v>82</v>
      </c>
      <c r="D12" s="2" t="s">
        <v>117</v>
      </c>
      <c r="E12" t="str">
        <f t="shared" si="0"/>
        <v>3</v>
      </c>
      <c r="F12" t="str">
        <f t="shared" si="1"/>
        <v>Baron_etal_1990</v>
      </c>
      <c r="G12" t="str">
        <f t="shared" si="2"/>
        <v>Baron</v>
      </c>
      <c r="H12" t="str">
        <f t="shared" si="16"/>
        <v>etal</v>
      </c>
      <c r="I12" t="str">
        <f t="shared" si="4"/>
        <v>1990</v>
      </c>
      <c r="J12" t="str">
        <f t="shared" si="5"/>
        <v>PMID:2358663</v>
      </c>
      <c r="K12" t="str">
        <f t="shared" si="6"/>
        <v>Baron_etal_1990_Table1</v>
      </c>
      <c r="L12" t="str">
        <f t="shared" si="7"/>
        <v>PMID%3A2358663_Table1</v>
      </c>
      <c r="M12" t="str">
        <f t="array" ref="M12">IFERROR(INDEX(FileList!$A$1:$A$100, MATCH(L12, _xlfn.TEXTBEFORE(FileList!$A$1:$A$100, ".tsv"), 0)), "notfound")</f>
        <v>PMID%3A2358663_Table1.tsv</v>
      </c>
      <c r="N12" s="8" t="s">
        <v>608</v>
      </c>
      <c r="V12" s="8" t="s">
        <v>39</v>
      </c>
      <c r="W12" s="8" t="s">
        <v>76</v>
      </c>
      <c r="Y12" s="8" t="s">
        <v>83</v>
      </c>
      <c r="Z12" s="8" t="s">
        <v>53</v>
      </c>
      <c r="AA12" s="8" t="s">
        <v>72</v>
      </c>
      <c r="AB12" s="8" t="s">
        <v>720</v>
      </c>
      <c r="AC12" s="8" t="s">
        <v>84</v>
      </c>
      <c r="AD12" s="8" t="s">
        <v>72</v>
      </c>
      <c r="AK12" s="8" t="s">
        <v>73</v>
      </c>
      <c r="AL12" s="8" t="s">
        <v>53</v>
      </c>
      <c r="AM12" s="8" t="s">
        <v>63</v>
      </c>
    </row>
    <row r="13" spans="1:39" ht="16" customHeight="1" x14ac:dyDescent="0.2">
      <c r="A13" s="2" t="s">
        <v>85</v>
      </c>
      <c r="D13" s="2" t="s">
        <v>117</v>
      </c>
      <c r="E13" t="str">
        <f t="shared" si="0"/>
        <v>3</v>
      </c>
      <c r="F13" t="str">
        <f t="shared" si="1"/>
        <v>Bauernfeind_etal_2013</v>
      </c>
      <c r="G13" t="str">
        <f t="shared" si="2"/>
        <v>Bauernfeind</v>
      </c>
      <c r="H13" t="str">
        <f t="shared" si="16"/>
        <v>etal</v>
      </c>
      <c r="I13" t="str">
        <f t="shared" si="4"/>
        <v>2013</v>
      </c>
      <c r="J13" t="str">
        <f t="shared" si="5"/>
        <v>10.1016/j.jhevol.2012.12.003</v>
      </c>
      <c r="K13" t="str">
        <f t="shared" si="6"/>
        <v>Bauernfeind_etal_2013_Table1</v>
      </c>
      <c r="L13" t="str">
        <f t="shared" si="7"/>
        <v>10.1016%2Fj.jhevol.2012.12.003_Table1</v>
      </c>
      <c r="M13" t="str">
        <f t="array" ref="M13">IFERROR(INDEX(FileList!$A$1:$A$100, MATCH(L13, _xlfn.TEXTBEFORE(FileList!$A$1:$A$100, ".tsv"), 0)), "notfound")</f>
        <v>10.1016%2Fj.jhevol.2012.12.003_Table1.tsv</v>
      </c>
      <c r="N13" s="8" t="s">
        <v>87</v>
      </c>
      <c r="V13" s="8" t="s">
        <v>39</v>
      </c>
      <c r="Y13" s="8" t="s">
        <v>88</v>
      </c>
      <c r="Z13" s="8" t="s">
        <v>53</v>
      </c>
      <c r="AA13" s="8" t="s">
        <v>603</v>
      </c>
      <c r="AB13" s="8" t="s">
        <v>720</v>
      </c>
      <c r="AC13" s="8" t="s">
        <v>84</v>
      </c>
      <c r="AK13" s="8" t="s">
        <v>86</v>
      </c>
      <c r="AL13" s="8" t="s">
        <v>53</v>
      </c>
      <c r="AM13" s="8" t="s">
        <v>63</v>
      </c>
    </row>
    <row r="14" spans="1:39" ht="16" customHeight="1" x14ac:dyDescent="0.2">
      <c r="A14" s="2" t="s">
        <v>85</v>
      </c>
      <c r="D14" s="2" t="s">
        <v>125</v>
      </c>
      <c r="E14" t="str">
        <f t="shared" si="0"/>
        <v>3</v>
      </c>
      <c r="F14" t="str">
        <f t="shared" si="1"/>
        <v>Bauernfeind_etal_2013</v>
      </c>
      <c r="G14" t="str">
        <f t="shared" si="2"/>
        <v>Bauernfeind</v>
      </c>
      <c r="H14" t="str">
        <f t="shared" si="16"/>
        <v>etal</v>
      </c>
      <c r="I14" t="str">
        <f t="shared" si="4"/>
        <v>2013</v>
      </c>
      <c r="J14" t="str">
        <f t="shared" si="5"/>
        <v>10.1016/j.jhevol.2012.12.003</v>
      </c>
      <c r="K14" t="str">
        <f t="shared" si="6"/>
        <v>Bauernfeind_etal_2013_Table2</v>
      </c>
      <c r="L14" t="str">
        <f t="shared" si="7"/>
        <v>10.1016%2Fj.jhevol.2012.12.003_Table2</v>
      </c>
      <c r="M14" t="str">
        <f t="array" ref="M14">IFERROR(INDEX(FileList!$A$1:$A$100, MATCH(L14, _xlfn.TEXTBEFORE(FileList!$A$1:$A$100, ".tsv"), 0)), "notfound")</f>
        <v>notfound</v>
      </c>
      <c r="V14" s="8" t="s">
        <v>39</v>
      </c>
      <c r="Y14" s="8" t="s">
        <v>88</v>
      </c>
      <c r="Z14" s="8" t="s">
        <v>53</v>
      </c>
      <c r="AA14" s="8" t="s">
        <v>603</v>
      </c>
      <c r="AB14" s="8" t="s">
        <v>720</v>
      </c>
      <c r="AC14" s="8" t="s">
        <v>84</v>
      </c>
      <c r="AK14" s="8" t="s">
        <v>86</v>
      </c>
      <c r="AL14" s="8" t="s">
        <v>53</v>
      </c>
      <c r="AM14" s="8" t="s">
        <v>63</v>
      </c>
    </row>
    <row r="15" spans="1:39" ht="16" customHeight="1" x14ac:dyDescent="0.2">
      <c r="A15" s="2" t="s">
        <v>85</v>
      </c>
      <c r="D15" s="2" t="s">
        <v>347</v>
      </c>
      <c r="E15" t="str">
        <f t="shared" ref="E15" si="25">RIGHT(A15,1)</f>
        <v>3</v>
      </c>
      <c r="F15" t="str">
        <f t="shared" ref="F15" si="26">G15 &amp; IF(H15&lt;&gt;"", "_" &amp; H15, "_") &amp; IF(I15&lt;&gt;"", "_" &amp; I15, "_") &amp; IF(B15&lt;&gt;"", "_" &amp; B15, "")</f>
        <v>Bauernfeind_etal_2013</v>
      </c>
      <c r="G15" t="str">
        <f t="shared" ref="G15" si="27">SUBSTITUTE(SUBSTITUTE(_xlfn.TEXTBEFORE(A15,","), "-", ""), " ", "")</f>
        <v>Bauernfeind</v>
      </c>
      <c r="H15" t="str">
        <f t="shared" ref="H15" si="28">_xlfn.LET(_xlpm.authorPart,_xlfn.TEXTBEFORE(A15," ("),IFERROR(IF(ISNUMBER(FIND("&amp;",_xlpm.authorPart)),IF(LEN(A15)-LEN(SUBSTITUTE(A15,",",""))&gt;=6,"etal",_xlfn.TEXTBEFORE(_xlfn.TEXTAFTER(_xlpm.authorPart,"&amp; "),",")),""),""))</f>
        <v>etal</v>
      </c>
      <c r="I15" t="str">
        <f t="shared" ref="I15" si="29">_xlfn.TEXTBEFORE(_xlfn.TEXTAFTER(A15, "("), ")")</f>
        <v>2013</v>
      </c>
      <c r="J15" t="str">
        <f t="shared" ref="J15" si="30">IF(C15&lt;&gt;"", C15, IF(C15="", _xlfn.TEXTAFTER(A15,"https://doi.org/"), C15))</f>
        <v>10.1016/j.jhevol.2012.12.003</v>
      </c>
      <c r="K15" t="str">
        <f t="shared" ref="K15" si="31">TRIM(_xlfn.TEXTJOIN("_",FALSE,F15,(SUBSTITUTE(SUBSTITUTE(D15," ",""), "_", ""))))</f>
        <v>Bauernfeind_etal_2013_Table3</v>
      </c>
      <c r="L15" t="str">
        <f t="shared" ref="L15" si="32">IF(ISBLANK(C15),TRIM(SUBSTITUTE(SUBSTITUTE(SUBSTITUTE(_xlfn.TEXTJOIN("_", FALSE, J15, SUBSTITUTE(D15,"_", "")), "/", "%2F"), ":", "%3A"), " ", "")),TRIM(SUBSTITUTE(SUBSTITUTE(SUBSTITUTE(_xlfn.TEXTJOIN("_", FALSE, C15, SUBSTITUTE(D15,"_", "")), "/", "%2F"), ":", "%3A"), " ", "")))</f>
        <v>10.1016%2Fj.jhevol.2012.12.003_Table3</v>
      </c>
      <c r="M15" t="str">
        <f t="array" ref="M15">IFERROR(INDEX(FileList!$A$1:$A$100, MATCH(L15, _xlfn.TEXTBEFORE(FileList!$A$1:$A$100, ".tsv"), 0)), "notfound")</f>
        <v>notfound</v>
      </c>
      <c r="V15" s="8" t="s">
        <v>39</v>
      </c>
      <c r="Y15" s="8" t="s">
        <v>88</v>
      </c>
      <c r="Z15" s="8" t="s">
        <v>53</v>
      </c>
      <c r="AA15" s="8" t="s">
        <v>603</v>
      </c>
      <c r="AB15" s="8" t="s">
        <v>720</v>
      </c>
      <c r="AC15" s="8" t="s">
        <v>84</v>
      </c>
      <c r="AK15" s="8" t="s">
        <v>86</v>
      </c>
      <c r="AL15" s="8" t="s">
        <v>53</v>
      </c>
      <c r="AM15" s="8" t="s">
        <v>63</v>
      </c>
    </row>
    <row r="16" spans="1:39" ht="16" customHeight="1" x14ac:dyDescent="0.2">
      <c r="A16" s="2" t="s">
        <v>89</v>
      </c>
      <c r="C16" s="2" t="s">
        <v>90</v>
      </c>
      <c r="D16" s="2" t="s">
        <v>91</v>
      </c>
      <c r="E16" t="str">
        <f t="shared" si="0"/>
        <v>0</v>
      </c>
      <c r="F16" t="str">
        <f t="shared" si="1"/>
        <v>Brodmann__1913</v>
      </c>
      <c r="G16" t="str">
        <f t="shared" si="2"/>
        <v>Brodmann</v>
      </c>
      <c r="H16" t="str">
        <f t="shared" si="16"/>
        <v/>
      </c>
      <c r="I16" t="str">
        <f t="shared" si="4"/>
        <v>1913</v>
      </c>
      <c r="J16" t="str">
        <f t="shared" si="5"/>
        <v>10.0000/placeholder</v>
      </c>
      <c r="K16" t="str">
        <f t="shared" si="6"/>
        <v>Brodmann__1913_Tabelle1</v>
      </c>
      <c r="L16" t="str">
        <f t="shared" si="7"/>
        <v>10.0000%2Fplaceholder_Tabelle1</v>
      </c>
      <c r="M16" t="str">
        <f t="array" ref="M16">IFERROR(INDEX(FileList!$A$1:$A$100, MATCH(L16, _xlfn.TEXTBEFORE(FileList!$A$1:$A$100, ".tsv"), 0)), "notfound")</f>
        <v>notfound</v>
      </c>
      <c r="Y16" s="8" t="s">
        <v>92</v>
      </c>
      <c r="AK16" s="8" t="s">
        <v>93</v>
      </c>
      <c r="AL16" s="8" t="s">
        <v>53</v>
      </c>
      <c r="AM16" s="8" t="s">
        <v>92</v>
      </c>
    </row>
    <row r="17" spans="1:39" ht="16" customHeight="1" x14ac:dyDescent="0.2">
      <c r="A17" s="2" t="s">
        <v>94</v>
      </c>
      <c r="D17" s="2" t="s">
        <v>95</v>
      </c>
      <c r="E17" t="str">
        <f t="shared" si="0"/>
        <v>3</v>
      </c>
      <c r="F17" t="str">
        <f t="shared" si="1"/>
        <v>Burger_etal_2019</v>
      </c>
      <c r="G17" t="str">
        <f t="shared" si="2"/>
        <v>Burger</v>
      </c>
      <c r="H17" t="str">
        <f t="shared" si="16"/>
        <v>etal</v>
      </c>
      <c r="I17" t="str">
        <f t="shared" si="4"/>
        <v>2019</v>
      </c>
      <c r="J17" t="str">
        <f t="shared" si="5"/>
        <v>10.1093/jmammal/gyz043</v>
      </c>
      <c r="K17" t="str">
        <f t="shared" si="6"/>
        <v>Burger_etal_2019_SupplementaryDataSD1</v>
      </c>
      <c r="L17" t="str">
        <f t="shared" si="7"/>
        <v>10.1093%2Fjmammal%2Fgyz043_SupplementaryDataSD1</v>
      </c>
      <c r="M17" t="str">
        <f t="array" ref="M17">IFERROR(INDEX(FileList!$A$1:$A$100, MATCH(L17, _xlfn.TEXTBEFORE(FileList!$A$1:$A$100, ".tsv"), 0)), "notfound")</f>
        <v>10.1093%2Fjmammal%2Fgyz043_SupplementaryDataSD1.tsv</v>
      </c>
      <c r="O17" s="8" t="s">
        <v>96</v>
      </c>
      <c r="P17" s="8" t="s">
        <v>44</v>
      </c>
      <c r="Q17" s="8" t="s">
        <v>97</v>
      </c>
      <c r="R17" s="8" t="s">
        <v>98</v>
      </c>
      <c r="S17" s="8" t="s">
        <v>99</v>
      </c>
      <c r="T17" s="8" t="str">
        <f>IF(S17="N", R17, "write file name")</f>
        <v>gyz043_suppl_Supplement_Data.csv</v>
      </c>
      <c r="U17" s="8" t="s">
        <v>100</v>
      </c>
      <c r="V17" s="8" t="s">
        <v>39</v>
      </c>
      <c r="W17" s="8" t="s">
        <v>101</v>
      </c>
      <c r="Y17" s="8" t="s">
        <v>102</v>
      </c>
      <c r="Z17" s="8" t="s">
        <v>103</v>
      </c>
      <c r="AF17" s="8" t="s">
        <v>104</v>
      </c>
      <c r="AG17" s="8" t="s">
        <v>105</v>
      </c>
      <c r="AK17" s="8" t="s">
        <v>106</v>
      </c>
      <c r="AL17" s="8" t="s">
        <v>103</v>
      </c>
      <c r="AM17" s="8" t="s">
        <v>107</v>
      </c>
    </row>
    <row r="18" spans="1:39" ht="16" customHeight="1" x14ac:dyDescent="0.2">
      <c r="A18" s="2" t="s">
        <v>108</v>
      </c>
      <c r="D18" s="2" t="s">
        <v>109</v>
      </c>
      <c r="E18" t="str">
        <f t="shared" si="0"/>
        <v>9</v>
      </c>
      <c r="F18" t="str">
        <f t="shared" si="1"/>
        <v>Burish_etal_2010</v>
      </c>
      <c r="G18" t="str">
        <f t="shared" si="2"/>
        <v>Burish</v>
      </c>
      <c r="H18" t="str">
        <f t="shared" si="16"/>
        <v>etal</v>
      </c>
      <c r="I18" t="str">
        <f t="shared" si="4"/>
        <v>2010</v>
      </c>
      <c r="J18" t="str">
        <f t="shared" si="5"/>
        <v>10.1159/000319019</v>
      </c>
      <c r="K18" t="str">
        <f t="shared" si="6"/>
        <v>Burish_etal_2010_SupplementaryTable1</v>
      </c>
      <c r="L18" t="str">
        <f t="shared" si="7"/>
        <v>10.1159%2F000319019_SupplementaryTable1</v>
      </c>
      <c r="M18" t="str">
        <f t="array" ref="M18">IFERROR(INDEX(FileList!$A$1:$A$100, MATCH(L18, _xlfn.TEXTBEFORE(FileList!$A$1:$A$100, ".tsv"), 0)), "notfound")</f>
        <v>10.1159%2F000319019_SupplementaryTable1.tsv</v>
      </c>
      <c r="N18" s="8" t="s">
        <v>110</v>
      </c>
      <c r="P18" s="8" t="s">
        <v>111</v>
      </c>
      <c r="R18" s="8" t="s">
        <v>112</v>
      </c>
      <c r="Z18" s="8" t="s">
        <v>113</v>
      </c>
      <c r="AA18" s="8" t="s">
        <v>54</v>
      </c>
      <c r="AC18" s="8" t="s">
        <v>189</v>
      </c>
      <c r="AD18" s="8" t="s">
        <v>54</v>
      </c>
      <c r="AE18" s="8" t="s">
        <v>114</v>
      </c>
      <c r="AG18" s="8" t="s">
        <v>115</v>
      </c>
      <c r="AK18" s="8" t="s">
        <v>116</v>
      </c>
      <c r="AL18" s="8" t="s">
        <v>40</v>
      </c>
      <c r="AM18" s="8" t="s">
        <v>40</v>
      </c>
    </row>
    <row r="19" spans="1:39" ht="16" customHeight="1" x14ac:dyDescent="0.2">
      <c r="A19" s="2" t="s">
        <v>108</v>
      </c>
      <c r="D19" s="2" t="s">
        <v>117</v>
      </c>
      <c r="E19" t="str">
        <f t="shared" si="0"/>
        <v>9</v>
      </c>
      <c r="F19" t="str">
        <f t="shared" si="1"/>
        <v>Burish_etal_2010</v>
      </c>
      <c r="G19" t="str">
        <f t="shared" si="2"/>
        <v>Burish</v>
      </c>
      <c r="H19" t="str">
        <f t="shared" si="16"/>
        <v>etal</v>
      </c>
      <c r="I19" t="str">
        <f t="shared" si="4"/>
        <v>2010</v>
      </c>
      <c r="J19" t="str">
        <f t="shared" si="5"/>
        <v>10.1159/000319019</v>
      </c>
      <c r="K19" t="str">
        <f t="shared" si="6"/>
        <v>Burish_etal_2010_Table1</v>
      </c>
      <c r="L19" t="str">
        <f t="shared" si="7"/>
        <v>10.1159%2F000319019_Table1</v>
      </c>
      <c r="M19" t="str">
        <f t="array" ref="M19">IFERROR(INDEX(FileList!$A$1:$A$100, MATCH(L19, _xlfn.TEXTBEFORE(FileList!$A$1:$A$100, ".tsv"), 0)), "notfound")</f>
        <v>10.1159%2F000319019_Table1.tsv</v>
      </c>
      <c r="N19" s="8" t="s">
        <v>118</v>
      </c>
      <c r="P19" s="8" t="s">
        <v>44</v>
      </c>
      <c r="Q19" s="8" t="s">
        <v>45</v>
      </c>
      <c r="R19" s="8" t="s">
        <v>119</v>
      </c>
      <c r="T19" s="8" t="s">
        <v>120</v>
      </c>
      <c r="U19" s="8" t="s">
        <v>49</v>
      </c>
      <c r="V19" s="8" t="s">
        <v>39</v>
      </c>
      <c r="X19" s="8" t="s">
        <v>121</v>
      </c>
      <c r="Z19" s="8" t="s">
        <v>122</v>
      </c>
      <c r="AA19" s="8" t="s">
        <v>54</v>
      </c>
      <c r="AC19" s="8" t="s">
        <v>189</v>
      </c>
      <c r="AD19" s="8" t="s">
        <v>54</v>
      </c>
      <c r="AE19" s="8" t="s">
        <v>114</v>
      </c>
      <c r="AG19" s="8" t="s">
        <v>115</v>
      </c>
      <c r="AH19" s="8" t="s">
        <v>123</v>
      </c>
      <c r="AK19" s="8" t="s">
        <v>116</v>
      </c>
      <c r="AL19" s="8" t="s">
        <v>40</v>
      </c>
      <c r="AM19" s="8" t="s">
        <v>40</v>
      </c>
    </row>
    <row r="20" spans="1:39" ht="16" customHeight="1" x14ac:dyDescent="0.2">
      <c r="A20" s="2" t="s">
        <v>124</v>
      </c>
      <c r="D20" s="2" t="s">
        <v>117</v>
      </c>
      <c r="E20" t="str">
        <f t="shared" si="0"/>
        <v>0</v>
      </c>
      <c r="F20" t="str">
        <f t="shared" si="1"/>
        <v>Bush_Allman_2003</v>
      </c>
      <c r="G20" t="str">
        <f t="shared" si="2"/>
        <v>Bush</v>
      </c>
      <c r="H20" t="str">
        <f t="shared" si="16"/>
        <v>Allman</v>
      </c>
      <c r="I20" t="str">
        <f t="shared" si="4"/>
        <v>2003</v>
      </c>
      <c r="J20" t="str">
        <f t="shared" si="5"/>
        <v>10.1159/000068880</v>
      </c>
      <c r="K20" t="str">
        <f t="shared" si="6"/>
        <v>Bush_Allman_2003_Table1</v>
      </c>
      <c r="L20" t="str">
        <f t="shared" si="7"/>
        <v>10.1159%2F000068880_Table1</v>
      </c>
      <c r="M20" t="str">
        <f t="array" ref="M20">IFERROR(INDEX(FileList!$A$1:$A$100, MATCH(L20, _xlfn.TEXTBEFORE(FileList!$A$1:$A$100, ".tsv"), 0)), "notfound")</f>
        <v>10.1159%2F000068880_Table1.tsv</v>
      </c>
      <c r="N20" s="8" t="s">
        <v>126</v>
      </c>
      <c r="P20" s="8" t="s">
        <v>127</v>
      </c>
    </row>
    <row r="21" spans="1:39" ht="16" customHeight="1" x14ac:dyDescent="0.2">
      <c r="A21" s="2" t="s">
        <v>597</v>
      </c>
      <c r="B21" s="2" t="s">
        <v>596</v>
      </c>
      <c r="D21" s="2" t="s">
        <v>125</v>
      </c>
      <c r="E21" t="str">
        <f t="shared" si="0"/>
        <v>1</v>
      </c>
      <c r="F21" t="str">
        <f t="shared" si="1"/>
        <v>Bush_Allman_2004_a</v>
      </c>
      <c r="G21" t="str">
        <f t="shared" si="2"/>
        <v>Bush</v>
      </c>
      <c r="H21" t="str">
        <f t="shared" si="16"/>
        <v>Allman</v>
      </c>
      <c r="I21" t="str">
        <f t="shared" si="4"/>
        <v>2004</v>
      </c>
      <c r="J21" t="str">
        <f t="shared" si="5"/>
        <v>10.1073/pnas.0305760101</v>
      </c>
      <c r="K21" t="str">
        <f t="shared" si="6"/>
        <v>Bush_Allman_2004_a_Table2</v>
      </c>
      <c r="L21" t="str">
        <f t="shared" si="7"/>
        <v>10.1073%2Fpnas.0305760101_Table2</v>
      </c>
      <c r="M21" t="str">
        <f t="array" ref="M21">IFERROR(INDEX(FileList!$A$1:$A$100, MATCH(L21, _xlfn.TEXTBEFORE(FileList!$A$1:$A$100, ".tsv"), 0)), "notfound")</f>
        <v>10.1073%2Fpnas.0305760101_Table2.tsv</v>
      </c>
      <c r="N21" s="8" t="s">
        <v>128</v>
      </c>
      <c r="P21" s="8" t="s">
        <v>129</v>
      </c>
      <c r="R21" s="8" t="s">
        <v>130</v>
      </c>
      <c r="S21" s="8" t="s">
        <v>47</v>
      </c>
      <c r="T21" s="8" t="s">
        <v>131</v>
      </c>
      <c r="U21" s="8" t="s">
        <v>49</v>
      </c>
      <c r="V21" s="8" t="s">
        <v>39</v>
      </c>
      <c r="Y21" s="8" t="s">
        <v>132</v>
      </c>
      <c r="Z21" s="8" t="s">
        <v>53</v>
      </c>
      <c r="AA21" s="8" t="s">
        <v>133</v>
      </c>
      <c r="AB21" s="8" t="s">
        <v>720</v>
      </c>
      <c r="AC21" s="8" t="s">
        <v>84</v>
      </c>
      <c r="AD21" s="8" t="s">
        <v>605</v>
      </c>
      <c r="AG21" s="8" t="s">
        <v>134</v>
      </c>
    </row>
    <row r="22" spans="1:39" ht="16" customHeight="1" x14ac:dyDescent="0.2">
      <c r="A22" s="2" t="s">
        <v>135</v>
      </c>
      <c r="B22" s="2" t="s">
        <v>595</v>
      </c>
      <c r="D22" s="2" t="s">
        <v>42</v>
      </c>
      <c r="E22" t="str">
        <f t="shared" si="0"/>
        <v>4</v>
      </c>
      <c r="F22" t="str">
        <f t="shared" si="1"/>
        <v>Bush_Allman_2004_b</v>
      </c>
      <c r="G22" t="str">
        <f t="shared" si="2"/>
        <v>Bush</v>
      </c>
      <c r="H22" t="str">
        <f t="shared" si="16"/>
        <v>Allman</v>
      </c>
      <c r="I22" t="str">
        <f t="shared" si="4"/>
        <v>2004</v>
      </c>
      <c r="J22" t="str">
        <f t="shared" si="5"/>
        <v>10.1002/ar.a.20114</v>
      </c>
      <c r="K22" t="str">
        <f t="shared" si="6"/>
        <v>Bush_Allman_2004_b_TABLE1</v>
      </c>
      <c r="L22" t="str">
        <f t="shared" si="7"/>
        <v>10.1002%2Far.a.20114_TABLE1</v>
      </c>
      <c r="M22" t="str">
        <f t="array" ref="M22">IFERROR(INDEX(FileList!$A$1:$A$100, MATCH(L22, _xlfn.TEXTBEFORE(FileList!$A$1:$A$100, ".tsv"), 0)), "notfound")</f>
        <v>10.1002%2Far.a.20114_Table1.tsv</v>
      </c>
      <c r="N22" s="8" t="s">
        <v>136</v>
      </c>
      <c r="P22" s="8" t="s">
        <v>129</v>
      </c>
      <c r="R22" s="8" t="s">
        <v>137</v>
      </c>
      <c r="S22" s="8" t="s">
        <v>47</v>
      </c>
      <c r="T22" s="8" t="s">
        <v>138</v>
      </c>
      <c r="U22" s="8" t="s">
        <v>49</v>
      </c>
      <c r="V22" s="8" t="s">
        <v>39</v>
      </c>
      <c r="Y22" s="8" t="s">
        <v>139</v>
      </c>
      <c r="Z22" s="8" t="s">
        <v>53</v>
      </c>
      <c r="AA22" s="8" t="s">
        <v>133</v>
      </c>
      <c r="AB22" s="8" t="s">
        <v>720</v>
      </c>
      <c r="AC22" s="8" t="s">
        <v>140</v>
      </c>
      <c r="AD22" s="8" t="s">
        <v>605</v>
      </c>
      <c r="AG22" s="8" t="s">
        <v>141</v>
      </c>
    </row>
    <row r="23" spans="1:39" ht="16" customHeight="1" x14ac:dyDescent="0.2">
      <c r="A23" s="2" t="s">
        <v>142</v>
      </c>
      <c r="D23" s="2" t="s">
        <v>143</v>
      </c>
      <c r="E23" t="str">
        <f t="shared" si="0"/>
        <v>5</v>
      </c>
      <c r="F23" t="str">
        <f t="shared" si="1"/>
        <v>Caspar_etal_2022</v>
      </c>
      <c r="G23" t="str">
        <f t="shared" si="2"/>
        <v>Caspar</v>
      </c>
      <c r="H23" t="str">
        <f t="shared" si="16"/>
        <v>etal</v>
      </c>
      <c r="I23" t="str">
        <f t="shared" si="4"/>
        <v>2022</v>
      </c>
      <c r="J23" t="str">
        <f t="shared" si="5"/>
        <v>10.7554/eLife.77875</v>
      </c>
      <c r="K23" t="str">
        <f t="shared" si="6"/>
        <v>Caspar_etal_2022_Supplementaryfile3</v>
      </c>
      <c r="L23" t="str">
        <f t="shared" si="7"/>
        <v>10.7554%2FeLife.77875_Supplementaryfile3</v>
      </c>
      <c r="M23" t="str">
        <f t="array" ref="M23">IFERROR(INDEX(FileList!$A$1:$A$100, MATCH(L23, _xlfn.TEXTBEFORE(FileList!$A$1:$A$100, ".tsv"), 0)), "notfound")</f>
        <v>10.7554%2FeLife.77875_Supplementaryfile3.tsv</v>
      </c>
      <c r="N23" s="8" t="s">
        <v>144</v>
      </c>
      <c r="P23" s="8" t="s">
        <v>44</v>
      </c>
      <c r="Q23" s="8" t="s">
        <v>45</v>
      </c>
      <c r="R23" s="8" t="s">
        <v>145</v>
      </c>
      <c r="S23" s="8" t="s">
        <v>99</v>
      </c>
      <c r="T23" s="8" t="str">
        <f>IF(S23="N", R23, "write file name")</f>
        <v>elife-77875-supp3-v1.xlsx</v>
      </c>
      <c r="U23" s="8" t="s">
        <v>146</v>
      </c>
      <c r="V23" s="8" t="s">
        <v>39</v>
      </c>
      <c r="W23" s="8" t="s">
        <v>147</v>
      </c>
      <c r="X23" s="8" t="s">
        <v>148</v>
      </c>
      <c r="Y23" s="8" t="s">
        <v>149</v>
      </c>
      <c r="Z23" s="8" t="s">
        <v>103</v>
      </c>
      <c r="AG23" s="8" t="s">
        <v>141</v>
      </c>
      <c r="AK23" s="8" t="s">
        <v>86</v>
      </c>
      <c r="AL23" s="8" t="s">
        <v>103</v>
      </c>
      <c r="AM23" s="8" t="s">
        <v>150</v>
      </c>
    </row>
    <row r="24" spans="1:39" ht="16" customHeight="1" x14ac:dyDescent="0.2">
      <c r="A24" s="2" t="s">
        <v>142</v>
      </c>
      <c r="D24" s="2" t="s">
        <v>117</v>
      </c>
      <c r="E24" t="str">
        <f t="shared" si="0"/>
        <v>5</v>
      </c>
      <c r="F24" t="str">
        <f t="shared" si="1"/>
        <v>Caspar_etal_2022</v>
      </c>
      <c r="G24" t="str">
        <f t="shared" si="2"/>
        <v>Caspar</v>
      </c>
      <c r="H24" t="str">
        <f t="shared" si="16"/>
        <v>etal</v>
      </c>
      <c r="I24" t="str">
        <f t="shared" si="4"/>
        <v>2022</v>
      </c>
      <c r="J24" t="str">
        <f t="shared" si="5"/>
        <v>10.7554/eLife.77875</v>
      </c>
      <c r="K24" t="str">
        <f t="shared" si="6"/>
        <v>Caspar_etal_2022_Table1</v>
      </c>
      <c r="L24" t="str">
        <f t="shared" si="7"/>
        <v>10.7554%2FeLife.77875_Table1</v>
      </c>
      <c r="M24" t="str">
        <f t="array" ref="M24">IFERROR(INDEX(FileList!$A$1:$A$100, MATCH(L24, _xlfn.TEXTBEFORE(FileList!$A$1:$A$100, ".tsv"), 0)), "notfound")</f>
        <v>10.7554%2FeLife.77875_Table1.tsv</v>
      </c>
      <c r="N24" s="8" t="s">
        <v>151</v>
      </c>
      <c r="P24" s="8" t="s">
        <v>44</v>
      </c>
      <c r="Q24" s="8" t="s">
        <v>45</v>
      </c>
      <c r="R24" s="8" t="s">
        <v>152</v>
      </c>
      <c r="S24" s="8" t="s">
        <v>47</v>
      </c>
      <c r="T24" s="8" t="s">
        <v>153</v>
      </c>
      <c r="U24" s="8" t="s">
        <v>49</v>
      </c>
      <c r="V24" s="8" t="s">
        <v>39</v>
      </c>
      <c r="W24" s="8" t="s">
        <v>154</v>
      </c>
      <c r="X24" s="8" t="s">
        <v>155</v>
      </c>
      <c r="Y24" s="8" t="s">
        <v>156</v>
      </c>
      <c r="Z24" s="8" t="s">
        <v>157</v>
      </c>
      <c r="AF24" s="8" t="s">
        <v>158</v>
      </c>
      <c r="AG24" s="8" t="s">
        <v>141</v>
      </c>
      <c r="AK24" s="8" t="s">
        <v>86</v>
      </c>
      <c r="AL24" s="8" t="s">
        <v>103</v>
      </c>
      <c r="AM24" s="8" t="s">
        <v>159</v>
      </c>
    </row>
    <row r="25" spans="1:39" ht="16" customHeight="1" x14ac:dyDescent="0.2">
      <c r="A25" s="2" t="s">
        <v>160</v>
      </c>
      <c r="D25" s="2" t="s">
        <v>161</v>
      </c>
      <c r="E25" t="str">
        <f t="shared" si="0"/>
        <v>5</v>
      </c>
      <c r="F25" t="str">
        <f t="shared" si="1"/>
        <v>Changizi__2001</v>
      </c>
      <c r="G25" t="str">
        <f t="shared" si="2"/>
        <v>Changizi</v>
      </c>
      <c r="H25" t="str">
        <f t="shared" si="16"/>
        <v/>
      </c>
      <c r="I25" t="str">
        <f t="shared" si="4"/>
        <v>2001</v>
      </c>
      <c r="J25" t="str">
        <f t="shared" si="5"/>
        <v>10.1007/s004220000205</v>
      </c>
      <c r="K25" t="str">
        <f t="shared" si="6"/>
        <v>Changizi__2001_Figure3</v>
      </c>
      <c r="L25" t="str">
        <f t="shared" ref="L25:L32" si="33">IF(ISBLANK(C25),TRIM(SUBSTITUTE(SUBSTITUTE(SUBSTITUTE(_xlfn.TEXTJOIN("_", FALSE, J25, SUBSTITUTE(D25,"_", "")), "/", "%2F"), ":", "%3A"), " ", "")),TRIM(SUBSTITUTE(SUBSTITUTE(SUBSTITUTE(_xlfn.TEXTJOIN("_", FALSE, C25, SUBSTITUTE(D25,"_", "")), "/", "%2F"), ":", "%3A"), " ", "")))</f>
        <v>10.1007%2Fs004220000205_Figure3</v>
      </c>
      <c r="M25" t="str">
        <f t="array" ref="M25">IFERROR(INDEX(FileList!$A$1:$A$100, MATCH(L25, _xlfn.TEXTBEFORE(FileList!$A$1:$A$100, ".tsv"), 0)), "notfound")</f>
        <v>10.1007%2Fs004220000205_Figure3.tsv</v>
      </c>
      <c r="P25" s="8" t="s">
        <v>162</v>
      </c>
      <c r="Q25" s="8" t="s">
        <v>163</v>
      </c>
      <c r="R25" s="8" t="s">
        <v>164</v>
      </c>
      <c r="S25" s="8" t="s">
        <v>47</v>
      </c>
      <c r="T25" s="8" t="s">
        <v>165</v>
      </c>
      <c r="U25" s="8" t="s">
        <v>49</v>
      </c>
      <c r="V25" s="8" t="s">
        <v>166</v>
      </c>
      <c r="W25" s="8" t="s">
        <v>167</v>
      </c>
      <c r="Y25" s="8" t="s">
        <v>168</v>
      </c>
      <c r="Z25" s="8" t="s">
        <v>169</v>
      </c>
      <c r="AF25" s="8" t="s">
        <v>170</v>
      </c>
      <c r="AK25" s="8" t="s">
        <v>106</v>
      </c>
      <c r="AL25" s="8" t="s">
        <v>103</v>
      </c>
      <c r="AM25" s="8" t="s">
        <v>171</v>
      </c>
    </row>
    <row r="26" spans="1:39" ht="16" customHeight="1" x14ac:dyDescent="0.2">
      <c r="A26" s="2" t="s">
        <v>172</v>
      </c>
      <c r="D26" s="2" t="s">
        <v>173</v>
      </c>
      <c r="E26" t="str">
        <f t="shared" si="0"/>
        <v>3</v>
      </c>
      <c r="F26" t="str">
        <f t="shared" si="1"/>
        <v>Chen_Wiens_2020</v>
      </c>
      <c r="G26" t="str">
        <f t="shared" si="2"/>
        <v>Chen</v>
      </c>
      <c r="H26" t="str">
        <f t="shared" si="16"/>
        <v>Wiens</v>
      </c>
      <c r="I26" t="str">
        <f t="shared" si="4"/>
        <v>2020</v>
      </c>
      <c r="J26" t="str">
        <f t="shared" si="5"/>
        <v>10.1038/s41467-020-14356-3</v>
      </c>
      <c r="K26" t="str">
        <f t="shared" si="6"/>
        <v>Chen_Wiens_2020_SupplementaryData3</v>
      </c>
      <c r="L26" t="str">
        <f t="shared" si="33"/>
        <v>10.1038%2Fs41467-020-14356-3_SupplementaryData3</v>
      </c>
      <c r="M26" t="str">
        <f t="array" ref="M26">IFERROR(INDEX(FileList!$A$1:$A$100, MATCH(L26, _xlfn.TEXTBEFORE(FileList!$A$1:$A$100, ".tsv"), 0)), "notfound")</f>
        <v>10.1038%2Fs41467-020-14356-3_SupplementaryData3.tsv</v>
      </c>
      <c r="P26" s="8" t="s">
        <v>44</v>
      </c>
      <c r="Q26" s="8" t="s">
        <v>45</v>
      </c>
      <c r="R26" s="8" t="s">
        <v>174</v>
      </c>
      <c r="S26" s="8" t="s">
        <v>99</v>
      </c>
      <c r="T26" s="8" t="str">
        <f>IF(S26="N", R26, "write file name")</f>
        <v>41467_2020_14356_MOESM6_ESM.xlsx</v>
      </c>
      <c r="U26" s="8" t="s">
        <v>146</v>
      </c>
      <c r="V26" s="8" t="s">
        <v>39</v>
      </c>
      <c r="W26" s="8" t="s">
        <v>147</v>
      </c>
      <c r="X26" s="8" t="s">
        <v>175</v>
      </c>
      <c r="Y26" s="8" t="s">
        <v>176</v>
      </c>
      <c r="Z26" s="8" t="s">
        <v>103</v>
      </c>
      <c r="AE26" s="8" t="s">
        <v>177</v>
      </c>
      <c r="AF26" s="8" t="s">
        <v>178</v>
      </c>
      <c r="AG26" s="8" t="s">
        <v>179</v>
      </c>
      <c r="AK26" s="8" t="s">
        <v>180</v>
      </c>
      <c r="AL26" s="8" t="s">
        <v>103</v>
      </c>
      <c r="AM26" s="8" t="s">
        <v>181</v>
      </c>
    </row>
    <row r="27" spans="1:39" ht="16" customHeight="1" x14ac:dyDescent="0.2">
      <c r="A27" s="2" t="s">
        <v>182</v>
      </c>
      <c r="D27" s="2" t="s">
        <v>183</v>
      </c>
      <c r="E27" t="str">
        <f t="shared" si="0"/>
        <v>7</v>
      </c>
      <c r="F27" t="str">
        <f t="shared" si="1"/>
        <v>Collins_etal_2010</v>
      </c>
      <c r="G27" t="str">
        <f t="shared" si="2"/>
        <v>Collins</v>
      </c>
      <c r="H27" t="str">
        <f t="shared" si="16"/>
        <v>etal</v>
      </c>
      <c r="I27" t="str">
        <f t="shared" si="4"/>
        <v>2010</v>
      </c>
      <c r="J27" t="str">
        <f t="shared" si="5"/>
        <v>10.1073/pnas.1010356107</v>
      </c>
      <c r="K27" t="str">
        <f t="shared" si="6"/>
        <v>Collins_etal_2010_DatasetS1</v>
      </c>
      <c r="L27" t="str">
        <f t="shared" si="33"/>
        <v>10.1073%2Fpnas.1010356107_DatasetS1</v>
      </c>
      <c r="M27" t="str">
        <f t="array" ref="M27">IFERROR(INDEX(FileList!$A$1:$A$100, MATCH(L27, _xlfn.TEXTBEFORE(FileList!$A$1:$A$100, ".tsv"), 0)), "notfound")</f>
        <v>notfound</v>
      </c>
      <c r="Y27" s="8" t="s">
        <v>184</v>
      </c>
      <c r="Z27" s="8" t="s">
        <v>53</v>
      </c>
      <c r="AA27" s="8" t="s">
        <v>188</v>
      </c>
      <c r="AK27" s="8" t="s">
        <v>86</v>
      </c>
      <c r="AL27" s="8" t="s">
        <v>53</v>
      </c>
      <c r="AM27" s="8" t="s">
        <v>92</v>
      </c>
    </row>
    <row r="28" spans="1:39" ht="16" customHeight="1" x14ac:dyDescent="0.2">
      <c r="A28" s="2" t="s">
        <v>185</v>
      </c>
      <c r="D28" s="2" t="s">
        <v>69</v>
      </c>
      <c r="E28" t="str">
        <f t="shared" si="0"/>
        <v>3</v>
      </c>
      <c r="F28" t="str">
        <f t="shared" si="1"/>
        <v>Collins_etal_2016</v>
      </c>
      <c r="G28" t="str">
        <f t="shared" si="2"/>
        <v>Collins</v>
      </c>
      <c r="H28" t="str">
        <f t="shared" si="16"/>
        <v>etal</v>
      </c>
      <c r="I28" t="str">
        <f t="shared" si="4"/>
        <v>2016</v>
      </c>
      <c r="J28" t="str">
        <f t="shared" si="5"/>
        <v>10.1073/pnas.1524208113</v>
      </c>
      <c r="K28" t="str">
        <f t="shared" si="6"/>
        <v>Collins_etal_2016_Table1</v>
      </c>
      <c r="L28" t="str">
        <f t="shared" si="33"/>
        <v>10.1073%2Fpnas.1524208113_Table1</v>
      </c>
      <c r="M28" t="str">
        <f t="array" ref="M28">IFERROR(INDEX(FileList!$A$1:$A$100, MATCH(L28, _xlfn.TEXTBEFORE(FileList!$A$1:$A$100, ".tsv"), 0)), "notfound")</f>
        <v>notfound</v>
      </c>
      <c r="N28" s="8" t="s">
        <v>186</v>
      </c>
      <c r="V28" s="8" t="s">
        <v>39</v>
      </c>
      <c r="Y28" s="8" t="s">
        <v>187</v>
      </c>
      <c r="Z28" s="8" t="s">
        <v>53</v>
      </c>
      <c r="AA28" s="8" t="s">
        <v>188</v>
      </c>
      <c r="AC28" s="8" t="s">
        <v>189</v>
      </c>
      <c r="AD28" s="8" t="s">
        <v>54</v>
      </c>
      <c r="AK28" s="8" t="s">
        <v>86</v>
      </c>
      <c r="AL28" s="8" t="s">
        <v>53</v>
      </c>
      <c r="AM28" s="8" t="s">
        <v>190</v>
      </c>
    </row>
    <row r="29" spans="1:39" ht="16" customHeight="1" x14ac:dyDescent="0.2">
      <c r="A29" s="2" t="s">
        <v>191</v>
      </c>
      <c r="D29" s="2" t="s">
        <v>69</v>
      </c>
      <c r="E29" t="str">
        <f t="shared" si="0"/>
        <v>5</v>
      </c>
      <c r="F29" t="str">
        <f t="shared" si="1"/>
        <v>deSousa_etal_2013</v>
      </c>
      <c r="G29" t="str">
        <f t="shared" si="2"/>
        <v>deSousa</v>
      </c>
      <c r="H29" t="str">
        <f t="shared" si="16"/>
        <v>etal</v>
      </c>
      <c r="I29" t="str">
        <f t="shared" si="4"/>
        <v>2013</v>
      </c>
      <c r="J29" t="str">
        <f t="shared" si="5"/>
        <v>10.1159/000346495</v>
      </c>
      <c r="K29" t="str">
        <f t="shared" si="6"/>
        <v>deSousa_etal_2013_Table1</v>
      </c>
      <c r="L29" t="str">
        <f t="shared" si="33"/>
        <v>10.1159%2F000346495_Table1</v>
      </c>
      <c r="M29" t="str">
        <f t="array" ref="M29">IFERROR(INDEX(FileList!$A$1:$A$100, MATCH(L29, _xlfn.TEXTBEFORE(FileList!$A$1:$A$100, ".tsv"), 0)), "notfound")</f>
        <v>10.1159%2F000346495_Table1.tsv</v>
      </c>
      <c r="N29" s="8" t="s">
        <v>192</v>
      </c>
      <c r="P29" s="8" t="s">
        <v>129</v>
      </c>
      <c r="R29" s="8" t="s">
        <v>193</v>
      </c>
      <c r="S29" s="8" t="s">
        <v>47</v>
      </c>
      <c r="T29" s="8" t="s">
        <v>194</v>
      </c>
      <c r="U29" s="8" t="s">
        <v>49</v>
      </c>
      <c r="V29" s="8" t="s">
        <v>39</v>
      </c>
      <c r="Y29" s="8" t="s">
        <v>195</v>
      </c>
      <c r="Z29" s="8" t="s">
        <v>53</v>
      </c>
      <c r="AA29" s="8" t="s">
        <v>607</v>
      </c>
      <c r="AB29" s="8" t="s">
        <v>720</v>
      </c>
      <c r="AC29" s="8" t="s">
        <v>84</v>
      </c>
      <c r="AD29" s="8" t="s">
        <v>606</v>
      </c>
      <c r="AG29" s="8" t="s">
        <v>196</v>
      </c>
      <c r="AK29" s="8" t="s">
        <v>197</v>
      </c>
      <c r="AL29" s="8" t="s">
        <v>53</v>
      </c>
      <c r="AM29" s="8" t="s">
        <v>63</v>
      </c>
    </row>
    <row r="30" spans="1:39" ht="16" customHeight="1" x14ac:dyDescent="0.2">
      <c r="A30" s="2" t="s">
        <v>198</v>
      </c>
      <c r="D30" s="2" t="s">
        <v>199</v>
      </c>
      <c r="E30" t="str">
        <f t="shared" si="0"/>
        <v>1</v>
      </c>
      <c r="F30" t="str">
        <f t="shared" si="1"/>
        <v>deSousa_etal_2010</v>
      </c>
      <c r="G30" t="str">
        <f t="shared" si="2"/>
        <v>deSousa</v>
      </c>
      <c r="H30" t="str">
        <f t="shared" si="16"/>
        <v>etal</v>
      </c>
      <c r="I30" t="str">
        <f t="shared" si="4"/>
        <v>2010</v>
      </c>
      <c r="J30" t="str">
        <f t="shared" si="5"/>
        <v>10.1016/j.jhevol.2009.11.011</v>
      </c>
      <c r="K30" t="str">
        <f t="shared" si="6"/>
        <v>deSousa_etal_2010_SupTable2</v>
      </c>
      <c r="L30" t="str">
        <f t="shared" si="33"/>
        <v>10.1016%2Fj.jhevol.2009.11.011_SupTable2</v>
      </c>
      <c r="M30" t="str">
        <f t="array" ref="M30">IFERROR(INDEX(FileList!$A$1:$A$100, MATCH(L30, _xlfn.TEXTBEFORE(FileList!$A$1:$A$100, ".tsv"), 0)), "notfound")</f>
        <v>notfound</v>
      </c>
      <c r="N30" s="8" t="s">
        <v>200</v>
      </c>
      <c r="O30" s="8" t="s">
        <v>201</v>
      </c>
      <c r="P30" s="8" t="s">
        <v>44</v>
      </c>
      <c r="R30" s="8" t="s">
        <v>202</v>
      </c>
      <c r="S30" s="8" t="s">
        <v>47</v>
      </c>
      <c r="T30" s="8" t="s">
        <v>203</v>
      </c>
      <c r="V30" s="8" t="s">
        <v>204</v>
      </c>
      <c r="X30" s="8" t="s">
        <v>205</v>
      </c>
      <c r="Y30" s="8" t="s">
        <v>206</v>
      </c>
      <c r="Z30" s="8" t="s">
        <v>53</v>
      </c>
      <c r="AA30" s="8" t="s">
        <v>607</v>
      </c>
      <c r="AB30" s="8" t="s">
        <v>720</v>
      </c>
      <c r="AC30" s="8" t="s">
        <v>84</v>
      </c>
      <c r="AD30" s="8" t="s">
        <v>606</v>
      </c>
      <c r="AF30" s="8" t="s">
        <v>207</v>
      </c>
      <c r="AG30" s="8" t="s">
        <v>208</v>
      </c>
      <c r="AH30" s="8" t="s">
        <v>209</v>
      </c>
      <c r="AI30" s="8" t="s">
        <v>210</v>
      </c>
      <c r="AK30" s="8" t="s">
        <v>197</v>
      </c>
      <c r="AL30" s="8" t="s">
        <v>53</v>
      </c>
      <c r="AM30" s="8" t="s">
        <v>63</v>
      </c>
    </row>
    <row r="31" spans="1:39" ht="16" customHeight="1" x14ac:dyDescent="0.2">
      <c r="A31" s="2" t="s">
        <v>198</v>
      </c>
      <c r="D31" s="2" t="s">
        <v>69</v>
      </c>
      <c r="E31" t="str">
        <f t="shared" si="0"/>
        <v>1</v>
      </c>
      <c r="F31" t="str">
        <f t="shared" si="1"/>
        <v>deSousa_etal_2010</v>
      </c>
      <c r="G31" t="str">
        <f t="shared" si="2"/>
        <v>deSousa</v>
      </c>
      <c r="H31" t="str">
        <f t="shared" si="16"/>
        <v>etal</v>
      </c>
      <c r="I31" t="str">
        <f t="shared" si="4"/>
        <v>2010</v>
      </c>
      <c r="J31" t="str">
        <f t="shared" si="5"/>
        <v>10.1016/j.jhevol.2009.11.011</v>
      </c>
      <c r="K31" t="str">
        <f t="shared" si="6"/>
        <v>deSousa_etal_2010_Table1</v>
      </c>
      <c r="L31" t="str">
        <f t="shared" si="33"/>
        <v>10.1016%2Fj.jhevol.2009.11.011_Table1</v>
      </c>
      <c r="M31" t="str">
        <f t="array" ref="M31">IFERROR(INDEX(FileList!$A$1:$A$100, MATCH(L31, _xlfn.TEXTBEFORE(FileList!$A$1:$A$100, ".tsv"), 0)), "notfound")</f>
        <v>10.1016%2Fj.jhevol.2009.11.011_Table1.tsv</v>
      </c>
      <c r="N31" s="8" t="s">
        <v>211</v>
      </c>
      <c r="V31" s="8" t="s">
        <v>39</v>
      </c>
      <c r="Y31" s="8" t="s">
        <v>212</v>
      </c>
      <c r="Z31" s="8" t="s">
        <v>53</v>
      </c>
      <c r="AA31" s="8" t="s">
        <v>607</v>
      </c>
      <c r="AB31" s="8" t="s">
        <v>721</v>
      </c>
      <c r="AC31" s="8" t="s">
        <v>84</v>
      </c>
      <c r="AD31" s="8" t="s">
        <v>606</v>
      </c>
      <c r="AK31" s="8" t="s">
        <v>197</v>
      </c>
      <c r="AL31" s="8" t="s">
        <v>53</v>
      </c>
      <c r="AM31" s="8" t="s">
        <v>63</v>
      </c>
    </row>
    <row r="32" spans="1:39" ht="16" customHeight="1" x14ac:dyDescent="0.2">
      <c r="A32" s="2" t="s">
        <v>213</v>
      </c>
      <c r="D32" s="2" t="s">
        <v>214</v>
      </c>
      <c r="E32" t="str">
        <f t="shared" si="0"/>
        <v>0</v>
      </c>
      <c r="F32" t="str">
        <f t="shared" si="1"/>
        <v>DeCasien_Higham_2019</v>
      </c>
      <c r="G32" t="str">
        <f t="shared" si="2"/>
        <v>DeCasien</v>
      </c>
      <c r="H32" t="str">
        <f t="shared" si="16"/>
        <v>Higham</v>
      </c>
      <c r="I32" t="str">
        <f t="shared" si="4"/>
        <v>2019</v>
      </c>
      <c r="J32" t="str">
        <f t="shared" si="5"/>
        <v>10.1038/s41559-019-0969-0</v>
      </c>
      <c r="K32" t="str">
        <f t="shared" si="6"/>
        <v>DeCasien_Higham_2019_SupplementaryData1-BrainRegion</v>
      </c>
      <c r="L32" t="str">
        <f t="shared" si="33"/>
        <v>10.1038%2Fs41559-019-0969-0_SupplementaryData1-BrainRegion</v>
      </c>
      <c r="M32" t="str">
        <f t="array" ref="M32">IFERROR(INDEX(FileList!$A$1:$A$100, MATCH(L32, _xlfn.TEXTBEFORE(FileList!$A$1:$A$100, ".tsv"), 0)), "notfound")</f>
        <v>notfound</v>
      </c>
      <c r="N32" s="8" t="s">
        <v>215</v>
      </c>
      <c r="U32" s="8" t="s">
        <v>146</v>
      </c>
      <c r="V32" s="8" t="s">
        <v>216</v>
      </c>
      <c r="W32" s="8" t="s">
        <v>147</v>
      </c>
      <c r="X32" s="8" t="s">
        <v>217</v>
      </c>
      <c r="Y32" s="8" t="s">
        <v>218</v>
      </c>
      <c r="Z32" s="8" t="s">
        <v>103</v>
      </c>
      <c r="AB32" s="8" t="s">
        <v>720</v>
      </c>
      <c r="AF32" s="8" t="s">
        <v>219</v>
      </c>
      <c r="AG32" s="8" t="s">
        <v>141</v>
      </c>
      <c r="AK32" s="8" t="s">
        <v>86</v>
      </c>
      <c r="AL32" s="8" t="s">
        <v>103</v>
      </c>
      <c r="AM32" s="8" t="s">
        <v>63</v>
      </c>
    </row>
    <row r="33" spans="1:39" ht="16" customHeight="1" x14ac:dyDescent="0.2">
      <c r="A33" s="2" t="s">
        <v>213</v>
      </c>
      <c r="D33" s="2" t="s">
        <v>220</v>
      </c>
      <c r="E33" t="str">
        <f t="shared" si="0"/>
        <v>0</v>
      </c>
      <c r="F33" t="str">
        <f t="shared" si="1"/>
        <v>DeCasien_Higham_2019</v>
      </c>
      <c r="G33" t="str">
        <f t="shared" si="2"/>
        <v>DeCasien</v>
      </c>
      <c r="H33" t="str">
        <f t="shared" si="16"/>
        <v>Higham</v>
      </c>
      <c r="I33" t="str">
        <f t="shared" si="4"/>
        <v>2019</v>
      </c>
      <c r="J33" t="str">
        <f t="shared" si="5"/>
        <v>10.1038/s41559-019-0969-0</v>
      </c>
      <c r="K33" t="str">
        <f>TRIM(_xlfn.TEXTJOIN("_",FALSE,F33,(SUBSTITUTE(SUBSTITUTE(D34," ",""), "_", ""))))</f>
        <v>DeCasien_Higham_2019_SupplementaryData1-Diet</v>
      </c>
      <c r="L33" t="str">
        <f>IF(ISBLANK(C33),TRIM(SUBSTITUTE(SUBSTITUTE(SUBSTITUTE(_xlfn.TEXTJOIN("_", FALSE, J33, SUBSTITUTE(D34,"_", "")), "/", "%2F"), ":", "%3A"), " ", "")),TRIM(SUBSTITUTE(SUBSTITUTE(SUBSTITUTE(_xlfn.TEXTJOIN("_", FALSE, C33, SUBSTITUTE(D34,"_", "")), "/", "%2F"), ":", "%3A"), " ", "")))</f>
        <v>10.1038%2Fs41559-019-0969-0_SupplementaryData1-Diet</v>
      </c>
      <c r="M33" t="str">
        <f t="array" ref="M33">IFERROR(INDEX(FileList!$A$1:$A$100, MATCH(L33, _xlfn.TEXTBEFORE(FileList!$A$1:$A$100, ".tsv"), 0)), "notfound")</f>
        <v>notfound</v>
      </c>
      <c r="N33" s="8" t="s">
        <v>215</v>
      </c>
      <c r="U33" s="8" t="s">
        <v>146</v>
      </c>
      <c r="V33" s="8" t="s">
        <v>216</v>
      </c>
      <c r="W33" s="8" t="s">
        <v>147</v>
      </c>
      <c r="X33" s="8" t="s">
        <v>217</v>
      </c>
      <c r="Y33" s="8" t="s">
        <v>221</v>
      </c>
      <c r="Z33" s="8" t="s">
        <v>103</v>
      </c>
      <c r="AB33" s="8" t="s">
        <v>720</v>
      </c>
      <c r="AG33" s="8" t="s">
        <v>141</v>
      </c>
      <c r="AK33" s="8" t="s">
        <v>86</v>
      </c>
      <c r="AL33" s="8" t="s">
        <v>103</v>
      </c>
      <c r="AM33" s="8" t="s">
        <v>222</v>
      </c>
    </row>
    <row r="34" spans="1:39" ht="15" customHeight="1" x14ac:dyDescent="0.2">
      <c r="A34" s="2" t="s">
        <v>213</v>
      </c>
      <c r="D34" s="2" t="s">
        <v>223</v>
      </c>
      <c r="E34" t="str">
        <f t="shared" si="0"/>
        <v>0</v>
      </c>
      <c r="F34" t="str">
        <f t="shared" si="1"/>
        <v>DeCasien_Higham_2019</v>
      </c>
      <c r="G34" t="str">
        <f t="shared" si="2"/>
        <v>DeCasien</v>
      </c>
      <c r="H34" t="str">
        <f t="shared" si="16"/>
        <v>Higham</v>
      </c>
      <c r="I34" t="str">
        <f t="shared" si="4"/>
        <v>2019</v>
      </c>
      <c r="J34" t="str">
        <f t="shared" si="5"/>
        <v>10.1038/s41559-019-0969-0</v>
      </c>
      <c r="K34" t="str">
        <f>TRIM(_xlfn.TEXTJOIN("_",FALSE,F34,(SUBSTITUTE(SUBSTITUTE(D35," ",""), "_", ""))))</f>
        <v>DeCasien_Higham_2019_SupplementaryData1-SocialSystem</v>
      </c>
      <c r="L34" t="str">
        <f>IF(ISBLANK(C34),TRIM(SUBSTITUTE(SUBSTITUTE(SUBSTITUTE(_xlfn.TEXTJOIN("_", FALSE, J34, SUBSTITUTE(D35,"_", "")), "/", "%2F"), ":", "%3A"), " ", "")),TRIM(SUBSTITUTE(SUBSTITUTE(SUBSTITUTE(_xlfn.TEXTJOIN("_", FALSE, C34, SUBSTITUTE(D35,"_", "")), "/", "%2F"), ":", "%3A"), " ", "")))</f>
        <v>10.1038%2Fs41559-019-0969-0_SupplementaryData1-SocialSystem</v>
      </c>
      <c r="M34" t="str">
        <f t="array" ref="M34">IFERROR(INDEX(FileList!$A$1:$A$100, MATCH(L34, _xlfn.TEXTBEFORE(FileList!$A$1:$A$100, ".tsv"), 0)), "notfound")</f>
        <v>notfound</v>
      </c>
      <c r="N34" s="8" t="s">
        <v>215</v>
      </c>
      <c r="U34" s="8" t="s">
        <v>146</v>
      </c>
      <c r="V34" s="8" t="s">
        <v>216</v>
      </c>
      <c r="W34" s="8" t="s">
        <v>147</v>
      </c>
      <c r="X34" s="8" t="s">
        <v>217</v>
      </c>
      <c r="Y34" s="8" t="s">
        <v>224</v>
      </c>
      <c r="Z34" s="8" t="s">
        <v>103</v>
      </c>
      <c r="AB34" s="8" t="s">
        <v>720</v>
      </c>
      <c r="AG34" s="8" t="s">
        <v>141</v>
      </c>
      <c r="AK34" s="8" t="s">
        <v>86</v>
      </c>
      <c r="AL34" s="8" t="s">
        <v>103</v>
      </c>
      <c r="AM34" s="8" t="s">
        <v>225</v>
      </c>
    </row>
    <row r="35" spans="1:39" ht="16" customHeight="1" x14ac:dyDescent="0.2">
      <c r="A35" s="2" t="s">
        <v>213</v>
      </c>
      <c r="D35" s="2" t="s">
        <v>226</v>
      </c>
      <c r="E35" t="str">
        <f t="shared" si="0"/>
        <v>0</v>
      </c>
      <c r="F35" t="str">
        <f t="shared" si="1"/>
        <v>DeCasien_Higham_2019</v>
      </c>
      <c r="G35" t="str">
        <f t="shared" si="2"/>
        <v>DeCasien</v>
      </c>
      <c r="H35" t="str">
        <f t="shared" si="16"/>
        <v>Higham</v>
      </c>
      <c r="I35" t="str">
        <f t="shared" si="4"/>
        <v>2019</v>
      </c>
      <c r="J35" t="str">
        <f t="shared" si="5"/>
        <v>10.1038/s41559-019-0969-0</v>
      </c>
      <c r="K35" t="str">
        <f t="shared" ref="K35:K42" si="34">TRIM(_xlfn.TEXTJOIN("_",FALSE,F35,(SUBSTITUTE(SUBSTITUTE(D35," ",""), "_", ""))))</f>
        <v>DeCasien_Higham_2019_SupplementaryData1-SocialSystem</v>
      </c>
      <c r="L35" t="str">
        <f t="shared" ref="L35:L42" si="35">IF(ISBLANK(C35),TRIM(SUBSTITUTE(SUBSTITUTE(SUBSTITUTE(_xlfn.TEXTJOIN("_", FALSE, J35, SUBSTITUTE(D35,"_", "")), "/", "%2F"), ":", "%3A"), " ", "")),TRIM(SUBSTITUTE(SUBSTITUTE(SUBSTITUTE(_xlfn.TEXTJOIN("_", FALSE, C35, SUBSTITUTE(D35,"_", "")), "/", "%2F"), ":", "%3A"), " ", "")))</f>
        <v>10.1038%2Fs41559-019-0969-0_SupplementaryData1-SocialSystem</v>
      </c>
      <c r="M35" t="str">
        <f t="array" ref="M35">IFERROR(INDEX(FileList!$A$1:$A$100, MATCH(L35, _xlfn.TEXTBEFORE(FileList!$A$1:$A$100, ".tsv"), 0)), "notfound")</f>
        <v>notfound</v>
      </c>
      <c r="N35" s="8" t="s">
        <v>215</v>
      </c>
      <c r="U35" s="8" t="s">
        <v>146</v>
      </c>
      <c r="V35" s="8" t="s">
        <v>216</v>
      </c>
      <c r="W35" s="8" t="s">
        <v>147</v>
      </c>
      <c r="X35" s="8" t="s">
        <v>217</v>
      </c>
      <c r="Y35" s="8" t="s">
        <v>227</v>
      </c>
      <c r="Z35" s="8" t="s">
        <v>103</v>
      </c>
      <c r="AB35" s="8" t="s">
        <v>720</v>
      </c>
      <c r="AG35" s="8" t="s">
        <v>141</v>
      </c>
      <c r="AK35" s="8" t="s">
        <v>86</v>
      </c>
      <c r="AL35" s="8" t="s">
        <v>103</v>
      </c>
      <c r="AM35" s="8" t="s">
        <v>228</v>
      </c>
    </row>
    <row r="36" spans="1:39" ht="16" customHeight="1" x14ac:dyDescent="0.2">
      <c r="A36" s="2" t="s">
        <v>229</v>
      </c>
      <c r="D36" s="2" t="s">
        <v>117</v>
      </c>
      <c r="E36" t="str">
        <f t="shared" si="0"/>
        <v>0</v>
      </c>
      <c r="F36" t="str">
        <f t="shared" si="1"/>
        <v>DosSantos_etal_2020</v>
      </c>
      <c r="G36" t="str">
        <f t="shared" si="2"/>
        <v>DosSantos</v>
      </c>
      <c r="H36" t="str">
        <f t="shared" si="16"/>
        <v>etal</v>
      </c>
      <c r="I36" t="str">
        <f t="shared" si="4"/>
        <v>2020</v>
      </c>
      <c r="J36" t="str">
        <f t="shared" si="5"/>
        <v>10.1523/JNEUROSCI.2339-19.2020</v>
      </c>
      <c r="K36" t="str">
        <f t="shared" si="34"/>
        <v>DosSantos_etal_2020_Table1</v>
      </c>
      <c r="L36" t="str">
        <f t="shared" si="35"/>
        <v>10.1523%2FJNEUROSCI.2339-19.2020_Table1</v>
      </c>
      <c r="M36" t="str">
        <f t="array" ref="M36">IFERROR(INDEX(FileList!$A$1:$A$100, MATCH(L36, _xlfn.TEXTBEFORE(FileList!$A$1:$A$100, ".tsv"), 0)), "notfound")</f>
        <v>10.1523%2FJNEUROSCI.2339-19.2020_Table1.tsv</v>
      </c>
      <c r="O36" s="8" t="s">
        <v>230</v>
      </c>
      <c r="P36" s="8" t="s">
        <v>44</v>
      </c>
      <c r="Q36" s="8" t="s">
        <v>45</v>
      </c>
      <c r="R36" s="8" t="s">
        <v>231</v>
      </c>
      <c r="S36" s="8" t="s">
        <v>47</v>
      </c>
      <c r="T36" s="8" t="s">
        <v>232</v>
      </c>
      <c r="U36" s="8" t="s">
        <v>233</v>
      </c>
      <c r="V36" s="8" t="s">
        <v>39</v>
      </c>
      <c r="Y36" s="8" t="s">
        <v>234</v>
      </c>
      <c r="Z36" s="8" t="s">
        <v>235</v>
      </c>
      <c r="AA36" s="8" t="s">
        <v>54</v>
      </c>
      <c r="AC36" s="8" t="s">
        <v>189</v>
      </c>
      <c r="AD36" s="8" t="s">
        <v>54</v>
      </c>
      <c r="AG36" s="8" t="s">
        <v>236</v>
      </c>
      <c r="AH36" s="8" t="s">
        <v>237</v>
      </c>
      <c r="AJ36" s="8" t="s">
        <v>238</v>
      </c>
      <c r="AK36" s="8" t="s">
        <v>106</v>
      </c>
      <c r="AL36" s="8" t="s">
        <v>53</v>
      </c>
      <c r="AM36" s="8" t="s">
        <v>239</v>
      </c>
    </row>
    <row r="37" spans="1:39" ht="16" customHeight="1" x14ac:dyDescent="0.2">
      <c r="A37" s="2" t="s">
        <v>229</v>
      </c>
      <c r="D37" s="2" t="s">
        <v>240</v>
      </c>
      <c r="E37" t="str">
        <f t="shared" si="0"/>
        <v>0</v>
      </c>
      <c r="F37" t="str">
        <f t="shared" si="1"/>
        <v>DosSantos_etal_2020</v>
      </c>
      <c r="G37" t="str">
        <f t="shared" si="2"/>
        <v>DosSantos</v>
      </c>
      <c r="H37" t="str">
        <f t="shared" si="16"/>
        <v>etal</v>
      </c>
      <c r="I37" t="str">
        <f t="shared" si="4"/>
        <v>2020</v>
      </c>
      <c r="J37" t="str">
        <f t="shared" si="5"/>
        <v>10.1523/JNEUROSCI.2339-19.2020</v>
      </c>
      <c r="K37" t="str">
        <f t="shared" si="34"/>
        <v>DosSantos_etal_2020_unpublished</v>
      </c>
      <c r="L37" t="str">
        <f t="shared" si="35"/>
        <v>10.1523%2FJNEUROSCI.2339-19.2020_unpublished</v>
      </c>
      <c r="M37" t="str">
        <f t="array" ref="M37">IFERROR(INDEX(FileList!$A$1:$A$100, MATCH(L37, _xlfn.TEXTBEFORE(FileList!$A$1:$A$100, ".tsv"), 0)), "notfound")</f>
        <v>10.1523%2FJNEUROSCI.2339-19.2020_unpublished.tsv</v>
      </c>
      <c r="O37" s="8" t="s">
        <v>241</v>
      </c>
      <c r="P37" s="8" t="s">
        <v>44</v>
      </c>
      <c r="Q37" s="8" t="s">
        <v>45</v>
      </c>
      <c r="R37" s="8" t="s">
        <v>231</v>
      </c>
      <c r="S37" s="8" t="s">
        <v>47</v>
      </c>
      <c r="T37" s="8" t="s">
        <v>232</v>
      </c>
      <c r="U37" s="8" t="s">
        <v>233</v>
      </c>
      <c r="V37" s="8" t="s">
        <v>39</v>
      </c>
      <c r="X37" s="8" t="s">
        <v>242</v>
      </c>
      <c r="Y37" s="8" t="s">
        <v>234</v>
      </c>
      <c r="Z37" s="8" t="s">
        <v>235</v>
      </c>
      <c r="AA37" s="8" t="s">
        <v>54</v>
      </c>
      <c r="AC37" s="8" t="s">
        <v>189</v>
      </c>
      <c r="AD37" s="8" t="s">
        <v>54</v>
      </c>
      <c r="AG37" s="8" t="s">
        <v>236</v>
      </c>
      <c r="AH37" s="8" t="s">
        <v>243</v>
      </c>
      <c r="AK37" s="8" t="s">
        <v>106</v>
      </c>
      <c r="AL37" s="8" t="s">
        <v>53</v>
      </c>
      <c r="AM37" s="8" t="s">
        <v>239</v>
      </c>
    </row>
    <row r="38" spans="1:39" ht="16" customHeight="1" x14ac:dyDescent="0.2">
      <c r="A38" s="2" t="s">
        <v>244</v>
      </c>
      <c r="D38" s="2" t="s">
        <v>245</v>
      </c>
      <c r="E38" t="str">
        <f t="shared" ref="E38:E69" si="36">RIGHT(A38,1)</f>
        <v>6</v>
      </c>
      <c r="F38" t="str">
        <f t="shared" ref="F38:F69" si="37">G38 &amp; IF(H38&lt;&gt;"", "_" &amp; H38, "_") &amp; IF(I38&lt;&gt;"", "_" &amp; I38, "_") &amp; IF(B38&lt;&gt;"", "_" &amp; B38, "")</f>
        <v>DosSantos_etal_2017</v>
      </c>
      <c r="G38" t="str">
        <f t="shared" ref="G38:G69" si="38">SUBSTITUTE(SUBSTITUTE(_xlfn.TEXTBEFORE(A38,","), "-", ""), " ", "")</f>
        <v>DosSantos</v>
      </c>
      <c r="H38" t="str">
        <f t="shared" si="16"/>
        <v>etal</v>
      </c>
      <c r="I38" t="str">
        <f t="shared" ref="I38:I69" si="39">_xlfn.TEXTBEFORE(_xlfn.TEXTAFTER(A38, "("), ")")</f>
        <v>2017</v>
      </c>
      <c r="J38" t="str">
        <f t="shared" si="5"/>
        <v>10.1159/000452856</v>
      </c>
      <c r="K38" t="str">
        <f t="shared" si="34"/>
        <v>DosSantos_etal_2017_TableS1</v>
      </c>
      <c r="L38" t="str">
        <f t="shared" si="35"/>
        <v>10.1159%2F000452856_TableS1</v>
      </c>
      <c r="M38" t="str">
        <f t="array" ref="M38">IFERROR(INDEX(FileList!$A$1:$A$100, MATCH(L38, _xlfn.TEXTBEFORE(FileList!$A$1:$A$100, ".tsv"), 0)), "notfound")</f>
        <v>10.1159%2F000452856_TableS1.tsv</v>
      </c>
      <c r="O38" s="8" t="s">
        <v>246</v>
      </c>
      <c r="P38" s="8" t="s">
        <v>44</v>
      </c>
      <c r="Q38" s="8" t="s">
        <v>45</v>
      </c>
      <c r="R38" s="8" t="s">
        <v>247</v>
      </c>
      <c r="S38" s="8" t="s">
        <v>47</v>
      </c>
      <c r="T38" s="8" t="s">
        <v>248</v>
      </c>
      <c r="U38" s="8" t="s">
        <v>249</v>
      </c>
      <c r="V38" s="8" t="s">
        <v>250</v>
      </c>
      <c r="W38" s="8" t="s">
        <v>147</v>
      </c>
      <c r="X38" s="8" t="s">
        <v>251</v>
      </c>
      <c r="Y38" s="8" t="s">
        <v>234</v>
      </c>
      <c r="Z38" s="8" t="s">
        <v>53</v>
      </c>
      <c r="AA38" s="8" t="s">
        <v>54</v>
      </c>
      <c r="AC38" s="8" t="s">
        <v>189</v>
      </c>
      <c r="AD38" s="8" t="s">
        <v>54</v>
      </c>
      <c r="AG38" s="8" t="s">
        <v>252</v>
      </c>
      <c r="AH38" s="8" t="s">
        <v>253</v>
      </c>
      <c r="AK38" s="8" t="s">
        <v>254</v>
      </c>
      <c r="AL38" s="8" t="s">
        <v>53</v>
      </c>
      <c r="AM38" s="8" t="s">
        <v>57</v>
      </c>
    </row>
    <row r="39" spans="1:39" ht="16" customHeight="1" x14ac:dyDescent="0.2">
      <c r="A39" s="2" t="s">
        <v>255</v>
      </c>
      <c r="D39" s="2" t="s">
        <v>42</v>
      </c>
      <c r="E39" t="str">
        <f t="shared" si="36"/>
        <v>3</v>
      </c>
      <c r="F39" t="str">
        <f t="shared" si="37"/>
        <v>Eagleman_Vaughn_2021</v>
      </c>
      <c r="G39" t="str">
        <f t="shared" si="38"/>
        <v>Eagleman</v>
      </c>
      <c r="H39" t="str">
        <f t="shared" si="16"/>
        <v>Vaughn</v>
      </c>
      <c r="I39" t="str">
        <f t="shared" si="39"/>
        <v>2021</v>
      </c>
      <c r="J39" t="str">
        <f t="shared" si="5"/>
        <v>10.3389/fnins.2021.632853</v>
      </c>
      <c r="K39" t="str">
        <f t="shared" si="34"/>
        <v>Eagleman_Vaughn_2021_TABLE1</v>
      </c>
      <c r="L39" t="str">
        <f t="shared" si="35"/>
        <v>10.3389%2Ffnins.2021.632853_TABLE1</v>
      </c>
      <c r="M39" t="str">
        <f t="array" ref="M39">IFERROR(INDEX(FileList!$A$1:$A$100, MATCH(L39, _xlfn.TEXTBEFORE(FileList!$A$1:$A$100, ".tsv"), 0)), "notfound")</f>
        <v>10.3389%2Ffnins.2021.632853_TABLE1.tsv</v>
      </c>
      <c r="N39" s="8" t="s">
        <v>256</v>
      </c>
      <c r="U39" s="8" t="s">
        <v>49</v>
      </c>
      <c r="Y39" s="8" t="s">
        <v>257</v>
      </c>
      <c r="Z39" s="8" t="s">
        <v>103</v>
      </c>
      <c r="AK39" s="8" t="s">
        <v>106</v>
      </c>
      <c r="AL39" s="8" t="s">
        <v>103</v>
      </c>
      <c r="AM39" s="8" t="s">
        <v>258</v>
      </c>
    </row>
    <row r="40" spans="1:39" ht="16" customHeight="1" x14ac:dyDescent="0.2">
      <c r="A40" s="2" t="s">
        <v>259</v>
      </c>
      <c r="D40" s="2" t="s">
        <v>42</v>
      </c>
      <c r="E40" t="str">
        <f t="shared" si="36"/>
        <v>5</v>
      </c>
      <c r="F40" t="str">
        <f t="shared" si="37"/>
        <v>Falcone_etal_2019</v>
      </c>
      <c r="G40" t="str">
        <f t="shared" si="38"/>
        <v>Falcone</v>
      </c>
      <c r="H40" t="str">
        <f t="shared" si="16"/>
        <v>etal</v>
      </c>
      <c r="I40" t="str">
        <f t="shared" si="39"/>
        <v>2019</v>
      </c>
      <c r="J40" t="str">
        <f t="shared" si="5"/>
        <v>10.1002/cne.24605</v>
      </c>
      <c r="K40" t="str">
        <f t="shared" si="34"/>
        <v>Falcone_etal_2019_TABLE1</v>
      </c>
      <c r="L40" t="str">
        <f t="shared" si="35"/>
        <v>10.1002%2Fcne.24605_TABLE1</v>
      </c>
      <c r="M40" t="str">
        <f t="array" ref="M40">IFERROR(INDEX(FileList!$A$1:$A$100, MATCH(L40, _xlfn.TEXTBEFORE(FileList!$A$1:$A$100, ".tsv"), 0)), "notfound")</f>
        <v>10.1002%2Fcne.24605_TABLE1.tsv</v>
      </c>
      <c r="N40" s="8" t="s">
        <v>260</v>
      </c>
      <c r="U40" s="8" t="s">
        <v>49</v>
      </c>
      <c r="Y40" s="8" t="s">
        <v>261</v>
      </c>
      <c r="Z40" s="8" t="s">
        <v>53</v>
      </c>
      <c r="AK40" s="8" t="s">
        <v>262</v>
      </c>
      <c r="AL40" s="8" t="s">
        <v>53</v>
      </c>
      <c r="AM40" s="8" t="s">
        <v>263</v>
      </c>
    </row>
    <row r="41" spans="1:39" ht="16" customHeight="1" x14ac:dyDescent="0.2">
      <c r="A41" s="2" t="s">
        <v>259</v>
      </c>
      <c r="D41" s="2" t="s">
        <v>264</v>
      </c>
      <c r="E41" t="str">
        <f t="shared" si="36"/>
        <v>5</v>
      </c>
      <c r="F41" t="str">
        <f t="shared" si="37"/>
        <v>Falcone_etal_2019</v>
      </c>
      <c r="G41" t="str">
        <f t="shared" si="38"/>
        <v>Falcone</v>
      </c>
      <c r="H41" t="str">
        <f t="shared" si="16"/>
        <v>etal</v>
      </c>
      <c r="I41" t="str">
        <f t="shared" si="39"/>
        <v>2019</v>
      </c>
      <c r="J41" t="str">
        <f t="shared" si="5"/>
        <v>10.1002/cne.24605</v>
      </c>
      <c r="K41" t="str">
        <f t="shared" si="34"/>
        <v>Falcone_etal_2019_TABLE2</v>
      </c>
      <c r="L41" t="str">
        <f t="shared" si="35"/>
        <v>10.1002%2Fcne.24605_TABLE2</v>
      </c>
      <c r="M41" t="str">
        <f t="array" ref="M41">IFERROR(INDEX(FileList!$A$1:$A$100, MATCH(L41, _xlfn.TEXTBEFORE(FileList!$A$1:$A$100, ".tsv"), 0)), "notfound")</f>
        <v>10.1002%2Fcne.24605_TABLE2.tsv</v>
      </c>
      <c r="N41" s="8" t="s">
        <v>265</v>
      </c>
      <c r="U41" s="8" t="s">
        <v>49</v>
      </c>
      <c r="Y41" s="8" t="s">
        <v>261</v>
      </c>
      <c r="Z41" s="8" t="s">
        <v>53</v>
      </c>
      <c r="AK41" s="8" t="s">
        <v>262</v>
      </c>
      <c r="AL41" s="8" t="s">
        <v>53</v>
      </c>
      <c r="AM41" s="8" t="s">
        <v>263</v>
      </c>
    </row>
    <row r="42" spans="1:39" ht="16" customHeight="1" x14ac:dyDescent="0.2">
      <c r="A42" s="2" t="s">
        <v>266</v>
      </c>
      <c r="D42" s="2" t="s">
        <v>267</v>
      </c>
      <c r="E42" t="str">
        <f t="shared" si="36"/>
        <v>6</v>
      </c>
      <c r="F42" t="str">
        <f t="shared" si="37"/>
        <v>Finlay_etal_2006</v>
      </c>
      <c r="G42" t="str">
        <f t="shared" si="38"/>
        <v>Finlay</v>
      </c>
      <c r="H42" t="str">
        <f t="shared" si="16"/>
        <v>etal</v>
      </c>
      <c r="I42" t="str">
        <f t="shared" si="39"/>
        <v>2006</v>
      </c>
      <c r="J42" t="str">
        <f t="shared" si="5"/>
        <v>10.1093/oso/9780198568742.003.0006</v>
      </c>
      <c r="K42" t="str">
        <f t="shared" si="34"/>
        <v>Finlay_etal_2006_Table6.1</v>
      </c>
      <c r="L42" t="str">
        <f t="shared" si="35"/>
        <v>10.1093%2Foso%2F9780198568742.003.0006_Table6.1</v>
      </c>
      <c r="M42" t="str">
        <f t="array" ref="M42">IFERROR(INDEX(FileList!$A$1:$A$100, MATCH(L42, _xlfn.TEXTBEFORE(FileList!$A$1:$A$100, ".tsv"), 0)), "notfound")</f>
        <v>10.1093%2Foso%2F9780198568742.003.0006_Table6.1.tsv</v>
      </c>
      <c r="P42" s="8" t="s">
        <v>162</v>
      </c>
      <c r="Q42" s="8" t="s">
        <v>163</v>
      </c>
      <c r="R42" s="8" t="s">
        <v>268</v>
      </c>
      <c r="S42" s="8" t="s">
        <v>47</v>
      </c>
      <c r="T42" s="8" t="s">
        <v>269</v>
      </c>
      <c r="U42" s="8" t="s">
        <v>49</v>
      </c>
      <c r="V42" s="8" t="s">
        <v>39</v>
      </c>
      <c r="W42" s="8" t="s">
        <v>154</v>
      </c>
      <c r="X42" s="8" t="s">
        <v>270</v>
      </c>
      <c r="Y42" s="8" t="s">
        <v>271</v>
      </c>
      <c r="Z42" s="8" t="s">
        <v>169</v>
      </c>
      <c r="AF42" s="8" t="s">
        <v>170</v>
      </c>
      <c r="AG42" s="8" t="s">
        <v>105</v>
      </c>
      <c r="AK42" s="8" t="s">
        <v>106</v>
      </c>
      <c r="AL42" s="8" t="s">
        <v>103</v>
      </c>
      <c r="AM42" s="8" t="s">
        <v>272</v>
      </c>
    </row>
    <row r="43" spans="1:39" ht="16" customHeight="1" x14ac:dyDescent="0.2">
      <c r="A43" s="2" t="s">
        <v>273</v>
      </c>
      <c r="C43" s="2" t="s">
        <v>274</v>
      </c>
      <c r="D43" s="2" t="s">
        <v>125</v>
      </c>
      <c r="E43" t="str">
        <f t="shared" si="36"/>
        <v>8</v>
      </c>
      <c r="F43" t="str">
        <f t="shared" ref="F43" si="40">G43 &amp; IF(H43&lt;&gt;"", "_" &amp; H43, "_") &amp; IF(I43&lt;&gt;"", "_" &amp; I43, "_") &amp; IF(B43&lt;&gt;"", "_" &amp; B43, "")</f>
        <v>Frahm_Zilles_1994</v>
      </c>
      <c r="G43" t="str">
        <f t="shared" ref="G43" si="41">SUBSTITUTE(SUBSTITUTE(_xlfn.TEXTBEFORE(A43,","), "-", ""), " ", "")</f>
        <v>Frahm</v>
      </c>
      <c r="H43" t="str">
        <f t="shared" si="16"/>
        <v>Zilles</v>
      </c>
      <c r="I43" t="str">
        <f t="shared" ref="I43" si="42">_xlfn.TEXTBEFORE(_xlfn.TEXTAFTER(A43, "("), ")")</f>
        <v>1994</v>
      </c>
      <c r="J43" t="str">
        <f t="shared" ref="J43" si="43">IF(C43&lt;&gt;"", C43, IF(C43="", _xlfn.TEXTAFTER(A43,"https://doi.org/"), C43))</f>
        <v>PMID:7983368</v>
      </c>
      <c r="K43" t="str">
        <f t="shared" ref="K43" si="44">TRIM(_xlfn.TEXTJOIN("_",FALSE,F43,(SUBSTITUTE(SUBSTITUTE(D43," ",""), "_", ""))))</f>
        <v>Frahm_Zilles_1994_Table2</v>
      </c>
      <c r="L43" t="str">
        <f t="shared" ref="L43" si="45">IF(ISBLANK(C43),TRIM(SUBSTITUTE(SUBSTITUTE(SUBSTITUTE(_xlfn.TEXTJOIN("_", FALSE, J43, SUBSTITUTE(D43,"_", "")), "/", "%2F"), ":", "%3A"), " ", "")),TRIM(SUBSTITUTE(SUBSTITUTE(SUBSTITUTE(_xlfn.TEXTJOIN("_", FALSE, C43, SUBSTITUTE(D43,"_", "")), "/", "%2F"), ":", "%3A"), " ", "")))</f>
        <v>PMID%3A7983368_Table2</v>
      </c>
      <c r="M43" t="str">
        <f t="array" ref="M43">IFERROR(INDEX(FileList!$A$1:$A$100, MATCH(L43, _xlfn.TEXTBEFORE(FileList!$A$1:$A$100, ".tsv"), 0)), "notfound")</f>
        <v>notfound</v>
      </c>
    </row>
    <row r="44" spans="1:39" ht="16" customHeight="1" x14ac:dyDescent="0.2">
      <c r="A44" s="2" t="s">
        <v>273</v>
      </c>
      <c r="C44" s="2" t="s">
        <v>274</v>
      </c>
      <c r="D44" s="2" t="s">
        <v>69</v>
      </c>
      <c r="E44" t="str">
        <f t="shared" si="36"/>
        <v>8</v>
      </c>
      <c r="F44" t="str">
        <f t="shared" si="37"/>
        <v>Frahm_Zilles_1994</v>
      </c>
      <c r="G44" t="str">
        <f t="shared" si="38"/>
        <v>Frahm</v>
      </c>
      <c r="H44" t="str">
        <f t="shared" si="16"/>
        <v>Zilles</v>
      </c>
      <c r="I44" t="str">
        <f t="shared" si="39"/>
        <v>1994</v>
      </c>
      <c r="J44" t="str">
        <f t="shared" ref="J44:J75" si="46">IF(C44&lt;&gt;"", C44, IF(C44="", _xlfn.TEXTAFTER(A44,"https://doi.org/"), C44))</f>
        <v>PMID:7983368</v>
      </c>
      <c r="K44" t="str">
        <f t="shared" ref="K44:K75" si="47">TRIM(_xlfn.TEXTJOIN("_",FALSE,F44,(SUBSTITUTE(SUBSTITUTE(D44," ",""), "_", ""))))</f>
        <v>Frahm_Zilles_1994_Table1</v>
      </c>
      <c r="L44" t="str">
        <f t="shared" ref="L44:L75" si="48">IF(ISBLANK(C44),TRIM(SUBSTITUTE(SUBSTITUTE(SUBSTITUTE(_xlfn.TEXTJOIN("_", FALSE, J44, SUBSTITUTE(D44,"_", "")), "/", "%2F"), ":", "%3A"), " ", "")),TRIM(SUBSTITUTE(SUBSTITUTE(SUBSTITUTE(_xlfn.TEXTJOIN("_", FALSE, C44, SUBSTITUTE(D44,"_", "")), "/", "%2F"), ":", "%3A"), " ", "")))</f>
        <v>PMID%3A7983368_Table1</v>
      </c>
      <c r="M44" t="str">
        <f t="array" ref="M44">IFERROR(INDEX(FileList!$A$1:$A$100, MATCH(L44, _xlfn.TEXTBEFORE(FileList!$A$1:$A$100, ".tsv"), 0)), "notfound")</f>
        <v>PMID%3A7983368_Table1.tsv</v>
      </c>
      <c r="N44" s="8" t="s">
        <v>275</v>
      </c>
      <c r="V44" s="8" t="s">
        <v>39</v>
      </c>
      <c r="W44" s="8" t="s">
        <v>76</v>
      </c>
      <c r="Y44" s="8" t="s">
        <v>276</v>
      </c>
      <c r="Z44" s="8" t="s">
        <v>53</v>
      </c>
      <c r="AA44" s="8" t="s">
        <v>72</v>
      </c>
      <c r="AB44" s="8" t="s">
        <v>720</v>
      </c>
      <c r="AC44" s="8" t="s">
        <v>84</v>
      </c>
      <c r="AK44" s="8" t="s">
        <v>73</v>
      </c>
      <c r="AL44" s="8" t="s">
        <v>53</v>
      </c>
      <c r="AM44" s="8" t="s">
        <v>63</v>
      </c>
    </row>
    <row r="45" spans="1:39" ht="16" customHeight="1" x14ac:dyDescent="0.2">
      <c r="A45" s="2" t="s">
        <v>277</v>
      </c>
      <c r="C45" s="2" t="s">
        <v>278</v>
      </c>
      <c r="D45" s="2" t="s">
        <v>69</v>
      </c>
      <c r="E45" t="str">
        <f t="shared" si="36"/>
        <v>3</v>
      </c>
      <c r="F45" t="str">
        <f t="shared" si="37"/>
        <v>Frahm_etal_1997</v>
      </c>
      <c r="G45" t="str">
        <f t="shared" si="38"/>
        <v>Frahm</v>
      </c>
      <c r="H45" t="str">
        <f t="shared" si="16"/>
        <v>etal</v>
      </c>
      <c r="I45" t="str">
        <f t="shared" si="39"/>
        <v>1997</v>
      </c>
      <c r="J45" t="str">
        <f t="shared" si="46"/>
        <v>PMID:9176733</v>
      </c>
      <c r="K45" t="str">
        <f t="shared" si="47"/>
        <v>Frahm_etal_1997_Table1</v>
      </c>
      <c r="L45" t="str">
        <f t="shared" si="48"/>
        <v>PMID%3A9176733_Table1</v>
      </c>
      <c r="M45" t="str">
        <f t="array" ref="M45">IFERROR(INDEX(FileList!$A$1:$A$100, MATCH(L45, _xlfn.TEXTBEFORE(FileList!$A$1:$A$100, ".tsv"), 0)), "notfound")</f>
        <v>PMID%3A9176733_Table1.tsv</v>
      </c>
      <c r="N45" s="8" t="s">
        <v>279</v>
      </c>
      <c r="V45" s="8" t="s">
        <v>39</v>
      </c>
      <c r="W45" s="8" t="s">
        <v>76</v>
      </c>
      <c r="Y45" s="8" t="s">
        <v>280</v>
      </c>
      <c r="Z45" s="8" t="s">
        <v>53</v>
      </c>
      <c r="AA45" s="8" t="s">
        <v>72</v>
      </c>
      <c r="AB45" s="8" t="s">
        <v>720</v>
      </c>
      <c r="AC45" s="8" t="s">
        <v>84</v>
      </c>
      <c r="AK45" s="8" t="s">
        <v>73</v>
      </c>
      <c r="AL45" s="8" t="s">
        <v>53</v>
      </c>
      <c r="AM45" s="8" t="s">
        <v>63</v>
      </c>
    </row>
    <row r="46" spans="1:39" ht="19" customHeight="1" x14ac:dyDescent="0.2">
      <c r="A46" s="2" t="s">
        <v>281</v>
      </c>
      <c r="C46" s="2" t="s">
        <v>282</v>
      </c>
      <c r="D46" s="2" t="s">
        <v>117</v>
      </c>
      <c r="E46" t="str">
        <f t="shared" si="36"/>
        <v>9</v>
      </c>
      <c r="F46" t="str">
        <f t="shared" si="37"/>
        <v>Frahm_etal_1984</v>
      </c>
      <c r="G46" t="str">
        <f t="shared" si="38"/>
        <v>Frahm</v>
      </c>
      <c r="H46" t="str">
        <f t="shared" si="16"/>
        <v>etal</v>
      </c>
      <c r="I46" t="str">
        <f t="shared" si="39"/>
        <v>1984</v>
      </c>
      <c r="J46" t="str">
        <f t="shared" si="46"/>
        <v>PMID:6501869</v>
      </c>
      <c r="K46" t="str">
        <f t="shared" si="47"/>
        <v>Frahm_etal_1984_Table1</v>
      </c>
      <c r="L46" t="str">
        <f t="shared" si="48"/>
        <v>PMID%3A6501869_Table1</v>
      </c>
      <c r="M46" t="str">
        <f t="array" ref="M46">IFERROR(INDEX(FileList!$A$1:$A$100, MATCH(L46, _xlfn.TEXTBEFORE(FileList!$A$1:$A$100, ".tsv"), 0)), "notfound")</f>
        <v>PMID%3A6501869_Table1.tsv</v>
      </c>
      <c r="N46" s="8" t="s">
        <v>283</v>
      </c>
      <c r="V46" s="8" t="s">
        <v>39</v>
      </c>
      <c r="W46" s="8" t="s">
        <v>76</v>
      </c>
      <c r="Y46" s="8" t="s">
        <v>284</v>
      </c>
      <c r="Z46" s="8" t="s">
        <v>53</v>
      </c>
      <c r="AA46" s="8" t="s">
        <v>72</v>
      </c>
      <c r="AB46" s="8" t="s">
        <v>720</v>
      </c>
      <c r="AC46" s="8" t="s">
        <v>84</v>
      </c>
      <c r="AK46" s="8" t="s">
        <v>73</v>
      </c>
      <c r="AL46" s="8" t="s">
        <v>53</v>
      </c>
      <c r="AM46" s="8" t="s">
        <v>63</v>
      </c>
    </row>
    <row r="47" spans="1:39" ht="17" customHeight="1" x14ac:dyDescent="0.2">
      <c r="A47" s="2" t="s">
        <v>285</v>
      </c>
      <c r="C47" s="2" t="s">
        <v>286</v>
      </c>
      <c r="D47" s="2" t="s">
        <v>125</v>
      </c>
      <c r="E47" t="str">
        <f t="shared" si="36"/>
        <v>7</v>
      </c>
      <c r="F47" t="str">
        <f t="shared" si="37"/>
        <v>Frahm_etal_1982</v>
      </c>
      <c r="G47" t="str">
        <f t="shared" si="38"/>
        <v>Frahm</v>
      </c>
      <c r="H47" t="str">
        <f t="shared" si="16"/>
        <v>etal</v>
      </c>
      <c r="I47" t="str">
        <f t="shared" si="39"/>
        <v>1982</v>
      </c>
      <c r="J47" t="str">
        <f t="shared" si="46"/>
        <v>PMID:7161477</v>
      </c>
      <c r="K47" t="str">
        <f t="shared" si="47"/>
        <v>Frahm_etal_1982_Table2</v>
      </c>
      <c r="L47" t="str">
        <f t="shared" si="48"/>
        <v>PMID%3A7161477_Table2</v>
      </c>
      <c r="M47" t="str">
        <f t="array" ref="M47">IFERROR(INDEX(FileList!$A$1:$A$100, MATCH(L47, _xlfn.TEXTBEFORE(FileList!$A$1:$A$100, ".tsv"), 0)), "notfound")</f>
        <v>PMID%3A7161477_Table2.tsv</v>
      </c>
      <c r="N47" s="8" t="s">
        <v>287</v>
      </c>
      <c r="V47" s="8" t="s">
        <v>39</v>
      </c>
      <c r="W47" s="8" t="s">
        <v>76</v>
      </c>
      <c r="Y47" s="8" t="s">
        <v>288</v>
      </c>
      <c r="Z47" s="8" t="s">
        <v>53</v>
      </c>
      <c r="AA47" s="8" t="s">
        <v>72</v>
      </c>
      <c r="AB47" s="8" t="s">
        <v>720</v>
      </c>
      <c r="AC47" s="8" t="s">
        <v>84</v>
      </c>
      <c r="AK47" s="8" t="s">
        <v>73</v>
      </c>
      <c r="AL47" s="8" t="s">
        <v>53</v>
      </c>
      <c r="AM47" s="8" t="s">
        <v>63</v>
      </c>
    </row>
    <row r="48" spans="1:39" ht="17" customHeight="1" x14ac:dyDescent="0.2">
      <c r="A48" s="2" t="s">
        <v>289</v>
      </c>
      <c r="C48" s="2" t="s">
        <v>290</v>
      </c>
      <c r="D48" s="2" t="s">
        <v>69</v>
      </c>
      <c r="E48" t="str">
        <f t="shared" si="36"/>
        <v>0</v>
      </c>
      <c r="F48" t="str">
        <f t="shared" si="37"/>
        <v>Frahm_etal_1998</v>
      </c>
      <c r="G48" t="str">
        <f t="shared" si="38"/>
        <v>Frahm</v>
      </c>
      <c r="H48" t="str">
        <f t="shared" si="16"/>
        <v>etal</v>
      </c>
      <c r="I48" t="str">
        <f t="shared" si="39"/>
        <v>1998</v>
      </c>
      <c r="J48" t="str">
        <f t="shared" si="46"/>
        <v>PMID:9672110</v>
      </c>
      <c r="K48" t="str">
        <f t="shared" si="47"/>
        <v>Frahm_etal_1998_Table1</v>
      </c>
      <c r="L48" t="str">
        <f t="shared" si="48"/>
        <v>PMID%3A9672110_Table1</v>
      </c>
      <c r="M48" t="str">
        <f t="array" ref="M48">IFERROR(INDEX(FileList!$A$1:$A$100, MATCH(L48, _xlfn.TEXTBEFORE(FileList!$A$1:$A$100, ".tsv"), 0)), "notfound")</f>
        <v>PMID%3A9672110_Table1.tsv</v>
      </c>
      <c r="N48" s="8" t="s">
        <v>291</v>
      </c>
      <c r="V48" s="8" t="s">
        <v>39</v>
      </c>
      <c r="W48" s="8" t="s">
        <v>76</v>
      </c>
      <c r="Y48" s="8" t="s">
        <v>292</v>
      </c>
      <c r="Z48" s="8" t="s">
        <v>53</v>
      </c>
      <c r="AA48" s="8" t="s">
        <v>72</v>
      </c>
      <c r="AB48" s="8" t="s">
        <v>720</v>
      </c>
      <c r="AC48" s="8" t="s">
        <v>84</v>
      </c>
      <c r="AK48" s="8" t="s">
        <v>73</v>
      </c>
      <c r="AL48" s="8" t="s">
        <v>53</v>
      </c>
      <c r="AM48" s="8" t="s">
        <v>63</v>
      </c>
    </row>
    <row r="49" spans="1:39" ht="17" customHeight="1" x14ac:dyDescent="0.2">
      <c r="A49" s="2" t="s">
        <v>293</v>
      </c>
      <c r="D49" s="2" t="s">
        <v>117</v>
      </c>
      <c r="E49" t="str">
        <f t="shared" si="36"/>
        <v>x</v>
      </c>
      <c r="F49" t="str">
        <f t="shared" si="37"/>
        <v>Fu_etal_2013</v>
      </c>
      <c r="G49" t="str">
        <f t="shared" si="38"/>
        <v>Fu</v>
      </c>
      <c r="H49" t="str">
        <f t="shared" si="16"/>
        <v>etal</v>
      </c>
      <c r="I49" t="str">
        <f t="shared" si="39"/>
        <v>2013</v>
      </c>
      <c r="J49" t="str">
        <f t="shared" si="46"/>
        <v>10.1007/s00429-012-0462-x</v>
      </c>
      <c r="K49" t="str">
        <f t="shared" si="47"/>
        <v>Fu_etal_2013_Table1</v>
      </c>
      <c r="L49" t="str">
        <f t="shared" si="48"/>
        <v>10.1007%2Fs00429-012-0462-x_Table1</v>
      </c>
      <c r="M49" t="str">
        <f t="array" ref="M49">IFERROR(INDEX(FileList!$A$1:$A$100, MATCH(L49, _xlfn.TEXTBEFORE(FileList!$A$1:$A$100, ".tsv"), 0)), "notfound")</f>
        <v>notfound</v>
      </c>
      <c r="N49" s="8" t="s">
        <v>294</v>
      </c>
      <c r="P49" s="8" t="s">
        <v>295</v>
      </c>
      <c r="Z49" s="8" t="s">
        <v>296</v>
      </c>
      <c r="AE49" s="8" t="s">
        <v>114</v>
      </c>
      <c r="AK49" s="8" t="s">
        <v>40</v>
      </c>
      <c r="AL49" s="8" t="s">
        <v>40</v>
      </c>
      <c r="AM49" s="8" t="s">
        <v>40</v>
      </c>
    </row>
    <row r="50" spans="1:39" ht="17" customHeight="1" x14ac:dyDescent="0.2">
      <c r="A50" s="2" t="s">
        <v>297</v>
      </c>
      <c r="D50" s="2" t="s">
        <v>245</v>
      </c>
      <c r="E50" t="str">
        <f t="shared" si="36"/>
        <v>6</v>
      </c>
      <c r="F50" t="str">
        <f t="shared" si="37"/>
        <v>Garwicz_etal_2009</v>
      </c>
      <c r="G50" t="str">
        <f t="shared" si="38"/>
        <v>Garwicz</v>
      </c>
      <c r="H50" t="str">
        <f t="shared" si="16"/>
        <v>etal</v>
      </c>
      <c r="I50" t="str">
        <f t="shared" si="39"/>
        <v>2009</v>
      </c>
      <c r="J50" t="str">
        <f t="shared" si="46"/>
        <v>10.1073/pnas.0905777106</v>
      </c>
      <c r="K50" t="str">
        <f t="shared" si="47"/>
        <v>Garwicz_etal_2009_TableS1</v>
      </c>
      <c r="L50" t="str">
        <f t="shared" si="48"/>
        <v>10.1073%2Fpnas.0905777106_TableS1</v>
      </c>
      <c r="M50" t="str">
        <f t="array" ref="M50">IFERROR(INDEX(FileList!$A$1:$A$100, MATCH(L50, _xlfn.TEXTBEFORE(FileList!$A$1:$A$100, ".tsv"), 0)), "notfound")</f>
        <v>10.1073%2Fpnas.0905777106_TableS1.tsv</v>
      </c>
      <c r="N50" s="8" t="s">
        <v>298</v>
      </c>
      <c r="U50" s="8" t="s">
        <v>49</v>
      </c>
      <c r="W50" s="8" t="s">
        <v>147</v>
      </c>
      <c r="X50" s="8" t="s">
        <v>299</v>
      </c>
      <c r="AK50" s="8" t="s">
        <v>106</v>
      </c>
      <c r="AL50" s="8" t="s">
        <v>103</v>
      </c>
      <c r="AM50" s="8" t="s">
        <v>300</v>
      </c>
    </row>
    <row r="51" spans="1:39" ht="17" customHeight="1" x14ac:dyDescent="0.2">
      <c r="A51" s="2" t="s">
        <v>297</v>
      </c>
      <c r="D51" s="2" t="s">
        <v>301</v>
      </c>
      <c r="E51" t="str">
        <f t="shared" si="36"/>
        <v>6</v>
      </c>
      <c r="F51" t="str">
        <f t="shared" si="37"/>
        <v>Garwicz_etal_2009</v>
      </c>
      <c r="G51" t="str">
        <f t="shared" si="38"/>
        <v>Garwicz</v>
      </c>
      <c r="H51" t="str">
        <f t="shared" si="16"/>
        <v>etal</v>
      </c>
      <c r="I51" t="str">
        <f t="shared" si="39"/>
        <v>2009</v>
      </c>
      <c r="J51" t="str">
        <f t="shared" si="46"/>
        <v>10.1073/pnas.0905777106</v>
      </c>
      <c r="K51" t="str">
        <f t="shared" si="47"/>
        <v>Garwicz_etal_2009_TableS2</v>
      </c>
      <c r="L51" t="str">
        <f t="shared" si="48"/>
        <v>10.1073%2Fpnas.0905777106_TableS2</v>
      </c>
      <c r="M51" t="str">
        <f t="array" ref="M51">IFERROR(INDEX(FileList!$A$1:$A$100, MATCH(L51, _xlfn.TEXTBEFORE(FileList!$A$1:$A$100, ".tsv"), 0)), "notfound")</f>
        <v>notfound</v>
      </c>
      <c r="N51" s="8" t="s">
        <v>302</v>
      </c>
      <c r="U51" s="8" t="s">
        <v>49</v>
      </c>
      <c r="W51" s="8" t="s">
        <v>147</v>
      </c>
      <c r="X51" s="8" t="s">
        <v>299</v>
      </c>
      <c r="AK51" s="8" t="s">
        <v>106</v>
      </c>
      <c r="AL51" s="8" t="s">
        <v>103</v>
      </c>
      <c r="AM51" s="8" t="s">
        <v>300</v>
      </c>
    </row>
    <row r="52" spans="1:39" ht="16" customHeight="1" x14ac:dyDescent="0.2">
      <c r="A52" s="2" t="s">
        <v>303</v>
      </c>
      <c r="D52" s="2" t="s">
        <v>301</v>
      </c>
      <c r="E52" t="str">
        <f t="shared" si="36"/>
        <v>0</v>
      </c>
      <c r="F52" t="str">
        <f t="shared" si="37"/>
        <v>Genoud_etal_2018</v>
      </c>
      <c r="G52" t="str">
        <f t="shared" si="38"/>
        <v>Genoud</v>
      </c>
      <c r="H52" t="str">
        <f t="shared" si="16"/>
        <v>etal</v>
      </c>
      <c r="I52" t="str">
        <f t="shared" si="39"/>
        <v>2018</v>
      </c>
      <c r="J52" t="str">
        <f t="shared" si="46"/>
        <v>10.1111/brv.12350</v>
      </c>
      <c r="K52" t="str">
        <f t="shared" si="47"/>
        <v>Genoud_etal_2018_TableS2</v>
      </c>
      <c r="L52" t="str">
        <f t="shared" si="48"/>
        <v>10.1111%2Fbrv.12350_TableS2</v>
      </c>
      <c r="M52" t="str">
        <f t="array" ref="M52">IFERROR(INDEX(FileList!$A$1:$A$100, MATCH(L52, _xlfn.TEXTBEFORE(FileList!$A$1:$A$100, ".tsv"), 0)), "notfound")</f>
        <v>notfound</v>
      </c>
      <c r="N52" s="8" t="s">
        <v>304</v>
      </c>
      <c r="P52" s="8" t="s">
        <v>295</v>
      </c>
      <c r="AE52" s="8" t="s">
        <v>305</v>
      </c>
      <c r="AK52" s="8" t="s">
        <v>40</v>
      </c>
      <c r="AL52" s="8" t="s">
        <v>40</v>
      </c>
      <c r="AM52" s="8" t="s">
        <v>40</v>
      </c>
    </row>
    <row r="53" spans="1:39" ht="16" customHeight="1" x14ac:dyDescent="0.2">
      <c r="A53" s="2" t="s">
        <v>306</v>
      </c>
      <c r="D53" s="2" t="s">
        <v>245</v>
      </c>
      <c r="E53" t="str">
        <f t="shared" si="36"/>
        <v>8</v>
      </c>
      <c r="F53" t="str">
        <f t="shared" si="37"/>
        <v>Granatosky__2018</v>
      </c>
      <c r="G53" t="str">
        <f t="shared" si="38"/>
        <v>Granatosky</v>
      </c>
      <c r="H53" t="str">
        <f t="shared" si="16"/>
        <v/>
      </c>
      <c r="I53" t="str">
        <f t="shared" si="39"/>
        <v>2018</v>
      </c>
      <c r="J53" t="str">
        <f t="shared" si="46"/>
        <v>10.1111/jzo.12608</v>
      </c>
      <c r="K53" t="str">
        <f t="shared" si="47"/>
        <v>Granatosky__2018_TableS1</v>
      </c>
      <c r="L53" t="str">
        <f t="shared" si="48"/>
        <v>10.1111%2Fjzo.12608_TableS1</v>
      </c>
      <c r="M53" t="str">
        <f t="array" ref="M53">IFERROR(INDEX(FileList!$A$1:$A$100, MATCH(L53, _xlfn.TEXTBEFORE(FileList!$A$1:$A$100, ".tsv"), 0)), "notfound")</f>
        <v>notfound</v>
      </c>
      <c r="N53" s="8" t="s">
        <v>307</v>
      </c>
      <c r="P53" s="8" t="s">
        <v>295</v>
      </c>
      <c r="X53" s="8" t="s">
        <v>308</v>
      </c>
      <c r="AK53" s="8" t="s">
        <v>106</v>
      </c>
      <c r="AL53" s="8" t="s">
        <v>103</v>
      </c>
      <c r="AM53" s="8" t="s">
        <v>309</v>
      </c>
    </row>
    <row r="54" spans="1:39" ht="16" customHeight="1" x14ac:dyDescent="0.2">
      <c r="A54" s="2" t="s">
        <v>310</v>
      </c>
      <c r="E54" t="str">
        <f t="shared" si="36"/>
        <v>7</v>
      </c>
      <c r="F54" t="str">
        <f t="shared" si="37"/>
        <v>Haarlem_etal_2026</v>
      </c>
      <c r="G54" t="str">
        <f t="shared" si="38"/>
        <v>Haarlem</v>
      </c>
      <c r="H54" t="str">
        <f t="shared" si="16"/>
        <v>etal</v>
      </c>
      <c r="I54" t="str">
        <f t="shared" si="39"/>
        <v>2026</v>
      </c>
      <c r="J54" t="str">
        <f t="shared" si="46"/>
        <v>10.1038/s41559-026-02994-7</v>
      </c>
      <c r="K54" t="str">
        <f t="shared" si="47"/>
        <v>Haarlem_etal_2026_</v>
      </c>
      <c r="L54" t="str">
        <f t="shared" si="48"/>
        <v>10.1038%2Fs41559-026-02994-7_</v>
      </c>
      <c r="M54" t="str">
        <f t="array" ref="M54">IFERROR(INDEX(FileList!$A$1:$A$100, MATCH(L54, _xlfn.TEXTBEFORE(FileList!$A$1:$A$100, ".tsv"), 0)), "notfound")</f>
        <v>notfound</v>
      </c>
      <c r="X54" s="8" t="s">
        <v>308</v>
      </c>
      <c r="AK54" s="8" t="s">
        <v>40</v>
      </c>
      <c r="AL54" s="8" t="s">
        <v>40</v>
      </c>
      <c r="AM54" s="8" t="s">
        <v>40</v>
      </c>
    </row>
    <row r="55" spans="1:39" ht="16" customHeight="1" x14ac:dyDescent="0.2">
      <c r="A55" s="2" t="s">
        <v>311</v>
      </c>
      <c r="D55" s="2" t="s">
        <v>312</v>
      </c>
      <c r="E55" t="str">
        <f t="shared" si="36"/>
        <v>4</v>
      </c>
      <c r="F55" t="str">
        <f t="shared" si="37"/>
        <v>Heffner_Masterton_1983</v>
      </c>
      <c r="G55" t="str">
        <f t="shared" si="38"/>
        <v>Heffner</v>
      </c>
      <c r="H55" t="str">
        <f t="shared" si="16"/>
        <v>Masterton</v>
      </c>
      <c r="I55" t="str">
        <f t="shared" si="39"/>
        <v>1983</v>
      </c>
      <c r="J55" t="str">
        <f t="shared" si="46"/>
        <v>10.1159/000121494</v>
      </c>
      <c r="K55" t="str">
        <f t="shared" si="47"/>
        <v>Heffner_Masterton_1983_TableI</v>
      </c>
      <c r="L55" t="str">
        <f t="shared" si="48"/>
        <v>10.1159%2F000121494_TableI</v>
      </c>
      <c r="M55" t="str">
        <f t="array" ref="M55">IFERROR(INDEX(FileList!$A$1:$A$100, MATCH(L55, _xlfn.TEXTBEFORE(FileList!$A$1:$A$100, ".tsv"), 0)), "notfound")</f>
        <v>notfound</v>
      </c>
      <c r="P55" s="8" t="s">
        <v>295</v>
      </c>
      <c r="Q55" s="8" t="s">
        <v>163</v>
      </c>
      <c r="T55" s="8" t="str">
        <f>IF(S55="N", R55, "write file name")</f>
        <v>write file name</v>
      </c>
      <c r="U55" s="8" t="s">
        <v>49</v>
      </c>
      <c r="V55" s="8" t="s">
        <v>39</v>
      </c>
      <c r="W55" s="8" t="s">
        <v>167</v>
      </c>
      <c r="X55" s="8" t="s">
        <v>308</v>
      </c>
      <c r="Y55" s="8" t="s">
        <v>313</v>
      </c>
      <c r="AG55" s="8" t="s">
        <v>105</v>
      </c>
      <c r="AI55" s="8" t="s">
        <v>314</v>
      </c>
      <c r="AK55" s="8" t="s">
        <v>106</v>
      </c>
      <c r="AL55" s="8" t="s">
        <v>103</v>
      </c>
      <c r="AM55" s="8" t="s">
        <v>315</v>
      </c>
    </row>
    <row r="56" spans="1:39" ht="16" customHeight="1" x14ac:dyDescent="0.2">
      <c r="A56" s="2" t="s">
        <v>316</v>
      </c>
      <c r="D56" s="2" t="s">
        <v>312</v>
      </c>
      <c r="E56" t="str">
        <f t="shared" si="36"/>
        <v>1</v>
      </c>
      <c r="F56" t="str">
        <f t="shared" si="37"/>
        <v>Heffner_Masterton_1975</v>
      </c>
      <c r="G56" t="str">
        <f t="shared" si="38"/>
        <v>Heffner</v>
      </c>
      <c r="H56" t="str">
        <f t="shared" si="16"/>
        <v>Masterton</v>
      </c>
      <c r="I56" t="str">
        <f t="shared" si="39"/>
        <v>1975</v>
      </c>
      <c r="J56" t="str">
        <f t="shared" si="46"/>
        <v>10.1159/000124401</v>
      </c>
      <c r="K56" t="str">
        <f t="shared" si="47"/>
        <v>Heffner_Masterton_1975_TableI</v>
      </c>
      <c r="L56" t="str">
        <f t="shared" si="48"/>
        <v>10.1159%2F000124401_TableI</v>
      </c>
      <c r="M56" t="str">
        <f t="array" ref="M56">IFERROR(INDEX(FileList!$A$1:$A$100, MATCH(L56, _xlfn.TEXTBEFORE(FileList!$A$1:$A$100, ".tsv"), 0)), "notfound")</f>
        <v>10.1159%2F000124401_TableI.tsv</v>
      </c>
      <c r="P56" s="8" t="s">
        <v>44</v>
      </c>
      <c r="Q56" s="8" t="s">
        <v>45</v>
      </c>
      <c r="R56" s="8" t="s">
        <v>317</v>
      </c>
      <c r="S56" s="8" t="s">
        <v>47</v>
      </c>
      <c r="T56" s="8" t="s">
        <v>318</v>
      </c>
      <c r="U56" s="8" t="s">
        <v>49</v>
      </c>
      <c r="V56" s="8" t="s">
        <v>39</v>
      </c>
      <c r="W56" s="8" t="s">
        <v>167</v>
      </c>
      <c r="X56" s="8" t="s">
        <v>308</v>
      </c>
      <c r="Y56" s="8" t="s">
        <v>313</v>
      </c>
      <c r="Z56" s="8" t="s">
        <v>319</v>
      </c>
      <c r="AE56" s="8" t="s">
        <v>320</v>
      </c>
      <c r="AG56" s="8" t="s">
        <v>105</v>
      </c>
      <c r="AK56" s="8" t="s">
        <v>106</v>
      </c>
      <c r="AL56" s="8" t="s">
        <v>321</v>
      </c>
      <c r="AM56" s="8" t="s">
        <v>322</v>
      </c>
    </row>
    <row r="57" spans="1:39" ht="16" customHeight="1" x14ac:dyDescent="0.2">
      <c r="A57" s="2" t="s">
        <v>323</v>
      </c>
      <c r="C57" s="2" t="s">
        <v>324</v>
      </c>
      <c r="D57" s="2" t="s">
        <v>42</v>
      </c>
      <c r="E57" t="str">
        <f t="shared" si="36"/>
        <v>8</v>
      </c>
      <c r="F57" t="str">
        <f t="shared" si="37"/>
        <v>Heiss_etal_2004</v>
      </c>
      <c r="G57" t="str">
        <f t="shared" si="38"/>
        <v>Heiss</v>
      </c>
      <c r="H57" t="str">
        <f t="shared" si="16"/>
        <v>etal</v>
      </c>
      <c r="I57" t="str">
        <f t="shared" si="39"/>
        <v>2004</v>
      </c>
      <c r="J57" t="str">
        <f t="shared" si="46"/>
        <v>PMID:15534048</v>
      </c>
      <c r="K57" t="str">
        <f t="shared" si="47"/>
        <v>Heiss_etal_2004_TABLE1</v>
      </c>
      <c r="L57" t="str">
        <f t="shared" si="48"/>
        <v>PMID%3A15534048_TABLE1</v>
      </c>
      <c r="M57" t="str">
        <f t="array" ref="M57">IFERROR(INDEX(FileList!$A$1:$A$100, MATCH(L57, _xlfn.TEXTBEFORE(FileList!$A$1:$A$100, ".tsv"), 0)), "notfound")</f>
        <v>notfound</v>
      </c>
      <c r="N57" s="8" t="s">
        <v>325</v>
      </c>
      <c r="X57" s="8" t="s">
        <v>308</v>
      </c>
      <c r="Y57" s="8" t="s">
        <v>326</v>
      </c>
      <c r="AK57" s="8" t="s">
        <v>327</v>
      </c>
      <c r="AL57" s="8" t="s">
        <v>53</v>
      </c>
      <c r="AM57" s="8" t="s">
        <v>328</v>
      </c>
    </row>
    <row r="58" spans="1:39" ht="16" customHeight="1" x14ac:dyDescent="0.2">
      <c r="A58" s="2" t="s">
        <v>329</v>
      </c>
      <c r="D58" s="2" t="s">
        <v>245</v>
      </c>
      <c r="E58" t="str">
        <f t="shared" si="36"/>
        <v>8</v>
      </c>
      <c r="F58" t="str">
        <f t="shared" si="37"/>
        <v>Heldstab_etal_2016</v>
      </c>
      <c r="G58" t="str">
        <f t="shared" si="38"/>
        <v>Heldstab</v>
      </c>
      <c r="H58" t="str">
        <f t="shared" si="16"/>
        <v>etal</v>
      </c>
      <c r="I58" t="str">
        <f t="shared" si="39"/>
        <v>2016</v>
      </c>
      <c r="J58" t="str">
        <f t="shared" si="46"/>
        <v>10.1038/srep24528</v>
      </c>
      <c r="K58" t="str">
        <f t="shared" si="47"/>
        <v>Heldstab_etal_2016_TableS1</v>
      </c>
      <c r="L58" t="str">
        <f t="shared" si="48"/>
        <v>10.1038%2Fsrep24528_TableS1</v>
      </c>
      <c r="M58" t="str">
        <f t="array" ref="M58">IFERROR(INDEX(FileList!$A$1:$A$100, MATCH(L58, _xlfn.TEXTBEFORE(FileList!$A$1:$A$100, ".tsv"), 0)), "notfound")</f>
        <v>notfound</v>
      </c>
      <c r="P58" s="8" t="s">
        <v>295</v>
      </c>
      <c r="Q58" s="8" t="s">
        <v>163</v>
      </c>
      <c r="T58" s="8" t="str">
        <f>IF(S58="N", R58, "write file name")</f>
        <v>write file name</v>
      </c>
      <c r="U58" s="8" t="s">
        <v>49</v>
      </c>
      <c r="V58" s="8" t="s">
        <v>39</v>
      </c>
      <c r="X58" s="8" t="s">
        <v>308</v>
      </c>
      <c r="Y58" s="8" t="s">
        <v>330</v>
      </c>
      <c r="AG58" s="8" t="s">
        <v>141</v>
      </c>
      <c r="AK58" s="8" t="s">
        <v>86</v>
      </c>
      <c r="AL58" s="8" t="s">
        <v>103</v>
      </c>
      <c r="AM58" s="8" t="s">
        <v>331</v>
      </c>
    </row>
    <row r="59" spans="1:39" ht="16" customHeight="1" x14ac:dyDescent="0.2">
      <c r="A59" s="2" t="s">
        <v>332</v>
      </c>
      <c r="D59" s="2" t="s">
        <v>117</v>
      </c>
      <c r="E59" t="str">
        <f t="shared" si="36"/>
        <v>3</v>
      </c>
      <c r="F59" t="str">
        <f t="shared" si="37"/>
        <v>HerculanoHouzel__2015</v>
      </c>
      <c r="G59" t="str">
        <f t="shared" si="38"/>
        <v>HerculanoHouzel</v>
      </c>
      <c r="H59" t="str">
        <f t="shared" si="16"/>
        <v/>
      </c>
      <c r="I59" t="str">
        <f t="shared" si="39"/>
        <v>2015</v>
      </c>
      <c r="J59" t="str">
        <f t="shared" si="46"/>
        <v>10.1098/rspb.2015.1853</v>
      </c>
      <c r="K59" t="str">
        <f t="shared" si="47"/>
        <v>HerculanoHouzel__2015_Table1</v>
      </c>
      <c r="L59" t="str">
        <f t="shared" si="48"/>
        <v>10.1098%2Frspb.2015.1853_Table1</v>
      </c>
      <c r="M59" t="str">
        <f t="array" ref="M59">IFERROR(INDEX(FileList!$A$1:$A$100, MATCH(L59, _xlfn.TEXTBEFORE(FileList!$A$1:$A$100, ".tsv"), 0)), "notfound")</f>
        <v>10.1098%2Frspb.2015.1853_Table1.tsv</v>
      </c>
      <c r="U59" s="8" t="s">
        <v>49</v>
      </c>
      <c r="V59" s="8" t="s">
        <v>39</v>
      </c>
      <c r="Y59" s="8" t="s">
        <v>333</v>
      </c>
      <c r="AK59" s="8" t="s">
        <v>106</v>
      </c>
      <c r="AL59" s="8" t="s">
        <v>321</v>
      </c>
      <c r="AM59" s="8" t="s">
        <v>334</v>
      </c>
    </row>
    <row r="60" spans="1:39" ht="16" customHeight="1" x14ac:dyDescent="0.2">
      <c r="A60" s="2" t="s">
        <v>332</v>
      </c>
      <c r="D60" s="2" t="s">
        <v>125</v>
      </c>
      <c r="E60" t="str">
        <f t="shared" si="36"/>
        <v>3</v>
      </c>
      <c r="F60" t="str">
        <f t="shared" si="37"/>
        <v>HerculanoHouzel__2015</v>
      </c>
      <c r="G60" t="str">
        <f t="shared" si="38"/>
        <v>HerculanoHouzel</v>
      </c>
      <c r="H60" t="str">
        <f t="shared" si="16"/>
        <v/>
      </c>
      <c r="I60" t="str">
        <f t="shared" si="39"/>
        <v>2015</v>
      </c>
      <c r="J60" t="str">
        <f t="shared" si="46"/>
        <v>10.1098/rspb.2015.1853</v>
      </c>
      <c r="K60" t="str">
        <f t="shared" si="47"/>
        <v>HerculanoHouzel__2015_Table2</v>
      </c>
      <c r="L60" t="str">
        <f t="shared" si="48"/>
        <v>10.1098%2Frspb.2015.1853_Table2</v>
      </c>
      <c r="M60" t="str">
        <f t="array" ref="M60">IFERROR(INDEX(FileList!$A$1:$A$100, MATCH(L60, _xlfn.TEXTBEFORE(FileList!$A$1:$A$100, ".tsv"), 0)), "notfound")</f>
        <v>notfound</v>
      </c>
      <c r="N60" s="8" t="s">
        <v>335</v>
      </c>
      <c r="U60" s="8" t="s">
        <v>49</v>
      </c>
      <c r="V60" s="8" t="s">
        <v>39</v>
      </c>
      <c r="Y60" s="8" t="s">
        <v>336</v>
      </c>
      <c r="Z60" s="8" t="s">
        <v>103</v>
      </c>
      <c r="AK60" s="8" t="s">
        <v>106</v>
      </c>
      <c r="AL60" s="8" t="s">
        <v>321</v>
      </c>
      <c r="AM60" s="8" t="s">
        <v>337</v>
      </c>
    </row>
    <row r="61" spans="1:39" ht="16" customHeight="1" x14ac:dyDescent="0.2">
      <c r="A61" s="2" t="s">
        <v>338</v>
      </c>
      <c r="D61" s="2" t="s">
        <v>117</v>
      </c>
      <c r="E61" t="str">
        <f t="shared" si="36"/>
        <v>3</v>
      </c>
      <c r="F61" t="str">
        <f t="shared" si="37"/>
        <v>HerculanoHouzel_etal_2015</v>
      </c>
      <c r="G61" t="str">
        <f t="shared" si="38"/>
        <v>HerculanoHouzel</v>
      </c>
      <c r="H61" t="str">
        <f t="shared" si="16"/>
        <v>etal</v>
      </c>
      <c r="I61" t="str">
        <f t="shared" si="39"/>
        <v>2015</v>
      </c>
      <c r="J61" t="str">
        <f t="shared" si="46"/>
        <v>10.1159/000437413</v>
      </c>
      <c r="K61" t="str">
        <f t="shared" si="47"/>
        <v>HerculanoHouzel_etal_2015_Table1</v>
      </c>
      <c r="L61" t="str">
        <f t="shared" si="48"/>
        <v>10.1159%2F000437413_Table1</v>
      </c>
      <c r="M61" t="str">
        <f t="array" ref="M61">IFERROR(INDEX(FileList!$A$1:$A$100, MATCH(L61, _xlfn.TEXTBEFORE(FileList!$A$1:$A$100, ".tsv"), 0)), "notfound")</f>
        <v>10.1159%2F000437413_Table1.tsv</v>
      </c>
      <c r="N61" s="8" t="s">
        <v>339</v>
      </c>
      <c r="P61" s="8" t="s">
        <v>44</v>
      </c>
      <c r="Q61" s="8" t="s">
        <v>45</v>
      </c>
      <c r="R61" s="8" t="s">
        <v>340</v>
      </c>
      <c r="S61" s="8" t="s">
        <v>47</v>
      </c>
      <c r="T61" s="8" t="s">
        <v>341</v>
      </c>
      <c r="U61" s="8" t="s">
        <v>49</v>
      </c>
      <c r="V61" s="8" t="s">
        <v>39</v>
      </c>
      <c r="W61" s="8" t="s">
        <v>154</v>
      </c>
      <c r="X61" s="8" t="s">
        <v>308</v>
      </c>
      <c r="Y61" s="8" t="s">
        <v>234</v>
      </c>
      <c r="AA61" s="8" t="s">
        <v>54</v>
      </c>
      <c r="AC61" s="8" t="s">
        <v>189</v>
      </c>
      <c r="AD61" s="8" t="s">
        <v>54</v>
      </c>
      <c r="AG61" s="8" t="s">
        <v>55</v>
      </c>
      <c r="AH61" s="8" t="s">
        <v>342</v>
      </c>
      <c r="AK61" s="8" t="s">
        <v>343</v>
      </c>
      <c r="AL61" s="8" t="s">
        <v>53</v>
      </c>
      <c r="AM61" s="8" t="s">
        <v>57</v>
      </c>
    </row>
    <row r="62" spans="1:39" ht="16" customHeight="1" x14ac:dyDescent="0.2">
      <c r="A62" s="2" t="s">
        <v>338</v>
      </c>
      <c r="D62" s="2" t="s">
        <v>125</v>
      </c>
      <c r="E62" t="str">
        <f t="shared" si="36"/>
        <v>3</v>
      </c>
      <c r="F62" t="str">
        <f t="shared" si="37"/>
        <v>HerculanoHouzel_etal_2015</v>
      </c>
      <c r="G62" t="str">
        <f t="shared" si="38"/>
        <v>HerculanoHouzel</v>
      </c>
      <c r="H62" t="str">
        <f t="shared" si="16"/>
        <v>etal</v>
      </c>
      <c r="I62" t="str">
        <f t="shared" si="39"/>
        <v>2015</v>
      </c>
      <c r="J62" t="str">
        <f t="shared" si="46"/>
        <v>10.1159/000437413</v>
      </c>
      <c r="K62" t="str">
        <f t="shared" si="47"/>
        <v>HerculanoHouzel_etal_2015_Table2</v>
      </c>
      <c r="L62" t="str">
        <f t="shared" si="48"/>
        <v>10.1159%2F000437413_Table2</v>
      </c>
      <c r="M62" t="str">
        <f t="array" ref="M62">IFERROR(INDEX(FileList!$A$1:$A$100, MATCH(L62, _xlfn.TEXTBEFORE(FileList!$A$1:$A$100, ".tsv"), 0)), "notfound")</f>
        <v>10.1159%2F000437413_Table2.tsv</v>
      </c>
      <c r="N62" s="8" t="s">
        <v>344</v>
      </c>
      <c r="P62" s="8" t="s">
        <v>44</v>
      </c>
      <c r="Q62" s="8" t="s">
        <v>45</v>
      </c>
      <c r="R62" s="8" t="s">
        <v>345</v>
      </c>
      <c r="S62" s="8" t="s">
        <v>47</v>
      </c>
      <c r="T62" s="8" t="s">
        <v>346</v>
      </c>
      <c r="U62" s="8" t="s">
        <v>49</v>
      </c>
      <c r="V62" s="8" t="s">
        <v>39</v>
      </c>
      <c r="W62" s="8" t="s">
        <v>154</v>
      </c>
      <c r="X62" s="8" t="s">
        <v>308</v>
      </c>
      <c r="Y62" s="8" t="s">
        <v>234</v>
      </c>
      <c r="AA62" s="8" t="s">
        <v>54</v>
      </c>
      <c r="AC62" s="8" t="s">
        <v>189</v>
      </c>
      <c r="AD62" s="8" t="s">
        <v>54</v>
      </c>
      <c r="AG62" s="8" t="s">
        <v>55</v>
      </c>
      <c r="AK62" s="8" t="s">
        <v>343</v>
      </c>
      <c r="AL62" s="8" t="s">
        <v>53</v>
      </c>
      <c r="AM62" s="8" t="s">
        <v>57</v>
      </c>
    </row>
    <row r="63" spans="1:39" ht="16" customHeight="1" x14ac:dyDescent="0.2">
      <c r="A63" s="2" t="s">
        <v>338</v>
      </c>
      <c r="D63" s="2" t="s">
        <v>347</v>
      </c>
      <c r="E63" t="str">
        <f t="shared" si="36"/>
        <v>3</v>
      </c>
      <c r="F63" t="str">
        <f t="shared" si="37"/>
        <v>HerculanoHouzel_etal_2015</v>
      </c>
      <c r="G63" t="str">
        <f t="shared" si="38"/>
        <v>HerculanoHouzel</v>
      </c>
      <c r="H63" t="str">
        <f t="shared" si="16"/>
        <v>etal</v>
      </c>
      <c r="I63" t="str">
        <f t="shared" si="39"/>
        <v>2015</v>
      </c>
      <c r="J63" t="str">
        <f t="shared" si="46"/>
        <v>10.1159/000437413</v>
      </c>
      <c r="K63" t="str">
        <f t="shared" si="47"/>
        <v>HerculanoHouzel_etal_2015_Table3</v>
      </c>
      <c r="L63" t="str">
        <f t="shared" si="48"/>
        <v>10.1159%2F000437413_Table3</v>
      </c>
      <c r="M63" t="str">
        <f t="array" ref="M63">IFERROR(INDEX(FileList!$A$1:$A$100, MATCH(L63, _xlfn.TEXTBEFORE(FileList!$A$1:$A$100, ".tsv"), 0)), "notfound")</f>
        <v>10.1159%2F000437413_Table3.tsv</v>
      </c>
      <c r="N63" s="8" t="s">
        <v>348</v>
      </c>
      <c r="P63" s="8" t="s">
        <v>44</v>
      </c>
      <c r="Q63" s="8" t="s">
        <v>45</v>
      </c>
      <c r="R63" s="8" t="s">
        <v>349</v>
      </c>
      <c r="S63" s="8" t="s">
        <v>47</v>
      </c>
      <c r="T63" s="8" t="s">
        <v>350</v>
      </c>
      <c r="U63" s="8" t="s">
        <v>49</v>
      </c>
      <c r="V63" s="8" t="s">
        <v>39</v>
      </c>
      <c r="W63" s="8" t="s">
        <v>154</v>
      </c>
      <c r="X63" s="8" t="s">
        <v>308</v>
      </c>
      <c r="Y63" s="8" t="s">
        <v>234</v>
      </c>
      <c r="AA63" s="8" t="s">
        <v>54</v>
      </c>
      <c r="AC63" s="8" t="s">
        <v>189</v>
      </c>
      <c r="AD63" s="8" t="s">
        <v>54</v>
      </c>
      <c r="AG63" s="8" t="s">
        <v>55</v>
      </c>
      <c r="AK63" s="8" t="s">
        <v>343</v>
      </c>
      <c r="AL63" s="8" t="s">
        <v>53</v>
      </c>
      <c r="AM63" s="8" t="s">
        <v>57</v>
      </c>
    </row>
    <row r="64" spans="1:39" ht="16" customHeight="1" x14ac:dyDescent="0.2">
      <c r="A64" s="2" t="s">
        <v>338</v>
      </c>
      <c r="D64" s="2" t="s">
        <v>38</v>
      </c>
      <c r="E64" t="str">
        <f t="shared" si="36"/>
        <v>3</v>
      </c>
      <c r="F64" t="str">
        <f t="shared" si="37"/>
        <v>HerculanoHouzel_etal_2015</v>
      </c>
      <c r="G64" t="str">
        <f t="shared" si="38"/>
        <v>HerculanoHouzel</v>
      </c>
      <c r="H64" t="str">
        <f t="shared" si="16"/>
        <v>etal</v>
      </c>
      <c r="I64" t="str">
        <f t="shared" si="39"/>
        <v>2015</v>
      </c>
      <c r="J64" t="str">
        <f t="shared" si="46"/>
        <v>10.1159/000437413</v>
      </c>
      <c r="K64" t="str">
        <f t="shared" si="47"/>
        <v>HerculanoHouzel_etal_2015_Table4</v>
      </c>
      <c r="L64" t="str">
        <f t="shared" si="48"/>
        <v>10.1159%2F000437413_Table4</v>
      </c>
      <c r="M64" t="str">
        <f t="array" ref="M64">IFERROR(INDEX(FileList!$A$1:$A$100, MATCH(L64, _xlfn.TEXTBEFORE(FileList!$A$1:$A$100, ".tsv"), 0)), "notfound")</f>
        <v>10.1159%2F000437413_Table4.tsv</v>
      </c>
      <c r="N64" s="8" t="s">
        <v>351</v>
      </c>
      <c r="P64" s="8" t="s">
        <v>44</v>
      </c>
      <c r="Q64" s="8" t="s">
        <v>45</v>
      </c>
      <c r="R64" s="8" t="s">
        <v>352</v>
      </c>
      <c r="S64" s="8" t="s">
        <v>47</v>
      </c>
      <c r="T64" s="8" t="s">
        <v>353</v>
      </c>
      <c r="U64" s="8" t="s">
        <v>49</v>
      </c>
      <c r="V64" s="8" t="s">
        <v>39</v>
      </c>
      <c r="W64" s="8" t="s">
        <v>154</v>
      </c>
      <c r="X64" s="8" t="s">
        <v>308</v>
      </c>
      <c r="Y64" s="8" t="s">
        <v>234</v>
      </c>
      <c r="AA64" s="8" t="s">
        <v>54</v>
      </c>
      <c r="AC64" s="8" t="s">
        <v>189</v>
      </c>
      <c r="AD64" s="8" t="s">
        <v>54</v>
      </c>
      <c r="AG64" s="8" t="s">
        <v>55</v>
      </c>
      <c r="AK64" s="8" t="s">
        <v>343</v>
      </c>
      <c r="AL64" s="8" t="s">
        <v>53</v>
      </c>
      <c r="AM64" s="8" t="s">
        <v>57</v>
      </c>
    </row>
    <row r="65" spans="1:39" ht="16" customHeight="1" x14ac:dyDescent="0.2">
      <c r="A65" s="2" t="s">
        <v>338</v>
      </c>
      <c r="D65" s="2" t="s">
        <v>354</v>
      </c>
      <c r="E65" t="str">
        <f t="shared" si="36"/>
        <v>3</v>
      </c>
      <c r="F65" t="str">
        <f t="shared" si="37"/>
        <v>HerculanoHouzel_etal_2015</v>
      </c>
      <c r="G65" t="str">
        <f t="shared" si="38"/>
        <v>HerculanoHouzel</v>
      </c>
      <c r="H65" t="str">
        <f t="shared" si="16"/>
        <v>etal</v>
      </c>
      <c r="I65" t="str">
        <f t="shared" si="39"/>
        <v>2015</v>
      </c>
      <c r="J65" t="str">
        <f t="shared" si="46"/>
        <v>10.1159/000437413</v>
      </c>
      <c r="K65" t="str">
        <f t="shared" si="47"/>
        <v>HerculanoHouzel_etal_2015_Table5</v>
      </c>
      <c r="L65" t="str">
        <f t="shared" si="48"/>
        <v>10.1159%2F000437413_Table5</v>
      </c>
      <c r="M65" t="str">
        <f t="array" ref="M65">IFERROR(INDEX(FileList!$A$1:$A$100, MATCH(L65, _xlfn.TEXTBEFORE(FileList!$A$1:$A$100, ".tsv"), 0)), "notfound")</f>
        <v>10.1159%2F000437413_Table5.tsv</v>
      </c>
      <c r="N65" s="8" t="s">
        <v>355</v>
      </c>
      <c r="P65" s="8" t="s">
        <v>44</v>
      </c>
      <c r="Q65" s="8" t="s">
        <v>45</v>
      </c>
      <c r="R65" s="8" t="s">
        <v>356</v>
      </c>
      <c r="S65" s="8" t="s">
        <v>47</v>
      </c>
      <c r="T65" s="8" t="s">
        <v>357</v>
      </c>
      <c r="U65" s="8" t="s">
        <v>49</v>
      </c>
      <c r="V65" s="8" t="s">
        <v>39</v>
      </c>
      <c r="W65" s="8" t="s">
        <v>154</v>
      </c>
      <c r="X65" s="8" t="s">
        <v>308</v>
      </c>
      <c r="Y65" s="8" t="s">
        <v>234</v>
      </c>
      <c r="AA65" s="8" t="s">
        <v>54</v>
      </c>
      <c r="AC65" s="8" t="s">
        <v>189</v>
      </c>
      <c r="AD65" s="8" t="s">
        <v>54</v>
      </c>
      <c r="AG65" s="8" t="s">
        <v>55</v>
      </c>
      <c r="AK65" s="8" t="s">
        <v>343</v>
      </c>
      <c r="AL65" s="8" t="s">
        <v>53</v>
      </c>
      <c r="AM65" s="8" t="s">
        <v>57</v>
      </c>
    </row>
    <row r="66" spans="1:39" ht="16" customHeight="1" x14ac:dyDescent="0.2">
      <c r="A66" s="2" t="s">
        <v>358</v>
      </c>
      <c r="D66" s="2" t="s">
        <v>42</v>
      </c>
      <c r="E66" t="str">
        <f t="shared" si="36"/>
        <v>5</v>
      </c>
      <c r="F66" t="str">
        <f t="shared" si="37"/>
        <v>HerculanoHouzel_etal_2020</v>
      </c>
      <c r="G66" t="str">
        <f t="shared" si="38"/>
        <v>HerculanoHouzel</v>
      </c>
      <c r="H66" t="str">
        <f t="shared" si="16"/>
        <v>etal</v>
      </c>
      <c r="I66" t="str">
        <f t="shared" si="39"/>
        <v>2020</v>
      </c>
      <c r="J66" t="str">
        <f t="shared" si="46"/>
        <v>10.1002/cne.24985</v>
      </c>
      <c r="K66" t="str">
        <f t="shared" si="47"/>
        <v>HerculanoHouzel_etal_2020_TABLE1</v>
      </c>
      <c r="L66" t="str">
        <f t="shared" si="48"/>
        <v>10.1002%2Fcne.24985_TABLE1</v>
      </c>
      <c r="M66" t="str">
        <f t="array" ref="M66">IFERROR(INDEX(FileList!$A$1:$A$100, MATCH(L66, _xlfn.TEXTBEFORE(FileList!$A$1:$A$100, ".tsv"), 0)), "notfound")</f>
        <v>10.1002%2Fcne.24985_TABLE1.tsv</v>
      </c>
      <c r="N66" s="8" t="s">
        <v>359</v>
      </c>
      <c r="P66" s="8" t="s">
        <v>44</v>
      </c>
      <c r="Q66" s="8" t="s">
        <v>45</v>
      </c>
      <c r="R66" s="8" t="s">
        <v>360</v>
      </c>
      <c r="S66" s="8" t="s">
        <v>47</v>
      </c>
      <c r="T66" s="8" t="s">
        <v>361</v>
      </c>
      <c r="U66" s="8" t="s">
        <v>49</v>
      </c>
      <c r="V66" s="8" t="s">
        <v>39</v>
      </c>
      <c r="W66" s="8" t="s">
        <v>167</v>
      </c>
      <c r="X66" s="8" t="s">
        <v>362</v>
      </c>
      <c r="Y66" s="8" t="s">
        <v>363</v>
      </c>
      <c r="AA66" s="8" t="s">
        <v>54</v>
      </c>
      <c r="AC66" s="8" t="s">
        <v>189</v>
      </c>
      <c r="AD66" s="8" t="s">
        <v>54</v>
      </c>
      <c r="AG66" s="8" t="s">
        <v>364</v>
      </c>
      <c r="AH66" s="8" t="s">
        <v>123</v>
      </c>
      <c r="AK66" s="8" t="s">
        <v>365</v>
      </c>
      <c r="AL66" s="8" t="s">
        <v>53</v>
      </c>
      <c r="AM66" s="8" t="s">
        <v>366</v>
      </c>
    </row>
    <row r="67" spans="1:39" ht="16" customHeight="1" x14ac:dyDescent="0.2">
      <c r="A67" s="2" t="s">
        <v>358</v>
      </c>
      <c r="D67" s="2" t="s">
        <v>264</v>
      </c>
      <c r="E67" t="str">
        <f t="shared" si="36"/>
        <v>5</v>
      </c>
      <c r="F67" t="str">
        <f t="shared" si="37"/>
        <v>HerculanoHouzel_etal_2020</v>
      </c>
      <c r="G67" t="str">
        <f t="shared" si="38"/>
        <v>HerculanoHouzel</v>
      </c>
      <c r="H67" t="str">
        <f t="shared" si="16"/>
        <v>etal</v>
      </c>
      <c r="I67" t="str">
        <f t="shared" si="39"/>
        <v>2020</v>
      </c>
      <c r="J67" t="str">
        <f t="shared" si="46"/>
        <v>10.1002/cne.24985</v>
      </c>
      <c r="K67" t="str">
        <f t="shared" si="47"/>
        <v>HerculanoHouzel_etal_2020_TABLE2</v>
      </c>
      <c r="L67" t="str">
        <f t="shared" si="48"/>
        <v>10.1002%2Fcne.24985_TABLE2</v>
      </c>
      <c r="M67" t="str">
        <f t="array" ref="M67">IFERROR(INDEX(FileList!$A$1:$A$100, MATCH(L67, _xlfn.TEXTBEFORE(FileList!$A$1:$A$100, ".tsv"), 0)), "notfound")</f>
        <v>10.1002%2Fcne.24985_TABLE2.tsv</v>
      </c>
      <c r="N67" s="8" t="s">
        <v>367</v>
      </c>
      <c r="P67" s="8" t="s">
        <v>44</v>
      </c>
      <c r="Q67" s="8" t="s">
        <v>45</v>
      </c>
      <c r="R67" s="8" t="s">
        <v>368</v>
      </c>
      <c r="S67" s="8" t="s">
        <v>47</v>
      </c>
      <c r="T67" s="8" t="s">
        <v>369</v>
      </c>
      <c r="U67" s="8" t="s">
        <v>49</v>
      </c>
      <c r="V67" s="8" t="s">
        <v>39</v>
      </c>
      <c r="W67" s="8" t="s">
        <v>167</v>
      </c>
      <c r="X67" s="8" t="s">
        <v>362</v>
      </c>
      <c r="Y67" s="8" t="s">
        <v>370</v>
      </c>
      <c r="AA67" s="8" t="s">
        <v>54</v>
      </c>
      <c r="AC67" s="8" t="s">
        <v>189</v>
      </c>
      <c r="AD67" s="8" t="s">
        <v>54</v>
      </c>
      <c r="AG67" s="8" t="s">
        <v>364</v>
      </c>
      <c r="AH67" s="8" t="s">
        <v>123</v>
      </c>
      <c r="AK67" s="8" t="s">
        <v>365</v>
      </c>
      <c r="AL67" s="8" t="s">
        <v>53</v>
      </c>
      <c r="AM67" s="8" t="s">
        <v>57</v>
      </c>
    </row>
    <row r="68" spans="1:39" ht="16" customHeight="1" x14ac:dyDescent="0.2">
      <c r="A68" s="2" t="s">
        <v>371</v>
      </c>
      <c r="D68" s="2" t="s">
        <v>372</v>
      </c>
      <c r="E68" t="str">
        <f t="shared" si="36"/>
        <v>5</v>
      </c>
      <c r="F68" t="str">
        <f t="shared" si="37"/>
        <v>HerculanoHouzel_etal_2013</v>
      </c>
      <c r="G68" t="str">
        <f t="shared" si="38"/>
        <v>HerculanoHouzel</v>
      </c>
      <c r="H68" t="str">
        <f t="shared" si="16"/>
        <v>etal</v>
      </c>
      <c r="I68" t="str">
        <f t="shared" si="39"/>
        <v>2013</v>
      </c>
      <c r="J68" t="str">
        <f t="shared" si="46"/>
        <v>10.3389/fnana.2013.00035</v>
      </c>
      <c r="K68" t="str">
        <f t="shared" si="47"/>
        <v>HerculanoHouzel_etal_2013_Figure2TopLeft</v>
      </c>
      <c r="L68" t="str">
        <f t="shared" si="48"/>
        <v>10.3389%2Ffnana.2013.00035_Figure2TopLeft</v>
      </c>
      <c r="M68" t="str">
        <f t="array" ref="M68">IFERROR(INDEX(FileList!$A$1:$A$100, MATCH(L68, _xlfn.TEXTBEFORE(FileList!$A$1:$A$100, ".tsv"), 0)), "notfound")</f>
        <v>10.3389%2Ffnana.2013.00035_Figure2TopLeft.tsv</v>
      </c>
      <c r="Q68" s="8" t="s">
        <v>97</v>
      </c>
      <c r="Y68" s="8" t="s">
        <v>373</v>
      </c>
      <c r="AA68" s="8" t="s">
        <v>54</v>
      </c>
      <c r="AC68" s="8" t="s">
        <v>189</v>
      </c>
      <c r="AD68" s="8" t="s">
        <v>54</v>
      </c>
      <c r="AK68" s="8" t="s">
        <v>106</v>
      </c>
      <c r="AL68" s="8" t="s">
        <v>53</v>
      </c>
      <c r="AM68" s="8" t="s">
        <v>57</v>
      </c>
    </row>
    <row r="69" spans="1:39" ht="16" customHeight="1" x14ac:dyDescent="0.2">
      <c r="A69" s="2" t="s">
        <v>371</v>
      </c>
      <c r="D69" s="2" t="s">
        <v>374</v>
      </c>
      <c r="E69" t="str">
        <f t="shared" si="36"/>
        <v>5</v>
      </c>
      <c r="F69" t="str">
        <f t="shared" si="37"/>
        <v>HerculanoHouzel_etal_2013</v>
      </c>
      <c r="G69" t="str">
        <f t="shared" si="38"/>
        <v>HerculanoHouzel</v>
      </c>
      <c r="H69" t="str">
        <f t="shared" si="16"/>
        <v>etal</v>
      </c>
      <c r="I69" t="str">
        <f t="shared" si="39"/>
        <v>2013</v>
      </c>
      <c r="J69" t="str">
        <f t="shared" si="46"/>
        <v>10.3389/fnana.2013.00035</v>
      </c>
      <c r="K69" t="str">
        <f t="shared" si="47"/>
        <v>HerculanoHouzel_etal_2013_Table1-a</v>
      </c>
      <c r="L69" t="str">
        <f t="shared" si="48"/>
        <v>10.3389%2Ffnana.2013.00035_Table1-a</v>
      </c>
      <c r="M69" t="str">
        <f t="array" ref="M69">IFERROR(INDEX(FileList!$A$1:$A$100, MATCH(L69, _xlfn.TEXTBEFORE(FileList!$A$1:$A$100, ".tsv"), 0)), "notfound")</f>
        <v>10.3389%2Ffnana.2013.00035_Table1-a.tsv</v>
      </c>
      <c r="Q69" s="8" t="s">
        <v>97</v>
      </c>
      <c r="Y69" s="8" t="s">
        <v>373</v>
      </c>
      <c r="AA69" s="8" t="s">
        <v>54</v>
      </c>
      <c r="AC69" s="8" t="s">
        <v>189</v>
      </c>
      <c r="AD69" s="8" t="s">
        <v>54</v>
      </c>
      <c r="AK69" s="8" t="s">
        <v>106</v>
      </c>
      <c r="AL69" s="8" t="s">
        <v>53</v>
      </c>
      <c r="AM69" s="8" t="s">
        <v>57</v>
      </c>
    </row>
    <row r="70" spans="1:39" ht="16" customHeight="1" x14ac:dyDescent="0.2">
      <c r="A70" s="2" t="s">
        <v>371</v>
      </c>
      <c r="D70" s="2" t="s">
        <v>375</v>
      </c>
      <c r="E70" t="str">
        <f t="shared" ref="E70:E102" si="49">RIGHT(A70,1)</f>
        <v>5</v>
      </c>
      <c r="F70" t="str">
        <f t="shared" ref="F70:F102" si="50">G70 &amp; IF(H70&lt;&gt;"", "_" &amp; H70, "_") &amp; IF(I70&lt;&gt;"", "_" &amp; I70, "_") &amp; IF(B70&lt;&gt;"", "_" &amp; B70, "")</f>
        <v>HerculanoHouzel_etal_2013</v>
      </c>
      <c r="G70" t="str">
        <f t="shared" ref="G70:G102" si="51">SUBSTITUTE(SUBSTITUTE(_xlfn.TEXTBEFORE(A70,","), "-", ""), " ", "")</f>
        <v>HerculanoHouzel</v>
      </c>
      <c r="H70" t="str">
        <f t="shared" si="16"/>
        <v>etal</v>
      </c>
      <c r="I70" t="str">
        <f t="shared" ref="I70:I102" si="52">_xlfn.TEXTBEFORE(_xlfn.TEXTAFTER(A70, "("), ")")</f>
        <v>2013</v>
      </c>
      <c r="J70" t="str">
        <f t="shared" si="46"/>
        <v>10.3389/fnana.2013.00035</v>
      </c>
      <c r="K70" t="str">
        <f t="shared" si="47"/>
        <v>HerculanoHouzel_etal_2013_Table1-b</v>
      </c>
      <c r="L70" t="str">
        <f t="shared" si="48"/>
        <v>10.3389%2Ffnana.2013.00035_Table1-b</v>
      </c>
      <c r="M70" t="str">
        <f t="array" ref="M70">IFERROR(INDEX(FileList!$A$1:$A$100, MATCH(L70, _xlfn.TEXTBEFORE(FileList!$A$1:$A$100, ".tsv"), 0)), "notfound")</f>
        <v>10.3389%2Ffnana.2013.00035_Table1-b.tsv</v>
      </c>
      <c r="Q70" s="8" t="s">
        <v>97</v>
      </c>
      <c r="Y70" s="8" t="s">
        <v>373</v>
      </c>
      <c r="AA70" s="8" t="s">
        <v>54</v>
      </c>
      <c r="AC70" s="8" t="s">
        <v>189</v>
      </c>
      <c r="AD70" s="8" t="s">
        <v>54</v>
      </c>
      <c r="AK70" s="8" t="s">
        <v>106</v>
      </c>
      <c r="AL70" s="8" t="s">
        <v>53</v>
      </c>
      <c r="AM70" s="8" t="s">
        <v>57</v>
      </c>
    </row>
    <row r="71" spans="1:39" ht="16" customHeight="1" x14ac:dyDescent="0.2">
      <c r="A71" s="2" t="s">
        <v>376</v>
      </c>
      <c r="D71" s="2" t="s">
        <v>125</v>
      </c>
      <c r="E71" t="str">
        <f t="shared" si="49"/>
        <v>4</v>
      </c>
      <c r="F71" t="str">
        <f t="shared" si="50"/>
        <v>Isler_etal_2008</v>
      </c>
      <c r="G71" t="str">
        <f t="shared" si="51"/>
        <v>Isler</v>
      </c>
      <c r="H71" t="str">
        <f t="shared" ref="H71:H86" si="53">_xlfn.LET(_xlpm.authorPart,_xlfn.TEXTBEFORE(A71," ("),IFERROR(IF(ISNUMBER(FIND("&amp;",_xlpm.authorPart)),IF(LEN(A71)-LEN(SUBSTITUTE(A71,",",""))&gt;=6,"etal",_xlfn.TEXTBEFORE(_xlfn.TEXTAFTER(_xlpm.authorPart,"&amp; "),",")),""),""))</f>
        <v>etal</v>
      </c>
      <c r="I71" t="str">
        <f t="shared" si="52"/>
        <v>2008</v>
      </c>
      <c r="J71" t="str">
        <f t="shared" si="46"/>
        <v>10.1016/j.jhevol.2008.08.004</v>
      </c>
      <c r="K71" t="str">
        <f t="shared" si="47"/>
        <v>Isler_etal_2008_Table2</v>
      </c>
      <c r="L71" t="str">
        <f t="shared" si="48"/>
        <v>10.1016%2Fj.jhevol.2008.08.004_Table2</v>
      </c>
      <c r="M71" t="str">
        <f t="array" ref="M71">IFERROR(INDEX(FileList!$A$1:$A$100, MATCH(L71, _xlfn.TEXTBEFORE(FileList!$A$1:$A$100, ".tsv"), 0)), "notfound")</f>
        <v>10.1016%2Fj.jhevol.2008.08.004_Table2.tsv</v>
      </c>
      <c r="Q71" s="8" t="s">
        <v>97</v>
      </c>
      <c r="Y71" s="8" t="s">
        <v>377</v>
      </c>
      <c r="AK71" s="8" t="s">
        <v>86</v>
      </c>
      <c r="AL71" s="8" t="s">
        <v>103</v>
      </c>
      <c r="AM71" s="8" t="s">
        <v>378</v>
      </c>
    </row>
    <row r="72" spans="1:39" ht="16" customHeight="1" x14ac:dyDescent="0.2">
      <c r="A72" s="2" t="s">
        <v>376</v>
      </c>
      <c r="D72" s="2" t="s">
        <v>379</v>
      </c>
      <c r="E72" t="str">
        <f t="shared" si="49"/>
        <v>4</v>
      </c>
      <c r="F72" t="str">
        <f t="shared" si="50"/>
        <v>Isler_etal_2008</v>
      </c>
      <c r="G72" t="str">
        <f t="shared" si="51"/>
        <v>Isler</v>
      </c>
      <c r="H72" t="str">
        <f t="shared" si="53"/>
        <v>etal</v>
      </c>
      <c r="I72" t="str">
        <f t="shared" si="52"/>
        <v>2008</v>
      </c>
      <c r="J72" t="str">
        <f t="shared" si="46"/>
        <v>10.1016/j.jhevol.2008.08.004</v>
      </c>
      <c r="K72" t="str">
        <f t="shared" si="47"/>
        <v>Isler_etal_2008_Table7</v>
      </c>
      <c r="L72" t="str">
        <f t="shared" si="48"/>
        <v>10.1016%2Fj.jhevol.2008.08.004_Table7</v>
      </c>
      <c r="M72" t="str">
        <f t="array" ref="M72">IFERROR(INDEX(FileList!$A$1:$A$100, MATCH(L72, _xlfn.TEXTBEFORE(FileList!$A$1:$A$100, ".tsv"), 0)), "notfound")</f>
        <v>10.1016%2Fj.jhevol.2008.08.004_Table7.tsv</v>
      </c>
      <c r="Q72" s="8" t="s">
        <v>97</v>
      </c>
      <c r="Y72" s="8" t="s">
        <v>377</v>
      </c>
      <c r="AK72" s="8" t="s">
        <v>86</v>
      </c>
      <c r="AL72" s="8" t="s">
        <v>103</v>
      </c>
      <c r="AM72" s="8" t="s">
        <v>378</v>
      </c>
    </row>
    <row r="73" spans="1:39" ht="16" customHeight="1" x14ac:dyDescent="0.2">
      <c r="A73" s="2" t="s">
        <v>376</v>
      </c>
      <c r="D73" s="2" t="s">
        <v>245</v>
      </c>
      <c r="E73" t="str">
        <f t="shared" si="49"/>
        <v>4</v>
      </c>
      <c r="F73" t="str">
        <f t="shared" si="50"/>
        <v>Isler_etal_2008</v>
      </c>
      <c r="G73" t="str">
        <f t="shared" si="51"/>
        <v>Isler</v>
      </c>
      <c r="H73" t="str">
        <f t="shared" si="53"/>
        <v>etal</v>
      </c>
      <c r="I73" t="str">
        <f t="shared" si="52"/>
        <v>2008</v>
      </c>
      <c r="J73" t="str">
        <f t="shared" si="46"/>
        <v>10.1016/j.jhevol.2008.08.004</v>
      </c>
      <c r="K73" t="str">
        <f t="shared" si="47"/>
        <v>Isler_etal_2008_TableS1</v>
      </c>
      <c r="L73" t="str">
        <f t="shared" si="48"/>
        <v>10.1016%2Fj.jhevol.2008.08.004_TableS1</v>
      </c>
      <c r="M73" t="str">
        <f t="array" ref="M73">IFERROR(INDEX(FileList!$A$1:$A$100, MATCH(L73, _xlfn.TEXTBEFORE(FileList!$A$1:$A$100, ".tsv"), 0)), "notfound")</f>
        <v>10.1016%2Fj.jhevol.2008.08.004_TableS1.tsv</v>
      </c>
      <c r="Q73" s="8" t="s">
        <v>97</v>
      </c>
      <c r="Y73" s="8" t="s">
        <v>377</v>
      </c>
      <c r="AK73" s="8" t="s">
        <v>86</v>
      </c>
      <c r="AL73" s="8" t="s">
        <v>103</v>
      </c>
      <c r="AM73" s="8" t="s">
        <v>378</v>
      </c>
    </row>
    <row r="74" spans="1:39" ht="16" customHeight="1" x14ac:dyDescent="0.2">
      <c r="A74" s="2" t="s">
        <v>376</v>
      </c>
      <c r="D74" s="2" t="s">
        <v>301</v>
      </c>
      <c r="E74" t="str">
        <f t="shared" si="49"/>
        <v>4</v>
      </c>
      <c r="F74" t="str">
        <f t="shared" si="50"/>
        <v>Isler_etal_2008</v>
      </c>
      <c r="G74" t="str">
        <f t="shared" si="51"/>
        <v>Isler</v>
      </c>
      <c r="H74" t="str">
        <f t="shared" si="53"/>
        <v>etal</v>
      </c>
      <c r="I74" t="str">
        <f t="shared" si="52"/>
        <v>2008</v>
      </c>
      <c r="J74" t="str">
        <f t="shared" si="46"/>
        <v>10.1016/j.jhevol.2008.08.004</v>
      </c>
      <c r="K74" t="str">
        <f t="shared" si="47"/>
        <v>Isler_etal_2008_TableS2</v>
      </c>
      <c r="L74" t="str">
        <f t="shared" si="48"/>
        <v>10.1016%2Fj.jhevol.2008.08.004_TableS2</v>
      </c>
      <c r="M74" t="str">
        <f t="array" ref="M74">IFERROR(INDEX(FileList!$A$1:$A$100, MATCH(L74, _xlfn.TEXTBEFORE(FileList!$A$1:$A$100, ".tsv"), 0)), "notfound")</f>
        <v>10.1016%2Fj.jhevol.2008.08.004_TableS2.tsv</v>
      </c>
      <c r="Q74" s="8" t="s">
        <v>97</v>
      </c>
      <c r="Y74" s="8" t="s">
        <v>377</v>
      </c>
      <c r="AK74" s="8" t="s">
        <v>86</v>
      </c>
      <c r="AL74" s="8" t="s">
        <v>103</v>
      </c>
      <c r="AM74" s="8" t="s">
        <v>378</v>
      </c>
    </row>
    <row r="75" spans="1:39" ht="16" customHeight="1" x14ac:dyDescent="0.2">
      <c r="A75" s="2" t="s">
        <v>376</v>
      </c>
      <c r="D75" s="2" t="s">
        <v>380</v>
      </c>
      <c r="E75" t="str">
        <f t="shared" si="49"/>
        <v>4</v>
      </c>
      <c r="F75" t="str">
        <f t="shared" si="50"/>
        <v>Isler_etal_2008</v>
      </c>
      <c r="G75" t="str">
        <f t="shared" si="51"/>
        <v>Isler</v>
      </c>
      <c r="H75" t="str">
        <f t="shared" si="53"/>
        <v>etal</v>
      </c>
      <c r="I75" t="str">
        <f t="shared" si="52"/>
        <v>2008</v>
      </c>
      <c r="J75" t="str">
        <f t="shared" si="46"/>
        <v>10.1016/j.jhevol.2008.08.004</v>
      </c>
      <c r="K75" t="str">
        <f t="shared" si="47"/>
        <v>Isler_etal_2008_TableS3</v>
      </c>
      <c r="L75" t="str">
        <f t="shared" si="48"/>
        <v>10.1016%2Fj.jhevol.2008.08.004_TableS3</v>
      </c>
      <c r="M75" t="str">
        <f t="array" ref="M75">IFERROR(INDEX(FileList!$A$1:$A$100, MATCH(L75, _xlfn.TEXTBEFORE(FileList!$A$1:$A$100, ".tsv"), 0)), "notfound")</f>
        <v>10.1016%2Fj.jhevol.2008.08.004_TableS3.tsv</v>
      </c>
      <c r="Q75" s="8" t="s">
        <v>97</v>
      </c>
      <c r="Y75" s="8" t="s">
        <v>377</v>
      </c>
      <c r="AK75" s="8" t="s">
        <v>86</v>
      </c>
      <c r="AL75" s="8" t="s">
        <v>103</v>
      </c>
      <c r="AM75" s="8" t="s">
        <v>378</v>
      </c>
    </row>
    <row r="76" spans="1:39" ht="16" customHeight="1" x14ac:dyDescent="0.2">
      <c r="A76" s="2" t="s">
        <v>376</v>
      </c>
      <c r="D76" s="2" t="s">
        <v>381</v>
      </c>
      <c r="E76" t="str">
        <f t="shared" si="49"/>
        <v>4</v>
      </c>
      <c r="F76" t="str">
        <f t="shared" si="50"/>
        <v>Isler_etal_2008</v>
      </c>
      <c r="G76" t="str">
        <f t="shared" si="51"/>
        <v>Isler</v>
      </c>
      <c r="H76" t="str">
        <f t="shared" si="53"/>
        <v>etal</v>
      </c>
      <c r="I76" t="str">
        <f t="shared" si="52"/>
        <v>2008</v>
      </c>
      <c r="J76" t="str">
        <f t="shared" ref="J76:J110" si="54">IF(C76&lt;&gt;"", C76, IF(C76="", _xlfn.TEXTAFTER(A76,"https://doi.org/"), C76))</f>
        <v>10.1016/j.jhevol.2008.08.004</v>
      </c>
      <c r="K76" t="str">
        <f t="shared" ref="K76:K110" si="55">TRIM(_xlfn.TEXTJOIN("_",FALSE,F76,(SUBSTITUTE(SUBSTITUTE(D76," ",""), "_", ""))))</f>
        <v>Isler_etal_2008_Tree.nex</v>
      </c>
      <c r="L76" t="str">
        <f t="shared" ref="L76:L110" si="56">IF(ISBLANK(C76),TRIM(SUBSTITUTE(SUBSTITUTE(SUBSTITUTE(_xlfn.TEXTJOIN("_", FALSE, J76, SUBSTITUTE(D76,"_", "")), "/", "%2F"), ":", "%3A"), " ", "")),TRIM(SUBSTITUTE(SUBSTITUTE(SUBSTITUTE(_xlfn.TEXTJOIN("_", FALSE, C76, SUBSTITUTE(D76,"_", "")), "/", "%2F"), ":", "%3A"), " ", "")))</f>
        <v>10.1016%2Fj.jhevol.2008.08.004_Tree.nex</v>
      </c>
      <c r="M76" t="str">
        <f t="array" ref="M76">IFERROR(INDEX(FileList!$A$1:$A$100, MATCH(L76, _xlfn.TEXTBEFORE(FileList!$A$1:$A$100, ".tsv"), 0)), "notfound")</f>
        <v>notfound</v>
      </c>
      <c r="Q76" s="8" t="s">
        <v>97</v>
      </c>
      <c r="Y76" s="8" t="s">
        <v>382</v>
      </c>
      <c r="AK76" s="8" t="s">
        <v>86</v>
      </c>
      <c r="AL76" s="8" t="s">
        <v>103</v>
      </c>
      <c r="AM76" s="8" t="s">
        <v>383</v>
      </c>
    </row>
    <row r="77" spans="1:39" ht="15.75" customHeight="1" x14ac:dyDescent="0.2">
      <c r="A77" s="2" t="s">
        <v>384</v>
      </c>
      <c r="D77" s="2" t="s">
        <v>117</v>
      </c>
      <c r="E77" t="str">
        <f t="shared" si="49"/>
        <v>9</v>
      </c>
      <c r="F77" t="str">
        <f t="shared" si="50"/>
        <v>Iwaniuk_etal_2001</v>
      </c>
      <c r="G77" t="str">
        <f t="shared" si="51"/>
        <v>Iwaniuk</v>
      </c>
      <c r="H77" t="str">
        <f t="shared" si="53"/>
        <v>etal</v>
      </c>
      <c r="I77" t="str">
        <f t="shared" si="52"/>
        <v>2001</v>
      </c>
      <c r="J77" t="str">
        <f t="shared" si="54"/>
        <v>10.1037/0735-7036.115.1.29</v>
      </c>
      <c r="K77" t="str">
        <f t="shared" si="55"/>
        <v>Iwaniuk_etal_2001_Table1</v>
      </c>
      <c r="L77" t="str">
        <f t="shared" si="56"/>
        <v>10.1037%2F0735-7036.115.1.29_Table1</v>
      </c>
      <c r="M77" t="str">
        <f t="array" ref="M77">IFERROR(INDEX(FileList!$A$1:$A$100, MATCH(L77, _xlfn.TEXTBEFORE(FileList!$A$1:$A$100, ".tsv"), 0)), "notfound")</f>
        <v>10.1037%2F0735-7036.115.1.29_Table1.tsv</v>
      </c>
      <c r="N77" s="8" t="s">
        <v>385</v>
      </c>
      <c r="P77" s="8" t="s">
        <v>386</v>
      </c>
      <c r="Q77" s="8" t="s">
        <v>163</v>
      </c>
      <c r="T77" s="8" t="str">
        <f>IF(S77="N", R77, "write file name")</f>
        <v>write file name</v>
      </c>
      <c r="U77" s="8" t="s">
        <v>49</v>
      </c>
      <c r="V77" s="8" t="s">
        <v>39</v>
      </c>
      <c r="Y77" s="8" t="s">
        <v>387</v>
      </c>
      <c r="AG77" s="8" t="s">
        <v>388</v>
      </c>
      <c r="AK77" s="8" t="s">
        <v>106</v>
      </c>
      <c r="AL77" s="8" t="s">
        <v>103</v>
      </c>
      <c r="AM77" s="8" t="s">
        <v>389</v>
      </c>
    </row>
    <row r="78" spans="1:39" ht="15.75" customHeight="1" x14ac:dyDescent="0.2">
      <c r="A78" s="2" t="s">
        <v>384</v>
      </c>
      <c r="D78" s="2" t="s">
        <v>125</v>
      </c>
      <c r="E78" t="str">
        <f t="shared" si="49"/>
        <v>9</v>
      </c>
      <c r="F78" t="str">
        <f t="shared" si="50"/>
        <v>Iwaniuk_etal_2001</v>
      </c>
      <c r="G78" t="str">
        <f t="shared" si="51"/>
        <v>Iwaniuk</v>
      </c>
      <c r="H78" t="str">
        <f t="shared" si="53"/>
        <v>etal</v>
      </c>
      <c r="I78" t="str">
        <f t="shared" si="52"/>
        <v>2001</v>
      </c>
      <c r="J78" t="str">
        <f t="shared" si="54"/>
        <v>10.1037/0735-7036.115.1.29</v>
      </c>
      <c r="K78" t="str">
        <f t="shared" si="55"/>
        <v>Iwaniuk_etal_2001_Table2</v>
      </c>
      <c r="L78" t="str">
        <f t="shared" si="56"/>
        <v>10.1037%2F0735-7036.115.1.29_Table2</v>
      </c>
      <c r="M78" t="str">
        <f t="array" ref="M78">IFERROR(INDEX(FileList!$A$1:$A$100, MATCH(L78, _xlfn.TEXTBEFORE(FileList!$A$1:$A$100, ".tsv"), 0)), "notfound")</f>
        <v>10.1037%2F0735-7036.115.1.29_Table2.tsv</v>
      </c>
      <c r="N78" s="8" t="s">
        <v>390</v>
      </c>
      <c r="P78" s="8" t="s">
        <v>386</v>
      </c>
      <c r="Q78" s="8" t="s">
        <v>163</v>
      </c>
      <c r="T78" s="8" t="str">
        <f>IF(S78="N", R78, "write file name")</f>
        <v>write file name</v>
      </c>
      <c r="U78" s="8" t="s">
        <v>49</v>
      </c>
      <c r="V78" s="8" t="s">
        <v>39</v>
      </c>
      <c r="Y78" s="8" t="s">
        <v>387</v>
      </c>
      <c r="AG78" s="8" t="s">
        <v>388</v>
      </c>
      <c r="AK78" s="8" t="s">
        <v>106</v>
      </c>
      <c r="AL78" s="8" t="s">
        <v>103</v>
      </c>
      <c r="AM78" s="8" t="s">
        <v>389</v>
      </c>
    </row>
    <row r="79" spans="1:39" ht="15.75" customHeight="1" x14ac:dyDescent="0.2">
      <c r="A79" s="2" t="s">
        <v>384</v>
      </c>
      <c r="D79" s="2" t="s">
        <v>347</v>
      </c>
      <c r="E79" t="str">
        <f t="shared" si="49"/>
        <v>9</v>
      </c>
      <c r="F79" t="str">
        <f t="shared" si="50"/>
        <v>Iwaniuk_etal_2001</v>
      </c>
      <c r="G79" t="str">
        <f t="shared" si="51"/>
        <v>Iwaniuk</v>
      </c>
      <c r="H79" t="str">
        <f t="shared" si="53"/>
        <v>etal</v>
      </c>
      <c r="I79" t="str">
        <f t="shared" si="52"/>
        <v>2001</v>
      </c>
      <c r="J79" t="str">
        <f t="shared" si="54"/>
        <v>10.1037/0735-7036.115.1.29</v>
      </c>
      <c r="K79" t="str">
        <f t="shared" si="55"/>
        <v>Iwaniuk_etal_2001_Table3</v>
      </c>
      <c r="L79" t="str">
        <f t="shared" si="56"/>
        <v>10.1037%2F0735-7036.115.1.29_Table3</v>
      </c>
      <c r="M79" t="str">
        <f t="array" ref="M79">IFERROR(INDEX(FileList!$A$1:$A$100, MATCH(L79, _xlfn.TEXTBEFORE(FileList!$A$1:$A$100, ".tsv"), 0)), "notfound")</f>
        <v>10.1037%2F0735-7036.115.1.29_Table3.tsv</v>
      </c>
      <c r="N79" s="8" t="s">
        <v>391</v>
      </c>
      <c r="P79" s="8" t="s">
        <v>386</v>
      </c>
      <c r="Q79" s="8" t="s">
        <v>163</v>
      </c>
      <c r="T79" s="8" t="str">
        <f>IF(S79="N", R79, "write file name")</f>
        <v>write file name</v>
      </c>
      <c r="U79" s="8" t="s">
        <v>49</v>
      </c>
      <c r="V79" s="8" t="s">
        <v>39</v>
      </c>
      <c r="Y79" s="8" t="s">
        <v>387</v>
      </c>
      <c r="AG79" s="8" t="s">
        <v>388</v>
      </c>
      <c r="AK79" s="8" t="s">
        <v>106</v>
      </c>
      <c r="AL79" s="8" t="s">
        <v>103</v>
      </c>
      <c r="AM79" s="8" t="s">
        <v>389</v>
      </c>
    </row>
    <row r="80" spans="1:39" ht="15.75" customHeight="1" x14ac:dyDescent="0.2">
      <c r="A80" s="2" t="s">
        <v>384</v>
      </c>
      <c r="D80" s="2" t="s">
        <v>38</v>
      </c>
      <c r="E80" t="str">
        <f t="shared" si="49"/>
        <v>9</v>
      </c>
      <c r="F80" t="str">
        <f t="shared" si="50"/>
        <v>Iwaniuk_etal_2001</v>
      </c>
      <c r="G80" t="str">
        <f t="shared" si="51"/>
        <v>Iwaniuk</v>
      </c>
      <c r="H80" t="str">
        <f t="shared" si="53"/>
        <v>etal</v>
      </c>
      <c r="I80" t="str">
        <f t="shared" si="52"/>
        <v>2001</v>
      </c>
      <c r="J80" t="str">
        <f t="shared" si="54"/>
        <v>10.1037/0735-7036.115.1.29</v>
      </c>
      <c r="K80" t="str">
        <f t="shared" si="55"/>
        <v>Iwaniuk_etal_2001_Table4</v>
      </c>
      <c r="L80" t="str">
        <f t="shared" si="56"/>
        <v>10.1037%2F0735-7036.115.1.29_Table4</v>
      </c>
      <c r="M80" t="str">
        <f t="array" ref="M80">IFERROR(INDEX(FileList!$A$1:$A$100, MATCH(L80, _xlfn.TEXTBEFORE(FileList!$A$1:$A$100, ".tsv"), 0)), "notfound")</f>
        <v>10.1037%2F0735-7036.115.1.29_Table4.tsv</v>
      </c>
      <c r="N80" s="8" t="s">
        <v>392</v>
      </c>
      <c r="P80" s="8" t="s">
        <v>386</v>
      </c>
      <c r="Q80" s="8" t="s">
        <v>163</v>
      </c>
      <c r="T80" s="8" t="str">
        <f>IF(S80="N", R80, "write file name")</f>
        <v>write file name</v>
      </c>
      <c r="U80" s="8" t="s">
        <v>49</v>
      </c>
      <c r="V80" s="8" t="s">
        <v>39</v>
      </c>
      <c r="Y80" s="8" t="s">
        <v>387</v>
      </c>
      <c r="AG80" s="8" t="s">
        <v>388</v>
      </c>
      <c r="AK80" s="8" t="s">
        <v>106</v>
      </c>
      <c r="AL80" s="8" t="s">
        <v>103</v>
      </c>
      <c r="AM80" s="8" t="s">
        <v>389</v>
      </c>
    </row>
    <row r="81" spans="1:39" ht="15.75" customHeight="1" x14ac:dyDescent="0.2">
      <c r="A81" s="2" t="s">
        <v>393</v>
      </c>
      <c r="D81" s="2" t="s">
        <v>394</v>
      </c>
      <c r="E81" t="str">
        <f t="shared" si="49"/>
        <v>x</v>
      </c>
      <c r="F81" t="str">
        <f t="shared" si="50"/>
        <v>Iwaniuk_etal_1999</v>
      </c>
      <c r="G81" t="str">
        <f t="shared" si="51"/>
        <v>Iwaniuk</v>
      </c>
      <c r="H81" t="str">
        <f t="shared" si="53"/>
        <v>etal</v>
      </c>
      <c r="I81" t="str">
        <f t="shared" si="52"/>
        <v>1999</v>
      </c>
      <c r="J81" t="str">
        <f t="shared" si="54"/>
        <v>10.1016/s0166-4328(98)00151-x</v>
      </c>
      <c r="K81" t="str">
        <f t="shared" si="55"/>
        <v>Iwaniuk_etal_1999_References</v>
      </c>
      <c r="L81" t="str">
        <f t="shared" si="56"/>
        <v>10.1016%2Fs0166-4328(98)00151-x_References</v>
      </c>
      <c r="M81" t="str">
        <f t="array" ref="M81">IFERROR(INDEX(FileList!$A$1:$A$100, MATCH(L81, _xlfn.TEXTBEFORE(FileList!$A$1:$A$100, ".tsv"), 0)), "notfound")</f>
        <v>notfound</v>
      </c>
      <c r="N81" s="8" t="s">
        <v>394</v>
      </c>
      <c r="P81" s="8" t="s">
        <v>295</v>
      </c>
      <c r="V81" s="8" t="s">
        <v>395</v>
      </c>
      <c r="W81" s="8" t="s">
        <v>167</v>
      </c>
      <c r="Y81" s="8" t="s">
        <v>396</v>
      </c>
      <c r="AK81" s="8" t="s">
        <v>106</v>
      </c>
      <c r="AL81" s="8" t="s">
        <v>103</v>
      </c>
      <c r="AM81" s="8" t="s">
        <v>397</v>
      </c>
    </row>
    <row r="82" spans="1:39" ht="15.75" customHeight="1" x14ac:dyDescent="0.2">
      <c r="A82" s="2" t="s">
        <v>393</v>
      </c>
      <c r="D82" s="2" t="s">
        <v>117</v>
      </c>
      <c r="E82" t="str">
        <f t="shared" si="49"/>
        <v>x</v>
      </c>
      <c r="F82" t="str">
        <f t="shared" si="50"/>
        <v>Iwaniuk_etal_1999</v>
      </c>
      <c r="G82" t="str">
        <f t="shared" si="51"/>
        <v>Iwaniuk</v>
      </c>
      <c r="H82" t="str">
        <f t="shared" si="53"/>
        <v>etal</v>
      </c>
      <c r="I82" t="str">
        <f t="shared" si="52"/>
        <v>1999</v>
      </c>
      <c r="J82" t="str">
        <f t="shared" si="54"/>
        <v>10.1016/s0166-4328(98)00151-x</v>
      </c>
      <c r="K82" t="str">
        <f t="shared" si="55"/>
        <v>Iwaniuk_etal_1999_Table1</v>
      </c>
      <c r="L82" t="str">
        <f t="shared" si="56"/>
        <v>10.1016%2Fs0166-4328(98)00151-x_Table1</v>
      </c>
      <c r="M82" t="str">
        <f t="array" ref="M82">IFERROR(INDEX(FileList!$A$1:$A$100, MATCH(L82, _xlfn.TEXTBEFORE(FileList!$A$1:$A$100, ".tsv"), 0)), "notfound")</f>
        <v>10.1016%2Fs0166-4328(98)00151-x_Table1.tsv</v>
      </c>
      <c r="N82" s="8" t="s">
        <v>398</v>
      </c>
      <c r="P82" s="8" t="s">
        <v>295</v>
      </c>
      <c r="V82" s="8" t="s">
        <v>39</v>
      </c>
      <c r="W82" s="8" t="s">
        <v>167</v>
      </c>
      <c r="Y82" s="8" t="s">
        <v>396</v>
      </c>
      <c r="AK82" s="8" t="s">
        <v>106</v>
      </c>
      <c r="AL82" s="8" t="s">
        <v>103</v>
      </c>
      <c r="AM82" s="8" t="s">
        <v>397</v>
      </c>
    </row>
    <row r="83" spans="1:39" ht="15.75" customHeight="1" x14ac:dyDescent="0.2">
      <c r="A83" s="2" t="s">
        <v>399</v>
      </c>
      <c r="D83" s="2" t="s">
        <v>117</v>
      </c>
      <c r="E83" t="str">
        <f t="shared" si="49"/>
        <v>8</v>
      </c>
      <c r="F83" t="str">
        <f t="shared" si="50"/>
        <v>JardimMesseder_etal_2017</v>
      </c>
      <c r="G83" t="str">
        <f t="shared" si="51"/>
        <v>JardimMesseder</v>
      </c>
      <c r="H83" t="str">
        <f t="shared" si="53"/>
        <v>etal</v>
      </c>
      <c r="I83" t="str">
        <f t="shared" si="52"/>
        <v>2017</v>
      </c>
      <c r="J83" t="str">
        <f t="shared" si="54"/>
        <v>10.3389/fnana.2017.00118</v>
      </c>
      <c r="K83" t="str">
        <f t="shared" si="55"/>
        <v>JardimMesseder_etal_2017_Table1</v>
      </c>
      <c r="L83" t="str">
        <f t="shared" si="56"/>
        <v>10.3389%2Ffnana.2017.00118_Table1</v>
      </c>
      <c r="M83" t="str">
        <f t="array" ref="M83">IFERROR(INDEX(FileList!$A$1:$A$100, MATCH(L83, _xlfn.TEXTBEFORE(FileList!$A$1:$A$100, ".tsv"), 0)), "notfound")</f>
        <v>10.3389%2Ffnana.2017.00118_Table1.tsv</v>
      </c>
      <c r="N83" s="8" t="s">
        <v>400</v>
      </c>
      <c r="P83" s="8" t="s">
        <v>44</v>
      </c>
      <c r="Q83" s="8" t="s">
        <v>45</v>
      </c>
      <c r="R83" s="8" t="s">
        <v>401</v>
      </c>
      <c r="S83" s="8" t="s">
        <v>47</v>
      </c>
      <c r="T83" s="8" t="s">
        <v>402</v>
      </c>
      <c r="U83" s="8" t="s">
        <v>49</v>
      </c>
      <c r="V83" s="8" t="s">
        <v>39</v>
      </c>
      <c r="W83" s="8" t="s">
        <v>154</v>
      </c>
      <c r="X83" s="8" t="s">
        <v>403</v>
      </c>
      <c r="Y83" s="8" t="s">
        <v>234</v>
      </c>
      <c r="Z83" s="8" t="s">
        <v>53</v>
      </c>
      <c r="AA83" s="8" t="s">
        <v>54</v>
      </c>
      <c r="AC83" s="8" t="s">
        <v>189</v>
      </c>
      <c r="AD83" s="8" t="s">
        <v>54</v>
      </c>
      <c r="AG83" s="8" t="s">
        <v>404</v>
      </c>
      <c r="AK83" s="8" t="s">
        <v>405</v>
      </c>
      <c r="AL83" s="8" t="s">
        <v>53</v>
      </c>
      <c r="AM83" s="8" t="s">
        <v>57</v>
      </c>
    </row>
    <row r="84" spans="1:39" ht="15.75" customHeight="1" x14ac:dyDescent="0.2">
      <c r="A84" s="2" t="s">
        <v>406</v>
      </c>
      <c r="D84" s="2" t="s">
        <v>125</v>
      </c>
      <c r="E84" t="str">
        <f t="shared" si="49"/>
        <v>4</v>
      </c>
      <c r="F84" t="str">
        <f t="shared" si="50"/>
        <v>Johansen_etal_2024</v>
      </c>
      <c r="G84" t="str">
        <f t="shared" si="51"/>
        <v>Johansen</v>
      </c>
      <c r="H84" t="str">
        <f t="shared" si="53"/>
        <v>etal</v>
      </c>
      <c r="I84" t="str">
        <f t="shared" si="52"/>
        <v>2024</v>
      </c>
      <c r="J84" t="str">
        <f t="shared" si="54"/>
        <v>10.1523/JNEUROSCI.1750-23.2024</v>
      </c>
      <c r="K84" t="str">
        <f t="shared" si="55"/>
        <v>Johansen_etal_2024_Table2</v>
      </c>
      <c r="L84" t="str">
        <f t="shared" si="56"/>
        <v>10.1523%2FJNEUROSCI.1750-23.2024_Table2</v>
      </c>
      <c r="M84" t="str">
        <f t="array" ref="M84">IFERROR(INDEX(FileList!$A$1:$A$100, MATCH(L84, _xlfn.TEXTBEFORE(FileList!$A$1:$A$100, ".tsv"), 0)), "notfound")</f>
        <v>notfound</v>
      </c>
      <c r="N84" s="8" t="s">
        <v>407</v>
      </c>
      <c r="Y84" s="8" t="s">
        <v>408</v>
      </c>
      <c r="AK84" s="8" t="s">
        <v>409</v>
      </c>
      <c r="AL84" s="8" t="s">
        <v>53</v>
      </c>
      <c r="AM84" s="8" t="s">
        <v>410</v>
      </c>
    </row>
    <row r="85" spans="1:39" ht="15.75" customHeight="1" x14ac:dyDescent="0.2">
      <c r="A85" s="2" t="s">
        <v>411</v>
      </c>
      <c r="D85" s="2" t="s">
        <v>117</v>
      </c>
      <c r="E85" t="str">
        <f t="shared" si="49"/>
        <v>8</v>
      </c>
      <c r="F85" t="str">
        <f>G78</f>
        <v>Iwaniuk</v>
      </c>
      <c r="G85" t="str">
        <f t="shared" si="51"/>
        <v>Karbowski</v>
      </c>
      <c r="H85" t="str">
        <f t="shared" si="53"/>
        <v/>
      </c>
      <c r="I85" t="str">
        <f t="shared" si="52"/>
        <v>2007</v>
      </c>
      <c r="J85" t="str">
        <f t="shared" si="54"/>
        <v>10.1186/1741-7007-5-18</v>
      </c>
      <c r="K85" t="str">
        <f t="shared" si="55"/>
        <v>Iwaniuk_Table1</v>
      </c>
      <c r="L85" t="str">
        <f t="shared" si="56"/>
        <v>10.1186%2F1741-7007-5-18_Table1</v>
      </c>
      <c r="M85" t="str">
        <f t="array" ref="M85">IFERROR(INDEX(FileList!$A$1:$A$100, MATCH(L85, _xlfn.TEXTBEFORE(FileList!$A$1:$A$100, ".tsv"), 0)), "notfound")</f>
        <v>notfound</v>
      </c>
      <c r="N85" s="8" t="s">
        <v>412</v>
      </c>
      <c r="V85" s="8" t="s">
        <v>39</v>
      </c>
      <c r="Y85" s="8" t="s">
        <v>413</v>
      </c>
      <c r="Z85" s="8" t="s">
        <v>53</v>
      </c>
      <c r="AC85" s="8" t="s">
        <v>414</v>
      </c>
      <c r="AK85" s="8" t="s">
        <v>106</v>
      </c>
      <c r="AL85" s="8" t="s">
        <v>103</v>
      </c>
      <c r="AM85" s="8" t="s">
        <v>415</v>
      </c>
    </row>
    <row r="86" spans="1:39" x14ac:dyDescent="0.2">
      <c r="A86" s="2" t="s">
        <v>416</v>
      </c>
      <c r="D86" s="2" t="s">
        <v>42</v>
      </c>
      <c r="E86" t="str">
        <f t="shared" si="49"/>
        <v>9</v>
      </c>
      <c r="F86" t="str">
        <f t="shared" si="50"/>
        <v>Karl_etal_2024</v>
      </c>
      <c r="G86" t="str">
        <f t="shared" si="51"/>
        <v>Karl</v>
      </c>
      <c r="H86" t="str">
        <f t="shared" si="53"/>
        <v>etal</v>
      </c>
      <c r="I86" t="str">
        <f t="shared" si="52"/>
        <v>2024</v>
      </c>
      <c r="J86" t="str">
        <f t="shared" si="54"/>
        <v>10.1002/cne.25669</v>
      </c>
      <c r="K86" t="str">
        <f t="shared" si="55"/>
        <v>Karl_etal_2024_TABLE1</v>
      </c>
      <c r="L86" t="str">
        <f t="shared" si="56"/>
        <v>10.1002%2Fcne.25669_TABLE1</v>
      </c>
      <c r="M86" t="str">
        <f t="array" ref="M86">IFERROR(INDEX(FileList!$A$1:$A$100, MATCH(L86, _xlfn.TEXTBEFORE(FileList!$A$1:$A$100, ".tsv"), 0)), "notfound")</f>
        <v>10.1002%2Fcne.25669_TABLE1.tsv</v>
      </c>
      <c r="N86" s="8" t="s">
        <v>417</v>
      </c>
      <c r="U86" s="8" t="s">
        <v>49</v>
      </c>
      <c r="V86" s="8" t="s">
        <v>39</v>
      </c>
      <c r="W86" s="8" t="s">
        <v>167</v>
      </c>
      <c r="Y86" s="8" t="s">
        <v>418</v>
      </c>
      <c r="Z86" s="8" t="s">
        <v>53</v>
      </c>
      <c r="AK86" s="8" t="s">
        <v>106</v>
      </c>
      <c r="AL86" s="8" t="s">
        <v>53</v>
      </c>
      <c r="AM86" s="8" t="s">
        <v>418</v>
      </c>
    </row>
    <row r="87" spans="1:39" ht="15.75" customHeight="1" x14ac:dyDescent="0.2">
      <c r="A87" s="2" t="s">
        <v>601</v>
      </c>
      <c r="C87" s="2" t="s">
        <v>609</v>
      </c>
      <c r="D87" s="2" t="s">
        <v>117</v>
      </c>
      <c r="E87" t="str">
        <f t="shared" ref="E87" si="57">RIGHT(A87,1)</f>
        <v>i</v>
      </c>
      <c r="F87" t="str">
        <f t="shared" ref="F87" si="58">G87 &amp; IF(H87&lt;&gt;"", "_" &amp; H87, "_") &amp; IF(I87&lt;&gt;"", "_" &amp; I87, "_") &amp; IF(B87&lt;&gt;"", "_" &amp; B87, "")</f>
        <v>Kaufman__2004</v>
      </c>
      <c r="G87" t="str">
        <f t="shared" ref="G87" si="59">SUBSTITUTE(SUBSTITUTE(_xlfn.TEXTBEFORE(A87,","), "-", ""), " ", "")</f>
        <v>Kaufman</v>
      </c>
      <c r="H87" t="str">
        <f>_xlfn.LET(_xlpm.authorPart,_xlfn.TEXTBEFORE(A87," ("),IFERROR(IF(ISNUMBER(FIND("&amp;",_xlpm.authorPart)),IF(LEN(A87)-LEN(SUBSTITUTE(A87,",",""))&gt;=6,"etal",_xlfn.TEXTBEFORE(_xlfn.TEXTAFTER(_xlpm.authorPart,"&amp; "),",")),""),""))</f>
        <v/>
      </c>
      <c r="I87" t="str">
        <f t="shared" ref="I87" si="60">_xlfn.TEXTBEFORE(_xlfn.TEXTAFTER(A87, "("), ")")</f>
        <v>2004</v>
      </c>
      <c r="J87" t="str">
        <f t="shared" ref="J87" si="61">IF(C87&lt;&gt;"", C87, IF(C87="", _xlfn.TEXTAFTER(A87,"https://doi.org/"), C87))</f>
        <v>UMI:3147447</v>
      </c>
      <c r="K87" t="str">
        <f t="shared" ref="K87" si="62">TRIM(_xlfn.TEXTJOIN("_",FALSE,F87,(SUBSTITUTE(SUBSTITUTE(D87," ",""), "_", ""))))</f>
        <v>Kaufman__2004_Table1</v>
      </c>
      <c r="L87" t="str">
        <f t="shared" ref="L87" si="63">IF(ISBLANK(C87),TRIM(SUBSTITUTE(SUBSTITUTE(SUBSTITUTE(_xlfn.TEXTJOIN("_", FALSE, J87, SUBSTITUTE(D87,"_", "")), "/", "%2F"), ":", "%3A"), " ", "")),TRIM(SUBSTITUTE(SUBSTITUTE(SUBSTITUTE(_xlfn.TEXTJOIN("_", FALSE, C87, SUBSTITUTE(D87,"_", "")), "/", "%2F"), ":", "%3A"), " ", "")))</f>
        <v>UMI%3A3147447_Table1</v>
      </c>
      <c r="M87" t="str">
        <f t="array" ref="M87">IFERROR(INDEX(FileList!$A$1:$A$100, MATCH(L87, _xlfn.TEXTBEFORE(FileList!$A$1:$A$100, ".tsv"), 0)), "notfound")</f>
        <v>notfound</v>
      </c>
      <c r="V87" s="8" t="s">
        <v>39</v>
      </c>
      <c r="Y87" s="8" t="s">
        <v>419</v>
      </c>
      <c r="Z87" s="8" t="s">
        <v>53</v>
      </c>
      <c r="AF87" s="8" t="s">
        <v>420</v>
      </c>
      <c r="AK87" s="8" t="s">
        <v>106</v>
      </c>
      <c r="AL87" s="8" t="s">
        <v>103</v>
      </c>
      <c r="AM87" s="8" t="s">
        <v>421</v>
      </c>
    </row>
    <row r="88" spans="1:39" ht="15.75" customHeight="1" x14ac:dyDescent="0.2">
      <c r="A88" s="2" t="s">
        <v>422</v>
      </c>
      <c r="D88" s="2" t="s">
        <v>117</v>
      </c>
      <c r="E88" t="str">
        <f t="shared" si="49"/>
        <v>8</v>
      </c>
      <c r="F88" t="str">
        <f t="shared" si="50"/>
        <v>Kverkova_etal_2018</v>
      </c>
      <c r="G88" t="str">
        <f t="shared" si="51"/>
        <v>Kverkova</v>
      </c>
      <c r="H88" t="str">
        <f t="shared" ref="H88:H135" si="64">_xlfn.LET(_xlpm.authorPart,_xlfn.TEXTBEFORE(A88," ("),IFERROR(IF(ISNUMBER(FIND("&amp;",_xlpm.authorPart)),IF(LEN(A88)-LEN(SUBSTITUTE(A88,",",""))&gt;=6,"etal",_xlfn.TEXTBEFORE(_xlfn.TEXTAFTER(_xlpm.authorPart,"&amp; "),",")),""),""))</f>
        <v>etal</v>
      </c>
      <c r="I88" t="str">
        <f t="shared" si="52"/>
        <v>2018</v>
      </c>
      <c r="J88" t="str">
        <f t="shared" si="54"/>
        <v>10.1038/s41598-018-26062-8</v>
      </c>
      <c r="K88" t="str">
        <f t="shared" si="55"/>
        <v>Kverkova_etal_2018_Table1</v>
      </c>
      <c r="L88" t="str">
        <f t="shared" si="56"/>
        <v>10.1038%2Fs41598-018-26062-8_Table1</v>
      </c>
      <c r="M88" t="str">
        <f t="array" ref="M88">IFERROR(INDEX(FileList!$A$1:$A$100, MATCH(L88, _xlfn.TEXTBEFORE(FileList!$A$1:$A$100, ".tsv"), 0)), "notfound")</f>
        <v>10.1038%2Fs41598-018-26062-8_Table1.tsv</v>
      </c>
      <c r="N88" s="8" t="s">
        <v>423</v>
      </c>
      <c r="P88" s="8" t="s">
        <v>44</v>
      </c>
      <c r="Q88" s="8" t="s">
        <v>45</v>
      </c>
      <c r="R88" s="8" t="s">
        <v>424</v>
      </c>
      <c r="S88" s="8" t="s">
        <v>47</v>
      </c>
      <c r="T88" s="8" t="s">
        <v>425</v>
      </c>
      <c r="U88" s="8" t="s">
        <v>426</v>
      </c>
      <c r="V88" s="8" t="s">
        <v>39</v>
      </c>
      <c r="Y88" s="8" t="s">
        <v>427</v>
      </c>
      <c r="Z88" s="8" t="s">
        <v>53</v>
      </c>
      <c r="AA88" s="8" t="s">
        <v>435</v>
      </c>
      <c r="AD88" s="8" t="s">
        <v>435</v>
      </c>
      <c r="AG88" s="8" t="s">
        <v>428</v>
      </c>
      <c r="AK88" s="8" t="s">
        <v>429</v>
      </c>
      <c r="AL88" s="8" t="s">
        <v>53</v>
      </c>
      <c r="AM88" s="8" t="s">
        <v>430</v>
      </c>
    </row>
    <row r="89" spans="1:39" x14ac:dyDescent="0.2">
      <c r="A89" s="2" t="s">
        <v>422</v>
      </c>
      <c r="D89" s="2" t="s">
        <v>245</v>
      </c>
      <c r="E89" t="str">
        <f t="shared" si="49"/>
        <v>8</v>
      </c>
      <c r="F89" t="str">
        <f t="shared" si="50"/>
        <v>Kverkova_etal_2018</v>
      </c>
      <c r="G89" t="str">
        <f t="shared" si="51"/>
        <v>Kverkova</v>
      </c>
      <c r="H89" t="str">
        <f t="shared" si="64"/>
        <v>etal</v>
      </c>
      <c r="I89" t="str">
        <f t="shared" si="52"/>
        <v>2018</v>
      </c>
      <c r="J89" t="str">
        <f t="shared" si="54"/>
        <v>10.1038/s41598-018-26062-8</v>
      </c>
      <c r="K89" t="str">
        <f t="shared" si="55"/>
        <v>Kverkova_etal_2018_TableS1</v>
      </c>
      <c r="L89" t="str">
        <f t="shared" si="56"/>
        <v>10.1038%2Fs41598-018-26062-8_TableS1</v>
      </c>
      <c r="M89" t="str">
        <f t="array" ref="M89">IFERROR(INDEX(FileList!$A$1:$A$100, MATCH(L89, _xlfn.TEXTBEFORE(FileList!$A$1:$A$100, ".tsv"), 0)), "notfound")</f>
        <v>10.1038%2Fs41598-018-26062-8_TableS1.tsv</v>
      </c>
      <c r="N89" s="8" t="s">
        <v>431</v>
      </c>
      <c r="P89" s="8" t="s">
        <v>44</v>
      </c>
      <c r="Q89" s="8" t="s">
        <v>45</v>
      </c>
      <c r="R89" s="8" t="s">
        <v>432</v>
      </c>
      <c r="S89" s="8" t="s">
        <v>47</v>
      </c>
      <c r="T89" s="8" t="s">
        <v>425</v>
      </c>
      <c r="U89" s="8" t="s">
        <v>426</v>
      </c>
      <c r="V89" s="8" t="s">
        <v>39</v>
      </c>
      <c r="W89" s="8" t="s">
        <v>154</v>
      </c>
      <c r="X89" s="8" t="s">
        <v>433</v>
      </c>
      <c r="Y89" s="8" t="s">
        <v>363</v>
      </c>
      <c r="Z89" s="8" t="s">
        <v>434</v>
      </c>
      <c r="AA89" s="8" t="s">
        <v>435</v>
      </c>
      <c r="AD89" s="8" t="s">
        <v>435</v>
      </c>
      <c r="AG89" s="8" t="s">
        <v>428</v>
      </c>
      <c r="AK89" s="8" t="s">
        <v>429</v>
      </c>
      <c r="AL89" s="8" t="s">
        <v>53</v>
      </c>
      <c r="AM89" s="8" t="s">
        <v>366</v>
      </c>
    </row>
    <row r="90" spans="1:39" x14ac:dyDescent="0.2">
      <c r="A90" s="2" t="s">
        <v>422</v>
      </c>
      <c r="D90" s="2" t="s">
        <v>436</v>
      </c>
      <c r="E90" t="str">
        <f t="shared" si="49"/>
        <v>8</v>
      </c>
      <c r="F90" t="str">
        <f t="shared" si="50"/>
        <v>Kverkova_etal_2018</v>
      </c>
      <c r="G90" t="str">
        <f t="shared" si="51"/>
        <v>Kverkova</v>
      </c>
      <c r="H90" t="str">
        <f t="shared" si="64"/>
        <v>etal</v>
      </c>
      <c r="I90" t="str">
        <f t="shared" si="52"/>
        <v>2018</v>
      </c>
      <c r="J90" t="str">
        <f t="shared" si="54"/>
        <v>10.1038/s41598-018-26062-8</v>
      </c>
      <c r="K90" t="str">
        <f t="shared" si="55"/>
        <v>Kverkova_etal_2018_TableS5</v>
      </c>
      <c r="L90" t="str">
        <f t="shared" si="56"/>
        <v>10.1038%2Fs41598-018-26062-8_TableS5</v>
      </c>
      <c r="M90" t="str">
        <f t="array" ref="M90">IFERROR(INDEX(FileList!$A$1:$A$100, MATCH(L90, _xlfn.TEXTBEFORE(FileList!$A$1:$A$100, ".tsv"), 0)), "notfound")</f>
        <v>10.1038%2Fs41598-018-26062-8_TableS5.tsv</v>
      </c>
      <c r="N90" s="8" t="s">
        <v>437</v>
      </c>
      <c r="P90" s="8" t="s">
        <v>44</v>
      </c>
      <c r="Q90" s="8" t="s">
        <v>45</v>
      </c>
      <c r="R90" s="8" t="s">
        <v>438</v>
      </c>
      <c r="S90" s="8" t="s">
        <v>47</v>
      </c>
      <c r="T90" s="8" t="s">
        <v>439</v>
      </c>
      <c r="U90" s="8" t="s">
        <v>440</v>
      </c>
      <c r="V90" s="8" t="s">
        <v>39</v>
      </c>
      <c r="W90" s="8" t="s">
        <v>154</v>
      </c>
      <c r="X90" s="8" t="s">
        <v>433</v>
      </c>
      <c r="Y90" s="8" t="s">
        <v>370</v>
      </c>
      <c r="Z90" s="8" t="s">
        <v>53</v>
      </c>
      <c r="AA90" s="8" t="s">
        <v>435</v>
      </c>
      <c r="AC90" s="8" t="s">
        <v>189</v>
      </c>
      <c r="AD90" s="8" t="s">
        <v>435</v>
      </c>
      <c r="AG90" s="8" t="s">
        <v>428</v>
      </c>
      <c r="AK90" s="8" t="s">
        <v>429</v>
      </c>
      <c r="AL90" s="8" t="s">
        <v>53</v>
      </c>
      <c r="AM90" s="8" t="s">
        <v>57</v>
      </c>
    </row>
    <row r="91" spans="1:39" x14ac:dyDescent="0.2">
      <c r="A91" s="2" t="s">
        <v>441</v>
      </c>
      <c r="D91" s="2" t="s">
        <v>442</v>
      </c>
      <c r="E91" t="str">
        <f t="shared" si="49"/>
        <v>4</v>
      </c>
      <c r="F91" t="str">
        <f t="shared" si="50"/>
        <v>Lewitus_etal_2013</v>
      </c>
      <c r="G91" t="str">
        <f t="shared" si="51"/>
        <v>Lewitus</v>
      </c>
      <c r="H91" t="str">
        <f t="shared" si="64"/>
        <v>etal</v>
      </c>
      <c r="I91" t="str">
        <f t="shared" si="52"/>
        <v>2013</v>
      </c>
      <c r="J91" t="str">
        <f t="shared" si="54"/>
        <v>10.3389/fnhum.2013.00424</v>
      </c>
      <c r="K91" t="str">
        <f t="shared" si="55"/>
        <v>Lewitus_etal_2013_TableS2partial</v>
      </c>
      <c r="L91" t="str">
        <f t="shared" si="56"/>
        <v>10.3389%2Ffnhum.2013.00424_TableS2partial</v>
      </c>
      <c r="M91" t="str">
        <f t="array" ref="M91">IFERROR(INDEX(FileList!$A$1:$A$100, MATCH(L91, _xlfn.TEXTBEFORE(FileList!$A$1:$A$100, ".tsv"), 0)), "notfound")</f>
        <v>10.3389%2Ffnhum.2013.00424_TableS2partial.tsv</v>
      </c>
      <c r="Q91" s="8" t="s">
        <v>97</v>
      </c>
      <c r="Y91" s="8" t="s">
        <v>443</v>
      </c>
      <c r="AK91" s="8" t="s">
        <v>106</v>
      </c>
      <c r="AL91" s="8" t="s">
        <v>53</v>
      </c>
      <c r="AM91" s="8" t="s">
        <v>444</v>
      </c>
    </row>
    <row r="92" spans="1:39" x14ac:dyDescent="0.2">
      <c r="A92" s="2" t="s">
        <v>445</v>
      </c>
      <c r="D92" s="2" t="s">
        <v>245</v>
      </c>
      <c r="E92" t="str">
        <f t="shared" si="49"/>
        <v>0</v>
      </c>
      <c r="F92" t="str">
        <f t="shared" si="50"/>
        <v>Lewitus_etal_2014</v>
      </c>
      <c r="G92" t="str">
        <f t="shared" si="51"/>
        <v>Lewitus</v>
      </c>
      <c r="H92" t="str">
        <f t="shared" si="64"/>
        <v>etal</v>
      </c>
      <c r="I92" t="str">
        <f t="shared" si="52"/>
        <v>2014</v>
      </c>
      <c r="J92" t="str">
        <f t="shared" si="54"/>
        <v>10.1371/journal.pbio.1002000</v>
      </c>
      <c r="K92" t="str">
        <f t="shared" si="55"/>
        <v>Lewitus_etal_2014_TableS1</v>
      </c>
      <c r="L92" t="str">
        <f t="shared" si="56"/>
        <v>10.1371%2Fjournal.pbio.1002000_TableS1</v>
      </c>
      <c r="M92" t="str">
        <f t="array" ref="M92">IFERROR(INDEX(FileList!$A$1:$A$100, MATCH(L92, _xlfn.TEXTBEFORE(FileList!$A$1:$A$100, ".tsv"), 0)), "notfound")</f>
        <v>10.1371%2Fjournal.pbio.1002000_TableS1.tsv</v>
      </c>
      <c r="N92" s="8" t="s">
        <v>446</v>
      </c>
      <c r="Q92" s="8" t="s">
        <v>97</v>
      </c>
      <c r="Y92" s="8" t="s">
        <v>447</v>
      </c>
      <c r="AK92" s="8" t="s">
        <v>106</v>
      </c>
      <c r="AL92" s="8" t="s">
        <v>103</v>
      </c>
      <c r="AM92" s="8" t="s">
        <v>448</v>
      </c>
    </row>
    <row r="93" spans="1:39" x14ac:dyDescent="0.2">
      <c r="A93" s="2" t="s">
        <v>445</v>
      </c>
      <c r="D93" s="2" t="s">
        <v>449</v>
      </c>
      <c r="E93" t="str">
        <f t="shared" si="49"/>
        <v>0</v>
      </c>
      <c r="F93" t="str">
        <f t="shared" si="50"/>
        <v>Lewitus_etal_2014</v>
      </c>
      <c r="G93" t="str">
        <f t="shared" si="51"/>
        <v>Lewitus</v>
      </c>
      <c r="H93" t="str">
        <f t="shared" si="64"/>
        <v>etal</v>
      </c>
      <c r="I93" t="str">
        <f t="shared" si="52"/>
        <v>2014</v>
      </c>
      <c r="J93" t="str">
        <f t="shared" si="54"/>
        <v>10.1371/journal.pbio.1002000</v>
      </c>
      <c r="K93" t="str">
        <f t="shared" si="55"/>
        <v>Lewitus_etal_2014_TableS8</v>
      </c>
      <c r="L93" t="str">
        <f t="shared" si="56"/>
        <v>10.1371%2Fjournal.pbio.1002000_TableS8</v>
      </c>
      <c r="M93" t="str">
        <f t="array" ref="M93">IFERROR(INDEX(FileList!$A$1:$A$100, MATCH(L93, _xlfn.TEXTBEFORE(FileList!$A$1:$A$100, ".tsv"), 0)), "notfound")</f>
        <v>10.1371%2Fjournal.pbio.1002000_TableS8.tsv</v>
      </c>
      <c r="N93" s="8" t="s">
        <v>450</v>
      </c>
      <c r="Q93" s="8" t="s">
        <v>97</v>
      </c>
      <c r="Y93" s="8" t="s">
        <v>447</v>
      </c>
      <c r="AK93" s="8" t="s">
        <v>106</v>
      </c>
      <c r="AL93" s="8" t="s">
        <v>103</v>
      </c>
      <c r="AM93" s="8" t="s">
        <v>448</v>
      </c>
    </row>
    <row r="94" spans="1:39" x14ac:dyDescent="0.2">
      <c r="A94" s="2" t="s">
        <v>451</v>
      </c>
      <c r="D94" s="2" t="s">
        <v>117</v>
      </c>
      <c r="E94" t="str">
        <f t="shared" si="49"/>
        <v>5</v>
      </c>
      <c r="F94" t="str">
        <f t="shared" si="50"/>
        <v>MacLarnon__1996</v>
      </c>
      <c r="G94" t="str">
        <f t="shared" si="51"/>
        <v>MacLarnon</v>
      </c>
      <c r="H94" t="str">
        <f t="shared" si="64"/>
        <v/>
      </c>
      <c r="I94" t="str">
        <f t="shared" si="52"/>
        <v>1996</v>
      </c>
      <c r="J94" t="str">
        <f t="shared" si="54"/>
        <v>10.1006/jhev.1996.0005</v>
      </c>
      <c r="K94" t="str">
        <f t="shared" si="55"/>
        <v>MacLarnon__1996_Table1</v>
      </c>
      <c r="L94" t="str">
        <f t="shared" si="56"/>
        <v>10.1006%2Fjhev.1996.0005_Table1</v>
      </c>
      <c r="M94" t="str">
        <f t="array" ref="M94">IFERROR(INDEX(FileList!$A$1:$A$100, MATCH(L94, _xlfn.TEXTBEFORE(FileList!$A$1:$A$100, ".tsv"), 0)), "notfound")</f>
        <v>10.1006%2Fjhev.1996.0005_Table1.tsv</v>
      </c>
      <c r="N94" s="8" t="s">
        <v>452</v>
      </c>
      <c r="P94" s="8" t="s">
        <v>295</v>
      </c>
      <c r="Y94" s="8" t="s">
        <v>453</v>
      </c>
      <c r="AK94" s="8" t="s">
        <v>86</v>
      </c>
      <c r="AL94" s="8" t="s">
        <v>53</v>
      </c>
      <c r="AM94" s="8" t="s">
        <v>454</v>
      </c>
    </row>
    <row r="95" spans="1:39" x14ac:dyDescent="0.2">
      <c r="A95" s="2" t="s">
        <v>455</v>
      </c>
      <c r="D95" s="7" t="s">
        <v>117</v>
      </c>
      <c r="E95" t="str">
        <f t="shared" si="49"/>
        <v>9</v>
      </c>
      <c r="F95" t="str">
        <f t="shared" si="50"/>
        <v>MacLeod_etal_2003</v>
      </c>
      <c r="G95" t="str">
        <f t="shared" si="51"/>
        <v>MacLeod</v>
      </c>
      <c r="H95" t="str">
        <f t="shared" si="64"/>
        <v>etal</v>
      </c>
      <c r="I95" t="str">
        <f t="shared" si="52"/>
        <v>2003</v>
      </c>
      <c r="J95" t="str">
        <f t="shared" si="54"/>
        <v>10.1016/s0047-2484(03)00028-9</v>
      </c>
      <c r="K95" t="str">
        <f t="shared" si="55"/>
        <v>MacLeod_etal_2003_Table1</v>
      </c>
      <c r="L95" t="str">
        <f t="shared" si="56"/>
        <v>10.1016%2Fs0047-2484(03)00028-9_Table1</v>
      </c>
      <c r="M95" t="str">
        <f t="array" ref="M95">IFERROR(INDEX(FileList!$A$1:$A$100, MATCH(L95, _xlfn.TEXTBEFORE(FileList!$A$1:$A$100, ".tsv"), 0)), "notfound")</f>
        <v>notfound</v>
      </c>
      <c r="N95" s="8" t="s">
        <v>722</v>
      </c>
      <c r="Y95" s="8" t="s">
        <v>456</v>
      </c>
      <c r="Z95" s="8" t="s">
        <v>53</v>
      </c>
      <c r="AA95" s="8" t="s">
        <v>724</v>
      </c>
      <c r="AB95" s="8" t="s">
        <v>718</v>
      </c>
      <c r="AC95" s="8" t="s">
        <v>84</v>
      </c>
      <c r="AD95" s="8" t="s">
        <v>724</v>
      </c>
      <c r="AK95" s="8" t="s">
        <v>86</v>
      </c>
      <c r="AL95" s="8" t="s">
        <v>53</v>
      </c>
      <c r="AM95" s="8" t="s">
        <v>63</v>
      </c>
    </row>
    <row r="96" spans="1:39" x14ac:dyDescent="0.2">
      <c r="A96" s="2" t="s">
        <v>455</v>
      </c>
      <c r="D96" s="7" t="s">
        <v>125</v>
      </c>
      <c r="E96" t="str">
        <f t="shared" ref="E96" si="65">RIGHT(A96,1)</f>
        <v>9</v>
      </c>
      <c r="F96" t="str">
        <f t="shared" ref="F96" si="66">G96 &amp; IF(H96&lt;&gt;"", "_" &amp; H96, "_") &amp; IF(I96&lt;&gt;"", "_" &amp; I96, "_") &amp; IF(B96&lt;&gt;"", "_" &amp; B96, "")</f>
        <v>MacLeod_etal_2003</v>
      </c>
      <c r="G96" t="str">
        <f t="shared" ref="G96" si="67">SUBSTITUTE(SUBSTITUTE(_xlfn.TEXTBEFORE(A96,","), "-", ""), " ", "")</f>
        <v>MacLeod</v>
      </c>
      <c r="H96" t="str">
        <f t="shared" ref="H96" si="68">_xlfn.LET(_xlpm.authorPart,_xlfn.TEXTBEFORE(A96," ("),IFERROR(IF(ISNUMBER(FIND("&amp;",_xlpm.authorPart)),IF(LEN(A96)-LEN(SUBSTITUTE(A96,",",""))&gt;=6,"etal",_xlfn.TEXTBEFORE(_xlfn.TEXTAFTER(_xlpm.authorPart,"&amp; "),",")),""),""))</f>
        <v>etal</v>
      </c>
      <c r="I96" t="str">
        <f t="shared" ref="I96" si="69">_xlfn.TEXTBEFORE(_xlfn.TEXTAFTER(A96, "("), ")")</f>
        <v>2003</v>
      </c>
      <c r="J96" t="str">
        <f t="shared" ref="J96" si="70">IF(C96&lt;&gt;"", C96, IF(C96="", _xlfn.TEXTAFTER(A96,"https://doi.org/"), C96))</f>
        <v>10.1016/s0047-2484(03)00028-9</v>
      </c>
      <c r="K96" t="str">
        <f t="shared" ref="K96" si="71">TRIM(_xlfn.TEXTJOIN("_",FALSE,F96,(SUBSTITUTE(SUBSTITUTE(D96," ",""), "_", ""))))</f>
        <v>MacLeod_etal_2003_Table2</v>
      </c>
      <c r="L96" t="str">
        <f t="shared" ref="L96" si="72">IF(ISBLANK(C96),TRIM(SUBSTITUTE(SUBSTITUTE(SUBSTITUTE(_xlfn.TEXTJOIN("_", FALSE, J96, SUBSTITUTE(D96,"_", "")), "/", "%2F"), ":", "%3A"), " ", "")),TRIM(SUBSTITUTE(SUBSTITUTE(SUBSTITUTE(_xlfn.TEXTJOIN("_", FALSE, C96, SUBSTITUTE(D96,"_", "")), "/", "%2F"), ":", "%3A"), " ", "")))</f>
        <v>10.1016%2Fs0047-2484(03)00028-9_Table2</v>
      </c>
      <c r="M96" t="str">
        <f t="array" ref="M96">IFERROR(INDEX(FileList!$A$1:$A$100, MATCH(L96, _xlfn.TEXTBEFORE(FileList!$A$1:$A$100, ".tsv"), 0)), "notfound")</f>
        <v>notfound</v>
      </c>
      <c r="N96" s="8" t="s">
        <v>723</v>
      </c>
      <c r="Y96" s="8" t="s">
        <v>456</v>
      </c>
      <c r="Z96" s="8" t="s">
        <v>53</v>
      </c>
      <c r="AA96" s="8" t="s">
        <v>604</v>
      </c>
      <c r="AB96" s="8" t="s">
        <v>720</v>
      </c>
      <c r="AC96" s="8" t="s">
        <v>84</v>
      </c>
      <c r="AD96" s="8" t="s">
        <v>604</v>
      </c>
      <c r="AK96" s="8" t="s">
        <v>86</v>
      </c>
      <c r="AL96" s="8" t="s">
        <v>53</v>
      </c>
      <c r="AM96" s="8" t="s">
        <v>63</v>
      </c>
    </row>
    <row r="97" spans="1:39" x14ac:dyDescent="0.2">
      <c r="A97" s="2" t="s">
        <v>457</v>
      </c>
      <c r="D97" s="2" t="s">
        <v>458</v>
      </c>
      <c r="E97" t="str">
        <f t="shared" si="49"/>
        <v>2</v>
      </c>
      <c r="F97" t="str">
        <f t="shared" si="50"/>
        <v>ManyPrimates__2022</v>
      </c>
      <c r="G97" t="str">
        <f t="shared" si="51"/>
        <v>ManyPrimates</v>
      </c>
      <c r="H97" t="str">
        <f t="shared" si="64"/>
        <v/>
      </c>
      <c r="I97" t="str">
        <f t="shared" si="52"/>
        <v>2022</v>
      </c>
      <c r="J97" t="str">
        <f t="shared" si="54"/>
        <v>10.26451/abc.09.04.06.2022</v>
      </c>
      <c r="K97" t="str">
        <f t="shared" si="55"/>
        <v>ManyPrimates__2022_data/speciespredictors.xlsx</v>
      </c>
      <c r="L97" t="str">
        <f t="shared" si="56"/>
        <v>10.26451%2Fabc.09.04.06.2022_data%2Fspeciespredictors.xlsx</v>
      </c>
      <c r="M97" t="str">
        <f t="array" ref="M97">IFERROR(INDEX(FileList!$A$1:$A$100, MATCH(L97, _xlfn.TEXTBEFORE(FileList!$A$1:$A$100, ".tsv"), 0)), "notfound")</f>
        <v>notfound</v>
      </c>
      <c r="P97" s="8" t="s">
        <v>459</v>
      </c>
      <c r="Q97" s="8" t="s">
        <v>163</v>
      </c>
      <c r="T97" s="8" t="str">
        <f>IF(S97="N", R97, "write file name")</f>
        <v>write file name</v>
      </c>
      <c r="U97" s="8" t="s">
        <v>146</v>
      </c>
      <c r="V97" s="8" t="s">
        <v>39</v>
      </c>
      <c r="W97" s="8" t="s">
        <v>147</v>
      </c>
      <c r="X97" s="8" t="s">
        <v>460</v>
      </c>
      <c r="Y97" s="8" t="s">
        <v>461</v>
      </c>
      <c r="Z97" s="8" t="s">
        <v>103</v>
      </c>
      <c r="AE97" s="8" t="s">
        <v>462</v>
      </c>
      <c r="AG97" s="8" t="s">
        <v>141</v>
      </c>
      <c r="AK97" s="8" t="s">
        <v>86</v>
      </c>
      <c r="AL97" s="8" t="s">
        <v>53</v>
      </c>
      <c r="AM97" s="8" t="s">
        <v>463</v>
      </c>
    </row>
    <row r="98" spans="1:39" x14ac:dyDescent="0.2">
      <c r="A98" s="2" t="s">
        <v>464</v>
      </c>
      <c r="B98" s="2" t="s">
        <v>596</v>
      </c>
      <c r="D98" s="2" t="s">
        <v>117</v>
      </c>
      <c r="E98" t="str">
        <f t="shared" si="49"/>
        <v>2</v>
      </c>
      <c r="F98" t="str">
        <f t="shared" si="50"/>
        <v>Matano_etal_1985_a</v>
      </c>
      <c r="G98" t="str">
        <f t="shared" si="51"/>
        <v>Matano</v>
      </c>
      <c r="H98" t="str">
        <f t="shared" si="64"/>
        <v>etal</v>
      </c>
      <c r="I98" t="str">
        <f t="shared" si="52"/>
        <v>1985</v>
      </c>
      <c r="J98" t="str">
        <f t="shared" si="54"/>
        <v>10.1159/000156212</v>
      </c>
      <c r="K98" t="str">
        <f t="shared" si="55"/>
        <v>Matano_etal_1985_a_Table1</v>
      </c>
      <c r="L98" t="str">
        <f t="shared" si="56"/>
        <v>10.1159%2F000156212_Table1</v>
      </c>
      <c r="M98" t="str">
        <f t="array" ref="M98">IFERROR(INDEX(FileList!$A$1:$A$100, MATCH(L98, _xlfn.TEXTBEFORE(FileList!$A$1:$A$100, ".tsv"), 0)), "notfound")</f>
        <v>10.1159%2F000156212_Table1.tsv</v>
      </c>
      <c r="N98" s="8" t="s">
        <v>465</v>
      </c>
      <c r="V98" s="8" t="s">
        <v>39</v>
      </c>
      <c r="Y98" s="8" t="s">
        <v>466</v>
      </c>
      <c r="Z98" s="8" t="s">
        <v>53</v>
      </c>
      <c r="AA98" s="8" t="s">
        <v>72</v>
      </c>
      <c r="AB98" s="8" t="s">
        <v>720</v>
      </c>
      <c r="AC98" s="8" t="s">
        <v>84</v>
      </c>
      <c r="AD98" s="8" t="s">
        <v>72</v>
      </c>
      <c r="AK98" s="8" t="s">
        <v>73</v>
      </c>
      <c r="AL98" s="8" t="s">
        <v>53</v>
      </c>
      <c r="AM98" s="8" t="s">
        <v>63</v>
      </c>
    </row>
    <row r="99" spans="1:39" x14ac:dyDescent="0.2">
      <c r="A99" s="2" t="s">
        <v>598</v>
      </c>
      <c r="B99" s="2" t="s">
        <v>595</v>
      </c>
      <c r="D99" s="2" t="s">
        <v>117</v>
      </c>
      <c r="E99" t="str">
        <f t="shared" si="49"/>
        <v>1</v>
      </c>
      <c r="F99" t="str">
        <f t="shared" si="50"/>
        <v>Matano_etal_1985_b</v>
      </c>
      <c r="G99" t="str">
        <f t="shared" si="51"/>
        <v>Matano</v>
      </c>
      <c r="H99" t="str">
        <f t="shared" si="64"/>
        <v>etal</v>
      </c>
      <c r="I99" t="str">
        <f t="shared" si="52"/>
        <v>1985</v>
      </c>
      <c r="J99" t="str">
        <f t="shared" si="54"/>
        <v>10.1159/000156211</v>
      </c>
      <c r="K99" t="str">
        <f t="shared" si="55"/>
        <v>Matano_etal_1985_b_Table1</v>
      </c>
      <c r="L99" t="str">
        <f t="shared" si="56"/>
        <v>10.1159%2F000156211_Table1</v>
      </c>
      <c r="M99" t="str">
        <f t="array" ref="M99">IFERROR(INDEX(FileList!$A$1:$A$100, MATCH(L99, _xlfn.TEXTBEFORE(FileList!$A$1:$A$100, ".tsv"), 0)), "notfound")</f>
        <v>10.1159%2F000156211_Table1.tsv</v>
      </c>
      <c r="AA99" s="8" t="s">
        <v>72</v>
      </c>
      <c r="AB99" s="8" t="s">
        <v>720</v>
      </c>
      <c r="AD99" s="8" t="s">
        <v>72</v>
      </c>
    </row>
    <row r="100" spans="1:39" x14ac:dyDescent="0.2">
      <c r="A100" s="2" t="s">
        <v>467</v>
      </c>
      <c r="D100" s="2" t="s">
        <v>245</v>
      </c>
      <c r="E100" t="str">
        <f t="shared" si="49"/>
        <v>1</v>
      </c>
      <c r="F100" t="str">
        <f t="shared" si="50"/>
        <v>Mota_etal_2015</v>
      </c>
      <c r="G100" t="str">
        <f t="shared" si="51"/>
        <v>Mota</v>
      </c>
      <c r="H100" t="str">
        <f t="shared" si="64"/>
        <v>etal</v>
      </c>
      <c r="I100" t="str">
        <f t="shared" si="52"/>
        <v>2015</v>
      </c>
      <c r="J100" t="str">
        <f t="shared" si="54"/>
        <v>10.1126/science.aaa9101</v>
      </c>
      <c r="K100" t="str">
        <f t="shared" si="55"/>
        <v>Mota_etal_2015_TableS1</v>
      </c>
      <c r="L100" t="str">
        <f t="shared" si="56"/>
        <v>10.1126%2Fscience.aaa9101_TableS1</v>
      </c>
      <c r="M100" t="str">
        <f t="array" ref="M100">IFERROR(INDEX(FileList!$A$1:$A$100, MATCH(L100, _xlfn.TEXTBEFORE(FileList!$A$1:$A$100, ".tsv"), 0)), "notfound")</f>
        <v>10.1126%2Fscience.aaa9101_TableS1.tsv</v>
      </c>
      <c r="Q100" s="8" t="s">
        <v>97</v>
      </c>
      <c r="Y100" s="8" t="s">
        <v>468</v>
      </c>
      <c r="AK100" s="8" t="s">
        <v>106</v>
      </c>
      <c r="AL100" s="8" t="s">
        <v>321</v>
      </c>
      <c r="AM100" s="8" t="s">
        <v>468</v>
      </c>
    </row>
    <row r="101" spans="1:39" x14ac:dyDescent="0.2">
      <c r="A101" s="2" t="s">
        <v>469</v>
      </c>
      <c r="D101" s="2" t="s">
        <v>470</v>
      </c>
      <c r="E101" t="str">
        <f t="shared" si="49"/>
        <v>6</v>
      </c>
      <c r="F101" t="str">
        <f t="shared" si="50"/>
        <v>Mota_etal_2019</v>
      </c>
      <c r="G101" t="str">
        <f t="shared" si="51"/>
        <v>Mota</v>
      </c>
      <c r="H101" t="str">
        <f t="shared" si="64"/>
        <v>etal</v>
      </c>
      <c r="I101" t="str">
        <f t="shared" si="52"/>
        <v>2019</v>
      </c>
      <c r="J101" t="str">
        <f t="shared" si="54"/>
        <v>10.1073/pnas.1716956116</v>
      </c>
      <c r="K101" t="str">
        <f t="shared" si="55"/>
        <v>Mota_etal_2019_SupplementaryTableS1</v>
      </c>
      <c r="L101" t="str">
        <f t="shared" si="56"/>
        <v>10.1073%2Fpnas.1716956116_SupplementaryTableS1</v>
      </c>
      <c r="M101" t="str">
        <f t="array" ref="M101">IFERROR(INDEX(FileList!$A$1:$A$100, MATCH(L101, _xlfn.TEXTBEFORE(FileList!$A$1:$A$100, ".tsv"), 0)), "notfound")</f>
        <v>notfound</v>
      </c>
      <c r="N101" s="8" t="s">
        <v>471</v>
      </c>
      <c r="P101" s="8" t="s">
        <v>295</v>
      </c>
      <c r="Y101" s="8" t="s">
        <v>472</v>
      </c>
      <c r="AE101" s="8" t="s">
        <v>473</v>
      </c>
      <c r="AK101" s="8" t="s">
        <v>106</v>
      </c>
      <c r="AL101" s="8" t="s">
        <v>321</v>
      </c>
      <c r="AM101" s="8" t="s">
        <v>474</v>
      </c>
    </row>
    <row r="102" spans="1:39" x14ac:dyDescent="0.2">
      <c r="A102" s="2" t="s">
        <v>475</v>
      </c>
      <c r="C102" s="2" t="s">
        <v>476</v>
      </c>
      <c r="D102" s="2" t="s">
        <v>477</v>
      </c>
      <c r="E102" t="str">
        <f t="shared" si="49"/>
        <v>5</v>
      </c>
      <c r="F102" t="str">
        <f t="shared" si="50"/>
        <v>Powell_etal_2017</v>
      </c>
      <c r="G102" t="str">
        <f t="shared" si="51"/>
        <v>Powell</v>
      </c>
      <c r="H102" t="str">
        <f t="shared" si="64"/>
        <v>etal</v>
      </c>
      <c r="I102" t="str">
        <f t="shared" si="52"/>
        <v>2017</v>
      </c>
      <c r="J102" t="str">
        <f t="shared" si="54"/>
        <v>10.6084/m9.figshare.c.3899422.v1</v>
      </c>
      <c r="K102" t="str">
        <f t="shared" si="55"/>
        <v>Powell_etal_2017_Dataset1</v>
      </c>
      <c r="L102" t="str">
        <f t="shared" si="56"/>
        <v>10.6084%2Fm9.figshare.c.3899422.v1_Dataset1</v>
      </c>
      <c r="M102" t="str">
        <f t="array" ref="M102">IFERROR(INDEX(FileList!$A$1:$A$100, MATCH(L102, _xlfn.TEXTBEFORE(FileList!$A$1:$A$100, ".tsv"), 0)), "notfound")</f>
        <v>10.6084%2Fm9.figshare.c.3899422.v1_Dataset1.tsv</v>
      </c>
      <c r="P102" s="8" t="s">
        <v>295</v>
      </c>
      <c r="Q102" s="8" t="s">
        <v>163</v>
      </c>
      <c r="T102" s="8" t="str">
        <f>IF(S102="N", R102, "write file name")</f>
        <v>write file name</v>
      </c>
      <c r="U102" s="8" t="s">
        <v>146</v>
      </c>
      <c r="V102" s="8" t="s">
        <v>39</v>
      </c>
      <c r="W102" s="8" t="s">
        <v>147</v>
      </c>
      <c r="X102" s="8" t="s">
        <v>478</v>
      </c>
      <c r="Y102" s="8" t="s">
        <v>479</v>
      </c>
      <c r="Z102" s="8" t="s">
        <v>103</v>
      </c>
      <c r="AE102" s="8" t="s">
        <v>102</v>
      </c>
      <c r="AG102" s="8" t="s">
        <v>141</v>
      </c>
      <c r="AK102" s="8" t="s">
        <v>86</v>
      </c>
      <c r="AL102" s="8" t="s">
        <v>103</v>
      </c>
      <c r="AM102" s="8" t="s">
        <v>479</v>
      </c>
    </row>
    <row r="103" spans="1:39" x14ac:dyDescent="0.2">
      <c r="A103" s="2" t="s">
        <v>713</v>
      </c>
      <c r="C103" s="6"/>
      <c r="D103" s="6" t="s">
        <v>117</v>
      </c>
      <c r="E103" t="str">
        <f t="shared" ref="E103" si="73">RIGHT(A103,1)</f>
        <v>5</v>
      </c>
      <c r="F103" t="str">
        <f t="shared" ref="F103" si="74">G103 &amp; IF(H103&lt;&gt;"", "_" &amp; H103, "_") &amp; IF(I103&lt;&gt;"", "_" &amp; I103, "_") &amp; IF(B103&lt;&gt;"", "_" &amp; B103, "")</f>
        <v>Rilling_etal_1998</v>
      </c>
      <c r="G103" t="str">
        <f t="shared" ref="G103" si="75">SUBSTITUTE(SUBSTITUTE(_xlfn.TEXTBEFORE(A103,","), "-", ""), " ", "")</f>
        <v>Rilling</v>
      </c>
      <c r="H103" t="str">
        <f t="shared" ref="H103" si="76">_xlfn.LET(_xlpm.authorPart,_xlfn.TEXTBEFORE(A103," ("),IFERROR(IF(ISNUMBER(FIND("&amp;",_xlpm.authorPart)),IF(LEN(A103)-LEN(SUBSTITUTE(A103,",",""))&gt;=6,"etal",_xlfn.TEXTBEFORE(_xlfn.TEXTAFTER(_xlpm.authorPart,"&amp; "),",")),""),""))</f>
        <v>etal</v>
      </c>
      <c r="I103" t="str">
        <f t="shared" ref="I103" si="77">_xlfn.TEXTBEFORE(_xlfn.TEXTAFTER(A103, "("), ")")</f>
        <v>1998</v>
      </c>
      <c r="J103" t="str">
        <f t="shared" ref="J103" si="78">IF(C103&lt;&gt;"", C103, IF(C103="", _xlfn.TEXTAFTER(A103,"https://doi.org/"), C103))</f>
        <v>10.1159/000006575</v>
      </c>
      <c r="K103" t="str">
        <f t="shared" ref="K103" si="79">TRIM(_xlfn.TEXTJOIN("_",FALSE,F103,(SUBSTITUTE(SUBSTITUTE(D103," ",""), "_", ""))))</f>
        <v>Rilling_etal_1998_Table1</v>
      </c>
      <c r="L103" t="str">
        <f t="shared" ref="L103" si="80">IF(ISBLANK(C103),TRIM(SUBSTITUTE(SUBSTITUTE(SUBSTITUTE(_xlfn.TEXTJOIN("_", FALSE, J103, SUBSTITUTE(D103,"_", "")), "/", "%2F"), ":", "%3A"), " ", "")),TRIM(SUBSTITUTE(SUBSTITUTE(SUBSTITUTE(_xlfn.TEXTJOIN("_", FALSE, C103, SUBSTITUTE(D103,"_", "")), "/", "%2F"), ":", "%3A"), " ", "")))</f>
        <v>10.1159%2F000006575_Table1</v>
      </c>
      <c r="M103" t="str">
        <f t="array" ref="M103">IFERROR(INDEX(FileList!$A$1:$A$100, MATCH(L103, _xlfn.TEXTBEFORE(FileList!$A$1:$A$100, ".tsv"), 0)), "notfound")</f>
        <v>notfound</v>
      </c>
      <c r="N103" s="8" t="s">
        <v>712</v>
      </c>
      <c r="AB103" s="8" t="s">
        <v>718</v>
      </c>
      <c r="AC103" s="8" t="s">
        <v>84</v>
      </c>
      <c r="AD103" s="8" t="s">
        <v>724</v>
      </c>
    </row>
    <row r="104" spans="1:39" x14ac:dyDescent="0.2">
      <c r="A104" s="2" t="s">
        <v>480</v>
      </c>
      <c r="D104" s="6" t="s">
        <v>264</v>
      </c>
      <c r="E104" t="str">
        <f t="shared" ref="E104:E135" si="81">RIGHT(A104,1)</f>
        <v>L</v>
      </c>
      <c r="F104" t="str">
        <f t="shared" ref="F104:F135" si="82">G104 &amp; IF(H104&lt;&gt;"", "_" &amp; H104, "_") &amp; IF(I104&lt;&gt;"", "_" &amp; I104, "_") &amp; IF(B104&lt;&gt;"", "_" &amp; B104, "")</f>
        <v>Semendeferi_etal_1998</v>
      </c>
      <c r="G104" t="str">
        <f t="shared" ref="G104:G135" si="83">SUBSTITUTE(SUBSTITUTE(_xlfn.TEXTBEFORE(A104,","), "-", ""), " ", "")</f>
        <v>Semendeferi</v>
      </c>
      <c r="H104" t="str">
        <f t="shared" si="64"/>
        <v>etal</v>
      </c>
      <c r="I104" t="str">
        <f t="shared" ref="I104:I135" si="84">_xlfn.TEXTBEFORE(_xlfn.TEXTAFTER(A104, "("), ")")</f>
        <v>1998</v>
      </c>
      <c r="J104" t="str">
        <f t="shared" si="54"/>
        <v>10.1002/(SICI)1096-8644(199806)106:2&lt;129::AID-AJPA3&gt;3.0.CO;2-L</v>
      </c>
      <c r="K104" t="str">
        <f t="shared" si="55"/>
        <v>Semendeferi_etal_1998_TABLE2</v>
      </c>
      <c r="L104" t="str">
        <f t="shared" si="56"/>
        <v>10.1002%2F(SICI)1096-8644(199806)106%3A2&lt;129%3A%3AAID-AJPA3&gt;3.0.CO;2-L_TABLE2</v>
      </c>
      <c r="M104" t="str">
        <f t="array" ref="M104">IFERROR(INDEX(FileList!$A$1:$A$100, MATCH(L104, _xlfn.TEXTBEFORE(FileList!$A$1:$A$100, ".tsv"), 0)), "notfound")</f>
        <v>notfound</v>
      </c>
      <c r="N104" s="8" t="s">
        <v>725</v>
      </c>
      <c r="Y104" s="8" t="s">
        <v>481</v>
      </c>
      <c r="Z104" s="8" t="s">
        <v>53</v>
      </c>
      <c r="AA104" s="8" t="s">
        <v>559</v>
      </c>
      <c r="AB104" s="8" t="s">
        <v>720</v>
      </c>
      <c r="AC104" s="8" t="s">
        <v>84</v>
      </c>
      <c r="AK104" s="8" t="s">
        <v>62</v>
      </c>
      <c r="AL104" s="8" t="s">
        <v>53</v>
      </c>
      <c r="AM104" s="8" t="s">
        <v>63</v>
      </c>
    </row>
    <row r="105" spans="1:39" x14ac:dyDescent="0.2">
      <c r="A105" s="2" t="s">
        <v>482</v>
      </c>
      <c r="D105" s="6" t="s">
        <v>264</v>
      </c>
      <c r="E105" t="str">
        <f t="shared" si="81"/>
        <v>I</v>
      </c>
      <c r="F105" t="str">
        <f t="shared" si="82"/>
        <v>Semendeferi_etal_2001</v>
      </c>
      <c r="G105" t="str">
        <f t="shared" si="83"/>
        <v>Semendeferi</v>
      </c>
      <c r="H105" t="str">
        <f t="shared" si="64"/>
        <v>etal</v>
      </c>
      <c r="I105" t="str">
        <f t="shared" si="84"/>
        <v>2001</v>
      </c>
      <c r="J105" t="str">
        <f t="shared" si="54"/>
        <v>10.1002/1096-8644(200103)114:3&lt;224::AID-AJPA1022&gt;3.0.CO;2-I</v>
      </c>
      <c r="K105" t="str">
        <f t="shared" si="55"/>
        <v>Semendeferi_etal_2001_TABLE2</v>
      </c>
      <c r="L105" t="str">
        <f t="shared" si="56"/>
        <v>10.1002%2F1096-8644(200103)114%3A3&lt;224%3A%3AAID-AJPA1022&gt;3.0.CO;2-I_TABLE2</v>
      </c>
      <c r="M105" t="str">
        <f t="array" ref="M105">IFERROR(INDEX(FileList!$A$1:$A$100, MATCH(L105, _xlfn.TEXTBEFORE(FileList!$A$1:$A$100, ".tsv"), 0)), "notfound")</f>
        <v>notfound</v>
      </c>
      <c r="N105" s="8" t="s">
        <v>726</v>
      </c>
      <c r="Y105" s="8" t="s">
        <v>483</v>
      </c>
      <c r="Z105" s="8" t="s">
        <v>53</v>
      </c>
      <c r="AA105" s="8" t="s">
        <v>559</v>
      </c>
      <c r="AB105" s="8" t="s">
        <v>720</v>
      </c>
      <c r="AC105" s="8" t="s">
        <v>84</v>
      </c>
      <c r="AK105" s="8" t="s">
        <v>62</v>
      </c>
      <c r="AL105" s="8" t="s">
        <v>53</v>
      </c>
      <c r="AM105" s="8" t="s">
        <v>63</v>
      </c>
    </row>
    <row r="106" spans="1:39" x14ac:dyDescent="0.2">
      <c r="A106" s="2" t="s">
        <v>484</v>
      </c>
      <c r="D106" s="6" t="s">
        <v>117</v>
      </c>
      <c r="E106" t="str">
        <f t="shared" si="81"/>
        <v>4</v>
      </c>
      <c r="F106" t="str">
        <f t="shared" si="82"/>
        <v>Semendeferi_etal_2002</v>
      </c>
      <c r="G106" t="str">
        <f t="shared" si="83"/>
        <v>Semendeferi</v>
      </c>
      <c r="H106" t="str">
        <f t="shared" si="64"/>
        <v>etal</v>
      </c>
      <c r="I106" t="str">
        <f t="shared" si="84"/>
        <v>2002</v>
      </c>
      <c r="J106" t="str">
        <f t="shared" si="54"/>
        <v>10.1038/nn814</v>
      </c>
      <c r="K106" t="str">
        <f t="shared" si="55"/>
        <v>Semendeferi_etal_2002_Table1</v>
      </c>
      <c r="L106" t="str">
        <f t="shared" si="56"/>
        <v>10.1038%2Fnn814_Table1</v>
      </c>
      <c r="M106" t="str">
        <f t="array" ref="M106">IFERROR(INDEX(FileList!$A$1:$A$100, MATCH(L106, _xlfn.TEXTBEFORE(FileList!$A$1:$A$100, ".tsv"), 0)), "notfound")</f>
        <v>notfound</v>
      </c>
      <c r="N106" s="8" t="s">
        <v>727</v>
      </c>
      <c r="Y106" s="8" t="s">
        <v>485</v>
      </c>
      <c r="Z106" s="8" t="s">
        <v>53</v>
      </c>
      <c r="AA106" s="8" t="s">
        <v>559</v>
      </c>
      <c r="AB106" s="8" t="s">
        <v>720</v>
      </c>
      <c r="AC106" s="8" t="s">
        <v>84</v>
      </c>
      <c r="AK106" s="8" t="s">
        <v>62</v>
      </c>
      <c r="AL106" s="8" t="s">
        <v>53</v>
      </c>
      <c r="AM106" s="8" t="s">
        <v>63</v>
      </c>
    </row>
    <row r="107" spans="1:39" x14ac:dyDescent="0.2">
      <c r="A107" s="2" t="s">
        <v>486</v>
      </c>
      <c r="D107" s="2" t="s">
        <v>117</v>
      </c>
      <c r="E107" t="str">
        <f t="shared" si="81"/>
        <v>3</v>
      </c>
      <c r="F107" t="str">
        <f t="shared" si="82"/>
        <v>Sherwood_etal_2005</v>
      </c>
      <c r="G107" t="str">
        <f t="shared" si="83"/>
        <v>Sherwood</v>
      </c>
      <c r="H107" t="str">
        <f t="shared" si="64"/>
        <v>etal</v>
      </c>
      <c r="I107" t="str">
        <f t="shared" si="84"/>
        <v>2005</v>
      </c>
      <c r="J107" t="str">
        <f t="shared" si="54"/>
        <v>10.1016/j.jhevol.2004.10.003</v>
      </c>
      <c r="K107" t="str">
        <f t="shared" si="55"/>
        <v>Sherwood_etal_2005_Table1</v>
      </c>
      <c r="L107" t="str">
        <f t="shared" si="56"/>
        <v>10.1016%2Fj.jhevol.2004.10.003_Table1</v>
      </c>
      <c r="M107" t="str">
        <f t="array" ref="M107">IFERROR(INDEX(FileList!$A$1:$A$100, MATCH(L107, _xlfn.TEXTBEFORE(FileList!$A$1:$A$100, ".tsv"), 0)), "notfound")</f>
        <v>notfound</v>
      </c>
      <c r="N107" s="8" t="s">
        <v>487</v>
      </c>
      <c r="V107" s="8" t="s">
        <v>39</v>
      </c>
      <c r="Y107" s="8" t="s">
        <v>488</v>
      </c>
      <c r="Z107" s="8" t="s">
        <v>53</v>
      </c>
      <c r="AA107" s="8" t="s">
        <v>72</v>
      </c>
      <c r="AB107" s="8" t="s">
        <v>720</v>
      </c>
      <c r="AC107" s="8" t="s">
        <v>84</v>
      </c>
      <c r="AD107" s="8" t="s">
        <v>604</v>
      </c>
      <c r="AK107" s="8" t="s">
        <v>116</v>
      </c>
      <c r="AL107" s="8" t="s">
        <v>53</v>
      </c>
      <c r="AM107" s="8" t="s">
        <v>63</v>
      </c>
    </row>
    <row r="108" spans="1:39" x14ac:dyDescent="0.2">
      <c r="A108" s="2" t="s">
        <v>489</v>
      </c>
      <c r="B108" s="2" t="s">
        <v>490</v>
      </c>
      <c r="D108" s="2" t="s">
        <v>38</v>
      </c>
      <c r="E108" t="str">
        <f t="shared" si="81"/>
        <v>2</v>
      </c>
      <c r="F108" t="str">
        <f t="shared" si="82"/>
        <v>Sherwood_etal_2004_I</v>
      </c>
      <c r="G108" t="str">
        <f t="shared" si="83"/>
        <v>Sherwood</v>
      </c>
      <c r="H108" t="str">
        <f t="shared" si="64"/>
        <v>etal</v>
      </c>
      <c r="I108" t="str">
        <f t="shared" si="84"/>
        <v>2004</v>
      </c>
      <c r="J108" t="str">
        <f t="shared" si="54"/>
        <v>10.1159/000075672</v>
      </c>
      <c r="K108" t="str">
        <f t="shared" si="55"/>
        <v>Sherwood_etal_2004_I_Table4</v>
      </c>
      <c r="L108" t="str">
        <f t="shared" si="56"/>
        <v>10.1159%2F000075672_Table4</v>
      </c>
      <c r="M108" t="str">
        <f t="array" ref="M108">IFERROR(INDEX(FileList!$A$1:$A$100, MATCH(L108, _xlfn.TEXTBEFORE(FileList!$A$1:$A$100, ".tsv"), 0)), "notfound")</f>
        <v>notfound</v>
      </c>
      <c r="N108" s="8" t="s">
        <v>491</v>
      </c>
      <c r="P108" s="8" t="s">
        <v>459</v>
      </c>
      <c r="Q108" s="8" t="s">
        <v>163</v>
      </c>
      <c r="T108" s="8" t="str">
        <f>IF(S108="N", R108, "write file name")</f>
        <v>write file name</v>
      </c>
      <c r="U108" s="8" t="s">
        <v>49</v>
      </c>
      <c r="V108" s="8" t="s">
        <v>492</v>
      </c>
      <c r="Y108" s="8" t="s">
        <v>493</v>
      </c>
      <c r="Z108" s="8" t="s">
        <v>53</v>
      </c>
      <c r="AB108" s="8" t="s">
        <v>720</v>
      </c>
      <c r="AC108" s="8" t="s">
        <v>559</v>
      </c>
      <c r="AG108" s="8" t="s">
        <v>141</v>
      </c>
      <c r="AK108" s="8" t="s">
        <v>86</v>
      </c>
      <c r="AL108" s="8" t="s">
        <v>53</v>
      </c>
      <c r="AM108" s="8" t="s">
        <v>494</v>
      </c>
    </row>
    <row r="109" spans="1:39" x14ac:dyDescent="0.2">
      <c r="A109" s="2" t="s">
        <v>714</v>
      </c>
      <c r="B109" s="2"/>
      <c r="D109" s="2" t="s">
        <v>716</v>
      </c>
      <c r="E109" t="str">
        <f t="shared" ref="E109" si="85">RIGHT(A109,1)</f>
        <v>8</v>
      </c>
      <c r="F109" t="str">
        <f t="shared" ref="F109" si="86">G109 &amp; IF(H109&lt;&gt;"", "_" &amp; H109, "_") &amp; IF(I109&lt;&gt;"", "_" &amp; I109, "_") &amp; IF(B109&lt;&gt;"", "_" &amp; B109, "")</f>
        <v>Sherwood_etal_2004</v>
      </c>
      <c r="G109" t="str">
        <f t="shared" ref="G109" si="87">SUBSTITUTE(SUBSTITUTE(_xlfn.TEXTBEFORE(A109,","), "-", ""), " ", "")</f>
        <v>Sherwood</v>
      </c>
      <c r="H109" t="str">
        <f t="shared" ref="H109" si="88">_xlfn.LET(_xlpm.authorPart,_xlfn.TEXTBEFORE(A109," ("),IFERROR(IF(ISNUMBER(FIND("&amp;",_xlpm.authorPart)),IF(LEN(A109)-LEN(SUBSTITUTE(A109,",",""))&gt;=6,"etal",_xlfn.TEXTBEFORE(_xlfn.TEXTAFTER(_xlpm.authorPart,"&amp; "),",")),""),""))</f>
        <v>etal</v>
      </c>
      <c r="I109" t="str">
        <f t="shared" ref="I109" si="89">_xlfn.TEXTBEFORE(_xlfn.TEXTAFTER(A109, "("), ")")</f>
        <v>2004</v>
      </c>
      <c r="J109" t="str">
        <f t="shared" ref="J109" si="90">IF(C109&lt;&gt;"", C109, IF(C109="", _xlfn.TEXTAFTER(A109,"https://doi.org/"), C109))</f>
        <v>10.1002/ajp.20048</v>
      </c>
      <c r="K109" t="str">
        <f t="shared" ref="K109" si="91">TRIM(_xlfn.TEXTJOIN("_",FALSE,F109,(SUBSTITUTE(SUBSTITUTE(D109," ",""), "_", ""))))</f>
        <v>Sherwood_etal_2004_TABLEI</v>
      </c>
      <c r="L109" t="str">
        <f t="shared" ref="L109" si="92">IF(ISBLANK(C109),TRIM(SUBSTITUTE(SUBSTITUTE(SUBSTITUTE(_xlfn.TEXTJOIN("_", FALSE, J109, SUBSTITUTE(D109,"_", "")), "/", "%2F"), ":", "%3A"), " ", "")),TRIM(SUBSTITUTE(SUBSTITUTE(SUBSTITUTE(_xlfn.TEXTJOIN("_", FALSE, C109, SUBSTITUTE(D109,"_", "")), "/", "%2F"), ":", "%3A"), " ", "")))</f>
        <v>10.1002%2Fajp.20048_TABLEI</v>
      </c>
      <c r="M109" t="str">
        <f t="array" ref="M109">IFERROR(INDEX(FileList!$A$1:$A$100, MATCH(L109, _xlfn.TEXTBEFORE(FileList!$A$1:$A$100, ".tsv"), 0)), "notfound")</f>
        <v>notfound</v>
      </c>
      <c r="N109" s="8" t="s">
        <v>715</v>
      </c>
      <c r="Z109" s="8" t="s">
        <v>53</v>
      </c>
      <c r="AB109" s="8" t="s">
        <v>718</v>
      </c>
      <c r="AC109" s="8" t="s">
        <v>84</v>
      </c>
      <c r="AD109" s="8" t="s">
        <v>717</v>
      </c>
    </row>
    <row r="110" spans="1:39" x14ac:dyDescent="0.2">
      <c r="A110" s="2" t="s">
        <v>489</v>
      </c>
      <c r="B110" s="2" t="s">
        <v>490</v>
      </c>
      <c r="D110" s="2" t="s">
        <v>354</v>
      </c>
      <c r="E110" t="str">
        <f t="shared" si="81"/>
        <v>2</v>
      </c>
      <c r="F110" t="str">
        <f t="shared" si="82"/>
        <v>Sherwood_etal_2004_I</v>
      </c>
      <c r="G110" t="str">
        <f t="shared" si="83"/>
        <v>Sherwood</v>
      </c>
      <c r="H110" t="str">
        <f t="shared" si="64"/>
        <v>etal</v>
      </c>
      <c r="I110" t="str">
        <f t="shared" si="84"/>
        <v>2004</v>
      </c>
      <c r="J110" t="str">
        <f t="shared" si="54"/>
        <v>10.1159/000075672</v>
      </c>
      <c r="K110" t="str">
        <f t="shared" si="55"/>
        <v>Sherwood_etal_2004_I_Table5</v>
      </c>
      <c r="L110" t="str">
        <f t="shared" si="56"/>
        <v>10.1159%2F000075672_Table5</v>
      </c>
      <c r="M110" t="str">
        <f t="array" ref="M110">IFERROR(INDEX(FileList!$A$1:$A$100, MATCH(L110, _xlfn.TEXTBEFORE(FileList!$A$1:$A$100, ".tsv"), 0)), "notfound")</f>
        <v>notfound</v>
      </c>
      <c r="N110" s="8" t="s">
        <v>495</v>
      </c>
      <c r="P110" s="8" t="s">
        <v>459</v>
      </c>
      <c r="Q110" s="8" t="s">
        <v>163</v>
      </c>
      <c r="T110" s="8" t="str">
        <f>IF(S110="N", R110, "write file name")</f>
        <v>write file name</v>
      </c>
      <c r="U110" s="8" t="s">
        <v>49</v>
      </c>
      <c r="V110" s="8" t="s">
        <v>492</v>
      </c>
      <c r="Y110" s="8" t="s">
        <v>493</v>
      </c>
      <c r="Z110" s="8" t="s">
        <v>53</v>
      </c>
      <c r="AB110" s="8" t="s">
        <v>720</v>
      </c>
      <c r="AC110" s="8" t="s">
        <v>84</v>
      </c>
      <c r="AD110" s="8" t="s">
        <v>604</v>
      </c>
      <c r="AG110" s="8" t="s">
        <v>141</v>
      </c>
      <c r="AK110" s="8" t="s">
        <v>86</v>
      </c>
      <c r="AL110" s="8" t="s">
        <v>53</v>
      </c>
      <c r="AM110" s="8" t="s">
        <v>494</v>
      </c>
    </row>
    <row r="111" spans="1:39" x14ac:dyDescent="0.2">
      <c r="A111" s="2" t="s">
        <v>496</v>
      </c>
      <c r="C111" s="2" t="s">
        <v>497</v>
      </c>
      <c r="D111" s="2" t="s">
        <v>498</v>
      </c>
      <c r="E111" t="str">
        <f t="shared" si="81"/>
        <v>9</v>
      </c>
      <c r="F111" t="str">
        <f t="shared" si="82"/>
        <v>Smaers_etal_2013</v>
      </c>
      <c r="G111" t="str">
        <f t="shared" si="83"/>
        <v>Smaers</v>
      </c>
      <c r="H111" t="str">
        <f t="shared" si="64"/>
        <v>etal</v>
      </c>
      <c r="I111" t="str">
        <f t="shared" si="84"/>
        <v>2013</v>
      </c>
      <c r="J111" t="str">
        <f t="shared" ref="J111:J135" si="93">IF(C111&lt;&gt;"", C111, IF(C111="", _xlfn.TEXTAFTER(A111,"https://doi.org/"), C111))</f>
        <v>10.1098/rspb.2013.0269</v>
      </c>
      <c r="K111" t="str">
        <f t="shared" ref="K111:K135" si="94">TRIM(_xlfn.TEXTJOIN("_",FALSE,F111,(SUBSTITUTE(SUBSTITUTE(D111," ",""), "_", ""))))</f>
        <v>Smaers_etal_2013_Supplement</v>
      </c>
      <c r="L111" t="str">
        <f t="shared" ref="L111:L135" si="95">IF(ISBLANK(C111),TRIM(SUBSTITUTE(SUBSTITUTE(SUBSTITUTE(_xlfn.TEXTJOIN("_", FALSE, J111, SUBSTITUTE(D111,"_", "")), "/", "%2F"), ":", "%3A"), " ", "")),TRIM(SUBSTITUTE(SUBSTITUTE(SUBSTITUTE(_xlfn.TEXTJOIN("_", FALSE, C111, SUBSTITUTE(D111,"_", "")), "/", "%2F"), ":", "%3A"), " ", "")))</f>
        <v>10.1098%2Frspb.2013.0269_Supplement</v>
      </c>
      <c r="M111" t="str">
        <f t="array" ref="M111">IFERROR(INDEX(FileList!$A$1:$A$100, MATCH(L111, _xlfn.TEXTBEFORE(FileList!$A$1:$A$100, ".tsv"), 0)), "notfound")</f>
        <v>notfound</v>
      </c>
      <c r="N111" s="8" t="s">
        <v>499</v>
      </c>
      <c r="Y111" s="8" t="s">
        <v>500</v>
      </c>
      <c r="AB111" s="8" t="s">
        <v>720</v>
      </c>
      <c r="AC111" s="8" t="s">
        <v>84</v>
      </c>
      <c r="AK111" s="8" t="s">
        <v>501</v>
      </c>
      <c r="AL111" s="8" t="s">
        <v>321</v>
      </c>
      <c r="AM111" s="8" t="s">
        <v>63</v>
      </c>
    </row>
    <row r="112" spans="1:39" x14ac:dyDescent="0.2">
      <c r="A112" s="2" t="s">
        <v>502</v>
      </c>
      <c r="D112" s="2" t="s">
        <v>117</v>
      </c>
      <c r="E112" t="str">
        <f t="shared" si="81"/>
        <v>0</v>
      </c>
      <c r="F112" t="str">
        <f t="shared" si="82"/>
        <v>Smaers_etal_2017</v>
      </c>
      <c r="G112" t="str">
        <f t="shared" si="83"/>
        <v>Smaers</v>
      </c>
      <c r="H112" t="str">
        <f t="shared" si="64"/>
        <v>etal</v>
      </c>
      <c r="I112" t="str">
        <f t="shared" si="84"/>
        <v>2017</v>
      </c>
      <c r="J112" t="str">
        <f t="shared" si="93"/>
        <v>10.1016/j.cub.2017.01.020</v>
      </c>
      <c r="K112" t="str">
        <f t="shared" si="94"/>
        <v>Smaers_etal_2017_Table1</v>
      </c>
      <c r="L112" t="str">
        <f t="shared" si="95"/>
        <v>10.1016%2Fj.cub.2017.01.020_Table1</v>
      </c>
      <c r="M112" t="str">
        <f t="array" ref="M112">IFERROR(INDEX(FileList!$A$1:$A$100, MATCH(L112, _xlfn.TEXTBEFORE(FileList!$A$1:$A$100, ".tsv"), 0)), "notfound")</f>
        <v>notfound</v>
      </c>
      <c r="N112" s="8" t="s">
        <v>503</v>
      </c>
      <c r="V112" s="8" t="s">
        <v>39</v>
      </c>
      <c r="Y112" s="8" t="s">
        <v>504</v>
      </c>
      <c r="Z112" s="8" t="s">
        <v>610</v>
      </c>
      <c r="AA112" s="8" t="s">
        <v>611</v>
      </c>
      <c r="AB112" s="8" t="s">
        <v>720</v>
      </c>
      <c r="AC112" s="8" t="s">
        <v>84</v>
      </c>
      <c r="AD112" s="8" t="s">
        <v>604</v>
      </c>
      <c r="AH112" s="8" t="s">
        <v>612</v>
      </c>
      <c r="AK112" s="8" t="s">
        <v>86</v>
      </c>
      <c r="AL112" s="8" t="s">
        <v>321</v>
      </c>
      <c r="AM112" s="8" t="s">
        <v>63</v>
      </c>
    </row>
    <row r="113" spans="1:39" x14ac:dyDescent="0.2">
      <c r="A113" s="2" t="s">
        <v>505</v>
      </c>
      <c r="D113" s="2" t="s">
        <v>506</v>
      </c>
      <c r="E113" t="str">
        <f t="shared" si="81"/>
        <v>1</v>
      </c>
      <c r="F113" t="str">
        <f t="shared" si="82"/>
        <v>Smaers_etal_2011</v>
      </c>
      <c r="G113" t="str">
        <f t="shared" si="83"/>
        <v>Smaers</v>
      </c>
      <c r="H113" t="str">
        <f t="shared" si="64"/>
        <v>etal</v>
      </c>
      <c r="I113" t="str">
        <f t="shared" si="84"/>
        <v>2011</v>
      </c>
      <c r="J113" t="str">
        <f t="shared" si="93"/>
        <v>10.1159/000323671</v>
      </c>
      <c r="K113" t="str">
        <f t="shared" si="94"/>
        <v>Smaers_etal_2011_SupplementaryTable1</v>
      </c>
      <c r="L113" t="str">
        <f t="shared" si="95"/>
        <v>10.1159%2F000323671_SupplementaryTable1</v>
      </c>
      <c r="M113" t="str">
        <f t="array" ref="M113">IFERROR(INDEX(FileList!$A$1:$A$100, MATCH(L113, _xlfn.TEXTBEFORE(FileList!$A$1:$A$100, ".tsv"), 0)), "notfound")</f>
        <v>10.1159%2F000323671_SupplementaryTable1.tsv</v>
      </c>
      <c r="Q113" s="8" t="s">
        <v>97</v>
      </c>
      <c r="Y113" s="8" t="s">
        <v>507</v>
      </c>
      <c r="AB113" s="8" t="s">
        <v>720</v>
      </c>
      <c r="AC113" s="8" t="s">
        <v>84</v>
      </c>
      <c r="AD113" s="8" t="s">
        <v>604</v>
      </c>
      <c r="AK113" s="8" t="s">
        <v>86</v>
      </c>
      <c r="AL113" s="8" t="s">
        <v>321</v>
      </c>
      <c r="AM113" s="8" t="s">
        <v>63</v>
      </c>
    </row>
    <row r="114" spans="1:39" x14ac:dyDescent="0.2">
      <c r="A114" s="2" t="s">
        <v>505</v>
      </c>
      <c r="D114" s="2" t="s">
        <v>508</v>
      </c>
      <c r="E114" t="str">
        <f t="shared" si="81"/>
        <v>1</v>
      </c>
      <c r="F114" t="str">
        <f t="shared" si="82"/>
        <v>Smaers_etal_2011</v>
      </c>
      <c r="G114" t="str">
        <f t="shared" si="83"/>
        <v>Smaers</v>
      </c>
      <c r="H114" t="str">
        <f t="shared" si="64"/>
        <v>etal</v>
      </c>
      <c r="I114" t="str">
        <f t="shared" si="84"/>
        <v>2011</v>
      </c>
      <c r="J114" t="str">
        <f t="shared" si="93"/>
        <v>10.1159/000323671</v>
      </c>
      <c r="K114" t="str">
        <f t="shared" si="94"/>
        <v>Smaers_etal_2011_SupplementaryTable2</v>
      </c>
      <c r="L114" t="str">
        <f t="shared" si="95"/>
        <v>10.1159%2F000323671_SupplementaryTable2</v>
      </c>
      <c r="M114" t="str">
        <f t="array" ref="M114">IFERROR(INDEX(FileList!$A$1:$A$100, MATCH(L114, _xlfn.TEXTBEFORE(FileList!$A$1:$A$100, ".tsv"), 0)), "notfound")</f>
        <v>10.1159%2F000323671_SupplementaryTable2.tsv</v>
      </c>
      <c r="Q114" s="8" t="s">
        <v>97</v>
      </c>
      <c r="Y114" s="8" t="s">
        <v>507</v>
      </c>
      <c r="AB114" s="8" t="s">
        <v>720</v>
      </c>
      <c r="AC114" s="8" t="s">
        <v>84</v>
      </c>
      <c r="AD114" s="8" t="s">
        <v>604</v>
      </c>
      <c r="AK114" s="8" t="s">
        <v>86</v>
      </c>
      <c r="AL114" s="8" t="s">
        <v>321</v>
      </c>
      <c r="AM114" s="8" t="s">
        <v>63</v>
      </c>
    </row>
    <row r="115" spans="1:39" x14ac:dyDescent="0.2">
      <c r="A115" s="2" t="s">
        <v>509</v>
      </c>
      <c r="C115" s="2" t="s">
        <v>510</v>
      </c>
      <c r="D115" s="2" t="s">
        <v>511</v>
      </c>
      <c r="E115" t="str">
        <f t="shared" si="81"/>
        <v>6</v>
      </c>
      <c r="F115" t="str">
        <f t="shared" si="82"/>
        <v>Smaers_etal_2018</v>
      </c>
      <c r="G115" t="str">
        <f t="shared" si="83"/>
        <v>Smaers</v>
      </c>
      <c r="H115" t="str">
        <f t="shared" si="64"/>
        <v>etal</v>
      </c>
      <c r="I115" t="str">
        <f t="shared" si="84"/>
        <v>2018</v>
      </c>
      <c r="J115" t="str">
        <f t="shared" si="93"/>
        <v>10.7554/eLife.35696</v>
      </c>
      <c r="K115" t="str">
        <f t="shared" si="94"/>
        <v>Smaers_etal_2018_Figure2-data1</v>
      </c>
      <c r="L115" t="str">
        <f t="shared" si="95"/>
        <v>10.7554%2FeLife.35696_Figure2-data1</v>
      </c>
      <c r="M115" t="str">
        <f t="array" ref="M115">IFERROR(INDEX(FileList!$A$1:$A$100, MATCH(L115, _xlfn.TEXTBEFORE(FileList!$A$1:$A$100, ".tsv"), 0)), "notfound")</f>
        <v>notfound</v>
      </c>
      <c r="N115" s="8" t="s">
        <v>512</v>
      </c>
      <c r="Y115" s="8" t="s">
        <v>513</v>
      </c>
      <c r="AB115" s="8" t="s">
        <v>720</v>
      </c>
      <c r="AC115" s="8" t="s">
        <v>84</v>
      </c>
      <c r="AD115" s="8" t="s">
        <v>604</v>
      </c>
      <c r="AK115" s="8" t="s">
        <v>106</v>
      </c>
      <c r="AL115" s="8" t="s">
        <v>321</v>
      </c>
      <c r="AM115" s="8" t="s">
        <v>63</v>
      </c>
    </row>
    <row r="116" spans="1:39" x14ac:dyDescent="0.2">
      <c r="A116" s="2" t="s">
        <v>697</v>
      </c>
      <c r="C116" s="2" t="s">
        <v>696</v>
      </c>
      <c r="D116" s="2" t="s">
        <v>42</v>
      </c>
      <c r="E116" t="str">
        <f t="shared" si="81"/>
        <v>s</v>
      </c>
      <c r="F116" t="str">
        <f t="shared" si="82"/>
        <v>Stephan_etal_1970</v>
      </c>
      <c r="G116" t="str">
        <f t="shared" si="83"/>
        <v>Stephan</v>
      </c>
      <c r="H116" t="str">
        <f t="shared" si="64"/>
        <v>etal</v>
      </c>
      <c r="I116" t="str">
        <f t="shared" si="84"/>
        <v>1970</v>
      </c>
      <c r="J116" t="str">
        <f t="shared" si="93"/>
        <v>ISBN: 0390672505</v>
      </c>
      <c r="K116" t="str">
        <f t="shared" si="94"/>
        <v>Stephan_etal_1970_TABLE1</v>
      </c>
      <c r="L116" t="str">
        <f t="shared" si="95"/>
        <v>ISBN%3A0390672505_TABLE1</v>
      </c>
      <c r="M116" t="str">
        <f t="array" ref="M116">IFERROR(INDEX(FileList!$A$1:$A$100, MATCH(L116, _xlfn.TEXTBEFORE(FileList!$A$1:$A$100, ".tsv"), 0)), "notfound")</f>
        <v>notfound</v>
      </c>
      <c r="N116" s="8" t="s">
        <v>702</v>
      </c>
      <c r="AB116" s="8" t="s">
        <v>720</v>
      </c>
      <c r="AC116" s="8" t="s">
        <v>84</v>
      </c>
      <c r="AD116" s="8" t="s">
        <v>72</v>
      </c>
      <c r="AK116" s="8" t="s">
        <v>73</v>
      </c>
      <c r="AL116" s="8" t="s">
        <v>53</v>
      </c>
      <c r="AM116" s="8" t="s">
        <v>63</v>
      </c>
    </row>
    <row r="117" spans="1:39" x14ac:dyDescent="0.2">
      <c r="A117" s="2" t="s">
        <v>697</v>
      </c>
      <c r="C117" s="2" t="s">
        <v>696</v>
      </c>
      <c r="D117" s="2" t="s">
        <v>264</v>
      </c>
      <c r="E117" t="str">
        <f t="shared" si="81"/>
        <v>s</v>
      </c>
      <c r="F117" t="str">
        <f t="shared" si="82"/>
        <v>Stephan_etal_1970</v>
      </c>
      <c r="G117" t="str">
        <f t="shared" si="83"/>
        <v>Stephan</v>
      </c>
      <c r="H117" t="str">
        <f t="shared" si="64"/>
        <v>etal</v>
      </c>
      <c r="I117" t="str">
        <f t="shared" si="84"/>
        <v>1970</v>
      </c>
      <c r="J117" t="str">
        <f t="shared" si="93"/>
        <v>ISBN: 0390672505</v>
      </c>
      <c r="K117" t="str">
        <f t="shared" si="94"/>
        <v>Stephan_etal_1970_TABLE2</v>
      </c>
      <c r="L117" t="str">
        <f t="shared" si="95"/>
        <v>ISBN%3A0390672505_TABLE2</v>
      </c>
      <c r="M117" t="str">
        <f t="array" ref="M117">IFERROR(INDEX(FileList!$A$1:$A$100, MATCH(L117, _xlfn.TEXTBEFORE(FileList!$A$1:$A$100, ".tsv"), 0)), "notfound")</f>
        <v>notfound</v>
      </c>
      <c r="N117" s="8" t="s">
        <v>703</v>
      </c>
      <c r="AB117" s="8" t="s">
        <v>720</v>
      </c>
      <c r="AC117" s="8" t="s">
        <v>84</v>
      </c>
      <c r="AD117" s="8" t="s">
        <v>72</v>
      </c>
      <c r="AK117" s="8" t="s">
        <v>73</v>
      </c>
      <c r="AL117" s="8" t="s">
        <v>53</v>
      </c>
      <c r="AM117" s="8" t="s">
        <v>63</v>
      </c>
    </row>
    <row r="118" spans="1:39" x14ac:dyDescent="0.2">
      <c r="A118" s="2" t="s">
        <v>697</v>
      </c>
      <c r="C118" s="2" t="s">
        <v>696</v>
      </c>
      <c r="D118" s="2" t="s">
        <v>698</v>
      </c>
      <c r="E118" t="str">
        <f t="shared" si="81"/>
        <v>s</v>
      </c>
      <c r="F118" t="str">
        <f t="shared" si="82"/>
        <v>Stephan_etal_1970</v>
      </c>
      <c r="G118" t="str">
        <f t="shared" si="83"/>
        <v>Stephan</v>
      </c>
      <c r="H118" t="str">
        <f t="shared" si="64"/>
        <v>etal</v>
      </c>
      <c r="I118" t="str">
        <f t="shared" si="84"/>
        <v>1970</v>
      </c>
      <c r="J118" t="str">
        <f t="shared" si="93"/>
        <v>ISBN: 0390672505</v>
      </c>
      <c r="K118" t="str">
        <f t="shared" si="94"/>
        <v>Stephan_etal_1970_TABLE3</v>
      </c>
      <c r="L118" t="str">
        <f t="shared" si="95"/>
        <v>ISBN%3A0390672505_TABLE3</v>
      </c>
      <c r="M118" t="str">
        <f t="array" ref="M118">IFERROR(INDEX(FileList!$A$1:$A$100, MATCH(L118, _xlfn.TEXTBEFORE(FileList!$A$1:$A$100, ".tsv"), 0)), "notfound")</f>
        <v>notfound</v>
      </c>
      <c r="N118" s="8" t="s">
        <v>704</v>
      </c>
      <c r="AB118" s="8" t="s">
        <v>720</v>
      </c>
      <c r="AC118" s="8" t="s">
        <v>84</v>
      </c>
      <c r="AD118" s="8" t="s">
        <v>72</v>
      </c>
      <c r="AK118" s="8" t="s">
        <v>73</v>
      </c>
      <c r="AL118" s="8" t="s">
        <v>53</v>
      </c>
      <c r="AM118" s="8" t="s">
        <v>63</v>
      </c>
    </row>
    <row r="119" spans="1:39" x14ac:dyDescent="0.2">
      <c r="A119" s="2" t="s">
        <v>697</v>
      </c>
      <c r="C119" s="2" t="s">
        <v>696</v>
      </c>
      <c r="D119" s="2" t="s">
        <v>699</v>
      </c>
      <c r="E119" t="str">
        <f t="shared" si="81"/>
        <v>s</v>
      </c>
      <c r="F119" t="str">
        <f t="shared" si="82"/>
        <v>Stephan_etal_1970</v>
      </c>
      <c r="G119" t="str">
        <f t="shared" si="83"/>
        <v>Stephan</v>
      </c>
      <c r="H119" t="str">
        <f t="shared" si="64"/>
        <v>etal</v>
      </c>
      <c r="I119" t="str">
        <f t="shared" si="84"/>
        <v>1970</v>
      </c>
      <c r="J119" t="str">
        <f t="shared" si="93"/>
        <v>ISBN: 0390672505</v>
      </c>
      <c r="K119" t="str">
        <f t="shared" si="94"/>
        <v>Stephan_etal_1970_TABLE4</v>
      </c>
      <c r="L119" t="str">
        <f t="shared" si="95"/>
        <v>ISBN%3A0390672505_TABLE4</v>
      </c>
      <c r="M119" t="str">
        <f t="array" ref="M119">IFERROR(INDEX(FileList!$A$1:$A$100, MATCH(L119, _xlfn.TEXTBEFORE(FileList!$A$1:$A$100, ".tsv"), 0)), "notfound")</f>
        <v>notfound</v>
      </c>
      <c r="N119" s="8" t="s">
        <v>705</v>
      </c>
      <c r="AB119" s="8" t="s">
        <v>720</v>
      </c>
      <c r="AC119" s="8" t="s">
        <v>84</v>
      </c>
      <c r="AD119" s="8" t="s">
        <v>72</v>
      </c>
      <c r="AK119" s="8" t="s">
        <v>73</v>
      </c>
      <c r="AL119" s="8" t="s">
        <v>53</v>
      </c>
      <c r="AM119" s="8" t="s">
        <v>63</v>
      </c>
    </row>
    <row r="120" spans="1:39" x14ac:dyDescent="0.2">
      <c r="A120" s="2" t="s">
        <v>697</v>
      </c>
      <c r="C120" s="2" t="s">
        <v>696</v>
      </c>
      <c r="D120" s="2" t="s">
        <v>700</v>
      </c>
      <c r="E120" t="str">
        <f t="shared" si="81"/>
        <v>s</v>
      </c>
      <c r="F120" t="str">
        <f t="shared" si="82"/>
        <v>Stephan_etal_1970</v>
      </c>
      <c r="G120" t="str">
        <f t="shared" si="83"/>
        <v>Stephan</v>
      </c>
      <c r="H120" t="str">
        <f t="shared" si="64"/>
        <v>etal</v>
      </c>
      <c r="I120" t="str">
        <f t="shared" si="84"/>
        <v>1970</v>
      </c>
      <c r="J120" t="str">
        <f t="shared" si="93"/>
        <v>ISBN: 0390672505</v>
      </c>
      <c r="K120" t="str">
        <f t="shared" si="94"/>
        <v>Stephan_etal_1970_TABLE5</v>
      </c>
      <c r="L120" t="str">
        <f t="shared" si="95"/>
        <v>ISBN%3A0390672505_TABLE5</v>
      </c>
      <c r="M120" t="str">
        <f t="array" ref="M120">IFERROR(INDEX(FileList!$A$1:$A$100, MATCH(L120, _xlfn.TEXTBEFORE(FileList!$A$1:$A$100, ".tsv"), 0)), "notfound")</f>
        <v>notfound</v>
      </c>
      <c r="N120" s="8" t="s">
        <v>706</v>
      </c>
      <c r="AB120" s="8" t="s">
        <v>720</v>
      </c>
      <c r="AC120" s="8" t="s">
        <v>84</v>
      </c>
      <c r="AD120" s="8" t="s">
        <v>72</v>
      </c>
      <c r="AK120" s="8" t="s">
        <v>73</v>
      </c>
      <c r="AL120" s="8" t="s">
        <v>53</v>
      </c>
      <c r="AM120" s="8" t="s">
        <v>63</v>
      </c>
    </row>
    <row r="121" spans="1:39" x14ac:dyDescent="0.2">
      <c r="A121" s="2" t="s">
        <v>697</v>
      </c>
      <c r="C121" s="2" t="s">
        <v>696</v>
      </c>
      <c r="D121" s="2" t="s">
        <v>701</v>
      </c>
      <c r="E121" t="str">
        <f t="shared" ref="E121" si="96">RIGHT(A121,1)</f>
        <v>s</v>
      </c>
      <c r="F121" t="str">
        <f t="shared" ref="F121" si="97">G121 &amp; IF(H121&lt;&gt;"", "_" &amp; H121, "_") &amp; IF(I121&lt;&gt;"", "_" &amp; I121, "_") &amp; IF(B121&lt;&gt;"", "_" &amp; B121, "")</f>
        <v>Stephan_etal_1970</v>
      </c>
      <c r="G121" t="str">
        <f t="shared" ref="G121" si="98">SUBSTITUTE(SUBSTITUTE(_xlfn.TEXTBEFORE(A121,","), "-", ""), " ", "")</f>
        <v>Stephan</v>
      </c>
      <c r="H121" t="str">
        <f t="shared" ref="H121" si="99">_xlfn.LET(_xlpm.authorPart,_xlfn.TEXTBEFORE(A121," ("),IFERROR(IF(ISNUMBER(FIND("&amp;",_xlpm.authorPart)),IF(LEN(A121)-LEN(SUBSTITUTE(A121,",",""))&gt;=6,"etal",_xlfn.TEXTBEFORE(_xlfn.TEXTAFTER(_xlpm.authorPart,"&amp; "),",")),""),""))</f>
        <v>etal</v>
      </c>
      <c r="I121" t="str">
        <f t="shared" ref="I121" si="100">_xlfn.TEXTBEFORE(_xlfn.TEXTAFTER(A121, "("), ")")</f>
        <v>1970</v>
      </c>
      <c r="J121" t="str">
        <f t="shared" ref="J121" si="101">IF(C121&lt;&gt;"", C121, IF(C121="", _xlfn.TEXTAFTER(A121,"https://doi.org/"), C121))</f>
        <v>ISBN: 0390672505</v>
      </c>
      <c r="K121" t="str">
        <f t="shared" ref="K121" si="102">TRIM(_xlfn.TEXTJOIN("_",FALSE,F121,(SUBSTITUTE(SUBSTITUTE(D121," ",""), "_", ""))))</f>
        <v>Stephan_etal_1970_TABLE6</v>
      </c>
      <c r="L121" t="str">
        <f t="shared" ref="L121" si="103">IF(ISBLANK(C121),TRIM(SUBSTITUTE(SUBSTITUTE(SUBSTITUTE(_xlfn.TEXTJOIN("_", FALSE, J121, SUBSTITUTE(D121,"_", "")), "/", "%2F"), ":", "%3A"), " ", "")),TRIM(SUBSTITUTE(SUBSTITUTE(SUBSTITUTE(_xlfn.TEXTJOIN("_", FALSE, C121, SUBSTITUTE(D121,"_", "")), "/", "%2F"), ":", "%3A"), " ", "")))</f>
        <v>ISBN%3A0390672505_TABLE6</v>
      </c>
      <c r="M121" t="str">
        <f t="array" ref="M121">IFERROR(INDEX(FileList!$A$1:$A$100, MATCH(L121, _xlfn.TEXTBEFORE(FileList!$A$1:$A$100, ".tsv"), 0)), "notfound")</f>
        <v>notfound</v>
      </c>
      <c r="N121" s="8" t="s">
        <v>707</v>
      </c>
      <c r="AB121" s="8" t="s">
        <v>720</v>
      </c>
      <c r="AC121" s="8" t="s">
        <v>84</v>
      </c>
      <c r="AD121" s="8" t="s">
        <v>72</v>
      </c>
      <c r="AK121" s="8" t="s">
        <v>73</v>
      </c>
      <c r="AL121" s="8" t="s">
        <v>53</v>
      </c>
      <c r="AM121" s="8" t="s">
        <v>63</v>
      </c>
    </row>
    <row r="122" spans="1:39" x14ac:dyDescent="0.2">
      <c r="A122" s="2" t="s">
        <v>514</v>
      </c>
      <c r="C122" s="2" t="s">
        <v>515</v>
      </c>
      <c r="D122" s="2" t="s">
        <v>117</v>
      </c>
      <c r="E122" t="str">
        <f t="shared" si="81"/>
        <v>3</v>
      </c>
      <c r="F122" t="str">
        <f t="shared" si="82"/>
        <v>Stephan_etal_1982</v>
      </c>
      <c r="G122" t="str">
        <f t="shared" si="83"/>
        <v>Stephan</v>
      </c>
      <c r="H122" t="str">
        <f t="shared" si="64"/>
        <v>etal</v>
      </c>
      <c r="I122" t="str">
        <f t="shared" si="84"/>
        <v>1982</v>
      </c>
      <c r="J122" t="str">
        <f t="shared" si="93"/>
        <v>PMID:7161483</v>
      </c>
      <c r="K122" t="str">
        <f t="shared" si="94"/>
        <v>Stephan_etal_1982_Table1</v>
      </c>
      <c r="L122" t="str">
        <f t="shared" si="95"/>
        <v>PMID%3A7161483_Table1</v>
      </c>
      <c r="M122" t="str">
        <f t="array" ref="M122">IFERROR(INDEX(FileList!$A$1:$A$100, MATCH(L122, _xlfn.TEXTBEFORE(FileList!$A$1:$A$100, ".tsv"), 0)), "notfound")</f>
        <v>PMID%3A7161483_Table1.tsv</v>
      </c>
      <c r="N122" s="8" t="s">
        <v>516</v>
      </c>
      <c r="V122" s="8" t="s">
        <v>39</v>
      </c>
      <c r="W122" s="8" t="s">
        <v>76</v>
      </c>
      <c r="Y122" s="8" t="s">
        <v>517</v>
      </c>
      <c r="Z122" s="8" t="s">
        <v>53</v>
      </c>
      <c r="AA122" s="8" t="s">
        <v>72</v>
      </c>
      <c r="AB122" s="8" t="s">
        <v>720</v>
      </c>
      <c r="AC122" s="8" t="s">
        <v>84</v>
      </c>
      <c r="AD122" s="8" t="s">
        <v>72</v>
      </c>
      <c r="AK122" s="8" t="s">
        <v>73</v>
      </c>
      <c r="AL122" s="8" t="s">
        <v>53</v>
      </c>
      <c r="AM122" s="8" t="s">
        <v>63</v>
      </c>
    </row>
    <row r="123" spans="1:39" x14ac:dyDescent="0.2">
      <c r="A123" s="2" t="s">
        <v>518</v>
      </c>
      <c r="C123" s="2" t="s">
        <v>519</v>
      </c>
      <c r="D123" s="2" t="s">
        <v>117</v>
      </c>
      <c r="E123" t="str">
        <f t="shared" si="81"/>
        <v>4</v>
      </c>
      <c r="F123" t="str">
        <f t="shared" si="82"/>
        <v>Stephan_etal_1984</v>
      </c>
      <c r="G123" t="str">
        <f t="shared" si="83"/>
        <v>Stephan</v>
      </c>
      <c r="H123" t="str">
        <f t="shared" si="64"/>
        <v>etal</v>
      </c>
      <c r="I123" t="str">
        <f t="shared" si="84"/>
        <v>1984</v>
      </c>
      <c r="J123" t="str">
        <f t="shared" si="93"/>
        <v>PMID:6481154</v>
      </c>
      <c r="K123" t="str">
        <f t="shared" si="94"/>
        <v>Stephan_etal_1984_Table1</v>
      </c>
      <c r="L123" t="str">
        <f t="shared" si="95"/>
        <v>PMID%3A6481154_Table1</v>
      </c>
      <c r="M123" t="str">
        <f t="array" ref="M123">IFERROR(INDEX(FileList!$A$1:$A$100, MATCH(L123, _xlfn.TEXTBEFORE(FileList!$A$1:$A$100, ".tsv"), 0)), "notfound")</f>
        <v>PMID%3A6481154_Table1.tsv</v>
      </c>
      <c r="N123" s="8" t="s">
        <v>520</v>
      </c>
      <c r="V123" s="8" t="s">
        <v>39</v>
      </c>
      <c r="W123" s="8" t="s">
        <v>76</v>
      </c>
      <c r="Y123" s="8" t="s">
        <v>521</v>
      </c>
      <c r="Z123" s="8" t="s">
        <v>53</v>
      </c>
      <c r="AA123" s="8" t="s">
        <v>72</v>
      </c>
      <c r="AB123" s="8" t="s">
        <v>720</v>
      </c>
      <c r="AC123" s="8" t="s">
        <v>84</v>
      </c>
      <c r="AD123" s="8" t="s">
        <v>72</v>
      </c>
      <c r="AK123" s="8" t="s">
        <v>73</v>
      </c>
      <c r="AL123" s="8" t="s">
        <v>53</v>
      </c>
      <c r="AM123" s="8" t="s">
        <v>63</v>
      </c>
    </row>
    <row r="124" spans="1:39" x14ac:dyDescent="0.2">
      <c r="A124" s="2" t="s">
        <v>522</v>
      </c>
      <c r="C124" s="2" t="s">
        <v>523</v>
      </c>
      <c r="D124" s="2" t="s">
        <v>117</v>
      </c>
      <c r="E124" t="str">
        <f t="shared" si="81"/>
        <v>5</v>
      </c>
      <c r="F124" t="str">
        <f t="shared" si="82"/>
        <v>Stephan_etal_1987</v>
      </c>
      <c r="G124" t="str">
        <f t="shared" si="83"/>
        <v>Stephan</v>
      </c>
      <c r="H124" t="str">
        <f t="shared" si="64"/>
        <v>etal</v>
      </c>
      <c r="I124" t="str">
        <f t="shared" si="84"/>
        <v>1987</v>
      </c>
      <c r="J124" t="str">
        <f t="shared" si="93"/>
        <v>PMID:3693895</v>
      </c>
      <c r="K124" t="str">
        <f t="shared" si="94"/>
        <v>Stephan_etal_1987_Table1</v>
      </c>
      <c r="L124" t="str">
        <f t="shared" si="95"/>
        <v>PMID%3A3693895_Table1</v>
      </c>
      <c r="M124" t="str">
        <f t="array" ref="M124">IFERROR(INDEX(FileList!$A$1:$A$100, MATCH(L124, _xlfn.TEXTBEFORE(FileList!$A$1:$A$100, ".tsv"), 0)), "notfound")</f>
        <v>PMID%3A3693895_Table1.tsv</v>
      </c>
      <c r="N124" s="8" t="s">
        <v>524</v>
      </c>
      <c r="V124" s="8" t="s">
        <v>39</v>
      </c>
      <c r="W124" s="8" t="s">
        <v>76</v>
      </c>
      <c r="Y124" s="8" t="s">
        <v>525</v>
      </c>
      <c r="Z124" s="8" t="s">
        <v>53</v>
      </c>
      <c r="AA124" s="8" t="s">
        <v>72</v>
      </c>
      <c r="AB124" s="8" t="s">
        <v>720</v>
      </c>
      <c r="AC124" s="8" t="s">
        <v>84</v>
      </c>
      <c r="AD124" s="8" t="s">
        <v>72</v>
      </c>
      <c r="AK124" s="8" t="s">
        <v>73</v>
      </c>
      <c r="AL124" s="8" t="s">
        <v>53</v>
      </c>
      <c r="AM124" s="8" t="s">
        <v>63</v>
      </c>
    </row>
    <row r="125" spans="1:39" x14ac:dyDescent="0.2">
      <c r="A125" s="2" t="s">
        <v>526</v>
      </c>
      <c r="D125" s="2" t="s">
        <v>117</v>
      </c>
      <c r="E125" t="str">
        <f t="shared" si="81"/>
        <v>3</v>
      </c>
      <c r="F125" t="str">
        <f t="shared" si="82"/>
        <v>Stephan_etal_1981</v>
      </c>
      <c r="G125" t="str">
        <f t="shared" si="83"/>
        <v>Stephan</v>
      </c>
      <c r="H125" t="str">
        <f t="shared" si="64"/>
        <v>etal</v>
      </c>
      <c r="I125" t="str">
        <f t="shared" si="84"/>
        <v>1981</v>
      </c>
      <c r="J125" t="str">
        <f t="shared" si="93"/>
        <v>10.1159/000155963</v>
      </c>
      <c r="K125" t="str">
        <f t="shared" si="94"/>
        <v>Stephan_etal_1981_Table1</v>
      </c>
      <c r="L125" t="str">
        <f t="shared" si="95"/>
        <v>10.1159%2F000155963_Table1</v>
      </c>
      <c r="M125" t="str">
        <f t="array" ref="M125">IFERROR(INDEX(FileList!$A$1:$A$100, MATCH(L125, _xlfn.TEXTBEFORE(FileList!$A$1:$A$100, ".tsv"), 0)), "notfound")</f>
        <v>10.1159%2F000155963_Table1.tsv</v>
      </c>
      <c r="N125" s="8" t="s">
        <v>527</v>
      </c>
      <c r="V125" s="8" t="s">
        <v>39</v>
      </c>
      <c r="Y125" s="8" t="s">
        <v>528</v>
      </c>
      <c r="Z125" s="8" t="s">
        <v>53</v>
      </c>
      <c r="AA125" s="8" t="s">
        <v>72</v>
      </c>
      <c r="AB125" s="8" t="s">
        <v>720</v>
      </c>
      <c r="AC125" s="8" t="s">
        <v>84</v>
      </c>
      <c r="AD125" s="8" t="s">
        <v>72</v>
      </c>
      <c r="AK125" s="8" t="s">
        <v>73</v>
      </c>
      <c r="AL125" s="8" t="s">
        <v>53</v>
      </c>
      <c r="AM125" s="8" t="s">
        <v>63</v>
      </c>
    </row>
    <row r="126" spans="1:39" x14ac:dyDescent="0.2">
      <c r="A126" s="2" t="s">
        <v>708</v>
      </c>
      <c r="D126" s="2" t="s">
        <v>709</v>
      </c>
      <c r="E126" t="str">
        <f t="shared" ref="E126:E127" si="104">RIGHT(A126,1)</f>
        <v>8</v>
      </c>
      <c r="F126" t="str">
        <f t="shared" ref="F126:F127" si="105">G126 &amp; IF(H126&lt;&gt;"", "_" &amp; H126, "_") &amp; IF(I126&lt;&gt;"", "_" &amp; I126, "_") &amp; IF(B126&lt;&gt;"", "_" &amp; B126, "")</f>
        <v>Stimpson_etal_2015</v>
      </c>
      <c r="G126" t="str">
        <f t="shared" ref="G126:G127" si="106">SUBSTITUTE(SUBSTITUTE(_xlfn.TEXTBEFORE(A126,","), "-", ""), " ", "")</f>
        <v>Stimpson</v>
      </c>
      <c r="H126" t="str">
        <f t="shared" ref="H126:H127" si="107">_xlfn.LET(_xlpm.authorPart,_xlfn.TEXTBEFORE(A126," ("),IFERROR(IF(ISNUMBER(FIND("&amp;",_xlpm.authorPart)),IF(LEN(A126)-LEN(SUBSTITUTE(A126,",",""))&gt;=6,"etal",_xlfn.TEXTBEFORE(_xlfn.TEXTAFTER(_xlpm.authorPart,"&amp; "),",")),""),""))</f>
        <v>etal</v>
      </c>
      <c r="I126" t="str">
        <f t="shared" ref="I126:I127" si="108">_xlfn.TEXTBEFORE(_xlfn.TEXTAFTER(A126, "("), ")")</f>
        <v>2015</v>
      </c>
      <c r="J126" t="str">
        <f t="shared" ref="J126:J127" si="109">IF(C126&lt;&gt;"", C126, IF(C126="", _xlfn.TEXTAFTER(A126,"https://doi.org/"), C126))</f>
        <v>10.1093/scan/nsv128</v>
      </c>
      <c r="K126" t="str">
        <f t="shared" ref="K126:K127" si="110">TRIM(_xlfn.TEXTJOIN("_",FALSE,F126,(SUBSTITUTE(SUBSTITUTE(D126," ",""), "_", ""))))</f>
        <v>Stimpson_etal_2015_TableS1</v>
      </c>
      <c r="L126" t="str">
        <f t="shared" ref="L126:L127" si="111">IF(ISBLANK(C126),TRIM(SUBSTITUTE(SUBSTITUTE(SUBSTITUTE(_xlfn.TEXTJOIN("_", FALSE, J126, SUBSTITUTE(D126,"_", "")), "/", "%2F"), ":", "%3A"), " ", "")),TRIM(SUBSTITUTE(SUBSTITUTE(SUBSTITUTE(_xlfn.TEXTJOIN("_", FALSE, C126, SUBSTITUTE(D126,"_", "")), "/", "%2F"), ":", "%3A"), " ", "")))</f>
        <v>10.1093%2Fscan%2Fnsv128_TableS1</v>
      </c>
      <c r="M126" t="str">
        <f t="array" ref="M126">IFERROR(INDEX(FileList!$A$1:$A$100, MATCH(L126, _xlfn.TEXTBEFORE(FileList!$A$1:$A$100, ".tsv"), 0)), "notfound")</f>
        <v>notfound</v>
      </c>
      <c r="N126" s="8" t="s">
        <v>709</v>
      </c>
      <c r="V126" s="8" t="s">
        <v>39</v>
      </c>
      <c r="AA126" s="8" t="s">
        <v>711</v>
      </c>
      <c r="AB126" s="8" t="s">
        <v>720</v>
      </c>
      <c r="AC126" s="8" t="s">
        <v>84</v>
      </c>
      <c r="AD126" s="8" t="s">
        <v>711</v>
      </c>
      <c r="AL126" s="8" t="s">
        <v>53</v>
      </c>
      <c r="AM126" s="8" t="s">
        <v>63</v>
      </c>
    </row>
    <row r="127" spans="1:39" x14ac:dyDescent="0.2">
      <c r="A127" s="2" t="s">
        <v>708</v>
      </c>
      <c r="D127" s="2" t="s">
        <v>710</v>
      </c>
      <c r="E127" t="str">
        <f t="shared" si="104"/>
        <v>8</v>
      </c>
      <c r="F127" t="str">
        <f t="shared" si="105"/>
        <v>Stimpson_etal_2015</v>
      </c>
      <c r="G127" t="str">
        <f t="shared" si="106"/>
        <v>Stimpson</v>
      </c>
      <c r="H127" t="str">
        <f t="shared" si="107"/>
        <v>etal</v>
      </c>
      <c r="I127" t="str">
        <f t="shared" si="108"/>
        <v>2015</v>
      </c>
      <c r="J127" t="str">
        <f t="shared" si="109"/>
        <v>10.1093/scan/nsv128</v>
      </c>
      <c r="K127" t="str">
        <f t="shared" si="110"/>
        <v>Stimpson_etal_2015_TableS2</v>
      </c>
      <c r="L127" t="str">
        <f t="shared" si="111"/>
        <v>10.1093%2Fscan%2Fnsv128_TableS2</v>
      </c>
      <c r="M127" t="str">
        <f t="array" ref="M127">IFERROR(INDEX(FileList!$A$1:$A$100, MATCH(L127, _xlfn.TEXTBEFORE(FileList!$A$1:$A$100, ".tsv"), 0)), "notfound")</f>
        <v>notfound</v>
      </c>
      <c r="N127" s="8" t="s">
        <v>710</v>
      </c>
      <c r="V127" s="8" t="s">
        <v>39</v>
      </c>
      <c r="AA127" s="8" t="s">
        <v>711</v>
      </c>
      <c r="AB127" s="8" t="s">
        <v>720</v>
      </c>
      <c r="AC127" s="8" t="s">
        <v>84</v>
      </c>
      <c r="AD127" s="8" t="s">
        <v>711</v>
      </c>
      <c r="AL127" s="8" t="s">
        <v>53</v>
      </c>
      <c r="AM127" s="8" t="s">
        <v>63</v>
      </c>
    </row>
    <row r="128" spans="1:39" x14ac:dyDescent="0.2">
      <c r="A128" s="2" t="s">
        <v>529</v>
      </c>
      <c r="D128" s="2" t="s">
        <v>117</v>
      </c>
      <c r="E128" t="str">
        <f t="shared" si="81"/>
        <v>2</v>
      </c>
      <c r="F128" t="str">
        <f t="shared" si="82"/>
        <v>Turner_etal_2016</v>
      </c>
      <c r="G128" t="str">
        <f t="shared" si="83"/>
        <v>Turner</v>
      </c>
      <c r="H128" t="str">
        <f t="shared" si="64"/>
        <v>etal</v>
      </c>
      <c r="I128" t="str">
        <f t="shared" si="84"/>
        <v>2016</v>
      </c>
      <c r="J128" t="str">
        <f t="shared" si="93"/>
        <v>10.1159/000446762</v>
      </c>
      <c r="K128" t="str">
        <f t="shared" si="94"/>
        <v>Turner_etal_2016_Table1</v>
      </c>
      <c r="L128" t="str">
        <f t="shared" si="95"/>
        <v>10.1159%2F000446762_Table1</v>
      </c>
      <c r="M128" t="str">
        <f t="array" ref="M128">IFERROR(INDEX(FileList!$A$1:$A$100, MATCH(L128, _xlfn.TEXTBEFORE(FileList!$A$1:$A$100, ".tsv"), 0)), "notfound")</f>
        <v>notfound</v>
      </c>
      <c r="N128" s="8" t="s">
        <v>530</v>
      </c>
      <c r="Y128" s="8" t="s">
        <v>531</v>
      </c>
      <c r="AK128" s="8" t="s">
        <v>106</v>
      </c>
      <c r="AL128" s="8" t="s">
        <v>53</v>
      </c>
      <c r="AM128" s="8" t="s">
        <v>92</v>
      </c>
    </row>
    <row r="129" spans="1:39" x14ac:dyDescent="0.2">
      <c r="A129" s="2" t="s">
        <v>532</v>
      </c>
      <c r="D129" s="2" t="s">
        <v>533</v>
      </c>
      <c r="E129" t="str">
        <f t="shared" si="81"/>
        <v>1</v>
      </c>
      <c r="F129" t="str">
        <f t="shared" si="82"/>
        <v>Wilman_etal_2014</v>
      </c>
      <c r="G129" t="str">
        <f t="shared" si="83"/>
        <v>Wilman</v>
      </c>
      <c r="H129" t="str">
        <f t="shared" si="64"/>
        <v>etal</v>
      </c>
      <c r="I129" t="str">
        <f t="shared" si="84"/>
        <v>2014</v>
      </c>
      <c r="J129" t="str">
        <f t="shared" si="93"/>
        <v>10.1890/13-1917.1</v>
      </c>
      <c r="K129" t="str">
        <f t="shared" si="94"/>
        <v>Wilman_etal_2014_MamFuncDat.txt</v>
      </c>
      <c r="L129" t="str">
        <f t="shared" si="95"/>
        <v>10.1890%2F13-1917.1_MamFuncDat.txt</v>
      </c>
      <c r="M129" t="str">
        <f t="array" ref="M129">IFERROR(INDEX(FileList!$A$1:$A$100, MATCH(L129, _xlfn.TEXTBEFORE(FileList!$A$1:$A$100, ".tsv"), 0)), "notfound")</f>
        <v>notfound</v>
      </c>
      <c r="Y129" s="8" t="s">
        <v>534</v>
      </c>
      <c r="AK129" s="8" t="s">
        <v>106</v>
      </c>
      <c r="AL129" s="8" t="s">
        <v>103</v>
      </c>
      <c r="AM129" s="8" t="s">
        <v>535</v>
      </c>
    </row>
    <row r="130" spans="1:39" x14ac:dyDescent="0.2">
      <c r="A130" s="2" t="s">
        <v>536</v>
      </c>
      <c r="D130" s="2" t="s">
        <v>537</v>
      </c>
      <c r="E130" t="str">
        <f t="shared" si="81"/>
        <v>7</v>
      </c>
      <c r="F130" t="str">
        <f t="shared" si="82"/>
        <v>Wimberly_etal_2021</v>
      </c>
      <c r="G130" t="str">
        <f t="shared" si="83"/>
        <v>Wimberly</v>
      </c>
      <c r="H130" t="str">
        <f t="shared" si="64"/>
        <v>etal</v>
      </c>
      <c r="I130" t="str">
        <f t="shared" si="84"/>
        <v>2021</v>
      </c>
      <c r="J130" t="str">
        <f t="shared" si="93"/>
        <v>10.1098/rspb.2021.0937</v>
      </c>
      <c r="K130" t="str">
        <f t="shared" si="94"/>
        <v>Wimberly_etal_2021_mammalgait.txt</v>
      </c>
      <c r="L130" t="str">
        <f t="shared" si="95"/>
        <v>10.1098%2Frspb.2021.0937_mammalgait.txt</v>
      </c>
      <c r="M130" t="str">
        <f t="array" ref="M130">IFERROR(INDEX(FileList!$A$1:$A$100, MATCH(L130, _xlfn.TEXTBEFORE(FileList!$A$1:$A$100, ".tsv"), 0)), "notfound")</f>
        <v>notfound</v>
      </c>
      <c r="P130" s="8" t="s">
        <v>295</v>
      </c>
      <c r="AK130" s="8" t="s">
        <v>40</v>
      </c>
      <c r="AL130" s="8" t="s">
        <v>40</v>
      </c>
      <c r="AM130" s="8" t="s">
        <v>40</v>
      </c>
    </row>
    <row r="131" spans="1:39" x14ac:dyDescent="0.2">
      <c r="A131" s="2" t="s">
        <v>538</v>
      </c>
      <c r="D131" s="2" t="s">
        <v>539</v>
      </c>
      <c r="E131" t="str">
        <f t="shared" si="81"/>
        <v>5</v>
      </c>
      <c r="F131" t="str">
        <f t="shared" si="82"/>
        <v>Winkler_Bryant_2021</v>
      </c>
      <c r="G131" t="str">
        <f t="shared" si="83"/>
        <v>Winkler</v>
      </c>
      <c r="H131" t="str">
        <f t="shared" si="64"/>
        <v>Bryant</v>
      </c>
      <c r="I131" t="str">
        <f t="shared" si="84"/>
        <v>2021</v>
      </c>
      <c r="J131" t="str">
        <f t="shared" si="93"/>
        <v>10.1080/09524622.2021.1905065</v>
      </c>
      <c r="K131" t="str">
        <f t="shared" si="94"/>
        <v>Winkler_Bryant_2021_Figure1</v>
      </c>
      <c r="L131" t="str">
        <f t="shared" si="95"/>
        <v>10.1080%2F09524622.2021.1905065_Figure1</v>
      </c>
      <c r="M131" t="str">
        <f t="array" ref="M131">IFERROR(INDEX(FileList!$A$1:$A$100, MATCH(L131, _xlfn.TEXTBEFORE(FileList!$A$1:$A$100, ".tsv"), 0)), "notfound")</f>
        <v>notfound</v>
      </c>
      <c r="P131" s="8" t="s">
        <v>295</v>
      </c>
      <c r="Q131" s="8" t="s">
        <v>163</v>
      </c>
      <c r="T131" s="8" t="str">
        <f>IF(S131="N", R131, "write file name")</f>
        <v>write file name</v>
      </c>
      <c r="U131" s="8" t="s">
        <v>49</v>
      </c>
      <c r="V131" s="8" t="s">
        <v>540</v>
      </c>
      <c r="Y131" s="8" t="s">
        <v>541</v>
      </c>
      <c r="AG131" s="8" t="s">
        <v>105</v>
      </c>
      <c r="AK131" s="8" t="s">
        <v>106</v>
      </c>
      <c r="AL131" s="8" t="s">
        <v>103</v>
      </c>
      <c r="AM131" s="8" t="s">
        <v>542</v>
      </c>
    </row>
    <row r="132" spans="1:39" x14ac:dyDescent="0.2">
      <c r="A132" s="2" t="s">
        <v>543</v>
      </c>
      <c r="D132" s="2" t="s">
        <v>117</v>
      </c>
      <c r="E132" t="str">
        <f t="shared" si="81"/>
        <v>0</v>
      </c>
      <c r="F132" t="str">
        <f t="shared" si="82"/>
        <v>Young_etal_2013</v>
      </c>
      <c r="G132" t="str">
        <f t="shared" si="83"/>
        <v>Young</v>
      </c>
      <c r="H132" t="str">
        <f t="shared" si="64"/>
        <v>etal</v>
      </c>
      <c r="I132" t="str">
        <f t="shared" si="84"/>
        <v>2013</v>
      </c>
      <c r="J132" t="str">
        <f t="shared" si="93"/>
        <v>10.3389/fncir.2013.00030</v>
      </c>
      <c r="K132" t="str">
        <f t="shared" si="94"/>
        <v>Young_etal_2013_Table1</v>
      </c>
      <c r="L132" t="str">
        <f t="shared" si="95"/>
        <v>10.3389%2Ffncir.2013.00030_Table1</v>
      </c>
      <c r="M132" t="str">
        <f t="array" ref="M132">IFERROR(INDEX(FileList!$A$1:$A$100, MATCH(L132, _xlfn.TEXTBEFORE(FileList!$A$1:$A$100, ".tsv"), 0)), "notfound")</f>
        <v>notfound</v>
      </c>
      <c r="P132" s="8" t="s">
        <v>459</v>
      </c>
      <c r="Q132" s="8" t="s">
        <v>163</v>
      </c>
      <c r="T132" s="8" t="str">
        <f>IF(S132="N", R132, "write file name")</f>
        <v>write file name</v>
      </c>
      <c r="U132" s="8" t="s">
        <v>49</v>
      </c>
      <c r="V132" s="8" t="s">
        <v>39</v>
      </c>
      <c r="Y132" s="8" t="s">
        <v>544</v>
      </c>
      <c r="Z132" s="8" t="s">
        <v>53</v>
      </c>
      <c r="AG132" s="8" t="s">
        <v>141</v>
      </c>
      <c r="AK132" s="8" t="s">
        <v>86</v>
      </c>
      <c r="AL132" s="8" t="s">
        <v>53</v>
      </c>
      <c r="AM132" s="8" t="s">
        <v>545</v>
      </c>
    </row>
    <row r="133" spans="1:39" x14ac:dyDescent="0.2">
      <c r="A133" s="2" t="s">
        <v>546</v>
      </c>
      <c r="D133" s="2" t="s">
        <v>117</v>
      </c>
      <c r="E133" t="str">
        <f t="shared" si="81"/>
        <v>0</v>
      </c>
      <c r="F133" t="str">
        <f t="shared" si="82"/>
        <v>Young_etal_2013</v>
      </c>
      <c r="G133" t="str">
        <f t="shared" si="83"/>
        <v>Young</v>
      </c>
      <c r="H133" t="str">
        <f t="shared" si="64"/>
        <v>etal</v>
      </c>
      <c r="I133" t="str">
        <f t="shared" si="84"/>
        <v>2013</v>
      </c>
      <c r="J133" t="str">
        <f t="shared" si="93"/>
        <v>10.1073/pnas.1318894110</v>
      </c>
      <c r="K133" t="str">
        <f t="shared" si="94"/>
        <v>Young_etal_2013_Table1</v>
      </c>
      <c r="L133" t="str">
        <f t="shared" si="95"/>
        <v>10.1073%2Fpnas.1318894110_Table1</v>
      </c>
      <c r="M133" t="str">
        <f t="array" ref="M133">IFERROR(INDEX(FileList!$A$1:$A$100, MATCH(L133, _xlfn.TEXTBEFORE(FileList!$A$1:$A$100, ".tsv"), 0)), "notfound")</f>
        <v>notfound</v>
      </c>
      <c r="N133" s="8" t="s">
        <v>547</v>
      </c>
      <c r="V133" s="8" t="s">
        <v>39</v>
      </c>
      <c r="Y133" s="8" t="s">
        <v>548</v>
      </c>
      <c r="Z133" s="8" t="s">
        <v>53</v>
      </c>
      <c r="AA133" s="8" t="s">
        <v>188</v>
      </c>
      <c r="AC133" s="8" t="s">
        <v>189</v>
      </c>
      <c r="AK133" s="8" t="s">
        <v>549</v>
      </c>
      <c r="AL133" s="8" t="s">
        <v>53</v>
      </c>
      <c r="AM133" s="8" t="s">
        <v>550</v>
      </c>
    </row>
    <row r="134" spans="1:39" x14ac:dyDescent="0.2">
      <c r="A134" s="2" t="s">
        <v>551</v>
      </c>
      <c r="C134" s="2" t="s">
        <v>552</v>
      </c>
      <c r="D134" s="2" t="s">
        <v>599</v>
      </c>
      <c r="E134" t="str">
        <f t="shared" si="81"/>
        <v>s</v>
      </c>
      <c r="F134" t="str">
        <f t="shared" si="82"/>
        <v>Zilles_Rehkämper_1988</v>
      </c>
      <c r="G134" t="str">
        <f t="shared" si="83"/>
        <v>Zilles</v>
      </c>
      <c r="H134" t="str">
        <f t="shared" si="64"/>
        <v>Rehkämper</v>
      </c>
      <c r="I134" t="str">
        <f t="shared" si="84"/>
        <v>1988</v>
      </c>
      <c r="J134" t="str">
        <f t="shared" si="93"/>
        <v>ISBN:9780195043716</v>
      </c>
      <c r="K134" t="str">
        <f t="shared" si="94"/>
        <v>Zilles_Rehkämper_1988_Table12-2</v>
      </c>
      <c r="L134" t="str">
        <f t="shared" si="95"/>
        <v>ISBN%3A9780195043716_Table12-2</v>
      </c>
      <c r="M134" t="str">
        <f t="array" ref="M134">IFERROR(INDEX(FileList!$A$1:$A$100, MATCH(L134, _xlfn.TEXTBEFORE(FileList!$A$1:$A$100, ".tsv"), 0)), "notfound")</f>
        <v>ISBN%3A9780195043716_Table12-2.tsv</v>
      </c>
      <c r="N134" s="8" t="s">
        <v>553</v>
      </c>
      <c r="Y134" s="8" t="s">
        <v>554</v>
      </c>
      <c r="AB134" s="8" t="s">
        <v>720</v>
      </c>
      <c r="AC134" s="8" t="s">
        <v>84</v>
      </c>
      <c r="AD134" s="8" t="s">
        <v>604</v>
      </c>
      <c r="AK134" s="8" t="s">
        <v>555</v>
      </c>
      <c r="AL134" s="8" t="s">
        <v>53</v>
      </c>
      <c r="AM134" s="8" t="s">
        <v>63</v>
      </c>
    </row>
    <row r="135" spans="1:39" x14ac:dyDescent="0.2">
      <c r="A135" s="2" t="s">
        <v>556</v>
      </c>
      <c r="D135" s="2" t="s">
        <v>69</v>
      </c>
      <c r="E135" t="str">
        <f t="shared" si="81"/>
        <v>6</v>
      </c>
      <c r="F135" t="str">
        <f t="shared" si="82"/>
        <v>Zilles_etal_2013</v>
      </c>
      <c r="G135" t="str">
        <f t="shared" si="83"/>
        <v>Zilles</v>
      </c>
      <c r="H135" t="str">
        <f t="shared" si="64"/>
        <v>etal</v>
      </c>
      <c r="I135" t="str">
        <f t="shared" si="84"/>
        <v>2013</v>
      </c>
      <c r="J135" t="str">
        <f t="shared" si="93"/>
        <v>10.1016/j.tins.2013.01.006</v>
      </c>
      <c r="K135" t="str">
        <f t="shared" si="94"/>
        <v>Zilles_etal_2013_Table1</v>
      </c>
      <c r="L135" t="str">
        <f t="shared" si="95"/>
        <v>10.1016%2Fj.tins.2013.01.006_Table1</v>
      </c>
      <c r="M135" t="str">
        <f t="array" ref="M135">IFERROR(INDEX(FileList!$A$1:$A$100, MATCH(L135, _xlfn.TEXTBEFORE(FileList!$A$1:$A$100, ".tsv"), 0)), "notfound")</f>
        <v>notfound</v>
      </c>
      <c r="N135" s="8" t="s">
        <v>557</v>
      </c>
      <c r="V135" s="8" t="s">
        <v>39</v>
      </c>
      <c r="Y135" s="8" t="s">
        <v>558</v>
      </c>
      <c r="Z135" s="8" t="s">
        <v>53</v>
      </c>
      <c r="AA135" s="8" t="s">
        <v>559</v>
      </c>
      <c r="AC135" s="8" t="s">
        <v>40</v>
      </c>
      <c r="AK135" s="8" t="s">
        <v>560</v>
      </c>
      <c r="AL135" s="8" t="s">
        <v>103</v>
      </c>
      <c r="AM135" s="8" t="s">
        <v>561</v>
      </c>
    </row>
  </sheetData>
  <phoneticPr fontId="5" type="noConversion"/>
  <hyperlinks>
    <hyperlink ref="X23" r:id="rId1" xr:uid="{00000000-0004-0000-0000-000000000000}"/>
    <hyperlink ref="X24" r:id="rId2"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1000000}"/>
    <hyperlink ref="X26" r:id="rId3" xr:uid="{00000000-0004-0000-0000-000002000000}"/>
    <hyperlink ref="X38" r:id="rId4" xr:uid="{00000000-0004-0000-0000-000003000000}"/>
    <hyperlink ref="X42" r:id="rId5" xr:uid="{00000000-0004-0000-0000-000004000000}"/>
    <hyperlink ref="X50" r:id="rId6" xr:uid="{00000000-0004-0000-0000-000005000000}"/>
    <hyperlink ref="X51" r:id="rId7" xr:uid="{00000000-0004-0000-0000-000006000000}"/>
    <hyperlink ref="X53" r:id="rId8" xr:uid="{00000000-0004-0000-0000-000007000000}"/>
    <hyperlink ref="X54" r:id="rId9" xr:uid="{00000000-0004-0000-0000-000008000000}"/>
    <hyperlink ref="X55" r:id="rId10" xr:uid="{00000000-0004-0000-0000-000009000000}"/>
    <hyperlink ref="X56" r:id="rId11" xr:uid="{00000000-0004-0000-0000-00000A000000}"/>
    <hyperlink ref="X57" r:id="rId12" xr:uid="{00000000-0004-0000-0000-00000B000000}"/>
    <hyperlink ref="X58" r:id="rId13" xr:uid="{00000000-0004-0000-0000-00000C000000}"/>
    <hyperlink ref="X61" r:id="rId14" xr:uid="{00000000-0004-0000-0000-00000D000000}"/>
    <hyperlink ref="X83" r:id="rId15" xr:uid="{00000000-0004-0000-0000-00000E000000}"/>
    <hyperlink ref="X89" r:id="rId16" xr:uid="{00000000-0004-0000-0000-00000F000000}"/>
    <hyperlink ref="X90" r:id="rId17" xr:uid="{00000000-0004-0000-0000-000010000000}"/>
    <hyperlink ref="X97" r:id="rId18" xr:uid="{00000000-0004-0000-0000-000011000000}"/>
    <hyperlink ref="X102" r:id="rId19" xr:uid="{00000000-0004-0000-0000-000012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baseColWidth="10" defaultRowHeight="16" x14ac:dyDescent="0.2"/>
  <cols>
    <col min="1" max="1" width="26.1640625" customWidth="1"/>
  </cols>
  <sheetData>
    <row r="1" spans="1:2" x14ac:dyDescent="0.2">
      <c r="A1" t="s">
        <v>562</v>
      </c>
    </row>
    <row r="2" spans="1:2" x14ac:dyDescent="0.2">
      <c r="A2" t="s">
        <v>563</v>
      </c>
    </row>
    <row r="3" spans="1:2" x14ac:dyDescent="0.2">
      <c r="A3" s="4" t="s">
        <v>564</v>
      </c>
      <c r="B3" t="s">
        <v>565</v>
      </c>
    </row>
    <row r="4" spans="1:2" x14ac:dyDescent="0.2">
      <c r="A4" s="4" t="s">
        <v>566</v>
      </c>
      <c r="B4" t="s">
        <v>567</v>
      </c>
    </row>
    <row r="5" spans="1:2" x14ac:dyDescent="0.2">
      <c r="A5" s="4" t="s">
        <v>568</v>
      </c>
      <c r="B5" t="s">
        <v>569</v>
      </c>
    </row>
    <row r="6" spans="1:2" x14ac:dyDescent="0.2">
      <c r="A6" s="4" t="s">
        <v>570</v>
      </c>
      <c r="B6" t="s">
        <v>571</v>
      </c>
    </row>
    <row r="7" spans="1:2" x14ac:dyDescent="0.2">
      <c r="A7" s="4" t="s">
        <v>572</v>
      </c>
      <c r="B7" t="s">
        <v>573</v>
      </c>
    </row>
    <row r="8" spans="1:2" x14ac:dyDescent="0.2">
      <c r="A8" s="4" t="s">
        <v>574</v>
      </c>
      <c r="B8" t="s">
        <v>575</v>
      </c>
    </row>
    <row r="9" spans="1:2" x14ac:dyDescent="0.2">
      <c r="A9" s="4" t="s">
        <v>576</v>
      </c>
      <c r="B9" t="s">
        <v>577</v>
      </c>
    </row>
    <row r="10" spans="1:2" x14ac:dyDescent="0.2">
      <c r="A10" s="4" t="s">
        <v>578</v>
      </c>
      <c r="B10" t="s">
        <v>579</v>
      </c>
    </row>
    <row r="11" spans="1:2" x14ac:dyDescent="0.2">
      <c r="A11" s="4" t="s">
        <v>580</v>
      </c>
      <c r="B11" t="s">
        <v>581</v>
      </c>
    </row>
    <row r="12" spans="1:2" ht="17" customHeight="1" x14ac:dyDescent="0.2">
      <c r="A12" s="3" t="s">
        <v>582</v>
      </c>
      <c r="B12" t="s">
        <v>583</v>
      </c>
    </row>
    <row r="13" spans="1:2" x14ac:dyDescent="0.2">
      <c r="A13" s="5" t="s">
        <v>584</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baseColWidth="10" defaultRowHeight="16" x14ac:dyDescent="0.2"/>
  <cols>
    <col min="1" max="1" width="1.83203125" customWidth="1"/>
    <col min="2" max="2" width="126" customWidth="1"/>
  </cols>
  <sheetData>
    <row r="1" spans="1:3" x14ac:dyDescent="0.2">
      <c r="A1" t="s">
        <v>585</v>
      </c>
    </row>
    <row r="2" spans="1:3" x14ac:dyDescent="0.2">
      <c r="C2" t="s">
        <v>586</v>
      </c>
    </row>
    <row r="3" spans="1:3" x14ac:dyDescent="0.2">
      <c r="A3">
        <v>1</v>
      </c>
      <c r="B3" t="s">
        <v>587</v>
      </c>
      <c r="C3" t="s">
        <v>588</v>
      </c>
    </row>
    <row r="4" spans="1:3" x14ac:dyDescent="0.2">
      <c r="A4">
        <v>2</v>
      </c>
      <c r="B4" t="s">
        <v>589</v>
      </c>
      <c r="C4" t="s">
        <v>590</v>
      </c>
    </row>
    <row r="5" spans="1:3" x14ac:dyDescent="0.2">
      <c r="A5">
        <v>3</v>
      </c>
      <c r="B5" t="s">
        <v>591</v>
      </c>
      <c r="C5" t="s">
        <v>592</v>
      </c>
    </row>
    <row r="6" spans="1:3" x14ac:dyDescent="0.2">
      <c r="A6">
        <v>4</v>
      </c>
      <c r="B6" t="s">
        <v>593</v>
      </c>
      <c r="C6" t="s">
        <v>594</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80"/>
  <sheetViews>
    <sheetView workbookViewId="0"/>
  </sheetViews>
  <sheetFormatPr baseColWidth="10" defaultRowHeight="16" x14ac:dyDescent="0.2"/>
  <sheetData>
    <row r="1" spans="1:1" x14ac:dyDescent="0.2">
      <c r="A1" t="s">
        <v>616</v>
      </c>
    </row>
    <row r="2" spans="1:1" x14ac:dyDescent="0.2">
      <c r="A2" t="s">
        <v>617</v>
      </c>
    </row>
    <row r="3" spans="1:1" x14ac:dyDescent="0.2">
      <c r="A3" t="s">
        <v>618</v>
      </c>
    </row>
    <row r="4" spans="1:1" x14ac:dyDescent="0.2">
      <c r="A4" t="s">
        <v>619</v>
      </c>
    </row>
    <row r="5" spans="1:1" x14ac:dyDescent="0.2">
      <c r="A5" t="s">
        <v>620</v>
      </c>
    </row>
    <row r="6" spans="1:1" x14ac:dyDescent="0.2">
      <c r="A6" t="s">
        <v>621</v>
      </c>
    </row>
    <row r="7" spans="1:1" x14ac:dyDescent="0.2">
      <c r="A7" t="s">
        <v>622</v>
      </c>
    </row>
    <row r="8" spans="1:1" x14ac:dyDescent="0.2">
      <c r="A8" t="s">
        <v>623</v>
      </c>
    </row>
    <row r="9" spans="1:1" x14ac:dyDescent="0.2">
      <c r="A9" t="s">
        <v>624</v>
      </c>
    </row>
    <row r="10" spans="1:1" x14ac:dyDescent="0.2">
      <c r="A10" t="s">
        <v>625</v>
      </c>
    </row>
    <row r="11" spans="1:1" x14ac:dyDescent="0.2">
      <c r="A11" t="s">
        <v>626</v>
      </c>
    </row>
    <row r="12" spans="1:1" x14ac:dyDescent="0.2">
      <c r="A12" t="s">
        <v>627</v>
      </c>
    </row>
    <row r="13" spans="1:1" x14ac:dyDescent="0.2">
      <c r="A13" t="s">
        <v>628</v>
      </c>
    </row>
    <row r="14" spans="1:1" x14ac:dyDescent="0.2">
      <c r="A14" t="s">
        <v>629</v>
      </c>
    </row>
    <row r="15" spans="1:1" x14ac:dyDescent="0.2">
      <c r="A15" t="s">
        <v>630</v>
      </c>
    </row>
    <row r="16" spans="1:1" x14ac:dyDescent="0.2">
      <c r="A16" t="s">
        <v>631</v>
      </c>
    </row>
    <row r="17" spans="1:1" x14ac:dyDescent="0.2">
      <c r="A17" t="s">
        <v>632</v>
      </c>
    </row>
    <row r="18" spans="1:1" x14ac:dyDescent="0.2">
      <c r="A18" t="s">
        <v>633</v>
      </c>
    </row>
    <row r="19" spans="1:1" x14ac:dyDescent="0.2">
      <c r="A19" t="s">
        <v>634</v>
      </c>
    </row>
    <row r="20" spans="1:1" x14ac:dyDescent="0.2">
      <c r="A20" t="s">
        <v>635</v>
      </c>
    </row>
    <row r="21" spans="1:1" x14ac:dyDescent="0.2">
      <c r="A21" t="s">
        <v>636</v>
      </c>
    </row>
    <row r="22" spans="1:1" x14ac:dyDescent="0.2">
      <c r="A22" t="s">
        <v>637</v>
      </c>
    </row>
    <row r="23" spans="1:1" x14ac:dyDescent="0.2">
      <c r="A23" t="s">
        <v>638</v>
      </c>
    </row>
    <row r="24" spans="1:1" x14ac:dyDescent="0.2">
      <c r="A24" t="s">
        <v>639</v>
      </c>
    </row>
    <row r="25" spans="1:1" x14ac:dyDescent="0.2">
      <c r="A25" t="s">
        <v>640</v>
      </c>
    </row>
    <row r="26" spans="1:1" x14ac:dyDescent="0.2">
      <c r="A26" t="s">
        <v>641</v>
      </c>
    </row>
    <row r="27" spans="1:1" x14ac:dyDescent="0.2">
      <c r="A27" t="s">
        <v>642</v>
      </c>
    </row>
    <row r="28" spans="1:1" x14ac:dyDescent="0.2">
      <c r="A28" t="s">
        <v>643</v>
      </c>
    </row>
    <row r="29" spans="1:1" x14ac:dyDescent="0.2">
      <c r="A29" t="s">
        <v>644</v>
      </c>
    </row>
    <row r="30" spans="1:1" x14ac:dyDescent="0.2">
      <c r="A30" t="s">
        <v>645</v>
      </c>
    </row>
    <row r="31" spans="1:1" x14ac:dyDescent="0.2">
      <c r="A31" t="s">
        <v>646</v>
      </c>
    </row>
    <row r="32" spans="1:1" x14ac:dyDescent="0.2">
      <c r="A32" t="s">
        <v>647</v>
      </c>
    </row>
    <row r="33" spans="1:1" x14ac:dyDescent="0.2">
      <c r="A33" t="s">
        <v>648</v>
      </c>
    </row>
    <row r="34" spans="1:1" x14ac:dyDescent="0.2">
      <c r="A34" t="s">
        <v>649</v>
      </c>
    </row>
    <row r="35" spans="1:1" x14ac:dyDescent="0.2">
      <c r="A35" t="s">
        <v>650</v>
      </c>
    </row>
    <row r="36" spans="1:1" x14ac:dyDescent="0.2">
      <c r="A36" t="s">
        <v>651</v>
      </c>
    </row>
    <row r="37" spans="1:1" x14ac:dyDescent="0.2">
      <c r="A37" t="s">
        <v>652</v>
      </c>
    </row>
    <row r="38" spans="1:1" x14ac:dyDescent="0.2">
      <c r="A38" t="s">
        <v>653</v>
      </c>
    </row>
    <row r="39" spans="1:1" x14ac:dyDescent="0.2">
      <c r="A39" t="s">
        <v>654</v>
      </c>
    </row>
    <row r="40" spans="1:1" x14ac:dyDescent="0.2">
      <c r="A40" t="s">
        <v>655</v>
      </c>
    </row>
    <row r="41" spans="1:1" x14ac:dyDescent="0.2">
      <c r="A41" t="s">
        <v>656</v>
      </c>
    </row>
    <row r="42" spans="1:1" x14ac:dyDescent="0.2">
      <c r="A42" t="s">
        <v>657</v>
      </c>
    </row>
    <row r="43" spans="1:1" x14ac:dyDescent="0.2">
      <c r="A43" t="s">
        <v>658</v>
      </c>
    </row>
    <row r="44" spans="1:1" x14ac:dyDescent="0.2">
      <c r="A44" t="s">
        <v>659</v>
      </c>
    </row>
    <row r="45" spans="1:1" x14ac:dyDescent="0.2">
      <c r="A45" t="s">
        <v>660</v>
      </c>
    </row>
    <row r="46" spans="1:1" x14ac:dyDescent="0.2">
      <c r="A46" t="s">
        <v>661</v>
      </c>
    </row>
    <row r="47" spans="1:1" x14ac:dyDescent="0.2">
      <c r="A47" t="s">
        <v>662</v>
      </c>
    </row>
    <row r="48" spans="1:1" x14ac:dyDescent="0.2">
      <c r="A48" t="s">
        <v>663</v>
      </c>
    </row>
    <row r="49" spans="1:1" x14ac:dyDescent="0.2">
      <c r="A49" t="s">
        <v>664</v>
      </c>
    </row>
    <row r="50" spans="1:1" x14ac:dyDescent="0.2">
      <c r="A50" t="s">
        <v>665</v>
      </c>
    </row>
    <row r="51" spans="1:1" x14ac:dyDescent="0.2">
      <c r="A51" t="s">
        <v>666</v>
      </c>
    </row>
    <row r="52" spans="1:1" x14ac:dyDescent="0.2">
      <c r="A52" t="s">
        <v>667</v>
      </c>
    </row>
    <row r="53" spans="1:1" x14ac:dyDescent="0.2">
      <c r="A53" t="s">
        <v>668</v>
      </c>
    </row>
    <row r="54" spans="1:1" x14ac:dyDescent="0.2">
      <c r="A54" t="s">
        <v>669</v>
      </c>
    </row>
    <row r="55" spans="1:1" x14ac:dyDescent="0.2">
      <c r="A55" t="s">
        <v>670</v>
      </c>
    </row>
    <row r="56" spans="1:1" x14ac:dyDescent="0.2">
      <c r="A56" t="s">
        <v>671</v>
      </c>
    </row>
    <row r="57" spans="1:1" x14ac:dyDescent="0.2">
      <c r="A57" t="s">
        <v>672</v>
      </c>
    </row>
    <row r="58" spans="1:1" x14ac:dyDescent="0.2">
      <c r="A58" t="s">
        <v>673</v>
      </c>
    </row>
    <row r="59" spans="1:1" x14ac:dyDescent="0.2">
      <c r="A59" t="s">
        <v>674</v>
      </c>
    </row>
    <row r="60" spans="1:1" x14ac:dyDescent="0.2">
      <c r="A60" t="s">
        <v>675</v>
      </c>
    </row>
    <row r="61" spans="1:1" x14ac:dyDescent="0.2">
      <c r="A61" t="s">
        <v>676</v>
      </c>
    </row>
    <row r="62" spans="1:1" x14ac:dyDescent="0.2">
      <c r="A62" t="s">
        <v>677</v>
      </c>
    </row>
    <row r="63" spans="1:1" x14ac:dyDescent="0.2">
      <c r="A63" t="s">
        <v>678</v>
      </c>
    </row>
    <row r="64" spans="1:1" x14ac:dyDescent="0.2">
      <c r="A64" t="s">
        <v>679</v>
      </c>
    </row>
    <row r="65" spans="1:1" x14ac:dyDescent="0.2">
      <c r="A65" t="s">
        <v>680</v>
      </c>
    </row>
    <row r="66" spans="1:1" x14ac:dyDescent="0.2">
      <c r="A66" t="s">
        <v>681</v>
      </c>
    </row>
    <row r="67" spans="1:1" x14ac:dyDescent="0.2">
      <c r="A67" t="s">
        <v>682</v>
      </c>
    </row>
    <row r="68" spans="1:1" x14ac:dyDescent="0.2">
      <c r="A68" t="s">
        <v>683</v>
      </c>
    </row>
    <row r="69" spans="1:1" x14ac:dyDescent="0.2">
      <c r="A69" t="s">
        <v>684</v>
      </c>
    </row>
    <row r="70" spans="1:1" x14ac:dyDescent="0.2">
      <c r="A70" t="s">
        <v>685</v>
      </c>
    </row>
    <row r="71" spans="1:1" x14ac:dyDescent="0.2">
      <c r="A71" t="s">
        <v>686</v>
      </c>
    </row>
    <row r="72" spans="1:1" x14ac:dyDescent="0.2">
      <c r="A72" t="s">
        <v>687</v>
      </c>
    </row>
    <row r="73" spans="1:1" x14ac:dyDescent="0.2">
      <c r="A73" t="s">
        <v>688</v>
      </c>
    </row>
    <row r="74" spans="1:1" x14ac:dyDescent="0.2">
      <c r="A74" t="s">
        <v>689</v>
      </c>
    </row>
    <row r="75" spans="1:1" x14ac:dyDescent="0.2">
      <c r="A75" t="s">
        <v>690</v>
      </c>
    </row>
    <row r="76" spans="1:1" x14ac:dyDescent="0.2">
      <c r="A76" t="s">
        <v>691</v>
      </c>
    </row>
    <row r="77" spans="1:1" x14ac:dyDescent="0.2">
      <c r="A77" t="s">
        <v>692</v>
      </c>
    </row>
    <row r="78" spans="1:1" x14ac:dyDescent="0.2">
      <c r="A78" t="s">
        <v>693</v>
      </c>
    </row>
    <row r="79" spans="1:1" x14ac:dyDescent="0.2">
      <c r="A79" t="s">
        <v>694</v>
      </c>
    </row>
    <row r="80" spans="1:1" x14ac:dyDescent="0.2">
      <c r="A80" t="s">
        <v>695</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50A826A-3550-4BEA-9E5E-BB8DCF53C3EB}">
  <ds:schemaRefs>
    <ds:schemaRef ds:uri="http://schemas.microsoft.com/office/2006/documentManagement/types"/>
    <ds:schemaRef ds:uri="http://purl.org/dc/dcmitype/"/>
    <ds:schemaRef ds:uri="3bad6c6a-329d-45e9-b8b0-1ebecc8a8764"/>
    <ds:schemaRef ds:uri="http://purl.org/dc/terms/"/>
    <ds:schemaRef ds:uri="http://purl.org/dc/elements/1.1/"/>
    <ds:schemaRef ds:uri="http://schemas.microsoft.com/office/2006/metadata/properties"/>
    <ds:schemaRef ds:uri="http://schemas.microsoft.com/office/infopath/2007/PartnerControls"/>
    <ds:schemaRef ds:uri="http://schemas.openxmlformats.org/package/2006/metadata/core-properties"/>
    <ds:schemaRef ds:uri="8e1efd23-f4ba-42d2-85fd-6a510437bae6"/>
    <ds:schemaRef ds:uri="http://www.w3.org/XML/1998/namespace"/>
  </ds:schemaRefs>
</ds:datastoreItem>
</file>

<file path=customXml/itemProps2.xml><?xml version="1.0" encoding="utf-8"?>
<ds:datastoreItem xmlns:ds="http://schemas.openxmlformats.org/officeDocument/2006/customXml" ds:itemID="{35EA5F01-1B92-4361-97B8-CBB1BA20068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5738017-6617-4F65-AFD2-1C6699E1320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Pipeline</vt:lpstr>
      <vt:lpstr>Conflicts</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Alexandra de Sousa</dc:creator>
  <cp:lastModifiedBy>Alexandra de Sousa</cp:lastModifiedBy>
  <dcterms:created xsi:type="dcterms:W3CDTF">2023-10-04T18:06:19Z</dcterms:created>
  <dcterms:modified xsi:type="dcterms:W3CDTF">2026-06-10T05:39:10Z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