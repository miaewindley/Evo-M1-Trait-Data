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workbookPr codeName="ThisWorkbook" defaultThemeVersion="166925"/>
  <bookViews>
    <workbookView xWindow="34560" yWindow="-5860" windowWidth="47040" windowHeight="26640" firstSheet="0" activeTab="0"/>
  </bookViews>
  <sheets>
    <sheet name="Sheet1" sheetId="1" state="visible" r:id="rId1"/>
    <sheet name="Pipeline" sheetId="2" state="visible" r:id="rId2"/>
    <sheet name="Conflicts" sheetId="3" state="visible" r:id="rId3"/>
    <sheet name="FileList" sheetId="4" state="visible" r:id="rId4"/>
  </sheets>
  <calcPr calcId="191029"/>
</workbook>
</file>

<file path=xl/sharedStrings.xml><?xml version="1.0" encoding="utf-8"?>
<sst xmlns="http://schemas.openxmlformats.org/spreadsheetml/2006/main" count="778" uniqueCount="778">
  <si>
    <t>Citation (APA 7th-Annotated)</t>
  </si>
  <si>
    <t>sequence</t>
  </si>
  <si>
    <t xml:space="preserve">DOI if different from article or doi Alt </t>
  </si>
  <si>
    <t>Item number</t>
  </si>
  <si>
    <t>end</t>
  </si>
  <si>
    <t>Publication name</t>
  </si>
  <si>
    <t>1st Author</t>
  </si>
  <si>
    <t>other author(s)</t>
  </si>
  <si>
    <t>year</t>
  </si>
  <si>
    <t>DOI (or Alt)</t>
  </si>
  <si>
    <t>Item name</t>
  </si>
  <si>
    <t>Item encoded</t>
  </si>
  <si>
    <t>Item in directory FileList</t>
  </si>
  <si>
    <t>Item full original title</t>
  </si>
  <si>
    <t>Note: related Item(s) included in folder</t>
  </si>
  <si>
    <t>Progress stage</t>
  </si>
  <si>
    <t>Online Database</t>
  </si>
  <si>
    <t>Snapshot</t>
  </si>
  <si>
    <t>Adjustment made</t>
  </si>
  <si>
    <t>Data readable file, can use this</t>
  </si>
  <si>
    <t>Source Type</t>
  </si>
  <si>
    <t>Source format</t>
  </si>
  <si>
    <t>Source URL direct access</t>
  </si>
  <si>
    <t>Source URL link</t>
  </si>
  <si>
    <t>Main Trait(s)</t>
  </si>
  <si>
    <t>Source type</t>
  </si>
  <si>
    <t>Team</t>
  </si>
  <si>
    <t>Method</t>
  </si>
  <si>
    <t>Possible Traits</t>
  </si>
  <si>
    <t>Note</t>
  </si>
  <si>
    <t>Subcategory</t>
  </si>
  <si>
    <t>Flags pre-addressed</t>
  </si>
  <si>
    <t>Flags possible</t>
  </si>
  <si>
    <t>Flags active (skips)</t>
  </si>
  <si>
    <t>Taxon group</t>
  </si>
  <si>
    <t>Data role (primary/secondary/both)</t>
  </si>
  <si>
    <t>Measure type</t>
  </si>
  <si>
    <t>Andelin, A. K., Olavarria, J. F., Fine, I., Taber, E. N., Schwartz, D., Kroenke, C. D., &amp; Stevens, A. A. (2019). The Effect of Onset Age of Visual Deprivation on Visual Cortex Surface Area Across-Species. Cereb Cortex, 29(10), 4321-4333. https://doi.org/10.1093/cercor/bhy315</t>
  </si>
  <si>
    <t>Table 4</t>
  </si>
  <si>
    <t>table</t>
  </si>
  <si>
    <t>review</t>
  </si>
  <si>
    <t>Avelino-de-Souza, K., Patzke, N., Karlsson, K. A. E., Manger, P. R., &amp; Herculano-Houzel, S. (2025). Cellular Composition of the Brain of a Northern Minke Whale. J Comp Neurol, 533(9), e70089. https://doi.org/10.1002/cne.70089</t>
  </si>
  <si>
    <t>TABLE 1</t>
  </si>
  <si>
    <t>Table 1. Cellular composition of the brain of a Northern minke whale (Balaenoptera acutorostrata)</t>
  </si>
  <si>
    <t>FINISHED</t>
  </si>
  <si>
    <t>added</t>
  </si>
  <si>
    <t>AvelinodeSouza_etal_2025_TABLE1_snapshot.csv</t>
  </si>
  <si>
    <t>Y</t>
  </si>
  <si>
    <t>AvelinodeSouza_etal_2025_TABLE1.csv</t>
  </si>
  <si>
    <t>pdf</t>
  </si>
  <si>
    <t>https://onlinelibrary.wiley.com/doi/10.1002/cne.70089</t>
  </si>
  <si>
    <t>https://doi.org/10.1002/cne.70089</t>
  </si>
  <si>
    <t>neuron number</t>
  </si>
  <si>
    <t>primary</t>
  </si>
  <si>
    <t>HH</t>
  </si>
  <si>
    <t>placental mammals</t>
  </si>
  <si>
    <t>Cetaceans &amp; other placental mammals</t>
  </si>
  <si>
    <t>cell count (isotropic fractionator)</t>
  </si>
  <si>
    <t>Barbeito-Andres, J., Castro-Fonseca, E., Qiu, L. R., Bernal, V., Lent, R., Henkelman, M., Lukowiak, K., Gleiser, P. M., Hallgrimsson, B., &amp; Gonzalez, P. N. (2019). Region-specific changes in Mus musculus brain size and cell composition under chronic nutrient restriction. J Exp Biol, 222(Pt 17). https://doi.org/10.1242/jeb.204651</t>
  </si>
  <si>
    <t>data_figshare.xlsx</t>
  </si>
  <si>
    <t>Barger, N., Stefanacci, L., &amp; Semendeferi, K. (2007). A comparative volumetric analysis of the amygdaloid complex and basolateral division in the human and ape brain. Am J Phys Anthropol, 134(3), 392-403. https://doi.org/10.1002/ajpa.20684</t>
  </si>
  <si>
    <t>amygdala subdivision volumes</t>
  </si>
  <si>
    <t>Apes &amp; humans</t>
  </si>
  <si>
    <t>volume</t>
  </si>
  <si>
    <t>Barger, N., Stefanacci, L., Schumann, C. M., Sherwood, C. C., Annese, J., Allman, J. M., Buckwalter, J. A., Hof, P. R., &amp; Semendeferi, K. (2012). Neuronal populations in the basolateral nuclei of the amygdala are differentially increased in humans compared with apes: A stereological study. J Comp Neurol, 520(13), 3035-3054. https://doi.org/10.1002/cne.23118</t>
  </si>
  <si>
    <t>amygdala neuron populations</t>
  </si>
  <si>
    <t>cell count (amygdala)</t>
  </si>
  <si>
    <t>Baron, G., Frahm, H. D., &amp; Stephan, H. (1988). Comparison of brain structure volumes in Insectivora and Primates. VIII. Vestibular complex. J Hirnforsch, 29(5), 509-523. http://www.ncbi.nlm.nih.gov/pubmed/3216099</t>
  </si>
  <si>
    <t>PMID:3216099</t>
  </si>
  <si>
    <t>Table1</t>
  </si>
  <si>
    <t>Table 1. Volumes and indices of the vestibular complex (VC) and its main components (VM, V1, VL, VS) in Insectivora and Scadentia</t>
  </si>
  <si>
    <t>vestibular nuclear complex volume</t>
  </si>
  <si>
    <t>Stephan</t>
  </si>
  <si>
    <t>Insectivora, Scandentia &amp; Primates</t>
  </si>
  <si>
    <t>Baron, G., Frahm, H. D., Bhatnagar, K. P., &amp; Stephan, H. (1983). Comparison of brain structure volumes in Insectivora and Primates. III. Main olfactory bulb (MOB). J Hirnforsch, 24(5), 551-568. https://www.ncbi.nlm.nih.gov/pubmed/6663055</t>
  </si>
  <si>
    <t>PMID:6663055</t>
  </si>
  <si>
    <t>NO - not digitized</t>
  </si>
  <si>
    <t>main olfactory bulb (MOB) volume</t>
  </si>
  <si>
    <t>Baron, G., Stephan, H., &amp; Frahm, H. D. (1987). Comparison of brain structure volumes in Insectivora and Primates. VI. Paleocortical components. J Hirnforsch, 28(4), 463-477. http://www.ncbi.nlm.nih.gov/pubmed/3116076</t>
  </si>
  <si>
    <t>PMID:3116076</t>
  </si>
  <si>
    <t>brain-structure volume (Comparison series, Part)</t>
  </si>
  <si>
    <t>Baron, G., Stephan, H., &amp; Frahm, H. D. (1990). Comparison of brain structure volumes in Insectivora and primates. IX. Trigeminal complex. J Hirnforsch, 31(2), 193-200. https://www.ncbi.nlm.nih.gov/pubmed/2358663</t>
  </si>
  <si>
    <t>PMID:2358663</t>
  </si>
  <si>
    <t>trigeminal complex volume</t>
  </si>
  <si>
    <t>volumetry</t>
  </si>
  <si>
    <t>Bauernfeind, A. L., de Sousa, A. A., Avasthi, T., Dobson, S. D., Raghanti, M. A., Lewandowski, A. H., Zilles, K., Semendeferi, K., Allman, J. M., Craig, A. D., Hof, P. R., &amp; Sherwood, C. C. (2013). A volumetric comparison of the insular cortex and its subregions in primates. J Hum Evol, 64(4), 263-279. https://doi.org/10.1016/j.jhevol.2012.12.003</t>
  </si>
  <si>
    <t>Primates</t>
  </si>
  <si>
    <t>Volumetric comparison of the insular cortex (Table 1)</t>
  </si>
  <si>
    <t>insular cortex volumes</t>
  </si>
  <si>
    <t>Brodmann, K. (1913). Neue Forschungsergebnisse der Großhirnrindenanatomie mit besonderer Berücksichtigung anthropologischer Fragen. Verhandlungen der Gesellschaft Deutscher Naturforscher und Ärzte, 85(1), 200-240</t>
  </si>
  <si>
    <t>10.0000/placeholder</t>
  </si>
  <si>
    <t>Tabelle 1</t>
  </si>
  <si>
    <t>cortical surface area</t>
  </si>
  <si>
    <t>Mammals (various)</t>
  </si>
  <si>
    <t>Burger, J. R., George, M. A., Leadbetter, C., &amp; Shaikh, F. (2019). The allometry of brain size in mammals. J Mammal, 100(2), 276-283. https://doi.org/10.1093/jmammal/gyz043</t>
  </si>
  <si>
    <t>Supplementary Data SD1</t>
  </si>
  <si>
    <t>Supplementary Data SD2</t>
  </si>
  <si>
    <t>already there</t>
  </si>
  <si>
    <t>gyz043_suppl_Supplement_Data.csv</t>
  </si>
  <si>
    <t>N</t>
  </si>
  <si>
    <t>zipped csv</t>
  </si>
  <si>
    <t>NO - the article link did not work in R, and goes to a zip</t>
  </si>
  <si>
    <t>Brain and body size</t>
  </si>
  <si>
    <t>secondary</t>
  </si>
  <si>
    <t>derived relative brain size data are problematic</t>
  </si>
  <si>
    <t>mammals</t>
  </si>
  <si>
    <t>Mammals</t>
  </si>
  <si>
    <t>brain &amp; body mass</t>
  </si>
  <si>
    <t>Burish, M. J., Peebles, J. K., Baldwin, M. K., Tavares, L., Kaas, J. H., &amp; Herculano-Houzel, S. (2010). Cellular scaling rules for primate spinal cords. Brain Behav Evol, 76(1), 45-59. https://doi.org/10.1159/000319019</t>
  </si>
  <si>
    <t>Supplementary Table 1</t>
  </si>
  <si>
    <t>Supplementary Table 1: Dataset of individual spinal cord measurements</t>
  </si>
  <si>
    <t>Species - binomials need to be added</t>
  </si>
  <si>
    <t>Burish_etal_2010_SupplementaryTable1_snapshot.csv</t>
  </si>
  <si>
    <t>primary (individual)</t>
  </si>
  <si>
    <t>number spinal cord neurons</t>
  </si>
  <si>
    <t>primates and tree shrew</t>
  </si>
  <si>
    <t>Primates (+ other mammals)</t>
  </si>
  <si>
    <t>Table 1</t>
  </si>
  <si>
    <t>Table 1. Cellular composition of the spinal cord</t>
  </si>
  <si>
    <t>Burish_etal_2010_Table1_snapshot.csv</t>
  </si>
  <si>
    <t>Burish_etal_2010_Table1.csv</t>
  </si>
  <si>
    <t>https://doi.org/10.1159/000319019</t>
  </si>
  <si>
    <t>primary (averages)</t>
  </si>
  <si>
    <t>species-name-error: species-name typo corrected from paper text (in .R script).</t>
  </si>
  <si>
    <t>Bush, E. C., &amp; Allman, J. M. (2003). The scaling of white matter to gray matter in cerebellum and neocortex. Brain Behav Evol, 61(1), 1-5. https://doi.org/10.1159/000068880</t>
  </si>
  <si>
    <t>Table 2</t>
  </si>
  <si>
    <t>Table 2. Major axis regression slopes and 95% confidence intervals</t>
  </si>
  <si>
    <t>not extracted (regression statistics, not species trait data)</t>
  </si>
  <si>
    <t>Table 1. White matter and gray matter volumes (cm3) for neocortex and cerebellum for 45 mammals</t>
  </si>
  <si>
    <t>Data readable</t>
  </si>
  <si>
    <t>Bush_Allman_2003_Table1_snapshot.csv</t>
  </si>
  <si>
    <t>Bush_Allman_2003_Table1.csv</t>
  </si>
  <si>
    <t>neocortex &amp; cerebellum grey/white volumes</t>
  </si>
  <si>
    <t>Allman</t>
  </si>
  <si>
    <t>mammals (incl. primates)</t>
  </si>
  <si>
    <t>Bush, E. C., &amp; Allman, J. M. (2004). Three-dimensional structure and evolution of primate primary visual cortex. Anat Rec (Hoboken), 281(1), 1088-1094. https://doi.org/10.1002/ar.a.20114</t>
  </si>
  <si>
    <t>Table 1. Measurements in V1 and the rest of the brain for a sample of primates</t>
  </si>
  <si>
    <t>Bush_Allman_2004_Table1_snapshot.csv</t>
  </si>
  <si>
    <t>Bush_Allman_2004_Table1.csv</t>
  </si>
  <si>
    <t>V1 grey, LGN, V1 surface, neocortex GM/WM</t>
  </si>
  <si>
    <t>volumetry/stereology</t>
  </si>
  <si>
    <t>primates</t>
  </si>
  <si>
    <t>Caspar, K. R., Pallasdies, F., Mader, L., Sartorelli, H., &amp; Begall, S. (2022). The evolution and biological correlates of hand preferences in anthropoid primates. Elife, 11, e77875. https://doi.org/10.7554/eLife.77875</t>
  </si>
  <si>
    <t>Supplementary file 3</t>
  </si>
  <si>
    <t>part 2: ecological table</t>
  </si>
  <si>
    <t>elife-77875-supp3-v1.xlsx</t>
  </si>
  <si>
    <t>xlsx</t>
  </si>
  <si>
    <t>YES - download link</t>
  </si>
  <si>
    <t>https://cdn.elifesciences.org/articles/77875/elife-77875-supp3-v1.xlsx</t>
  </si>
  <si>
    <t>Habitual Tool Use, Ecology, Female brain size</t>
  </si>
  <si>
    <t>behavioural (handedness, tool use, ecology)</t>
  </si>
  <si>
    <t>part 1: handedness summary table</t>
  </si>
  <si>
    <t>Caspar_etal_2022_Table1_snapshot.xlsx</t>
  </si>
  <si>
    <t>Caspar_etal_2022_Table1.csv</t>
  </si>
  <si>
    <t>YES - but formatting issues</t>
  </si>
  <si>
    <t>https://elifesciences.org/download/aHR0cHM6Ly9jZG4uZWxpZmVzY2llbmNlcy5vcmcvYXJ0aWNsZXMvNzc4NzUvZWxpZmUtNzc4NzUtdjEucGRmP2Nhbm9uaWNhbFVyaT1odHRwczovL2VsaWZlc2NpZW5jZXMub3JnL2FydGljbGVzLzc3ODc1/elife-77875-v1.pdf?_hash=NStjcL9fTlmy3AQDwSiM0YgMVB3UYjO8nDg0UbwN5gM%3D</t>
  </si>
  <si>
    <t>Handedness derived data</t>
  </si>
  <si>
    <t>derived from primary</t>
  </si>
  <si>
    <t>perhaps useful to get raw data as well?</t>
  </si>
  <si>
    <t>behavioural (handedness)</t>
  </si>
  <si>
    <t>Changizi, M. A. (2001). Principles underlying mammalian neocortical scaling. Biol Cybern, 84(3), 207-215. https://doi.org/10.1007/s004220000205</t>
  </si>
  <si>
    <t>Figure 3</t>
  </si>
  <si>
    <t>Species -- wait for Project Kaskan</t>
  </si>
  <si>
    <t>NA</t>
  </si>
  <si>
    <t>Changizi__2001_Figure3_snapshot.csv</t>
  </si>
  <si>
    <t>Changizi__2001_Figure3.csv</t>
  </si>
  <si>
    <t>figure and caption</t>
  </si>
  <si>
    <t>NO - paywall</t>
  </si>
  <si>
    <t>number of cortical areas</t>
  </si>
  <si>
    <t>primary (derived from published materials)</t>
  </si>
  <si>
    <t>summary to check more precise areas from ProjectKaskan</t>
  </si>
  <si>
    <t>cortical area count / scaling</t>
  </si>
  <si>
    <t>Chen, Z., &amp; Wiens, J. J. (2020). The origins of acoustic communication in vertebrates. Nature Communications, 11(1), 369. https://doi.org/10.1038/s41467-020-14356-3</t>
  </si>
  <si>
    <t>Supplementary Data 3</t>
  </si>
  <si>
    <t>41467_2020_14356_MOESM6_ESM.xlsx</t>
  </si>
  <si>
    <t>https://static-content.springer.com/esm/art%3A10.1038%2Fs41467-020-14356-3/MediaObjects/41467_2020_14356_MOESM6_ESM.xlsx</t>
  </si>
  <si>
    <t>acoustic communication</t>
  </si>
  <si>
    <t>dial activity (Supp 4)</t>
  </si>
  <si>
    <t>maybe delete: not relevent in current dataset, unless for imputations?</t>
  </si>
  <si>
    <t>vertebrates</t>
  </si>
  <si>
    <t>Tetrapod vertebrates</t>
  </si>
  <si>
    <t>behavioural (acoustic communication)</t>
  </si>
  <si>
    <t>Collins, C. E., Airey, D. C., Young, N. A., Leitch, D. B., &amp; Kaas, J. H. (2010). Neuron densities vary across and within cortical areas in primates. Proc Natl Acad Sci U S A, 107(36), 15927-15932. https://doi.org/10.1073/pnas.1010356107</t>
  </si>
  <si>
    <t>Dataset S1</t>
  </si>
  <si>
    <t>cortical area surface area, neuron density</t>
  </si>
  <si>
    <t>Collins, C. E., Turner, E. C., Sawyer, E. K., Reed, J. L., Young, N. A., Flaherty, D. K., &amp; Kaas, J. H. (2016). Cortical cell and neuron density estimates in one chimpanzee hemisphere. Proc Natl Acad Sci U S A, 113(3), 740-745. https://doi.org/10.1073/pnas.1524208113</t>
  </si>
  <si>
    <t>Cortical cell and neuron density in one chimpanzee hemisphere (Table 1)</t>
  </si>
  <si>
    <t>cortical neuron/cell density</t>
  </si>
  <si>
    <t>Kaas</t>
  </si>
  <si>
    <t>isotropic fractionator</t>
  </si>
  <si>
    <t>neuron/cell density &amp; number</t>
  </si>
  <si>
    <t>de Sousa, A. A., Sherwood, C. C., Hof, P. R., &amp; Zilles, K. (2013). Lamination of the lateral geniculate nucleus of catarrhine primates. Brain Behav Evol, 81(2), 93-108. https://doi.org/10.1159/000346495</t>
  </si>
  <si>
    <t>Table 1. LGN parvocellular lamination, species mean brain weights and LGN volumes</t>
  </si>
  <si>
    <t>deSousa_etal_2013_Table1_snapshot.csv</t>
  </si>
  <si>
    <t>deSousa_etal_2013_Table1.csv</t>
  </si>
  <si>
    <t>LGN volume + parvocellular lamination + brain weight</t>
  </si>
  <si>
    <t>catarrhine primates</t>
  </si>
  <si>
    <t>Primates (+ Insectivora)</t>
  </si>
  <si>
    <t>de Sousa, A. A., Sherwood, C. C., Mohlberg, H., Amunts, K., Schleicher, A., MacLeod, C. E., Hof, P. R., Frahm, H., &amp; Zilles, K. (2010). Hominoid visual brain structure volumes and the position of the lunate sulcus. J Hum Evol, 58(4), 281-292. https://doi.org/10.1016/j.jhevol.2009.11.011</t>
  </si>
  <si>
    <t>Sup Table 2</t>
  </si>
  <si>
    <t>Supplementary Table 2. Primate species mean volumes</t>
  </si>
  <si>
    <t>VALUE ERROR — neocortex (kept in snapshot, corrected in data)</t>
  </si>
  <si>
    <t>deSousa_etal_2010_SupTable2_snapshot.xlsx</t>
  </si>
  <si>
    <t>deSousa_etal_2010_SupTable2.csv</t>
  </si>
  <si>
    <t>doc (online supplement, mmc2.doc)</t>
  </si>
  <si>
    <t>https://doi.org/10.1016/j.jhevol.2009.11.011</t>
  </si>
  <si>
    <t>brain, neocortex, V1 (area striata), LGN mean volumes</t>
  </si>
  <si>
    <t>Online supplementary Table 2 (file 1-s2.0-S0047248410000023-mmc2.doc). Snapshot reproduces the published table verbatim incl. the error; cleaned CSV corrects it. See deSousa_etal_2010.ReadMe.md.</t>
  </si>
  <si>
    <t>value error (transcription) + species-name errors</t>
  </si>
  <si>
    <t>value-error: Neocortex (Neo. vol.) for 17 strepsirrhine/tarsier spp. mis-copied from Stephan 1981/1988 in published Supp. Table 2 (13/17 exceed brain vol., impossible) — kept in snapshot, corrected to Stephan values in dataset.  ||  species-name-error: 7 binomials misspelt in published table — kept in snapshot, corrected in dataset (see correction column).</t>
  </si>
  <si>
    <t>units labelled 'g' in source but values are cm3</t>
  </si>
  <si>
    <t>Hominoid visual brain structure volumes (Table 1)</t>
  </si>
  <si>
    <t>visual brain structure volumes</t>
  </si>
  <si>
    <t>DeCasien, A. R., &amp; Higham, J. P. (2019). Primate mosaic brain evolution reflects selection on sensory and cognitive specialization. Nat Ecol Evol, 3(10), 1483-1493. https://doi.org/10.1038/s41559-019-0969-0</t>
  </si>
  <si>
    <t>Supplementary Data 1-Brain Region</t>
  </si>
  <si>
    <t>Supplementary Data 1 Brain Region Data (mm3)</t>
  </si>
  <si>
    <t>table Sheet 1</t>
  </si>
  <si>
    <t>https://www.nature.com/articles/s41559-019-0969-0#Sec13</t>
  </si>
  <si>
    <t>Brain Regions Volumes</t>
  </si>
  <si>
    <t>mostly Stephan and other Ddorf studies</t>
  </si>
  <si>
    <t>Supplementary Data 1-Activity Period</t>
  </si>
  <si>
    <t>Activity Period</t>
  </si>
  <si>
    <t>ecology (activity period)</t>
  </si>
  <si>
    <t>Supplementary Data 1-Diet</t>
  </si>
  <si>
    <t>Diet</t>
  </si>
  <si>
    <t>ecology (diet)</t>
  </si>
  <si>
    <t>Supplementary Data 1-Social System</t>
  </si>
  <si>
    <t>Social System</t>
  </si>
  <si>
    <t>ecology (social system)</t>
  </si>
  <si>
    <t>Dos Santos, S. E., Medeiros, M., Porfirio, J., Tavares, W., Pessoa, L., Grinberg, L., Leite, R. E. P., Ferretti-Rebustini, R. E. L., Suemoto, C. K., Filho, W. J., Noctor, S. C., Sherwood, C. C., Kaas, J. H., Manger, P. R., &amp; Herculano-Houzel, S. (2020). Similar Microglial Cell Densities across Brain Structures and Mammalian Species: Implications for Brain Tissue Function. J Neurosci, 40(24), 4622-4643. https://doi.org/10.1523/JNEUROSCI.2339-19.2020</t>
  </si>
  <si>
    <t>VALUE ERROR — cell-count typos (superseded by unpublished)</t>
  </si>
  <si>
    <t>DosSantos_etal_2020_Table1_snapshot.csv</t>
  </si>
  <si>
    <t>DosSantos_etal_2020_Table1.csv</t>
  </si>
  <si>
    <t>pdf online</t>
  </si>
  <si>
    <t>Cell numbers, region size</t>
  </si>
  <si>
    <t>primary; secondary (compiled team data)</t>
  </si>
  <si>
    <t>microglia</t>
  </si>
  <si>
    <t>value-error: published Table 1 (main PDF) has transcription typos in several cell counts (some impossible — neurons or microglia &gt; total cells; e.g. Tragelaphus strepsiceros whole-brain cells ~1000x too small). Superseded by the authors' unpublished data. Verify: DosSantos_etal_2020_Table1_check.R + DosSantos_etal_2020_comparison_summary.md.</t>
  </si>
  <si>
    <t>EXCLUDED from merged cellcounts (cell-count typos); DosSantos_etal_2020_unpublished used instead (commented out in cellcounts_compiled.R).</t>
  </si>
  <si>
    <t>cell count (microglia)</t>
  </si>
  <si>
    <t>unpublished</t>
  </si>
  <si>
    <t>corrected source used in merge (instead of published Table 1)</t>
  </si>
  <si>
    <t>https://doi.org/10.1523/JNEUROSCI.2339-19.2020</t>
  </si>
  <si>
    <t>value-correction-source: authors' unpublished spreadsheet used in the merged cellcounts INSTEAD of the published Table 1 (which has cell-count typos); internally consistent and matches Herculano-Houzel et al. 2015. Provides microglia/cell (I/C) ratios; received 22 Mar 2024 via O. S. Todorov from the authors' team.</t>
  </si>
  <si>
    <t>Dos Santos, S. E., Porfirio, J., da Cunha, F. B., Manger, P. R., Tavares, W., Pessoa, L., Raghanti, M. A., Sherwood, C. C., &amp; Herculano-Houzel, S. (2017). Cellular Scaling Rules for the Brains of Marsupials: Not as "Primitive" as Expected. Brain Behav Evol. https://doi.org/10.1159/000452856</t>
  </si>
  <si>
    <t>Table S1</t>
  </si>
  <si>
    <t>ERRATUM !</t>
  </si>
  <si>
    <t>DosSantos_etal_2017_TableS1_snapshot.csv</t>
  </si>
  <si>
    <t>DosSantos_etal_2017_TableS1.csv</t>
  </si>
  <si>
    <t>doc, erratum (on pdf)</t>
  </si>
  <si>
    <t>table, erratum</t>
  </si>
  <si>
    <t>https://ndownloader.figstatic.com/files/7428211</t>
  </si>
  <si>
    <t>marsupials</t>
  </si>
  <si>
    <t>erratum</t>
  </si>
  <si>
    <t>Marsupials</t>
  </si>
  <si>
    <t>Eagleman, D. M., &amp; Vaughn, D. A. (2021). The Defensive Activation Theory: REM Sleep as a Mechanism to Prevent Takeover of the Visual Cortex [Hypothesis and Theory]. Front Neurosci, 15(598), 632853. https://doi.org/10.3389/fnins.2021.632853</t>
  </si>
  <si>
    <t>TABLE 1 | Three behavioral correlates of plasticity and the proportion of REM (versus non-REM) sleep in 25 primate species.</t>
  </si>
  <si>
    <t>proportion REM and developmental milestones</t>
  </si>
  <si>
    <t>behaviour/physiology (REM sleep, development)</t>
  </si>
  <si>
    <t>Falcone, C., Wolf-Ochoa, M., Amina, S., Hong, T., Vakilzadeh, G., Hopkins, W. D., Hof, P. R., Sherwood, C. C., Manger, P. R., Noctor, S. C., &amp; Martinez-Cerdeno, V. (2019). Cortical interlaminar astrocytes across the therian mammal radiation. J Comp Neurol, 527(10), 1654-1674. https://doi.org/10.1002/cne.24605</t>
  </si>
  <si>
    <t>TABLE 1 Pial and subpial ILA presence in mammalian species analyzed. Highlighted in red are the species where proper subpial ILA are present</t>
  </si>
  <si>
    <t>interlaminar astrocyte morphology</t>
  </si>
  <si>
    <t>Primates &amp; other mammals</t>
  </si>
  <si>
    <t>cell morphology (interlaminar astrocytes)</t>
  </si>
  <si>
    <t>TABLE 2</t>
  </si>
  <si>
    <t>TABLE 2 ILA linear density, number of primary processes, number of total processes, total length, and complexity, of mammalian species analyzed</t>
  </si>
  <si>
    <t>Finlay, B. L., Cheung, D. T.-M., &amp; Darlington, R. B. (2006). Developmental constraints on or developmental structure in brain evolution? In Y. Munakata &amp; M. H. Johnson (Eds.), Processes of Change in Brain and Cognitive Development (Vol. 8208, pp. 131-162). Oxford University Press. https://doi.org/10.1093/oso/9780198568742.003.0006</t>
  </si>
  <si>
    <t>Table 6.1</t>
  </si>
  <si>
    <t>Finlay_etal_2006_Table6.1_snapshot.xlsx</t>
  </si>
  <si>
    <t>Finlay_etal_2006_Table6.1.csv</t>
  </si>
  <si>
    <t>https://www.researchgate.net/publication/299027052_Developmental_constraints_on_or_developmental_structure_in_brain_evolution</t>
  </si>
  <si>
    <t>cerebral cortex surface area and number of areas (broadly defined)</t>
  </si>
  <si>
    <t>cortical surface area / volume</t>
  </si>
  <si>
    <t>Frahm, H. D., &amp; Zilles, K. (1994). Volumetric comparison of hippocampal regions in 44 primate species. J Hirnforsch, 35(3), 343-354. https://www.ncbi.nlm.nih.gov/pubmed/7983368</t>
  </si>
  <si>
    <t>PMID:7983368</t>
  </si>
  <si>
    <t>Hippocampal regions in 44 primates (Table 1)</t>
  </si>
  <si>
    <t>hippocampal region volumes</t>
  </si>
  <si>
    <t>Frahm, H. D., Rehkamper, G., &amp; Nevo, E. (1997). Brain structure volumes in the mole rat, Spalax ehrenbergi (Spalacidae, Rodentia) in comparison to the rat and subterrestrial insectivores. J Hirnforsch, 38(2), 209-222. https://www.ncbi.nlm.nih.gov/pubmed/9176733</t>
  </si>
  <si>
    <t>PMID:9176733</t>
  </si>
  <si>
    <t>Brain structure volumes in Spalax ehrenbergi (Table 1)</t>
  </si>
  <si>
    <t>brain structure volumes (Spalax)</t>
  </si>
  <si>
    <t>Frahm, H. D., Stephan, H., &amp; Baron, G. (1984). Comparison of brain structure volumes in insectivora and primates. V. Area striata (AS). J Hirnforsch, 25(5), 537-557. https://www.ncbi.nlm.nih.gov/pubmed/6501869</t>
  </si>
  <si>
    <t>PMID:6501869</t>
  </si>
  <si>
    <t>Table 1. Volumes of area striata and some of its laminar components (in mm3).</t>
  </si>
  <si>
    <t>area striata volume</t>
  </si>
  <si>
    <t>Frahm, H. D., Stephan, H., &amp; Stephan, M. (1982). Comparison of brain structure volumes in Insectivora and Primates. I. Neocortex. J Hirnforsch, 23(4), 375-389. https://www.ncbi.nlm.nih.gov/pubmed/7161477</t>
  </si>
  <si>
    <t>PMID:7161477</t>
  </si>
  <si>
    <t>Table 2. Volumes and percentages of total neocortex, white and grey matters, and laminae 1 and 2-6 in Insectivora, Scandentia, and Primates.</t>
  </si>
  <si>
    <t>neocortex volume</t>
  </si>
  <si>
    <t>Frahm, H. D., Zilles, K., Schleicher, A., &amp; Stephan, H. (1998). The size of the middle temporal area in primates. J Hirnforsch, 39(1), 45-54. https://www.ncbi.nlm.nih.gov/pubmed/9672110</t>
  </si>
  <si>
    <t>PMID:9672110</t>
  </si>
  <si>
    <t>Size of the middle temporal area in primates (Table 1)</t>
  </si>
  <si>
    <t>middle temporal area (MT) size</t>
  </si>
  <si>
    <t>Fu, Y., Rusznak, Z., Herculano-Houzel, S., Watson, C., &amp; Paxinos, G. (2013). Cellular composition characterizing postnatal development and maturation of the mouse brain and spinal cord. Brain Struct Funct, 218(5), 1337-1354. https://doi.org/10.1007/s00429-012-0462-x</t>
  </si>
  <si>
    <t>Table 1 Age-dependent changes affecting the mouse central nervous system and pituitary</t>
  </si>
  <si>
    <t>NOT STARTED</t>
  </si>
  <si>
    <t>mouse (developmental)</t>
  </si>
  <si>
    <t>Garwicz, M., Christensson, M., &amp; Psouni, E. (2009). A unifying model for timing of walking onset in humans and other mammals. Proc Natl Acad Sci U S A, 106(51), 21889-21893. https://doi.org/10.1073/pnas.0905777106</t>
  </si>
  <si>
    <t>Table S1. Taxonomy of species included in the sample</t>
  </si>
  <si>
    <t>https://www.pnas.org/doi/suppl/10.1073/pnas.0905777106/suppl_file/0905777106si.pdf</t>
  </si>
  <si>
    <t>behavioural/developmental (motor onset)</t>
  </si>
  <si>
    <t>Table S2</t>
  </si>
  <si>
    <t>Table S2. Database for multiple-regression model</t>
  </si>
  <si>
    <t>Genoud, M., Isler, K., &amp; Martin, R. D. (2018). Comparative analyses of basal rate of metabolism in mammals: data selection does matter. Biol Rev Camb Philos Soc, 93(1), 404-438. https://doi.org/10.1111/brv.12350</t>
  </si>
  <si>
    <t>Table S2. Basal metabolic rate (BMR) database.</t>
  </si>
  <si>
    <t>BMR</t>
  </si>
  <si>
    <t>Granatosky, M. C. (2018). A Review of locomotor diversity in mammals with analyses exploring the influence of substrate use, body mass and intermembral index in primates. Journal of Zoology, 306(4), 207-216. https://doi.org/10.1111/jzo.12608</t>
  </si>
  <si>
    <t>Table S1. Locomotor profiles for the species used in this
study.</t>
  </si>
  <si>
    <t>https://karger.com/bbe/article-pdf/86/3-4/145/2264694/000437413.pdf</t>
  </si>
  <si>
    <t>behavioural (locomotion)</t>
  </si>
  <si>
    <t>Haarlem, C. S., Hynes, C., Jackson, A. L., Mitchell, K. J., O'Connell, R. G., &amp; Healy, K. (2026). Pace of ecology drives the tempo of visual perception across the animal kingdom. Nat Ecol Evol. https://doi.org/10.1038/s41559-026-02994-7</t>
  </si>
  <si>
    <t>Heffner, R. S., &amp; Masterton, R. B. (1983). The role of the corticospinal tract in the evolution of human digital dexterity. Brain Behav Evol, 23(3-4), 165-183. https://doi.org/10.1159/000121494</t>
  </si>
  <si>
    <t>Table I</t>
  </si>
  <si>
    <t>digital dexterity</t>
  </si>
  <si>
    <t>compare to 1975</t>
  </si>
  <si>
    <t>behavioural (digital dexterity)</t>
  </si>
  <si>
    <t>Heffner, R., &amp; Masterton, B. (1975). Variation in form of the pyramidal tract and its relationship to digital dexterity. Brain Behav Evol, 12(3), 161-200. https://doi.org/10.1159/000124401</t>
  </si>
  <si>
    <t>Heffner_Masterton_1975_TableI_snapshot.xlsx</t>
  </si>
  <si>
    <t>Heffner_Masterton_1975_TableI.csv</t>
  </si>
  <si>
    <t>mostly secondary</t>
  </si>
  <si>
    <t>area of pyramidal tract; deepest lamina</t>
  </si>
  <si>
    <t>both</t>
  </si>
  <si>
    <t>behavioural (digital dexterity) + corticospinal tract</t>
  </si>
  <si>
    <t>Heiss, W. D., Habedank, B., Klein, J. C., Herholz, K., Wienhard, K., Lenox, M., &amp; Nutt, R. (2004). Metabolic rates in small brain nuclei determined by high-resolution PET. J Nucl Med, 45(11), 1811-1815. https://www.ncbi.nlm.nih.gov/pubmed/15534048</t>
  </si>
  <si>
    <t>PMID:15534048</t>
  </si>
  <si>
    <t>TABLE 1 rCMRGlc Values</t>
  </si>
  <si>
    <t>regional cerebral metabolic rates for glucose</t>
  </si>
  <si>
    <t>Humans</t>
  </si>
  <si>
    <t>metabolic (regional cerebral glucose, PET)</t>
  </si>
  <si>
    <t>Heldstab, S. A., Kosonen, Z. K., Koski, S. E., Burkart, J. M., van Schaik, C. P., &amp; Isler, K. (2016). Manipulation complexity in primates coevolved with brain size and terrestriality. Sci Rep, 6, 24528. https://doi.org/10.1038/srep24528</t>
  </si>
  <si>
    <t>manipulation complexity</t>
  </si>
  <si>
    <t>behavioural (manipulation complexity)</t>
  </si>
  <si>
    <t>Herculano-Houzel, S. (2015). Decreasing sleep requirement with increasing numbers of neurons as a driver for bigger brains and bodies in mammalian evolution. Proc Biol Sci, 282(1816), 20151853. https://doi.org/10.1098/rspb.2015.1853</t>
  </si>
  <si>
    <t>sleep time &amp; neuron density</t>
  </si>
  <si>
    <t>sleep + neuron density</t>
  </si>
  <si>
    <t>Table 2. Dataset on the ontogeny of sleep and cellular composition of the rat brain used in this study.</t>
  </si>
  <si>
    <t>Per cent of hours asleep and brain size and composition</t>
  </si>
  <si>
    <t>sleep (per cent hours asleep)</t>
  </si>
  <si>
    <t>Herculano-Houzel, S., Catania, K., Manger, P. R., &amp; Kaas, J. H. (2015). Mammalian brains are made of these: A dataset of the numbers and densities of neuronal and nonneuronal cells in the brain of glires, primates, scandentia, eulipotyphlans, afrotherians and artiodactyls, and their relationship with body mass. Brain Behav Evol, 86(3-4), 145-163. https://doi.org/10.1159/000437413</t>
  </si>
  <si>
    <t>Table 1. Cerebral cortex</t>
  </si>
  <si>
    <t>HerculanoHouzel_etal_2015_Table1_snapshot.xlsx</t>
  </si>
  <si>
    <t>HerculanoHouzel_etal_2015_Table1.csv</t>
  </si>
  <si>
    <t>formatting-fix: ' + ' shown for ' ± ' (Rattus norvegicus, col N,n) corrected in .R script.</t>
  </si>
  <si>
    <t>Mammals (placental)</t>
  </si>
  <si>
    <t>Table 2. Cerebellum</t>
  </si>
  <si>
    <t>HerculanoHouzel_etal_2015_Table2_snapshot.xlsx</t>
  </si>
  <si>
    <t>HerculanoHouzel_etal_2015_Table2.csv</t>
  </si>
  <si>
    <t>Table 3</t>
  </si>
  <si>
    <t>Table 3. RoB</t>
  </si>
  <si>
    <t>HerculanoHouzel_etal_2015_Table3_snapshot.xlsx</t>
  </si>
  <si>
    <t>HerculanoHouzel_etal_2015_Table3.csv</t>
  </si>
  <si>
    <t>Table 4. Olfactory bulb</t>
  </si>
  <si>
    <t>HerculanoHouzel_etal_2015_Table4_snapshot.xlsx</t>
  </si>
  <si>
    <t>HerculanoHouzel_etal_2015_Table4.csv</t>
  </si>
  <si>
    <t>Table 5</t>
  </si>
  <si>
    <t>Table 5. Whole brain</t>
  </si>
  <si>
    <t>HerculanoHouzel_etal_2015_Table5_snapshot.xlsx</t>
  </si>
  <si>
    <t>HerculanoHouzel_etal_2015_Table5.csv</t>
  </si>
  <si>
    <t>Herculano-Houzel, S., da Cunha, F. B., Reed, J. L., Kaswera-Kyamakya, C., Gillissen, E., &amp; Manger, P. R. (2020). Microchiropterans have a diminutive cerebral cortex, not an enlarged cerebellum, compared to megachiropterans and other mammals. J Comp Neurol, 528(17), 2978-2993. https://doi.org/10.1002/cne.24985</t>
  </si>
  <si>
    <t>TABLE 1 Dataset</t>
  </si>
  <si>
    <t>HerculanoHouzel_etal_2020_TABLE1_snapshot.csv</t>
  </si>
  <si>
    <t>HerculanoHouzel_etal_2020_Table1.csv</t>
  </si>
  <si>
    <t>https://doi.org/10.1002/cne.24985</t>
  </si>
  <si>
    <t>region size</t>
  </si>
  <si>
    <t>bats</t>
  </si>
  <si>
    <t>Bats</t>
  </si>
  <si>
    <t>volume (region size)</t>
  </si>
  <si>
    <t>TABLE 2 Numbers of neurons and neuronal density (neurons/mg)</t>
  </si>
  <si>
    <t>HerculanoHouzel_etal_2020_TABLE2_snapshot.csv</t>
  </si>
  <si>
    <t>HerculanoHouzel_etal_2020_Table2.csv</t>
  </si>
  <si>
    <t>Cell numbers</t>
  </si>
  <si>
    <t>Herculano-Houzel, S., Watson, C., &amp; Paxinos, G. (2013). Distribution of neurons in functional areas of the mouse cerebral cortex reveals quantitatively different cortical zones. Front Neuroanat, 7, 35. https://doi.org/10.3389/fnana.2013.00035</t>
  </si>
  <si>
    <t>Figure 2 Top Left</t>
  </si>
  <si>
    <t>cell numbers</t>
  </si>
  <si>
    <t>Table 1-a</t>
  </si>
  <si>
    <t>Table 1-b</t>
  </si>
  <si>
    <t>Isler, K., Christopher Kirk, E., Miller, J. M. A., Albrecht, G. A., Gelvin, B. R., &amp; Martin, R. D. (2008). Endocranial volumes of primate species: scaling analyses using a comprehensive and reliable data set. J Hum Evol, 55(6), 967. https://doi.org/10.1016/j.jhevol.2008.08.004</t>
  </si>
  <si>
    <t>endocranial volume</t>
  </si>
  <si>
    <t>endocranial / brain volume</t>
  </si>
  <si>
    <t>Table 7</t>
  </si>
  <si>
    <t>Table S3</t>
  </si>
  <si>
    <t>Tree.nex</t>
  </si>
  <si>
    <t>phylogenetic tree</t>
  </si>
  <si>
    <t>phylogeny (tree)</t>
  </si>
  <si>
    <t>Iwaniuk, A. N., Nelson, J. E., &amp; Pellis, S. M. (2001). Do big-brained animals play more? Comparative analyses of play and relative brain size in mammals. J Comp Psychol, 115(1), 29-41. https://doi.org/10.1037/0735-7036.115.1.29</t>
  </si>
  <si>
    <t>Table 1 Encephalization Quotients (EQs) and Play Scores for 15 Mammalian Orders</t>
  </si>
  <si>
    <t>only manually added M1 species; do all species and record steps</t>
  </si>
  <si>
    <t>play</t>
  </si>
  <si>
    <t>mammal clades</t>
  </si>
  <si>
    <t>behavioural (play)</t>
  </si>
  <si>
    <t>Table 2 The Five Play Scores and Relative Brain Sizes for the Species of Muroid Rodents Examined</t>
  </si>
  <si>
    <t>Table 3 The Play Scores and Relative Brain ( EQ) and Neocortex Sizes for the Marsupials Examined</t>
  </si>
  <si>
    <t>Table 4 Play Scores and Relative Brain and Neocortex Sizes for the Primates Examined</t>
  </si>
  <si>
    <t>Iwaniuk, A. N., Pellis, S. M., &amp; Whishaw, I. Q. (1999). Is digital dexterity really related to corticospinal projections?: a re-analysis of the Heffner and Masterton data set using modern comparative statistics. Behav Brain Res, 101(2), 173-187. https://doi.org/10.1016/s0166-4328(98)00151-x</t>
  </si>
  <si>
    <t>References</t>
  </si>
  <si>
    <t>reference list</t>
  </si>
  <si>
    <t>forelimb use / dexterity</t>
  </si>
  <si>
    <t>behavioural (forelimb use)</t>
  </si>
  <si>
    <t>Table 1 The anatomical and behavioural traits used the comparative analysis</t>
  </si>
  <si>
    <t>Jardim-Messeder, D., Lambert, K., Noctor, S., Pestana, F. M., de Castro Leal, M. E., Bertelsen, M. F., Alagaili, A. N., Mohammad, O. B., Manger, P. R., &amp; Herculano-Houzel, S. (2017). Dogs Have the Most Neurons, Though Not the Largest Brain: Trade-Off between Body Mass and Number of Neurons in the Cerebral Cortex of Large Carnivoran Species. Front Neuroanat, 11, 118. https://doi.org/10.3389/fnana.2017.00118</t>
  </si>
  <si>
    <t>TABLE 1 | Summary of the cellular composition of the major brain structures of eight carnivoran species.</t>
  </si>
  <si>
    <t>JardimMesseder_etal_2017_Table1_snapshot.csv</t>
  </si>
  <si>
    <t>JardimMesseder_etal_2017_Table1.csv</t>
  </si>
  <si>
    <t>https://doi.org/10.3389/fnana.2017.00118</t>
  </si>
  <si>
    <t>companion animals</t>
  </si>
  <si>
    <t>Carnivores &amp; other companion mammals</t>
  </si>
  <si>
    <t>Johansen, A., Beliveau, V., Colliander, E., Raval, N. R., Dam, V. H., Gillings, N., Aznar, S., Svarer, C., Plaven-Sigray, P., &amp; Knudsen, G. M. (2024). An In Vivo High-Resolution Human Brain Atlas of Synaptic Density. J Neurosci, 44(33). https://doi.org/10.1523/JNEUROSCI.1750-23.2024</t>
  </si>
  <si>
    <t>Table 2. Summary of SV2A Bmax (pmol/mL) in individual regions in the left and right hemisphere and for a weighted average (total)</t>
  </si>
  <si>
    <t>the synaptic marker Synaptic Vesicle glycoprotein 2A (SV2A)</t>
  </si>
  <si>
    <t>Humans (+ primates)</t>
  </si>
  <si>
    <t>synaptic density (SV2A)</t>
  </si>
  <si>
    <t>Karbowski, J. (2007). Global and regional brain metabolic scaling and its functional consequences. BMC Biol, 5, 18. https://doi.org/10.1186/1741-7007-5-18</t>
  </si>
  <si>
    <t>Global and regional brain metabolic scaling (Table 1)</t>
  </si>
  <si>
    <t>brain metabolic scaling</t>
  </si>
  <si>
    <t>meta-analysis</t>
  </si>
  <si>
    <t>metabolic scaling</t>
  </si>
  <si>
    <t>Karl, M. T., Kim, Y. D., Rajendran, K., Manger, P. R., &amp; Sherwood, C. C. (2024). Invariance of Mitochondria and Synapses in the Primary Visual Cortex of Mammals Provides Insight Into Energetics and Function. J Comp Neurol, 532(9), e25669. https://doi.org/10.1002/cne.25669</t>
  </si>
  <si>
    <t>TABLE 1 Dataset used in this study.</t>
  </si>
  <si>
    <t>synapse density</t>
  </si>
  <si>
    <t>brain/body scaling</t>
  </si>
  <si>
    <t>dissertation</t>
  </si>
  <si>
    <t>Doctoral dissertation (not in PubMed; no DOI). Use ProQuest Dissertations &amp; Theses number (or WashU OpenScholarship URI) as the identifier - add the actual number.</t>
  </si>
  <si>
    <t>metabolic / brain-body scaling</t>
  </si>
  <si>
    <t>Kverkova, K., Belikova, T., Olkowicz, S., Pavelkova, Z., O'Riain, M. J., Sumbera, R., Burda, H., Bennett, N. C., &amp; Nemec, P. (2018). Sociality does not drive the evolution of large brains in eusocial African mole-rats. Sci Rep, 8(1), 9203. https://doi.org/10.1038/s41598-018-26062-8</t>
  </si>
  <si>
    <t>Table 1. Origin and use of the experimental animals.</t>
  </si>
  <si>
    <t>Kverkova_etal_2018_Table1_snapshot.xlsx</t>
  </si>
  <si>
    <t>Kverkova_etal_2018_TableS1.csv</t>
  </si>
  <si>
    <t>docx</t>
  </si>
  <si>
    <t>sample size and information</t>
  </si>
  <si>
    <t>African mole-rats (Bathyergidae)</t>
  </si>
  <si>
    <t>Rodents (African mole-rats +)</t>
  </si>
  <si>
    <t>sample info</t>
  </si>
  <si>
    <t>Table S1. Brain mass and brain region volumes</t>
  </si>
  <si>
    <t>Kverkova_etal_2018_TableS1_snapshot.xlsx</t>
  </si>
  <si>
    <t>https://static-content.springer.com/esm/art%3A10.1038%2Fs41598-018-26062-8/MediaObjects/41598_2018_26062_MOESM1_ESM.docx</t>
  </si>
  <si>
    <t>primary; secondary brain and body mass</t>
  </si>
  <si>
    <t>Kverkova</t>
  </si>
  <si>
    <t>Table S5</t>
  </si>
  <si>
    <t>Table S5. Numbers of neurons in the whole brain and the major brain divisions</t>
  </si>
  <si>
    <t>Kverkova_etal_2018_TableS5_snapshot.csv</t>
  </si>
  <si>
    <t>Kverkova_etal_2018_TableS5.csv</t>
  </si>
  <si>
    <t>docx online</t>
  </si>
  <si>
    <t>Lewitus, E., Kelava, I., &amp; Huttner, W. B. (2013). Conical expansion of the outer subventricular zone and the role of neocortical folding in evolution and development. Front Hum Neurosci, 7, 424. https://doi.org/10.3389/fnhum.2013.00424</t>
  </si>
  <si>
    <t>Table S2 partial</t>
  </si>
  <si>
    <t>cortical progenitors / oSVZ</t>
  </si>
  <si>
    <t>L</t>
  </si>
  <si>
    <t>cortical development (outer SVZ)</t>
  </si>
  <si>
    <t>Lewitus, E., Kelava, I., Kalinka, A. T., Tomancak, P., &amp; Huttner, W. B. (2014). An adaptive threshold in mammalian neocortical evolution. PLoS Biol, 12(11), e1002000. https://doi.org/10.1371/journal.pbio.1002000</t>
  </si>
  <si>
    <t>Table S1 Physiological and life-history variables</t>
  </si>
  <si>
    <t>gyrification</t>
  </si>
  <si>
    <t>cortical folding (gyrification)</t>
  </si>
  <si>
    <t>Table S8</t>
  </si>
  <si>
    <t>Table S8: Neocortical neuron number for Figure 3d</t>
  </si>
  <si>
    <t>MacLarnon, A. (1996). The scaling of gross dimensions of the spinal cord in primates and other species. J Hum Evol, 30(1), 71-87. https://doi.org/10.1006/jhev.1996.0005</t>
  </si>
  <si>
    <t>Table 1 Data</t>
  </si>
  <si>
    <t>spinal cord dimensions</t>
  </si>
  <si>
    <t>spinal cord morphometry (volume)</t>
  </si>
  <si>
    <t>MacLeod, C. E., Zilles, K., Schleicher, A., Rilling, J. K., &amp; Gibson, K. R. (2003). Expansion of the neocerebellum in Hominoidea. J Hum Evol, 44(4), 401-429. https://doi.org/10.1016/s0047-2484(03)00028-9</t>
  </si>
  <si>
    <t>cerebellum / neocerebellum volume</t>
  </si>
  <si>
    <t>Apes (Hominoidea)</t>
  </si>
  <si>
    <t>ManyPrimates, Aguenounon, G., Allritz, M., Altschul, D., Ballesta, S., Beaud, A., Bohn, M., Bornbusch, S., Brandão, A., Brooks, J., Bugnyar, T., Burkart, J., Bustamante, L., Call, J., Canteloup, C., Cao, C., Caspar, K., da Silva, D., de Sousa, A., . . . Zablocki-Thomas, P. (2022). The Evolution of Primate Short-Term Memory. Animal Behavior and Cognition, 9(4), 428-516. https://doi.org/10.26451/abc.09.04.06.2022</t>
  </si>
  <si>
    <t>data/species_predictors.xlsx</t>
  </si>
  <si>
    <t>need to record steps</t>
  </si>
  <si>
    <t>https://github.com/ManyPrimates/mp1_short_term_memory/raw/master/data/species_predictors.xlsx</t>
  </si>
  <si>
    <t>number of vocalizations</t>
  </si>
  <si>
    <t>various secondary and primary data, e.g., ecology</t>
  </si>
  <si>
    <t>behavioural (cognition / vocalization)</t>
  </si>
  <si>
    <t>Matano, S., Baron, G., Stephan, H., &amp; Frahm, H. D. (1985). Volume comparisons in the cerebellar complex of primates. II. Cerebellar nuclei. Folia Primatol (Basel), 44(3-4), 182-203. https://doi.org/10.1159/000156212</t>
  </si>
  <si>
    <t>Cerebellar complex II. Cerebellar nuclei (Table 1)</t>
  </si>
  <si>
    <t>cerebellar nuclei volume</t>
  </si>
  <si>
    <t>Mota, B., &amp; Herculano-Houzel, S. (2015). Cortical folding scales universally with surface area and thickness, not number of neurons. Science, 349(6243), 74-77. https://doi.org/10.1126/science.aaa9101</t>
  </si>
  <si>
    <t>cortical folding</t>
  </si>
  <si>
    <t>Mota, B., Dos Santos, S. E., Ventura-Antunes, L., Jardim-Messeder, D., Neves, K., Kazu, R. S., Noctor, S., Lambert, K., Bertelsen, M. F., Manger, P. R., Sherwood, C. C., Kaas, J. H., &amp; Herculano-Houzel, S. (2019). White matter volume and white/gray matter ratio in mammalian species as a consequence of the universal scaling of cortical folding. Proc Natl Acad Sci U S A, 116(30), 15253-15261. https://doi.org/10.1073/pnas.1716956116</t>
  </si>
  <si>
    <t>Supplementary Table S1</t>
  </si>
  <si>
    <t>Supplementary Table S1. Morphometrical and cell number data used in this study (“our dataset”).</t>
  </si>
  <si>
    <t>white matter &amp; folding</t>
  </si>
  <si>
    <t>total and exposed cortical surface area</t>
  </si>
  <si>
    <t>white matter volume / folding</t>
  </si>
  <si>
    <t>Powell, L. E., Isler, K., &amp; Barton, R. A. (2017). Re-evaluating the link between brain size and behavioural ecology in primates. Proc Biol Sci, 284(1865). https://doi.org/10.1098/rspb.2017.1765</t>
  </si>
  <si>
    <t>10.6084/m9.figshare.c.3899422.v1</t>
  </si>
  <si>
    <t>Dataset 1</t>
  </si>
  <si>
    <t>https://figshare.com/ndownloader/files/9479092</t>
  </si>
  <si>
    <t>ecology</t>
  </si>
  <si>
    <t>Semendeferi, K., Armstrong, E., Schleicher, A., Zilles, K., &amp; Van Hoesen, G. W. (1998). Limbic frontal cortex in hominoids: a comparative study of area 13. Am J Phys Anthropol, 106(2), 129-155. https://doi.org/10.1002/(SICI)1096-8644(199806)106:2&lt;129::AID-AJPA3&gt;3.0.CO;2-L</t>
  </si>
  <si>
    <t>frontal lobe / limbic volume</t>
  </si>
  <si>
    <t>Semendeferi, K., Armstrong, E., Schleicher, A., Zilles, K., &amp; Van Hoesen, G. W. (2001). Prefrontal cortex in humans and apes: a comparative study of area 10. Am J Phys Anthropol, 114(3), 224-241. https://doi.org/10.1002/1096-8644(200103)114:3&lt;224::AID-AJPA1022&gt;3.0.CO;2-I</t>
  </si>
  <si>
    <t>frontal cortex (area 10) volume</t>
  </si>
  <si>
    <t>Semendeferi, K., Lu, A., Schenker, N., &amp; Damasio, H. (2002). Humans and great apes share a large frontal cortex. Nat Neurosci, 5(3), 272-276. https://doi.org/10.1038/nn814</t>
  </si>
  <si>
    <t>frontal lobe volume</t>
  </si>
  <si>
    <t>Sherwood, C. C., Hof, P. R., Holloway, R. L., Semendeferi, K., Gannon, P. J., Frahm, H. D., &amp; Zilles, K. (2005). Evolution of the brainstem orofacial motor system in primates: a comparative study of trigeminal, facial, and hypoglossal nuclei. J Hum Evol, 48(1), 45-84. https://doi.org/10.1016/j.jhevol.2004.10.003</t>
  </si>
  <si>
    <t>Brainstem orofacial motor nuclei in primates (Table 1)</t>
  </si>
  <si>
    <t>brainstem motor nuclei volumes</t>
  </si>
  <si>
    <t>Sherwood, C. C., Holloway, R. L., Erwin, J. M., Schleicher, A., Zilles, K., &amp; Hof, P. R. (2004). Cortical orofacial motor representation in Old World Monkeys, great apes, and humans. I. Quantitative Analysis of Cytoarchitecture. Brain Behav Evol, 63(2), 61-81. https://doi.org/10.1159/000075672</t>
  </si>
  <si>
    <t>I</t>
  </si>
  <si>
    <t>Table 4. GLI values for each cortical layer</t>
  </si>
  <si>
    <t>tables</t>
  </si>
  <si>
    <t>GLI: laminar and profiles</t>
  </si>
  <si>
    <t>cytoarchitecture (GLI laminar profiles)</t>
  </si>
  <si>
    <t>Table 5. Species mean values for 10 GLI profile feature vectors</t>
  </si>
  <si>
    <t>Smaers, J. B., &amp; Soligo, C. (2013). Brain reorganization, not relative brain size, primarily characterizes anthropoid brain evolution. Proceedings of the Royal Society B, 280(1759), 20130269</t>
  </si>
  <si>
    <t>10.1098/rspb.2013.0269</t>
  </si>
  <si>
    <t>Supplement</t>
  </si>
  <si>
    <t>Brain region volumes and phylogenetic reorganization analysis.</t>
  </si>
  <si>
    <t>brain region volumes / reorganization</t>
  </si>
  <si>
    <t>Anthropoid primates</t>
  </si>
  <si>
    <t>Smaers, J. B., Gomez-Robles, A., Parks, A. N., &amp; Sherwood, C. C. (2017). Exceptional Evolutionary Expansion of Prefrontal Cortex in Great Apes and Humans. Curr Biol, 27(5), 714-720. https://doi.org/10.1016/j.cub.2017.01.020</t>
  </si>
  <si>
    <t>Exceptional expansion of prefrontal cortex (Table 1)</t>
  </si>
  <si>
    <t>prefrontal cortex size</t>
  </si>
  <si>
    <t>Smaers, J. B., Steele, J., Case, C. R., Cowper, A., Amunts, K., &amp; Zilles, K. (2011). Primate prefrontal cortex evolution: human brains are the extreme of a lateralized ape trend. Brain Behav Evol, 77(2), 67-78. https://doi.org/10.1159/000323671</t>
  </si>
  <si>
    <t>SupplementaryTable1</t>
  </si>
  <si>
    <t>prefrontal cortex / cortical reorganization</t>
  </si>
  <si>
    <t>SupplementaryTable2</t>
  </si>
  <si>
    <t>Smaers, J. B., Turner, A. H., Gómez-Robles, A., &amp; Sherwood, C. C. (2018). A cerebellar substrate for cognition evolved multiple times independently in mammals. eLife, 7, e35696</t>
  </si>
  <si>
    <t>10.7554/eLife.35696</t>
  </si>
  <si>
    <t>Figure 2 - data 1</t>
  </si>
  <si>
    <t>Cerebellum and cerebrotype volumes across mammals.</t>
  </si>
  <si>
    <t>cerebellum / cerebrotype volumes</t>
  </si>
  <si>
    <t>Stephan, H., Baron, G., &amp; Frahm, H. D. (1982). Comparison of brain structure volumes in Insectivora and Primates. II. Accessory olfactory bulb (AOB). J Hirnforsch, 23(5), 575-591. https://www.ncbi.nlm.nih.gov/pubmed/7161483</t>
  </si>
  <si>
    <t>PMID:7161483</t>
  </si>
  <si>
    <t>Table 1. Data on AOB and its three measured components in the 61 species. All volumes (columns 2 and 7-9) are in mm3.</t>
  </si>
  <si>
    <t>accessory olfactory bulb volume</t>
  </si>
  <si>
    <t>Stephan, H., Frahm, H. D., &amp; Baron, G. (1984). Comparison of brain structure volumes in insectivora and primates. IV. Non-cortical visual structures. J Hirnforsch, 25(4), 385-403. https://www.ncbi.nlm.nih.gov/pubmed/6481154</t>
  </si>
  <si>
    <t>PMID:6481154</t>
  </si>
  <si>
    <t>Table 1. Data on half surface of eyes (HSE), cross-sectional areas of nervus opticus (NOA), and the dorsal lateral geniculate body (CGL).</t>
  </si>
  <si>
    <t>non-cortical visual structure volumes</t>
  </si>
  <si>
    <t>Stephan, H., Frahm, H. D., &amp; Baron, G. (1987). Comparison of brain structure volumes in Insectivora and primates. VII. Amygdaloid components. J Hirnforsch, 28(5), 571-584. https://www.ncbi.nlm.nih.gov/pubmed/3693895</t>
  </si>
  <si>
    <t>PMID:3693895</t>
  </si>
  <si>
    <t>...VII. Amygdaloid components (Table 1)</t>
  </si>
  <si>
    <t>amygdaloid component volumes</t>
  </si>
  <si>
    <t>Stephan, H., Frahm, H., &amp; Baron, G. (1981). New and revised data on volumes of brain structures in insectivores and primates. Folia Primatol (Basel), 35(1), 1-29. https://doi.org/10.1159/000155963</t>
  </si>
  <si>
    <t>New and revised data on volumes of brain structures (Table 1)</t>
  </si>
  <si>
    <t>brain structure volumes</t>
  </si>
  <si>
    <t>Turner, E. C., Young, N. A., Reed, J. L., Collins, C. E., Flaherty, D. K., Gabi, M., &amp; Kaas, J. H. (2016). Distributions of cells and neurons across the cortical sheet in old world macaques. Brain Behav Evol, 88(1), 1-13. https://doi.org/10.1159/000446762</t>
  </si>
  <si>
    <t>Table 1. Summary of experimental cases</t>
  </si>
  <si>
    <t>Brain surface total area</t>
  </si>
  <si>
    <t>Wilman, H., Belmaker, J., Simpson, J., de la Rosa, C., Rivadeneira, M. M., &amp; Jetz, W. (2014). EltonTraits 1.0: Species‐level foraging attributes of the world's birds and mammals. Ecology, 95(7), 2027-2027. https://doi.org/10.1890/13-1917.1</t>
  </si>
  <si>
    <t>MamFuncDat.txt</t>
  </si>
  <si>
    <t>diet &amp; body mass (functional traits)</t>
  </si>
  <si>
    <t>ecological traits (diet, body mass)</t>
  </si>
  <si>
    <t>Wimberly, A. N., Slater, G. J., &amp; Granatosky, M. C. (2021). Evolutionary history of quadrupedal walking gaits shows mammalian release from locomotor constraint. Proc Biol Sci, 288(1957), 20210937. https://doi.org/10.1098/rspb.2021.0937</t>
  </si>
  <si>
    <t>mammal_gait.txt</t>
  </si>
  <si>
    <t>Winkler, S. L., &amp; Bryant, G. A. (2021). Play vocalisations and human laughter: a comparative review. Bioacoustics, 1-28. https://doi.org/10.1080/09524622.2021.1905065</t>
  </si>
  <si>
    <t>Figure 1</t>
  </si>
  <si>
    <t>table and figure</t>
  </si>
  <si>
    <t>play vocalizations</t>
  </si>
  <si>
    <t>behavioural (play vocalizations)</t>
  </si>
  <si>
    <t>Young, N. A., Collins, C. E., &amp; Kaas, J. H. (2013). Cell and neuron densities in the primary motor cortex of primates [Original Research]. Front Neural Circuits, 7(30), 30. https://doi.org/10.3389/fncir.2013.00030</t>
  </si>
  <si>
    <t>M1 Cell count, surface area, mass</t>
  </si>
  <si>
    <t>cell count + cortical surface area</t>
  </si>
  <si>
    <t>Young, N. A., Szabo, C. A., Phelix, C. F., Flaherty, D. K., Balaram, P., Foust-Yeoman, K. B., Collins, C. E., &amp; Kaas, J. H. (2013). Epileptic baboons have lower numbers of neurons in specific areas of cortex. Proc Natl Acad Sci U S A, 110(47), 19107-19112. https://doi.org/10.1073/pnas.1318894110</t>
  </si>
  <si>
    <t>Epileptic baboons: cortical neuron numbers (Table 1) [folder _b]</t>
  </si>
  <si>
    <t>cortical neuron numbers</t>
  </si>
  <si>
    <t>Primates (+ rodents)</t>
  </si>
  <si>
    <t>cortical neuron number</t>
  </si>
  <si>
    <t>Zilles, K., &amp; Rehkämper, G. (1988). The brain, with special reference to the telencephalon. In J. H. Schwartz (Ed.), Orang-Utan Biology (pp. 157-176). Oxford University Press</t>
  </si>
  <si>
    <t>ISBN:9780195043716</t>
  </si>
  <si>
    <t>Brain structure volumes of great apes (Pan, Gorilla, Pongo).</t>
  </si>
  <si>
    <t>telencephalon &amp; brain-structure volumes</t>
  </si>
  <si>
    <t>Great apes (Pan, Gorilla, Pongo)</t>
  </si>
  <si>
    <t>Zilles, K., Palomero-Gallagher, N., &amp; Amunts, K. (2013). Development of cortical folding during evolution and ontogeny. Trends Neurosci, 36(5), 275-284. https://doi.org/10.1016/j.tins.2013.01.006</t>
  </si>
  <si>
    <t>Development of cortical folding (review)</t>
  </si>
  <si>
    <t>cortical folding / gyrification</t>
  </si>
  <si>
    <t>Zilles</t>
  </si>
  <si>
    <t>Mammals (+ primates)</t>
  </si>
  <si>
    <t>cortical folding (gyrification index)</t>
  </si>
  <si>
    <t xml:space="preserve">Flexible Data Wrangling Pipeline: </t>
  </si>
  <si>
    <t xml:space="preserve">Source </t>
  </si>
  <si>
    <t>--&gt; Snapshot</t>
  </si>
  <si>
    <t>Digitized in original layout for comparison to source. R readable, e.g., Excel or CSV. All further changes in R code. Save a reference hardcopy file even if it can be accessed through URL.</t>
  </si>
  <si>
    <t xml:space="preserve">--&gt; Data readable   </t>
  </si>
  <si>
    <t>use csv, so that there is no data content that could be lost due layout changes.  For example, copy information from merged cells into individual cells</t>
  </si>
  <si>
    <t>--&gt; Transpose</t>
  </si>
  <si>
    <t>first column should have original species information.</t>
  </si>
  <si>
    <t>--&gt; Variables</t>
  </si>
  <si>
    <t>add a new header row. variable name should be made compatible with different datasets across different species. (save old header row at bottom?)</t>
  </si>
  <si>
    <t>--&gt; Species update</t>
  </si>
  <si>
    <t>if there are typos or shorthand species names used, can update based on heading, note, text</t>
  </si>
  <si>
    <t>--&gt; Species note</t>
  </si>
  <si>
    <t xml:space="preserve">add a column to include any additional information about the species from the table legend, paper text, personal communication, etc </t>
  </si>
  <si>
    <t>--&gt; Species correction</t>
  </si>
  <si>
    <t>add a column to correct any errors in species designations (e.g., misidentified or combined different species of same genus)</t>
  </si>
  <si>
    <t>--&gt; Corrections</t>
  </si>
  <si>
    <t>correction after erratum or other note. Indicate reason for correction.</t>
  </si>
  <si>
    <t>--&gt; Species final update</t>
  </si>
  <si>
    <t>add a column with (NCBI?) species names, scientific binomial, to match across databases</t>
  </si>
  <si>
    <t>--&gt; Online database</t>
  </si>
  <si>
    <t>save as tsv with DOI plus item for file name</t>
  </si>
  <si>
    <t>Question: the tables will be matched by a column, currently "Species". Should this be renamed something more unique like "Species_NCBI_EvoGen"?</t>
  </si>
  <si>
    <t>When combining datasets, provide metadata in the files "definitions" and deal with any conflicting values by preffering values following to the order below</t>
  </si>
  <si>
    <t>implementation</t>
  </si>
  <si>
    <t>Revised paper (or datum) if the team explicitly said values have been improved. Provide a flag and a reference in Metadata</t>
  </si>
  <si>
    <t>Flag worse value in and filter</t>
  </si>
  <si>
    <t>Method and/or lab with the highest number of mammalian species represented (ANY mammals not just the focal ones)</t>
  </si>
  <si>
    <t>this may need to be done manually</t>
  </si>
  <si>
    <t>Paper with the highest number of mammalian species represented (ANY mammals not just the focal ones)</t>
  </si>
  <si>
    <t>Species N</t>
  </si>
  <si>
    <t>Paper with the most recent publication date</t>
  </si>
  <si>
    <t xml:space="preserve">Ref last </t>
  </si>
  <si>
    <t>b</t>
  </si>
  <si>
    <t>a</t>
  </si>
  <si>
    <t>Bush, E. C., &amp; Allman, J. M. (2004). The scaling of frontal cortex in primates and carnivores. Proc Natl Acad Sci U S A, 101(11), 3962-3966. https://doi.org/10.1073/pnas.0305760101</t>
  </si>
  <si>
    <t>Matano, S., Stephan, H., &amp; Baron, G. (1985). Volume comparisons in the cerebellar complex of primates. I. Ventral pons. Folia Primatol (Basel), 44(3-4), 171-181. https://doi.org/10.1159/000156211</t>
  </si>
  <si>
    <t>Table 12-2</t>
  </si>
  <si>
    <t>TABLE 1. Volumetric estimates of the amygdaloid complex and the basolateral division</t>
  </si>
  <si>
    <t>Kaufman, J. A. (2004). Pattern and scaling of regional cerebral glucose metabolism in mammals (Publication Number 3147447) [Ph.D., Washington University in St. Louis]. ProQuest Dissertations &amp; Theses Global. United States -- Missouri</t>
  </si>
  <si>
    <t>Collection</t>
  </si>
  <si>
    <t>Stephan, Sherwood</t>
  </si>
  <si>
    <t>Stephan, Zilles</t>
  </si>
  <si>
    <t>AFIP</t>
  </si>
  <si>
    <t>Stephan, Zilles, AFIP, Sherwood, Hof</t>
  </si>
  <si>
    <t>Stephan,Zilles</t>
  </si>
  <si>
    <t xml:space="preserve">Table 1 .IX. Trigeminal complex </t>
  </si>
  <si>
    <t>UMI:3147447</t>
  </si>
  <si>
    <t>both (compilation)</t>
  </si>
  <si>
    <t>Smaers (compilation)</t>
  </si>
  <si>
    <t>COMPILATION / MIX of primary and secondary data (confirmed by value-match). primary_visual = de Sousa 2010 [S6] = Frahm 1984 area striata (SECONDARY). prefrontal + frontal_motor = Smaers 2010/2011 [S1,S2] (Smaers own primary; frontal_motor not publicly verifiable). other_association = derived (neocortex minus frontal minus primary-visual). other brain = Stephan 1981 [S7]. All from the same C and O Vogt specimens. Do NOT re-merge primary_visual (it is Frahm 1984). See __merging_volumes/crosspub_Smaers2017_FINDINGS.md and primary_source_checks/.</t>
  </si>
  <si>
    <t>Ashwell, K. W. S. (2020). Quantitative analysis of cerebellar morphology in monotreme, metatherian and eutherian mammals. Zoology (Jena), 139, 125753. https://doi.org/10.1016/j.zool.2020.125753</t>
  </si>
  <si>
    <t>Supplementary Table.  Cerebellar Morphology Data</t>
  </si>
  <si>
    <t>Supplementary Table</t>
  </si>
  <si>
    <t>10.1002%2Fajpa.20684_TABLE1.tsv</t>
  </si>
  <si>
    <t>10.1002%2Far.a.20114_Table1.tsv</t>
  </si>
  <si>
    <t>10.1002%2Fcne.24605_TABLE1.tsv</t>
  </si>
  <si>
    <t>10.1002%2Fcne.24605_TABLE2.tsv</t>
  </si>
  <si>
    <t>10.1002%2Fcne.24985_TABLE1.tsv</t>
  </si>
  <si>
    <t>10.1002%2Fcne.24985_TABLE2.tsv</t>
  </si>
  <si>
    <t>10.1002%2Fcne.25669_TABLE1.tsv</t>
  </si>
  <si>
    <t>10.1002%2Fcne.70089_TABLE1.tsv</t>
  </si>
  <si>
    <t>10.1006%2Fjhev.1996.0005_Table1.tsv</t>
  </si>
  <si>
    <t>10.1007%2Fs004220000205_Figure3.tsv</t>
  </si>
  <si>
    <t>10.1016%2Fj.cub.2017.01.020_TableS1part1volumes.tsv</t>
  </si>
  <si>
    <t>10.1016%2Fj.cub.2017.01.020_TableS1part2surfacearea.tsv</t>
  </si>
  <si>
    <t>10.1016%2Fj.jhevol.2008.08.004_Table2.tsv</t>
  </si>
  <si>
    <t>10.1016%2Fj.jhevol.2008.08.004_Table7.tsv</t>
  </si>
  <si>
    <t>10.1016%2Fj.jhevol.2008.08.004_TableS1.tsv</t>
  </si>
  <si>
    <t>10.1016%2Fj.jhevol.2008.08.004_TableS2.tsv</t>
  </si>
  <si>
    <t>10.1016%2Fj.jhevol.2008.08.004_TableS3.tsv</t>
  </si>
  <si>
    <t>10.1016%2Fj.jhevol.2009.11.011_Table1.tsv</t>
  </si>
  <si>
    <t>10.1016%2Fj.jhevol.2012.12.003_Table1.tsv</t>
  </si>
  <si>
    <t>10.1016%2Fs0047-2484(03)00028-9_.tsv</t>
  </si>
  <si>
    <t>10.1016%2Fs0166-4328(98)00151-x_Table1.tsv</t>
  </si>
  <si>
    <t>10.1037%2F0735-7036.115.1.29_Table1.tsv</t>
  </si>
  <si>
    <t>10.1037%2F0735-7036.115.1.29_Table2.tsv</t>
  </si>
  <si>
    <t>10.1037%2F0735-7036.115.1.29_Table3.tsv</t>
  </si>
  <si>
    <t>10.1037%2F0735-7036.115.1.29_Table4.tsv</t>
  </si>
  <si>
    <t>10.1038%2Fs41467-020-14356-3_SupplementaryData3.tsv</t>
  </si>
  <si>
    <t>10.1038%2Fs41598-018-26062-8_Table1.tsv</t>
  </si>
  <si>
    <t>10.1038%2Fs41598-018-26062-8_TableS1.tsv</t>
  </si>
  <si>
    <t>10.1038%2Fs41598-018-26062-8_TableS5.tsv</t>
  </si>
  <si>
    <t>10.1073%2Fpnas.0305760101_Table2.tsv</t>
  </si>
  <si>
    <t>10.1073%2Fpnas.0905777106_TableS1.tsv</t>
  </si>
  <si>
    <t>10.1093%2Fcercor%2Fbhy315_Table4.tsv</t>
  </si>
  <si>
    <t>10.1093%2Fjmammal%2Fgyz043_SupplementaryDataSD1.tsv</t>
  </si>
  <si>
    <t>10.1093%2Foso%2F9780198568742.003.0006_Table6.1.tsv</t>
  </si>
  <si>
    <t>10.1098%2Frspb.2015.1853_Table1.tsv</t>
  </si>
  <si>
    <t>10.1126%2Fscience.aaa9101_TableS1.tsv</t>
  </si>
  <si>
    <t>10.1159%2F000068880_Table1.tsv</t>
  </si>
  <si>
    <t>10.1159%2F000124401_TableI.tsv</t>
  </si>
  <si>
    <t>10.1159%2F000155963_Table1.tsv</t>
  </si>
  <si>
    <t>10.1159%2F000156211_Table1.tsv</t>
  </si>
  <si>
    <t>10.1159%2F000156212_Table1.tsv</t>
  </si>
  <si>
    <t>10.1159%2F000319019_SupplementaryTable1.tsv</t>
  </si>
  <si>
    <t>10.1159%2F000319019_Table1.tsv</t>
  </si>
  <si>
    <t>10.1159%2F000323671_SupplementaryTable1.tsv</t>
  </si>
  <si>
    <t>10.1159%2F000323671_SupplementaryTable2.tsv</t>
  </si>
  <si>
    <t>10.1159%2F000346495_Table1.tsv</t>
  </si>
  <si>
    <t>10.1159%2F000437413_Table1.tsv</t>
  </si>
  <si>
    <t>10.1159%2F000437413_Table2.tsv</t>
  </si>
  <si>
    <t>10.1159%2F000437413_Table3.tsv</t>
  </si>
  <si>
    <t>10.1159%2F000437413_Table4.tsv</t>
  </si>
  <si>
    <t>10.1159%2F000437413_Table5.tsv</t>
  </si>
  <si>
    <t>10.1159%2F000452856_TableS1.tsv</t>
  </si>
  <si>
    <t>10.1371%2Fjournal.pbio.1002000_TableS1.tsv</t>
  </si>
  <si>
    <t>10.1371%2Fjournal.pbio.1002000_TableS8.tsv</t>
  </si>
  <si>
    <t>10.1523%2FJNEUROSCI.2339-19.2020_Table1.tsv</t>
  </si>
  <si>
    <t>10.1523%2FJNEUROSCI.2339-19.2020_unpublished.tsv</t>
  </si>
  <si>
    <t>10.3389%2Ffnana.2013.00035_Figure2TopLeft.tsv</t>
  </si>
  <si>
    <t>10.3389%2Ffnana.2013.00035_Table1-a.tsv</t>
  </si>
  <si>
    <t>10.3389%2Ffnana.2013.00035_Table1-b.tsv</t>
  </si>
  <si>
    <t>10.3389%2Ffnana.2017.00118_Table1.tsv</t>
  </si>
  <si>
    <t>10.3389%2Ffnhum.2013.00424_TableS2partial.tsv</t>
  </si>
  <si>
    <t>10.3389%2Ffnins.2021.632853_TABLE1.tsv</t>
  </si>
  <si>
    <t>10.6084%2Fm9.figshare.c.3899422.v1_Dataset1.tsv</t>
  </si>
  <si>
    <t>10.7554%2FeLife.77875_Supplementaryfile3.tsv</t>
  </si>
  <si>
    <t>10.7554%2FeLife.77875_Table1.tsv</t>
  </si>
  <si>
    <t>ISBN%3A9780195043716_Table12-2.tsv</t>
  </si>
  <si>
    <t>NA.tsv</t>
  </si>
  <si>
    <t>PMID%3A2358663_Table1.tsv</t>
  </si>
  <si>
    <t>PMID%3A3116076_Table1.tsv</t>
  </si>
  <si>
    <t>PMID%3A3216099_Table1.tsv</t>
  </si>
  <si>
    <t>PMID%3A3693895_Table1.tsv</t>
  </si>
  <si>
    <t>PMID%3A6481154_Table1.tsv</t>
  </si>
  <si>
    <t>PMID%3A6501869_Table1.tsv</t>
  </si>
  <si>
    <t>PMID%3A6663055_Table1.tsv</t>
  </si>
  <si>
    <t>PMID%3A7161477_Table2.tsv</t>
  </si>
  <si>
    <t>PMID%3A7161483_Table1.tsv</t>
  </si>
  <si>
    <t>PMID%3A7983368_Table1.tsv</t>
  </si>
  <si>
    <t>PMID%3A9176733_Table1.tsv</t>
  </si>
  <si>
    <t>PMID%3A9672110_Table1.tsv</t>
  </si>
  <si>
    <t xml:space="preserve">10.1002%2Fajpa.20684_TABLE1.tsv</t>
  </si>
  <si>
    <t xml:space="preserve">10.1002%2Far.a.20114_Table1.tsv</t>
  </si>
  <si>
    <t xml:space="preserve">10.1002%2Fcne.24605_TABLE1.tsv</t>
  </si>
  <si>
    <t xml:space="preserve">10.1002%2Fcne.24605_TABLE2.tsv</t>
  </si>
  <si>
    <t xml:space="preserve">10.1002%2Fcne.24985_TABLE1.tsv</t>
  </si>
  <si>
    <t xml:space="preserve">10.1002%2Fcne.24985_TABLE2.tsv</t>
  </si>
  <si>
    <t xml:space="preserve">10.1002%2Fcne.25669_TABLE1.tsv</t>
  </si>
  <si>
    <t xml:space="preserve">10.1002%2Fcne.70089_TABLE1.tsv</t>
  </si>
  <si>
    <t xml:space="preserve">10.1006%2Fjhev.1996.0005_Table1.tsv</t>
  </si>
  <si>
    <t xml:space="preserve">10.1007%2Fs004220000205_Figure3.tsv</t>
  </si>
  <si>
    <t xml:space="preserve">10.1016%2Fj.cub.2017.01.020_TableS1part1volumes.tsv</t>
  </si>
  <si>
    <t xml:space="preserve">10.1016%2Fj.cub.2017.01.020_TableS1part2surfacearea.tsv</t>
  </si>
  <si>
    <t xml:space="preserve">10.1016%2Fj.jhevol.2008.08.004_Table2.tsv</t>
  </si>
  <si>
    <t xml:space="preserve">10.1016%2Fj.jhevol.2008.08.004_Table7.tsv</t>
  </si>
  <si>
    <t xml:space="preserve">10.1016%2Fj.jhevol.2008.08.004_TableS1.tsv</t>
  </si>
  <si>
    <t xml:space="preserve">10.1016%2Fj.jhevol.2008.08.004_TableS2.tsv</t>
  </si>
  <si>
    <t xml:space="preserve">10.1016%2Fj.jhevol.2008.08.004_TableS3.tsv</t>
  </si>
  <si>
    <t xml:space="preserve">10.1016%2Fj.jhevol.2009.11.011_Table1.tsv</t>
  </si>
  <si>
    <t xml:space="preserve">10.1016%2Fj.jhevol.2012.12.003_Table1.tsv</t>
  </si>
  <si>
    <t xml:space="preserve">10.1016%2Fj.zool.2020.125753_SupplementaryTable.tsv</t>
  </si>
  <si>
    <t xml:space="preserve">10.1016%2Fs0047-2484(03)00028-9_.tsv</t>
  </si>
  <si>
    <t xml:space="preserve">10.1016%2Fs0166-4328(98)00151-x_Table1.tsv</t>
  </si>
  <si>
    <t xml:space="preserve">10.1037%2F0735-7036.115.1.29_Table1.tsv</t>
  </si>
  <si>
    <t xml:space="preserve">10.1037%2F0735-7036.115.1.29_Table2.tsv</t>
  </si>
  <si>
    <t xml:space="preserve">10.1037%2F0735-7036.115.1.29_Table3.tsv</t>
  </si>
  <si>
    <t xml:space="preserve">10.1037%2F0735-7036.115.1.29_Table4.tsv</t>
  </si>
  <si>
    <t xml:space="preserve">10.1038%2Fs41467-020-14356-3_SupplementaryData3.tsv</t>
  </si>
  <si>
    <t xml:space="preserve">10.1038%2Fs41598-018-26062-8_Table1.tsv</t>
  </si>
  <si>
    <t xml:space="preserve">10.1038%2Fs41598-018-26062-8_TableS1.tsv</t>
  </si>
  <si>
    <t xml:space="preserve">10.1038%2Fs41598-018-26062-8_TableS5.tsv</t>
  </si>
  <si>
    <t xml:space="preserve">10.1073%2Fpnas.0305760101_Table2.tsv</t>
  </si>
  <si>
    <t xml:space="preserve">10.1073%2Fpnas.0905777106_TableS1.tsv</t>
  </si>
  <si>
    <t xml:space="preserve">10.1093%2Fcercor%2Fbhy315_Table4.tsv</t>
  </si>
  <si>
    <t xml:space="preserve">10.1093%2Fjmammal%2Fgyz043_SupplementaryDataSD1.tsv</t>
  </si>
  <si>
    <t xml:space="preserve">10.1093%2Foso%2F9780198568742.003.0006_Table6.1.tsv</t>
  </si>
  <si>
    <t xml:space="preserve">10.1098%2Frspb.2015.1853_Table1.tsv</t>
  </si>
  <si>
    <t xml:space="preserve">10.1126%2Fscience.aaa9101_TableS1.tsv</t>
  </si>
  <si>
    <t xml:space="preserve">10.1159%2F000068880_Table1.tsv</t>
  </si>
  <si>
    <t xml:space="preserve">10.1159%2F000124401_TableI.tsv</t>
  </si>
  <si>
    <t xml:space="preserve">10.1159%2F000155963_Table1.tsv</t>
  </si>
  <si>
    <t xml:space="preserve">10.1159%2F000156211_Table1.tsv</t>
  </si>
  <si>
    <t xml:space="preserve">10.1159%2F000156212_Table1.tsv</t>
  </si>
  <si>
    <t xml:space="preserve">10.1159%2F000319019_SupplementaryTable1.tsv</t>
  </si>
  <si>
    <t xml:space="preserve">10.1159%2F000319019_Table1.tsv</t>
  </si>
  <si>
    <t xml:space="preserve">10.1159%2F000323671_SupplementaryTable1.tsv</t>
  </si>
  <si>
    <t xml:space="preserve">10.1159%2F000323671_SupplementaryTable2.tsv</t>
  </si>
  <si>
    <t xml:space="preserve">10.1159%2F000346495_Table1.tsv</t>
  </si>
  <si>
    <t xml:space="preserve">10.1159%2F000437413_Table1.tsv</t>
  </si>
  <si>
    <t xml:space="preserve">10.1159%2F000437413_Table2.tsv</t>
  </si>
  <si>
    <t xml:space="preserve">10.1159%2F000437413_Table3.tsv</t>
  </si>
  <si>
    <t xml:space="preserve">10.1159%2F000437413_Table4.tsv</t>
  </si>
  <si>
    <t xml:space="preserve">10.1159%2F000437413_Table5.tsv</t>
  </si>
  <si>
    <t xml:space="preserve">10.1159%2F000452856_TableS1.tsv</t>
  </si>
  <si>
    <t xml:space="preserve">10.1371%2Fjournal.pbio.1002000_TableS1.tsv</t>
  </si>
  <si>
    <t xml:space="preserve">10.1371%2Fjournal.pbio.1002000_TableS8.tsv</t>
  </si>
  <si>
    <t xml:space="preserve">10.1523%2FJNEUROSCI.2339-19.2020_Table1.tsv</t>
  </si>
  <si>
    <t xml:space="preserve">10.1523%2FJNEUROSCI.2339-19.2020_unpublished.tsv</t>
  </si>
  <si>
    <t xml:space="preserve">10.3389%2Ffnana.2013.00035_Figure2TopLeft.tsv</t>
  </si>
  <si>
    <t xml:space="preserve">10.3389%2Ffnana.2013.00035_Table1-a.tsv</t>
  </si>
  <si>
    <t xml:space="preserve">10.3389%2Ffnana.2013.00035_Table1-b.tsv</t>
  </si>
  <si>
    <t xml:space="preserve">10.3389%2Ffnana.2017.00118_Table1.tsv</t>
  </si>
  <si>
    <t xml:space="preserve">10.3389%2Ffnhum.2013.00424_TableS2partial.tsv</t>
  </si>
  <si>
    <t xml:space="preserve">10.3389%2Ffnins.2021.632853_TABLE1.tsv</t>
  </si>
  <si>
    <t xml:space="preserve">10.6084%2Fm9.figshare.c.3899422.v1_Dataset1.tsv</t>
  </si>
  <si>
    <t xml:space="preserve">10.7554%2FeLife.77875_Supplementaryfile3.tsv</t>
  </si>
  <si>
    <t xml:space="preserve">10.7554%2FeLife.77875_Table1.tsv</t>
  </si>
  <si>
    <t xml:space="preserve">ISBN%3A9780195043716_Table12-2.tsv</t>
  </si>
  <si>
    <t xml:space="preserve">NA.tsv</t>
  </si>
  <si>
    <t xml:space="preserve">PMID%3A2358663_Table1.tsv</t>
  </si>
  <si>
    <t xml:space="preserve">PMID%3A3116076_Table1.tsv</t>
  </si>
  <si>
    <t xml:space="preserve">PMID%3A3216099_Table1.tsv</t>
  </si>
  <si>
    <t xml:space="preserve">PMID%3A3693895_Table1.tsv</t>
  </si>
  <si>
    <t xml:space="preserve">PMID%3A6481154_Table1.tsv</t>
  </si>
  <si>
    <t xml:space="preserve">PMID%3A6501869_Table1.tsv</t>
  </si>
  <si>
    <t xml:space="preserve">PMID%3A6663055_Table1.tsv</t>
  </si>
  <si>
    <t xml:space="preserve">PMID%3A7161477_Table2.tsv</t>
  </si>
  <si>
    <t xml:space="preserve">PMID%3A7161483_Table1.tsv</t>
  </si>
  <si>
    <t xml:space="preserve">PMID%3A7983368_Table1.tsv</t>
  </si>
  <si>
    <t xml:space="preserve">PMID%3A9176733_Table1.tsv</t>
  </si>
  <si>
    <t xml:space="preserve">PMID%3A9672110_Table1.tsv</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</si>
</sst>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0"/>
  <fonts count="5">
    <font>
      <sz val="12"/>
      <color theme="1"/>
      <name val="Calibri"/>
      <family val="2"/>
      <scheme val="minor"/>
    </font>
    <font>
      <sz val="12"/>
      <color theme="1"/>
      <name val="Calibri"/>
      <family val="2"/>
      <b/>
    </font>
    <font>
      <sz val="12"/>
      <color rgb="FF3F3F76"/>
      <name val="Calibri"/>
      <family val="2"/>
      <scheme val="minor"/>
    </font>
    <font>
      <sz val="12"/>
      <color theme="1"/>
      <name val="Calibri"/>
      <family val="2"/>
    </font>
    <font>
      <sz val="12"/>
      <color theme="1"/>
      <name val="Calibri"/>
      <family val="2"/>
      <i/>
    </font>
  </fonts>
  <fills count="3">
    <fill>
      <patternFill patternType="none"/>
    </fill>
    <fill>
      <patternFill patternType="gray125"/>
    </fill>
    <fill>
      <patternFill patternType="solid">
        <fgColor rgb="FFFFCC99"/>
      </patternFill>
    </fill>
  </fills>
  <borders count="2">
    <border>
      <left/>
      <right/>
      <top/>
      <bottom/>
      <diagonal/>
    </border>
    <border>
      <left style="thin">
        <color rgb="FF7F7F7F"/>
      </left>
      <right style="thin">
        <color rgb="FF7F7F7F"/>
      </right>
      <top style="thin">
        <color rgb="FF7F7F7F"/>
      </top>
      <bottom style="thin">
        <color rgb="FF7F7F7F"/>
      </bottom>
    </border>
  </borders>
  <cellStyleXfs count="1">
    <xf numFmtId="0" fontId="0" fillId="0" borderId="0"/>
  </cellStyleXfs>
  <cellXfs count="6">
    <xf numFmtId="0" fontId="0" fillId="0" borderId="0" xfId="0"/>
    <xf numFmtId="0" fontId="1" fillId="0" borderId="0" xfId="0" applyFont="1"/>
    <xf numFmtId="0" fontId="2" fillId="2" borderId="1" xfId="0" applyFont="1" applyFill="1" applyBorder="1"/>
    <xf numFmtId="0" fontId="3" fillId="0" borderId="0" xfId="0" applyFont="1" applyAlignment="1">
      <alignment wrapText="1"/>
    </xf>
    <xf numFmtId="0" fontId="3" fillId="0" borderId="0" xfId="0" applyFont="1"/>
    <xf numFmtId="0" fontId="4" fillId="0" borderId="0" xfId="0" applyFont="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10" Type="http://schemas.openxmlformats.org/officeDocument/2006/relationships/customXml" Target="../customXml/item3.xml"/><Relationship Id="rId4" Type="http://schemas.openxmlformats.org/officeDocument/2006/relationships/worksheet" Target="worksheets/sheet4.xml"/><Relationship Id="rId9" Type="http://schemas.openxmlformats.org/officeDocument/2006/relationships/customXml" Target="../customXml/item2.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Relationships xmlns="http://schemas.openxmlformats.org/package/2006/relationships"><Relationship Id="rId1" Type="http://schemas.openxmlformats.org/officeDocument/2006/relationships/drawing" Target="../drawings/drawing1.xml"/><Relationship Id="rId2" Type="http://schemas.openxmlformats.org/officeDocument/2006/relationships/printerSettings" Target="../printerSettings/printerSettings1.bin"/><Relationship Id="rIdvml" Type="http://schemas.openxmlformats.org/officeDocument/2006/relationships/vmlDrawing" Target="../drawings/vmlDrawing1.vml"/><Relationship Id="rId1h" Type="http://schemas.openxmlformats.org/officeDocument/2006/relationships/hyperlink" Target="https://cdn.elifesciences.org/articles/77875/elife-77875-supp3-v1.xlsx" TargetMode="External"/><Relationship Id="rId2h" Type="http://schemas.openxmlformats.org/officeDocument/2006/relationships/hyperlink" Target="https://elifesciences.org/download/aHR0cHM6Ly9jZG4uZWxpZmVzY2llbmNlcy5vcmcvYXJ0aWNsZXMvNzc4NzUvZWxpZmUtNzc4NzUtdjEucGRmP2Nhbm9uaWNhbFVyaT1odHRwczovL2VsaWZlc2NpZW5jZXMub3JnL2FydGljbGVzLzc3ODc1/elife-77875-v1.pdf?_hash=NStjcL9fTlmy3AQDwSiM0YgMVB3UYjO8nDg0UbwN5gM%3D" TargetMode="External"/><Relationship Id="rId3h" Type="http://schemas.openxmlformats.org/officeDocument/2006/relationships/hyperlink" Target="https://static-content.springer.com/esm/art%3A10.1038%2Fs41467-020-14356-3/MediaObjects/41467_2020_14356_MOESM6_ESM.xlsx" TargetMode="External"/><Relationship Id="rId4h" Type="http://schemas.openxmlformats.org/officeDocument/2006/relationships/hyperlink" Target="https://ndownloader.figstatic.com/files/7428211" TargetMode="External"/><Relationship Id="rId5h" Type="http://schemas.openxmlformats.org/officeDocument/2006/relationships/hyperlink" Target="https://www.researchgate.net/publication/299027052_Developmental_constraints_on_or_developmental_structure_in_brain_evolution" TargetMode="External"/><Relationship Id="rId6h" Type="http://schemas.openxmlformats.org/officeDocument/2006/relationships/hyperlink" Target="https://www.pnas.org/doi/suppl/10.1073/pnas.0905777106/suppl_file/0905777106si.pdf" TargetMode="External"/><Relationship Id="rId7h" Type="http://schemas.openxmlformats.org/officeDocument/2006/relationships/hyperlink" Target="https://www.pnas.org/doi/suppl/10.1073/pnas.0905777106/suppl_file/0905777106si.pdf" TargetMode="External"/><Relationship Id="rId8h" Type="http://schemas.openxmlformats.org/officeDocument/2006/relationships/hyperlink" Target="https://karger.com/bbe/article-pdf/86/3-4/145/2264694/000437413.pdf" TargetMode="External"/><Relationship Id="rId9h" Type="http://schemas.openxmlformats.org/officeDocument/2006/relationships/hyperlink" Target="https://karger.com/bbe/article-pdf/86/3-4/145/2264694/000437413.pdf" TargetMode="External"/><Relationship Id="rId10h" Type="http://schemas.openxmlformats.org/officeDocument/2006/relationships/hyperlink" Target="https://karger.com/bbe/article-pdf/86/3-4/145/2264694/000437413.pdf" TargetMode="External"/><Relationship Id="rId11h" Type="http://schemas.openxmlformats.org/officeDocument/2006/relationships/hyperlink" Target="https://karger.com/bbe/article-pdf/86/3-4/145/2264694/000437413.pdf" TargetMode="External"/><Relationship Id="rId12h" Type="http://schemas.openxmlformats.org/officeDocument/2006/relationships/hyperlink" Target="https://karger.com/bbe/article-pdf/86/3-4/145/2264694/000437413.pdf" TargetMode="External"/><Relationship Id="rId13h" Type="http://schemas.openxmlformats.org/officeDocument/2006/relationships/hyperlink" Target="https://karger.com/bbe/article-pdf/86/3-4/145/2264694/000437413.pdf" TargetMode="External"/><Relationship Id="rId14h" Type="http://schemas.openxmlformats.org/officeDocument/2006/relationships/hyperlink" Target="https://karger.com/bbe/article-pdf/86/3-4/145/2264694/000437413.pdf" TargetMode="External"/><Relationship Id="rId15h" Type="http://schemas.openxmlformats.org/officeDocument/2006/relationships/hyperlink" Target="https://doi.org/10.3389/fnana.2017.00118" TargetMode="External"/><Relationship Id="rId16h" Type="http://schemas.openxmlformats.org/officeDocument/2006/relationships/hyperlink" Target="https://static-content.springer.com/esm/art%3A10.1038%2Fs41598-018-26062-8/MediaObjects/41598_2018_26062_MOESM1_ESM.docx" TargetMode="External"/><Relationship Id="rId17h" Type="http://schemas.openxmlformats.org/officeDocument/2006/relationships/hyperlink" Target="https://static-content.springer.com/esm/art%3A10.1038%2Fs41598-018-26062-8/MediaObjects/41598_2018_26062_MOESM1_ESM.docx" TargetMode="External"/><Relationship Id="rId18h" Type="http://schemas.openxmlformats.org/officeDocument/2006/relationships/hyperlink" Target="https://github.com/ManyPrimates/mp1_short_term_memory/raw/master/data/species_predictors.xlsx" TargetMode="External"/><Relationship Id="rId19h" Type="http://schemas.openxmlformats.org/officeDocument/2006/relationships/hyperlink" Target="https://figshare.com/ndownloader/files/9479092" TargetMode="External"/></Relationships>
</file>

<file path=xl/worksheets/_rels/sheet2.xml.rels><?xml version="1.0" encoding="UTF-8" standalone="yes"?><Relationships xmlns="http://schemas.openxmlformats.org/package/2006/relationships"><Relationship Id="rId1" Type="http://schemas.openxmlformats.org/officeDocument/2006/relationships/drawing" Target="../drawings/drawing2.xml"/><Relationship Id="rId2" Type="http://schemas.openxmlformats.org/officeDocument/2006/relationships/printerSettings" Target="../printerSettings/printerSettings2.bin"/><Relationship Id="rIdvml" Type="http://schemas.openxmlformats.org/officeDocument/2006/relationships/vmlDrawing" Target="../drawings/vmlDrawing2.vml"/></Relationships>
</file>

<file path=xl/worksheets/_rels/sheet3.xml.rels><?xml version="1.0" encoding="UTF-8" standalone="yes"?><Relationships xmlns="http://schemas.openxmlformats.org/package/2006/relationships"><Relationship Id="rId1" Type="http://schemas.openxmlformats.org/officeDocument/2006/relationships/drawing" Target="../drawings/drawing3.xml"/><Relationship Id="rId2" Type="http://schemas.openxmlformats.org/officeDocument/2006/relationships/printerSettings" Target="../printerSettings/printerSettings3.bin"/><Relationship Id="rIdvml" Type="http://schemas.openxmlformats.org/officeDocument/2006/relationships/vmlDrawing" Target="../drawings/vmlDrawing3.vml"/></Relationships>
</file>

<file path=xl/worksheets/_rels/sheet4.xml.rels><?xml version="1.0" encoding="UTF-8" standalone="yes"?><Relationships xmlns="http://schemas.openxmlformats.org/package/2006/relationships"><Relationship Id="rId1" Type="http://schemas.openxmlformats.org/officeDocument/2006/relationships/drawing" Target="../drawings/drawing4.xml"/><Relationship Id="rId2" Type="http://schemas.openxmlformats.org/officeDocument/2006/relationships/printerSettings" Target="../printerSettings/printerSettings4.bin"/><Relationship Id="rIdvml" Type="http://schemas.openxmlformats.org/officeDocument/2006/relationships/vmlDrawing" Target="../drawings/vmlDrawing4.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tabSelected="true" zoomScale="93" zoomScaleNormal="93" workbookViewId="0">
      <pane xSplit="2" ySplit="1" topLeftCell="C2" activePane="bottomRight" state="frozen"/>
      <selection pane="topRight" activeCell="B1" sqref="B1"/>
      <selection pane="bottomLeft" activeCell="A2" sqref="A2"/>
      <selection pane="bottomRight" activeCell="D4" sqref="D4"/>
    </sheetView>
  </sheetViews>
  <sheetFormatPr defaultRowHeight="15.0" baseColWidth="10"/>
  <cols>
    <col min="1" max="1" width="25.1640625" hidden="0" customWidth="1"/>
    <col min="2" max="2" width="1.6640625" hidden="0" customWidth="1"/>
    <col min="3" max="3" width="3.5" hidden="0" customWidth="1"/>
    <col min="4" max="4" width="7.1640625" hidden="0" customWidth="1"/>
    <col min="5" max="5" width="1.5" hidden="0" customWidth="1"/>
    <col min="6" max="6" width="14.5" hidden="0" customWidth="1"/>
    <col min="7" max="7" width="10.33203125" hidden="0" customWidth="1"/>
    <col min="8" max="8" width="10.33203125" hidden="0" customWidth="1"/>
    <col min="9" max="9" width="6.1640625" hidden="0" customWidth="1"/>
    <col min="10" max="10" width="14.5" hidden="0" customWidth="1"/>
    <col min="11" max="11" width="31.83203125" hidden="0" customWidth="1"/>
    <col min="12" max="12" width="49" hidden="0" customWidth="1"/>
    <col min="13" max="13" width="10.33203125" hidden="0" customWidth="1"/>
    <col min="14" max="14" width="7.33203125" hidden="0" customWidth="1"/>
    <col min="15" max="15" width="7.33203125" hidden="0" customWidth="1"/>
    <col min="16" max="16" width="7.33203125" hidden="0" customWidth="1"/>
    <col min="17" max="17" width="7.33203125" hidden="0" customWidth="1"/>
    <col min="18" max="18" width="7.33203125" hidden="0" customWidth="1"/>
    <col min="19" max="19" width="7.33203125" hidden="0" customWidth="1"/>
    <col min="20" max="20" width="7.33203125" hidden="0" customWidth="1"/>
    <col min="21" max="21" width="7.33203125" hidden="0" customWidth="1"/>
    <col min="22" max="22" width="7.33203125" hidden="0" customWidth="1"/>
    <col min="23" max="23" width="7.33203125" hidden="0" customWidth="1"/>
    <col min="24" max="24" width="7.33203125" hidden="0" customWidth="1"/>
    <col min="25" max="25" width="7.33203125" hidden="0" customWidth="1"/>
    <col min="26" max="26" width="7.33203125" hidden="0" customWidth="1"/>
    <col min="27" max="27" width="7.33203125" hidden="0" customWidth="1"/>
    <col min="28" max="28" width="7.33203125" hidden="0" customWidth="1"/>
    <col min="29" max="29" width="7.33203125" hidden="0" customWidth="1"/>
    <col min="30" max="30" width="7.33203125" hidden="0" customWidth="1"/>
    <col min="31" max="31" width="7.33203125" hidden="0" customWidth="1"/>
    <col min="32" max="32" width="7.33203125" hidden="0" customWidth="1"/>
    <col min="33" max="33" width="7.33203125" hidden="0" customWidth="1"/>
    <col min="34" max="34" width="7.33203125" hidden="0" customWidth="1"/>
    <col min="35" max="35" width="7.33203125" hidden="0" customWidth="1"/>
    <col min="36" max="36" width="7.33203125" hidden="0" customWidth="1"/>
    <col min="37" max="37" width="7.33203125" hidden="0" customWidth="1"/>
    <col min="38" max="38" width="7.33203125" hidden="0" customWidth="1"/>
  </cols>
  <sheetData>
    <row r="1" ht="16" customHeight="1">
      <c r="A1" s="2" t="s">
        <v>0</v>
      </c>
      <c r="B1" s="2" t="s">
        <v>1</v>
      </c>
      <c r="C1" s="2" t="s">
        <v>2</v>
      </c>
      <c r="D1" s="2" t="s">
        <v>3</v>
      </c>
      <c r="E1" s="1" t="s">
        <v>4</v>
      </c>
      <c r="F1" s="1" t="s">
        <v>5</v>
      </c>
      <c r="G1" s="1" t="s">
        <v>6</v>
      </c>
      <c r="H1" s="1" t="s">
        <v>7</v>
      </c>
      <c r="I1" s="1" t="s">
        <v>8</v>
      </c>
      <c r="J1" s="1" t="s">
        <v>9</v>
      </c>
      <c r="K1" s="1" t="s">
        <v>10</v>
      </c>
      <c r="L1" s="1" t="s">
        <v>11</v>
      </c>
      <c r="M1" s="1" t="s">
        <v>12</v>
      </c>
      <c r="N1" s="2" t="s">
        <v>13</v>
      </c>
      <c r="O1" s="2" t="s">
        <v>14</v>
      </c>
      <c r="P1" s="2" t="s">
        <v>15</v>
      </c>
      <c r="Q1" s="2" t="s">
        <v>16</v>
      </c>
      <c r="R1" s="2" t="s">
        <v>17</v>
      </c>
      <c r="S1" s="2" t="s">
        <v>18</v>
      </c>
      <c r="T1" s="2" t="s">
        <v>19</v>
      </c>
      <c r="U1" s="2" t="s">
        <v>20</v>
      </c>
      <c r="V1" s="2" t="s">
        <v>21</v>
      </c>
      <c r="W1" s="2" t="s">
        <v>22</v>
      </c>
      <c r="X1" s="2" t="s">
        <v>23</v>
      </c>
      <c r="Y1" s="2" t="s">
        <v>24</v>
      </c>
      <c r="Z1" s="2" t="s">
        <v>25</v>
      </c>
      <c r="AA1" s="2" t="s">
        <v>26</v>
      </c>
      <c r="AB1" s="2" t="s">
        <v>27</v>
      </c>
      <c r="AC1" s="2" t="s">
        <v>605</v>
      </c>
      <c r="AD1" s="2" t="s">
        <v>28</v>
      </c>
      <c r="AE1" s="2" t="s">
        <v>29</v>
      </c>
      <c r="AF1" s="2" t="s">
        <v>30</v>
      </c>
      <c r="AG1" s="2" t="s">
        <v>31</v>
      </c>
      <c r="AH1" s="2" t="s">
        <v>32</v>
      </c>
      <c r="AI1" s="2" t="s">
        <v>33</v>
      </c>
      <c r="AJ1" s="2" t="s">
        <v>34</v>
      </c>
      <c r="AK1" s="2" t="s">
        <v>35</v>
      </c>
      <c r="AL1" s="2" t="s">
        <v>36</v>
      </c>
    </row>
    <row r="2" ht="16" customHeight="1">
      <c r="A2" s="2" t="s">
        <v>37</v>
      </c>
      <c r="D2" s="2" t="s">
        <v>38</v>
      </c>
      <c r="E2" t="str">
        <f t="shared" ref="E2:E34" si="0">RIGHT(A2,1)</f>
        <v>5</v>
      </c>
      <c r="F2" t="str">
        <f t="shared" ref="F2:F34" si="1">G2 &amp; IF(H2&lt;&gt;"", "_" &amp; H2, "_") &amp; IF(I2&lt;&gt;"", "_" &amp; I2, "_") &amp; IF(B2&lt;&gt;"", "_" &amp; B2, "")</f>
        <v>Andelin_etal_2019</v>
      </c>
      <c r="G2" t="str">
        <f t="shared" ref="G2:G34" si="2">SUBSTITUTE(SUBSTITUTE(_xlfn.TEXTBEFORE(A2,","), "-", ""), " ", "")</f>
        <v>Andelin</v>
      </c>
      <c r="H2" t="str">
        <f t="shared" ref="H2" si="3">IF(ISNUMBER(FIND("&amp;", A2)),
IF(LEN(A2)-LEN(SUBSTITUTE(A2, ",", ""))&gt;=6, "etal", MID(A2, SEARCH("&amp; ", A2)+2, SEARCH(",", A2, SEARCH("&amp; ", A2)+2) - SEARCH("&amp; ", A2)-2)),
""
)</f>
        <v>etal</v>
      </c>
      <c r="I2" t="str">
        <f t="shared" ref="I2:I34" si="4">_xlfn.TEXTBEFORE(_xlfn.TEXTAFTER(A2, "("), ")")</f>
        <v>2019</v>
      </c>
      <c r="J2" t="str">
        <f t="shared" ref="J2:J39" si="5">IF(C2&lt;&gt;"", C2, IF(C2="", _xlfn.TEXTAFTER(A2,"https://doi.org/"), C2))</f>
        <v>10.1093/cercor/bhy315</v>
      </c>
      <c r="K2" t="str">
        <f t="shared" ref="K2:K29" si="6">TRIM(_xlfn.TEXTJOIN("_",FALSE,F2,(SUBSTITUTE(SUBSTITUTE(D2," ",""), "_", ""))))</f>
        <v>Andelin_etal_2019_Table4</v>
      </c>
      <c r="L2" t="str">
        <f t="shared" ref="L2:L21" si="7">IF(ISBLANK(C2),TRIM(SUBSTITUTE(SUBSTITUTE(SUBSTITUTE(_xlfn.TEXTJOIN("_", FALSE, J2, SUBSTITUTE(D2,"_", "")), "/", "%2F"), ":", "%3A"), " ", "")),TRIM(SUBSTITUTE(SUBSTITUTE(SUBSTITUTE(_xlfn.TEXTJOIN("_", FALSE, C2, SUBSTITUTE(D2,"_", "")), "/", "%2F"), ":", "%3A"), " ", "")))</f>
        <v>10.1093%2Fcercor%2Fbhy315_Table4</v>
      </c>
      <c r="M2" t="str">
        <f t="array" ref="M2">IFERROR(INDEX(FileList!$A$1:$A$100, MATCH(L2, _xlfn.TEXTBEFORE(FileList!$A$1:$A$100, ".tsv"), 0)), "notfound")</f>
        <v>10.1093%2Fcercor%2Fbhy315_Table4.tsv</v>
      </c>
      <c r="V2" s="2" t="s">
        <v>39</v>
      </c>
      <c r="AJ2" s="2" t="s">
        <v>40</v>
      </c>
      <c r="AK2" s="2" t="s">
        <v>40</v>
      </c>
      <c r="AL2" s="2" t="s">
        <v>40</v>
      </c>
    </row>
    <row r="3" ht="16" customHeight="1">
      <c r="A3" s="2" t="s">
        <v>616</v>
      </c>
      <c r="D3" s="2" t="s">
        <v>618</v>
      </c>
      <c r="E3" t="str">
        <f t="shared" ref="E3" si="8">RIGHT(A3,1)</f>
        <v>3</v>
      </c>
      <c r="F3" t="str">
        <f t="shared" ref="F3" si="9">G3 &amp; IF(H3&lt;&gt;"", "_" &amp; H3, "_") &amp; IF(I3&lt;&gt;"", "_" &amp; I3, "_") &amp; IF(B3&lt;&gt;"", "_" &amp; B3, "")</f>
        <v>Ashwell__2020</v>
      </c>
      <c r="G3" t="str">
        <f t="shared" ref="G3" si="10">SUBSTITUTE(SUBSTITUTE(_xlfn.TEXTBEFORE(A3,","), "-", ""), " ", "")</f>
        <v>Ashwell</v>
      </c>
      <c r="H3" t="str">
        <f t="shared" ref="H3" si="11">IF(ISNUMBER(FIND("&amp;", A3)),
IF(LEN(A3)-LEN(SUBSTITUTE(A3, ",", ""))&gt;=6, "etal", MID(A3, SEARCH("&amp; ", A3)+2, SEARCH(",", A3, SEARCH("&amp; ", A3)+2) - SEARCH("&amp; ", A3)-2)),
""
)</f>
      </c>
      <c r="I3" t="str">
        <f t="shared" ref="I3" si="12">_xlfn.TEXTBEFORE(_xlfn.TEXTAFTER(A3, "("), ")")</f>
        <v>2020</v>
      </c>
      <c r="J3" t="str">
        <f t="shared" ref="J3" si="13">IF(C3&lt;&gt;"", C3, IF(C3="", _xlfn.TEXTAFTER(A3,"https://doi.org/"), C3))</f>
        <v>10.1016/j.zool.2020.125753</v>
      </c>
      <c r="K3" t="str">
        <f t="shared" ref="K3" si="14">TRIM(_xlfn.TEXTJOIN("_",FALSE,F3,(SUBSTITUTE(SUBSTITUTE(D3," ",""), "_", ""))))</f>
        <v>Ashwell__2020_SupplementaryTable</v>
      </c>
      <c r="L3" t="str">
        <f t="shared" ref="L3" si="15">IF(ISBLANK(C3),TRIM(SUBSTITUTE(SUBSTITUTE(SUBSTITUTE(_xlfn.TEXTJOIN("_", FALSE, J3, SUBSTITUTE(D3,"_", "")), "/", "%2F"), ":", "%3A"), " ", "")),TRIM(SUBSTITUTE(SUBSTITUTE(SUBSTITUTE(_xlfn.TEXTJOIN("_", FALSE, C3, SUBSTITUTE(D3,"_", "")), "/", "%2F"), ":", "%3A"), " ", "")))</f>
        <v>10.1016%2Fj.zool.2020.125753_SupplementaryTable</v>
      </c>
      <c r="M3" t="str">
        <f t="array" ref="M3">IFERROR(INDEX(FileList!$A$1:$A$100, MATCH(L3, _xlfn.TEXTBEFORE(FileList!$A$1:$A$100, ".tsv"), 0)), "notfound")</f>
        <v>notfound</v>
      </c>
      <c r="N3" s="2" t="s">
        <v>617</v>
      </c>
    </row>
    <row r="4" ht="16" customHeight="1">
      <c r="A4" s="2" t="s">
        <v>41</v>
      </c>
      <c r="D4" s="2" t="s">
        <v>42</v>
      </c>
      <c r="E4" t="str">
        <f t="shared" si="0"/>
        <v>9</v>
      </c>
      <c r="F4" t="str">
        <f t="shared" si="1"/>
        <v>AvelinodeSouza_etal_2025</v>
      </c>
      <c r="G4" t="str">
        <f t="shared" si="2"/>
        <v>AvelinodeSouza</v>
      </c>
      <c r="H4" t="str">
        <f t="shared" ref="H4:H67" si="16">_xlfn.LET(_xlpm.authorPart,_xlfn.TEXTBEFORE(A4," ("),IFERROR(IF(ISNUMBER(FIND("&amp;",_xlpm.authorPart)),IF(LEN(A4)-LEN(SUBSTITUTE(A4,",",""))&gt;=6,"etal",_xlfn.TEXTBEFORE(_xlfn.TEXTAFTER(_xlpm.authorPart,"&amp; "),",")),""),""))</f>
        <v>etal</v>
      </c>
      <c r="I4" t="str">
        <f t="shared" si="4"/>
        <v>2025</v>
      </c>
      <c r="J4" t="str">
        <f t="shared" si="5"/>
        <v>10.1002/cne.70089</v>
      </c>
      <c r="K4" t="str">
        <f t="shared" si="6"/>
        <v>AvelinodeSouza_etal_2025_TABLE1</v>
      </c>
      <c r="L4" t="str">
        <f t="shared" si="7"/>
        <v>10.1002%2Fcne.70089_TABLE1</v>
      </c>
      <c r="M4" t="str">
        <f t="array" ref="M4">IFERROR(INDEX(FileList!$A$1:$A$100, MATCH(L4, _xlfn.TEXTBEFORE(FileList!$A$1:$A$100, ".tsv"), 0)), "notfound")</f>
        <v>10.1002%2Fcne.70089_TABLE1.tsv</v>
      </c>
      <c r="N4" s="2" t="s">
        <v>43</v>
      </c>
      <c r="P4" s="2" t="s">
        <v>44</v>
      </c>
      <c r="Q4" s="2" t="s">
        <v>45</v>
      </c>
      <c r="R4" s="2" t="s">
        <v>46</v>
      </c>
      <c r="S4" s="2" t="s">
        <v>47</v>
      </c>
      <c r="T4" s="2" t="s">
        <v>48</v>
      </c>
      <c r="U4" s="2" t="s">
        <v>49</v>
      </c>
      <c r="V4" s="2" t="s">
        <v>39</v>
      </c>
      <c r="W4" s="2" t="s">
        <v>50</v>
      </c>
      <c r="X4" s="2" t="s">
        <v>51</v>
      </c>
      <c r="Y4" s="2" t="s">
        <v>52</v>
      </c>
      <c r="Z4" s="2" t="s">
        <v>53</v>
      </c>
      <c r="AA4" s="2" t="s">
        <v>54</v>
      </c>
      <c r="AB4" s="2" t="s">
        <v>189</v>
      </c>
      <c r="AF4" s="2" t="s">
        <v>55</v>
      </c>
      <c r="AJ4" s="2" t="s">
        <v>56</v>
      </c>
      <c r="AK4" s="2" t="s">
        <v>53</v>
      </c>
      <c r="AL4" s="2" t="s">
        <v>57</v>
      </c>
    </row>
    <row r="5" ht="16" customHeight="1">
      <c r="A5" s="2" t="s">
        <v>58</v>
      </c>
      <c r="D5" s="2" t="s">
        <v>59</v>
      </c>
      <c r="E5" t="str">
        <f t="shared" si="0"/>
        <v>1</v>
      </c>
      <c r="F5" t="str">
        <f t="shared" si="1"/>
        <v>BarbeitoAndres_etal_2019</v>
      </c>
      <c r="G5" t="str">
        <f t="shared" si="2"/>
        <v>BarbeitoAndres</v>
      </c>
      <c r="H5" t="str">
        <f t="shared" si="16"/>
        <v>etal</v>
      </c>
      <c r="I5" t="str">
        <f t="shared" si="4"/>
        <v>2019</v>
      </c>
      <c r="J5" t="str">
        <f t="shared" si="5"/>
        <v>10.1242/jeb.204651</v>
      </c>
      <c r="K5" t="str">
        <f t="shared" si="6"/>
        <v>BarbeitoAndres_etal_2019_datafigshare.xlsx</v>
      </c>
      <c r="L5" t="str">
        <f t="shared" si="7"/>
        <v>10.1242%2Fjeb.204651_datafigshare.xlsx</v>
      </c>
      <c r="M5" t="str">
        <f t="array" ref="M5">IFERROR(INDEX(FileList!$A$1:$A$100, MATCH(L5, _xlfn.TEXTBEFORE(FileList!$A$1:$A$100, ".tsv"), 0)), "notfound")</f>
        <v>notfound</v>
      </c>
      <c r="AB5" s="2" t="s">
        <v>189</v>
      </c>
      <c r="AJ5" s="2" t="s">
        <v>40</v>
      </c>
      <c r="AK5" s="2" t="s">
        <v>40</v>
      </c>
      <c r="AL5" s="2" t="s">
        <v>40</v>
      </c>
    </row>
    <row r="6" ht="16" customHeight="1">
      <c r="A6" s="2" t="s">
        <v>60</v>
      </c>
      <c r="D6" s="2" t="s">
        <v>42</v>
      </c>
      <c r="E6" t="str">
        <f t="shared" si="0"/>
        <v>4</v>
      </c>
      <c r="F6" t="str">
        <f t="shared" si="1"/>
        <v>Barger_etal_2007</v>
      </c>
      <c r="G6" t="str">
        <f t="shared" si="2"/>
        <v>Barger</v>
      </c>
      <c r="H6" t="str">
        <f t="shared" si="16"/>
        <v>etal</v>
      </c>
      <c r="I6" t="str">
        <f t="shared" si="4"/>
        <v>2007</v>
      </c>
      <c r="J6" t="str">
        <f t="shared" si="5"/>
        <v>10.1002/ajpa.20684</v>
      </c>
      <c r="K6" t="str">
        <f t="shared" si="6"/>
        <v>Barger_etal_2007_TABLE1</v>
      </c>
      <c r="L6" t="str">
        <f t="shared" si="7"/>
        <v>10.1002%2Fajpa.20684_TABLE1</v>
      </c>
      <c r="M6" t="str">
        <f t="array" ref="M6">IFERROR(INDEX(FileList!$A$1:$A$100, MATCH(L6, _xlfn.TEXTBEFORE(FileList!$A$1:$A$100, ".tsv"), 0)), "notfound")</f>
        <v>10.1002%2Fajpa.20684_TABLE1.tsv</v>
      </c>
      <c r="Y6" s="2" t="s">
        <v>61</v>
      </c>
      <c r="AB6" s="2" t="s">
        <v>562</v>
      </c>
      <c r="AC6" s="2" t="s">
        <v>562</v>
      </c>
      <c r="AJ6" s="2" t="s">
        <v>62</v>
      </c>
      <c r="AK6" s="2" t="s">
        <v>53</v>
      </c>
      <c r="AL6" s="2" t="s">
        <v>63</v>
      </c>
    </row>
    <row r="7" ht="16" customHeight="1">
      <c r="A7" s="2" t="s">
        <v>64</v>
      </c>
      <c r="E7" t="str">
        <f t="shared" si="0"/>
        <v>8</v>
      </c>
      <c r="F7" t="str">
        <f t="shared" si="1"/>
        <v>Barger_etal_2012</v>
      </c>
      <c r="G7" t="str">
        <f t="shared" si="2"/>
        <v>Barger</v>
      </c>
      <c r="H7" t="str">
        <f t="shared" si="16"/>
        <v>etal</v>
      </c>
      <c r="I7" t="str">
        <f t="shared" si="4"/>
        <v>2012</v>
      </c>
      <c r="J7" t="str">
        <f t="shared" si="5"/>
        <v>10.1002/cne.23118</v>
      </c>
      <c r="K7" t="str">
        <f t="shared" si="6"/>
        <v>Barger_etal_2012_</v>
      </c>
      <c r="L7" t="str">
        <f t="shared" si="7"/>
        <v>10.1002%2Fcne.23118_</v>
      </c>
      <c r="M7" t="str">
        <f t="array" ref="M7">IFERROR(INDEX(FileList!$A$1:$A$100, MATCH(L7, _xlfn.TEXTBEFORE(FileList!$A$1:$A$100, ".tsv"), 0)), "notfound")</f>
        <v>notfound</v>
      </c>
      <c r="N7" s="2" t="s">
        <v>603</v>
      </c>
      <c r="Y7" s="2" t="s">
        <v>65</v>
      </c>
      <c r="AC7" s="2" t="s">
        <v>562</v>
      </c>
      <c r="AJ7" s="2" t="s">
        <v>62</v>
      </c>
      <c r="AK7" s="2" t="s">
        <v>53</v>
      </c>
      <c r="AL7" s="2" t="s">
        <v>66</v>
      </c>
    </row>
    <row r="8" ht="16" customHeight="1">
      <c r="A8" s="2" t="s">
        <v>67</v>
      </c>
      <c r="C8" s="2" t="s">
        <v>68</v>
      </c>
      <c r="D8" s="2" t="s">
        <v>117</v>
      </c>
      <c r="E8" t="str">
        <f t="shared" si="0"/>
        <v>9</v>
      </c>
      <c r="F8" t="str">
        <f t="shared" si="1"/>
        <v>Baron_etal_1988</v>
      </c>
      <c r="G8" t="str">
        <f t="shared" si="2"/>
        <v>Baron</v>
      </c>
      <c r="H8" t="str">
        <f t="shared" si="16"/>
        <v>etal</v>
      </c>
      <c r="I8" t="str">
        <f t="shared" si="4"/>
        <v>1988</v>
      </c>
      <c r="J8" t="str">
        <f t="shared" si="5"/>
        <v>PMID:3216099</v>
      </c>
      <c r="K8" t="str">
        <f t="shared" si="6"/>
        <v>Baron_etal_1988_Table1</v>
      </c>
      <c r="L8" t="str">
        <f t="shared" si="7"/>
        <v>PMID%3A3216099_Table1</v>
      </c>
      <c r="M8" t="str">
        <f t="array" ref="M8">IFERROR(INDEX(FileList!$A$1:$A$100, MATCH(L8, _xlfn.TEXTBEFORE(FileList!$A$1:$A$100, ".tsv"), 0)), "notfound")</f>
        <v>PMID%3A3216099_Table1.tsv</v>
      </c>
      <c r="N8" s="2" t="s">
        <v>70</v>
      </c>
      <c r="Y8" s="2" t="s">
        <v>71</v>
      </c>
      <c r="AA8" s="2" t="s">
        <v>72</v>
      </c>
      <c r="AB8" s="2" t="s">
        <v>72</v>
      </c>
      <c r="AC8" s="2" t="s">
        <v>72</v>
      </c>
      <c r="AJ8" s="2" t="s">
        <v>73</v>
      </c>
      <c r="AK8" s="2" t="s">
        <v>53</v>
      </c>
      <c r="AL8" s="2" t="s">
        <v>63</v>
      </c>
    </row>
    <row r="9" ht="17" customHeight="1">
      <c r="A9" s="2" t="s">
        <v>74</v>
      </c>
      <c r="C9" s="2" t="s">
        <v>75</v>
      </c>
      <c r="D9" s="2" t="s">
        <v>117</v>
      </c>
      <c r="E9" t="str">
        <f t="shared" si="0"/>
        <v>5</v>
      </c>
      <c r="F9" t="str">
        <f t="shared" si="1"/>
        <v>Baron_etal_1983</v>
      </c>
      <c r="G9" t="str">
        <f t="shared" si="2"/>
        <v>Baron</v>
      </c>
      <c r="H9" t="str">
        <f t="shared" si="16"/>
        <v>etal</v>
      </c>
      <c r="I9" t="str">
        <f t="shared" si="4"/>
        <v>1983</v>
      </c>
      <c r="J9" t="str">
        <f t="shared" si="5"/>
        <v>PMID:6663055</v>
      </c>
      <c r="K9" t="str">
        <f t="shared" si="6"/>
        <v>Baron_etal_1983_Table1</v>
      </c>
      <c r="L9" t="str">
        <f t="shared" si="7"/>
        <v>PMID%3A6663055_Table1</v>
      </c>
      <c r="M9" t="str">
        <f t="array" ref="M9">IFERROR(INDEX(FileList!$A$1:$A$100, MATCH(L9, _xlfn.TEXTBEFORE(FileList!$A$1:$A$100, ".tsv"), 0)), "notfound")</f>
        <v>PMID%3A6663055_Table1.tsv</v>
      </c>
      <c r="V9" s="2" t="s">
        <v>39</v>
      </c>
      <c r="W9" s="2" t="s">
        <v>76</v>
      </c>
      <c r="Y9" s="2" t="s">
        <v>77</v>
      </c>
      <c r="Z9" s="2" t="s">
        <v>53</v>
      </c>
      <c r="AB9" s="2" t="s">
        <v>72</v>
      </c>
      <c r="AC9" s="2" t="s">
        <v>72</v>
      </c>
      <c r="AJ9" s="2" t="s">
        <v>73</v>
      </c>
      <c r="AK9" s="2" t="s">
        <v>53</v>
      </c>
      <c r="AL9" s="2" t="s">
        <v>63</v>
      </c>
    </row>
    <row r="10" ht="17" customHeight="1">
      <c r="A10" s="2" t="s">
        <v>78</v>
      </c>
      <c r="C10" s="2" t="s">
        <v>79</v>
      </c>
      <c r="D10" s="2" t="s">
        <v>117</v>
      </c>
      <c r="E10" t="str">
        <f t="shared" si="0"/>
        <v>6</v>
      </c>
      <c r="F10" t="str">
        <f t="shared" si="1"/>
        <v>Baron_etal_1987</v>
      </c>
      <c r="G10" t="str">
        <f t="shared" si="2"/>
        <v>Baron</v>
      </c>
      <c r="H10" t="str">
        <f t="shared" si="16"/>
        <v>etal</v>
      </c>
      <c r="I10" t="str">
        <f t="shared" si="4"/>
        <v>1987</v>
      </c>
      <c r="J10" t="str">
        <f t="shared" si="5"/>
        <v>PMID:3116076</v>
      </c>
      <c r="K10" t="str">
        <f t="shared" si="6"/>
        <v>Baron_etal_1987_Table1</v>
      </c>
      <c r="L10" t="str">
        <f t="shared" si="7"/>
        <v>PMID%3A3116076_Table1</v>
      </c>
      <c r="M10" t="str">
        <f t="array" ref="M10">IFERROR(INDEX(FileList!$A$1:$A$100, MATCH(L10, _xlfn.TEXTBEFORE(FileList!$A$1:$A$100, ".tsv"), 0)), "notfound")</f>
        <v>PMID%3A3116076_Table1.tsv</v>
      </c>
      <c r="V10" s="2" t="s">
        <v>39</v>
      </c>
      <c r="W10" s="2" t="s">
        <v>76</v>
      </c>
      <c r="Y10" s="2" t="s">
        <v>80</v>
      </c>
      <c r="Z10" s="2" t="s">
        <v>53</v>
      </c>
      <c r="AB10" s="2" t="s">
        <v>72</v>
      </c>
      <c r="AC10" s="2" t="s">
        <v>72</v>
      </c>
      <c r="AJ10" s="2" t="s">
        <v>73</v>
      </c>
      <c r="AK10" s="2" t="s">
        <v>53</v>
      </c>
      <c r="AL10" s="2" t="s">
        <v>63</v>
      </c>
    </row>
    <row r="11" ht="16" customHeight="1">
      <c r="A11" s="2" t="s">
        <v>81</v>
      </c>
      <c r="C11" s="2" t="s">
        <v>82</v>
      </c>
      <c r="D11" s="2" t="s">
        <v>117</v>
      </c>
      <c r="E11" t="str">
        <f t="shared" si="0"/>
        <v>3</v>
      </c>
      <c r="F11" t="str">
        <f t="shared" si="1"/>
        <v>Baron_etal_1990</v>
      </c>
      <c r="G11" t="str">
        <f t="shared" si="2"/>
        <v>Baron</v>
      </c>
      <c r="H11" t="str">
        <f t="shared" si="16"/>
        <v>etal</v>
      </c>
      <c r="I11" t="str">
        <f t="shared" si="4"/>
        <v>1990</v>
      </c>
      <c r="J11" t="str">
        <f t="shared" si="5"/>
        <v>PMID:2358663</v>
      </c>
      <c r="K11" t="str">
        <f t="shared" si="6"/>
        <v>Baron_etal_1990_Table1</v>
      </c>
      <c r="L11" t="str">
        <f t="shared" si="7"/>
        <v>PMID%3A2358663_Table1</v>
      </c>
      <c r="M11" t="str">
        <f t="array" ref="M11">IFERROR(INDEX(FileList!$A$1:$A$100, MATCH(L11, _xlfn.TEXTBEFORE(FileList!$A$1:$A$100, ".tsv"), 0)), "notfound")</f>
        <v>PMID%3A2358663_Table1.tsv</v>
      </c>
      <c r="N11" s="2" t="s">
        <v>611</v>
      </c>
      <c r="V11" s="2" t="s">
        <v>39</v>
      </c>
      <c r="W11" s="2" t="s">
        <v>76</v>
      </c>
      <c r="Y11" s="2" t="s">
        <v>83</v>
      </c>
      <c r="Z11" s="2" t="s">
        <v>53</v>
      </c>
      <c r="AA11" s="2" t="s">
        <v>72</v>
      </c>
      <c r="AB11" s="2" t="s">
        <v>84</v>
      </c>
      <c r="AC11" s="2" t="s">
        <v>72</v>
      </c>
      <c r="AJ11" s="2" t="s">
        <v>73</v>
      </c>
      <c r="AK11" s="2" t="s">
        <v>53</v>
      </c>
      <c r="AL11" s="2" t="s">
        <v>63</v>
      </c>
    </row>
    <row r="12" ht="16" customHeight="1">
      <c r="A12" s="2" t="s">
        <v>85</v>
      </c>
      <c r="D12" s="2" t="s">
        <v>117</v>
      </c>
      <c r="E12" t="str">
        <f t="shared" si="0"/>
        <v>3</v>
      </c>
      <c r="F12" t="str">
        <f t="shared" si="1"/>
        <v>Bauernfeind_etal_2013</v>
      </c>
      <c r="G12" t="str">
        <f t="shared" si="2"/>
        <v>Bauernfeind</v>
      </c>
      <c r="H12" t="str">
        <f t="shared" si="16"/>
        <v>etal</v>
      </c>
      <c r="I12" t="str">
        <f t="shared" si="4"/>
        <v>2013</v>
      </c>
      <c r="J12" t="str">
        <f t="shared" si="5"/>
        <v>10.1016/j.jhevol.2012.12.003</v>
      </c>
      <c r="K12" t="str">
        <f t="shared" si="6"/>
        <v>Bauernfeind_etal_2013_Table1</v>
      </c>
      <c r="L12" t="str">
        <f t="shared" si="7"/>
        <v>10.1016%2Fj.jhevol.2012.12.003_Table1</v>
      </c>
      <c r="M12" t="str">
        <f t="array" ref="M12">IFERROR(INDEX(FileList!$A$1:$A$100, MATCH(L12, _xlfn.TEXTBEFORE(FileList!$A$1:$A$100, ".tsv"), 0)), "notfound")</f>
        <v>10.1016%2Fj.jhevol.2012.12.003_Table1.tsv</v>
      </c>
      <c r="N12" s="2" t="s">
        <v>87</v>
      </c>
      <c r="V12" s="2" t="s">
        <v>39</v>
      </c>
      <c r="Y12" s="2" t="s">
        <v>88</v>
      </c>
      <c r="Z12" s="2" t="s">
        <v>53</v>
      </c>
      <c r="AA12" s="2" t="s">
        <v>606</v>
      </c>
      <c r="AB12" s="2" t="s">
        <v>84</v>
      </c>
      <c r="AJ12" s="2" t="s">
        <v>86</v>
      </c>
      <c r="AK12" s="2" t="s">
        <v>53</v>
      </c>
      <c r="AL12" s="2" t="s">
        <v>63</v>
      </c>
    </row>
    <row r="13" ht="16" customHeight="1">
      <c r="A13" s="2" t="s">
        <v>89</v>
      </c>
      <c r="C13" s="2" t="s">
        <v>90</v>
      </c>
      <c r="D13" s="2" t="s">
        <v>91</v>
      </c>
      <c r="E13" t="str">
        <f t="shared" si="0"/>
        <v>0</v>
      </c>
      <c r="F13" t="str">
        <f t="shared" si="1"/>
        <v>Brodmann__1913</v>
      </c>
      <c r="G13" t="str">
        <f t="shared" si="2"/>
        <v>Brodmann</v>
      </c>
      <c r="H13" t="str">
        <f t="shared" si="16"/>
      </c>
      <c r="I13" t="str">
        <f t="shared" si="4"/>
        <v>1913</v>
      </c>
      <c r="J13" t="str">
        <f t="shared" si="5"/>
        <v>10.0000/placeholder</v>
      </c>
      <c r="K13" t="str">
        <f t="shared" si="6"/>
        <v>Brodmann__1913_Tabelle1</v>
      </c>
      <c r="L13" t="str">
        <f t="shared" si="7"/>
        <v>10.0000%2Fplaceholder_Tabelle1</v>
      </c>
      <c r="M13" t="str">
        <f t="array" ref="M13">IFERROR(INDEX(FileList!$A$1:$A$100, MATCH(L13, _xlfn.TEXTBEFORE(FileList!$A$1:$A$100, ".tsv"), 0)), "notfound")</f>
        <v>notfound</v>
      </c>
      <c r="Y13" s="2" t="s">
        <v>92</v>
      </c>
      <c r="AJ13" s="2" t="s">
        <v>93</v>
      </c>
      <c r="AK13" s="2" t="s">
        <v>53</v>
      </c>
      <c r="AL13" s="2" t="s">
        <v>92</v>
      </c>
    </row>
    <row r="14" ht="16" customHeight="1">
      <c r="A14" s="2" t="s">
        <v>94</v>
      </c>
      <c r="D14" s="2" t="s">
        <v>95</v>
      </c>
      <c r="E14" t="str">
        <f t="shared" si="0"/>
        <v>3</v>
      </c>
      <c r="F14" t="str">
        <f t="shared" si="1"/>
        <v>Burger_etal_2019</v>
      </c>
      <c r="G14" t="str">
        <f t="shared" si="2"/>
        <v>Burger</v>
      </c>
      <c r="H14" t="str">
        <f t="shared" si="16"/>
        <v>etal</v>
      </c>
      <c r="I14" t="str">
        <f t="shared" si="4"/>
        <v>2019</v>
      </c>
      <c r="J14" t="str">
        <f t="shared" si="5"/>
        <v>10.1093/jmammal/gyz043</v>
      </c>
      <c r="K14" t="str">
        <f t="shared" si="6"/>
        <v>Burger_etal_2019_SupplementaryDataSD1</v>
      </c>
      <c r="L14" t="str">
        <f t="shared" si="7"/>
        <v>10.1093%2Fjmammal%2Fgyz043_SupplementaryDataSD1</v>
      </c>
      <c r="M14" t="str">
        <f t="array" ref="M14">IFERROR(INDEX(FileList!$A$1:$A$100, MATCH(L14, _xlfn.TEXTBEFORE(FileList!$A$1:$A$100, ".tsv"), 0)), "notfound")</f>
        <v>10.1093%2Fjmammal%2Fgyz043_SupplementaryDataSD1.tsv</v>
      </c>
      <c r="O14" s="2" t="s">
        <v>96</v>
      </c>
      <c r="P14" s="2" t="s">
        <v>44</v>
      </c>
      <c r="Q14" s="2" t="s">
        <v>97</v>
      </c>
      <c r="R14" s="2" t="s">
        <v>98</v>
      </c>
      <c r="S14" s="2" t="s">
        <v>99</v>
      </c>
      <c r="T14" s="2" t="str">
        <f>IF(S14="N", R14, "write file name")</f>
        <v>gyz043_suppl_Supplement_Data.csv</v>
      </c>
      <c r="U14" s="2" t="s">
        <v>100</v>
      </c>
      <c r="V14" s="2" t="s">
        <v>39</v>
      </c>
      <c r="W14" s="2" t="s">
        <v>101</v>
      </c>
      <c r="Y14" s="2" t="s">
        <v>102</v>
      </c>
      <c r="Z14" s="2" t="s">
        <v>103</v>
      </c>
      <c r="AE14" s="2" t="s">
        <v>104</v>
      </c>
      <c r="AF14" s="2" t="s">
        <v>105</v>
      </c>
      <c r="AJ14" s="2" t="s">
        <v>106</v>
      </c>
      <c r="AK14" s="2" t="s">
        <v>103</v>
      </c>
      <c r="AL14" s="2" t="s">
        <v>107</v>
      </c>
    </row>
    <row r="15" ht="16" customHeight="1">
      <c r="A15" s="2" t="s">
        <v>108</v>
      </c>
      <c r="D15" s="2" t="s">
        <v>109</v>
      </c>
      <c r="E15" t="str">
        <f t="shared" si="0"/>
        <v>9</v>
      </c>
      <c r="F15" t="str">
        <f t="shared" si="1"/>
        <v>Burish_etal_2010</v>
      </c>
      <c r="G15" t="str">
        <f t="shared" si="2"/>
        <v>Burish</v>
      </c>
      <c r="H15" t="str">
        <f t="shared" si="16"/>
        <v>etal</v>
      </c>
      <c r="I15" t="str">
        <f t="shared" si="4"/>
        <v>2010</v>
      </c>
      <c r="J15" t="str">
        <f t="shared" si="5"/>
        <v>10.1159/000319019</v>
      </c>
      <c r="K15" t="str">
        <f t="shared" si="6"/>
        <v>Burish_etal_2010_SupplementaryTable1</v>
      </c>
      <c r="L15" t="str">
        <f t="shared" si="7"/>
        <v>10.1159%2F000319019_SupplementaryTable1</v>
      </c>
      <c r="M15" t="str">
        <f t="array" ref="M15">IFERROR(INDEX(FileList!$A$1:$A$100, MATCH(L15, _xlfn.TEXTBEFORE(FileList!$A$1:$A$100, ".tsv"), 0)), "notfound")</f>
        <v>10.1159%2F000319019_SupplementaryTable1.tsv</v>
      </c>
      <c r="N15" s="2" t="s">
        <v>110</v>
      </c>
      <c r="P15" s="2" t="s">
        <v>111</v>
      </c>
      <c r="R15" s="2" t="s">
        <v>112</v>
      </c>
      <c r="Z15" s="2" t="s">
        <v>113</v>
      </c>
      <c r="AA15" s="2" t="s">
        <v>54</v>
      </c>
      <c r="AB15" s="2" t="s">
        <v>189</v>
      </c>
      <c r="AC15" s="2" t="s">
        <v>54</v>
      </c>
      <c r="AD15" s="2" t="s">
        <v>114</v>
      </c>
      <c r="AF15" s="2" t="s">
        <v>115</v>
      </c>
      <c r="AJ15" s="2" t="s">
        <v>116</v>
      </c>
      <c r="AK15" s="2" t="s">
        <v>40</v>
      </c>
      <c r="AL15" s="2" t="s">
        <v>40</v>
      </c>
    </row>
    <row r="16" ht="16" customHeight="1">
      <c r="A16" s="2" t="s">
        <v>108</v>
      </c>
      <c r="D16" s="2" t="s">
        <v>117</v>
      </c>
      <c r="E16" t="str">
        <f t="shared" si="0"/>
        <v>9</v>
      </c>
      <c r="F16" t="str">
        <f t="shared" si="1"/>
        <v>Burish_etal_2010</v>
      </c>
      <c r="G16" t="str">
        <f t="shared" si="2"/>
        <v>Burish</v>
      </c>
      <c r="H16" t="str">
        <f t="shared" si="16"/>
        <v>etal</v>
      </c>
      <c r="I16" t="str">
        <f t="shared" si="4"/>
        <v>2010</v>
      </c>
      <c r="J16" t="str">
        <f t="shared" si="5"/>
        <v>10.1159/000319019</v>
      </c>
      <c r="K16" t="str">
        <f t="shared" si="6"/>
        <v>Burish_etal_2010_Table1</v>
      </c>
      <c r="L16" t="str">
        <f t="shared" si="7"/>
        <v>10.1159%2F000319019_Table1</v>
      </c>
      <c r="M16" t="str">
        <f t="array" ref="M16">IFERROR(INDEX(FileList!$A$1:$A$100, MATCH(L16, _xlfn.TEXTBEFORE(FileList!$A$1:$A$100, ".tsv"), 0)), "notfound")</f>
        <v>10.1159%2F000319019_Table1.tsv</v>
      </c>
      <c r="N16" s="2" t="s">
        <v>118</v>
      </c>
      <c r="P16" s="2" t="s">
        <v>44</v>
      </c>
      <c r="Q16" s="2" t="s">
        <v>45</v>
      </c>
      <c r="R16" s="2" t="s">
        <v>119</v>
      </c>
      <c r="T16" s="2" t="s">
        <v>120</v>
      </c>
      <c r="U16" s="2" t="s">
        <v>49</v>
      </c>
      <c r="V16" s="2" t="s">
        <v>39</v>
      </c>
      <c r="X16" s="2" t="s">
        <v>121</v>
      </c>
      <c r="Z16" s="2" t="s">
        <v>122</v>
      </c>
      <c r="AA16" s="2" t="s">
        <v>54</v>
      </c>
      <c r="AB16" s="2" t="s">
        <v>189</v>
      </c>
      <c r="AC16" s="2" t="s">
        <v>54</v>
      </c>
      <c r="AD16" s="2" t="s">
        <v>114</v>
      </c>
      <c r="AF16" s="2" t="s">
        <v>115</v>
      </c>
      <c r="AG16" s="2" t="s">
        <v>123</v>
      </c>
      <c r="AJ16" s="2" t="s">
        <v>116</v>
      </c>
      <c r="AK16" s="2" t="s">
        <v>40</v>
      </c>
      <c r="AL16" s="2" t="s">
        <v>40</v>
      </c>
    </row>
    <row r="17" ht="16" customHeight="1">
      <c r="A17" s="2" t="s">
        <v>124</v>
      </c>
      <c r="D17" s="2" t="s">
        <v>117</v>
      </c>
      <c r="E17" t="str">
        <f t="shared" si="0"/>
        <v>0</v>
      </c>
      <c r="F17" t="str">
        <f t="shared" si="1"/>
        <v>Bush_Allman_2003</v>
      </c>
      <c r="G17" t="str">
        <f t="shared" si="2"/>
        <v>Bush</v>
      </c>
      <c r="H17" t="str">
        <f t="shared" si="16"/>
        <v>Allman</v>
      </c>
      <c r="I17" t="str">
        <f t="shared" si="4"/>
        <v>2003</v>
      </c>
      <c r="J17" t="str">
        <f t="shared" si="5"/>
        <v>10.1159/000068880</v>
      </c>
      <c r="K17" t="str">
        <f t="shared" si="6"/>
        <v>Bush_Allman_2003_Table1</v>
      </c>
      <c r="L17" t="str">
        <f t="shared" si="7"/>
        <v>10.1159%2F000068880_Table1</v>
      </c>
      <c r="M17" t="str">
        <f t="array" ref="M17">IFERROR(INDEX(FileList!$A$1:$A$100, MATCH(L17, _xlfn.TEXTBEFORE(FileList!$A$1:$A$100, ".tsv"), 0)), "notfound")</f>
        <v>10.1159%2F000068880_Table1.tsv</v>
      </c>
      <c r="N17" s="2" t="s">
        <v>126</v>
      </c>
      <c r="P17" s="2" t="s">
        <v>127</v>
      </c>
    </row>
    <row r="18" ht="16" customHeight="1">
      <c r="A18" s="2" t="s">
        <v>600</v>
      </c>
      <c r="B18" s="2" t="s">
        <v>599</v>
      </c>
      <c r="D18" s="2" t="s">
        <v>125</v>
      </c>
      <c r="E18" t="str">
        <f t="shared" si="0"/>
        <v>1</v>
      </c>
      <c r="F18" t="str">
        <f t="shared" si="1"/>
        <v>Bush_Allman_2004_a</v>
      </c>
      <c r="G18" t="str">
        <f t="shared" si="2"/>
        <v>Bush</v>
      </c>
      <c r="H18" t="str">
        <f t="shared" si="16"/>
        <v>Allman</v>
      </c>
      <c r="I18" t="str">
        <f t="shared" si="4"/>
        <v>2004</v>
      </c>
      <c r="J18" t="str">
        <f t="shared" si="5"/>
        <v>10.1073/pnas.0305760101</v>
      </c>
      <c r="K18" t="str">
        <f t="shared" si="6"/>
        <v>Bush_Allman_2004_a_Table2</v>
      </c>
      <c r="L18" t="str">
        <f t="shared" si="7"/>
        <v>10.1073%2Fpnas.0305760101_Table2</v>
      </c>
      <c r="M18" t="str">
        <f t="array" ref="M18">IFERROR(INDEX(FileList!$A$1:$A$100, MATCH(L18, _xlfn.TEXTBEFORE(FileList!$A$1:$A$100, ".tsv"), 0)), "notfound")</f>
        <v>10.1073%2Fpnas.0305760101_Table2.tsv</v>
      </c>
      <c r="N18" s="2" t="s">
        <v>128</v>
      </c>
      <c r="P18" s="2" t="s">
        <v>129</v>
      </c>
      <c r="R18" s="2" t="s">
        <v>130</v>
      </c>
      <c r="S18" s="2" t="s">
        <v>47</v>
      </c>
      <c r="T18" s="2" t="s">
        <v>131</v>
      </c>
      <c r="U18" s="2" t="s">
        <v>49</v>
      </c>
      <c r="V18" s="2" t="s">
        <v>39</v>
      </c>
      <c r="Y18" s="2" t="s">
        <v>132</v>
      </c>
      <c r="Z18" s="2" t="s">
        <v>53</v>
      </c>
      <c r="AA18" s="2" t="s">
        <v>133</v>
      </c>
      <c r="AB18" s="2" t="s">
        <v>84</v>
      </c>
      <c r="AC18" s="2" t="s">
        <v>608</v>
      </c>
      <c r="AF18" s="2" t="s">
        <v>134</v>
      </c>
    </row>
    <row r="19" ht="16" customHeight="1">
      <c r="A19" s="2" t="s">
        <v>135</v>
      </c>
      <c r="B19" s="2" t="s">
        <v>598</v>
      </c>
      <c r="D19" s="2" t="s">
        <v>42</v>
      </c>
      <c r="E19" t="str">
        <f t="shared" si="0"/>
        <v>4</v>
      </c>
      <c r="F19" t="str">
        <f t="shared" si="1"/>
        <v>Bush_Allman_2004_b</v>
      </c>
      <c r="G19" t="str">
        <f t="shared" si="2"/>
        <v>Bush</v>
      </c>
      <c r="H19" t="str">
        <f t="shared" si="16"/>
        <v>Allman</v>
      </c>
      <c r="I19" t="str">
        <f t="shared" si="4"/>
        <v>2004</v>
      </c>
      <c r="J19" t="str">
        <f t="shared" si="5"/>
        <v>10.1002/ar.a.20114</v>
      </c>
      <c r="K19" t="str">
        <f t="shared" si="6"/>
        <v>Bush_Allman_2004_b_TABLE1</v>
      </c>
      <c r="L19" t="str">
        <f t="shared" si="7"/>
        <v>10.1002%2Far.a.20114_TABLE1</v>
      </c>
      <c r="M19" t="str">
        <f t="array" ref="M19">IFERROR(INDEX(FileList!$A$1:$A$100, MATCH(L19, _xlfn.TEXTBEFORE(FileList!$A$1:$A$100, ".tsv"), 0)), "notfound")</f>
        <v>10.1002%2Far.a.20114_Table1.tsv</v>
      </c>
      <c r="N19" s="2" t="s">
        <v>136</v>
      </c>
      <c r="P19" s="2" t="s">
        <v>129</v>
      </c>
      <c r="R19" s="2" t="s">
        <v>137</v>
      </c>
      <c r="S19" s="2" t="s">
        <v>47</v>
      </c>
      <c r="T19" s="2" t="s">
        <v>138</v>
      </c>
      <c r="U19" s="2" t="s">
        <v>49</v>
      </c>
      <c r="V19" s="2" t="s">
        <v>39</v>
      </c>
      <c r="Y19" s="2" t="s">
        <v>139</v>
      </c>
      <c r="Z19" s="2" t="s">
        <v>53</v>
      </c>
      <c r="AA19" s="2" t="s">
        <v>133</v>
      </c>
      <c r="AB19" s="2" t="s">
        <v>140</v>
      </c>
      <c r="AC19" s="2" t="s">
        <v>608</v>
      </c>
      <c r="AF19" s="2" t="s">
        <v>141</v>
      </c>
    </row>
    <row r="20" ht="16" customHeight="1">
      <c r="A20" s="2" t="s">
        <v>142</v>
      </c>
      <c r="D20" s="2" t="s">
        <v>143</v>
      </c>
      <c r="E20" t="str">
        <f t="shared" si="0"/>
        <v>5</v>
      </c>
      <c r="F20" t="str">
        <f t="shared" si="1"/>
        <v>Caspar_etal_2022</v>
      </c>
      <c r="G20" t="str">
        <f t="shared" si="2"/>
        <v>Caspar</v>
      </c>
      <c r="H20" t="str">
        <f t="shared" si="16"/>
        <v>etal</v>
      </c>
      <c r="I20" t="str">
        <f t="shared" si="4"/>
        <v>2022</v>
      </c>
      <c r="J20" t="str">
        <f t="shared" si="5"/>
        <v>10.7554/eLife.77875</v>
      </c>
      <c r="K20" t="str">
        <f t="shared" si="6"/>
        <v>Caspar_etal_2022_Supplementaryfile3</v>
      </c>
      <c r="L20" t="str">
        <f t="shared" si="7"/>
        <v>10.7554%2FeLife.77875_Supplementaryfile3</v>
      </c>
      <c r="M20" t="str">
        <f t="array" ref="M20">IFERROR(INDEX(FileList!$A$1:$A$100, MATCH(L20, _xlfn.TEXTBEFORE(FileList!$A$1:$A$100, ".tsv"), 0)), "notfound")</f>
        <v>10.7554%2FeLife.77875_Supplementaryfile3.tsv</v>
      </c>
      <c r="N20" s="2" t="s">
        <v>144</v>
      </c>
      <c r="P20" s="2" t="s">
        <v>44</v>
      </c>
      <c r="Q20" s="2" t="s">
        <v>45</v>
      </c>
      <c r="R20" s="2" t="s">
        <v>145</v>
      </c>
      <c r="S20" s="2" t="s">
        <v>99</v>
      </c>
      <c r="T20" s="2" t="str">
        <f>IF(S20="N", R20, "write file name")</f>
        <v>elife-77875-supp3-v1.xlsx</v>
      </c>
      <c r="U20" s="2" t="s">
        <v>146</v>
      </c>
      <c r="V20" s="2" t="s">
        <v>39</v>
      </c>
      <c r="W20" s="2" t="s">
        <v>147</v>
      </c>
      <c r="X20" s="2" t="s">
        <v>148</v>
      </c>
      <c r="Y20" s="2" t="s">
        <v>149</v>
      </c>
      <c r="Z20" s="2" t="s">
        <v>103</v>
      </c>
      <c r="AF20" s="2" t="s">
        <v>141</v>
      </c>
      <c r="AJ20" s="2" t="s">
        <v>86</v>
      </c>
      <c r="AK20" s="2" t="s">
        <v>103</v>
      </c>
      <c r="AL20" s="2" t="s">
        <v>150</v>
      </c>
    </row>
    <row r="21" ht="16" customHeight="1">
      <c r="A21" s="2" t="s">
        <v>142</v>
      </c>
      <c r="D21" s="2" t="s">
        <v>117</v>
      </c>
      <c r="E21" t="str">
        <f t="shared" si="0"/>
        <v>5</v>
      </c>
      <c r="F21" t="str">
        <f t="shared" si="1"/>
        <v>Caspar_etal_2022</v>
      </c>
      <c r="G21" t="str">
        <f t="shared" si="2"/>
        <v>Caspar</v>
      </c>
      <c r="H21" t="str">
        <f t="shared" si="16"/>
        <v>etal</v>
      </c>
      <c r="I21" t="str">
        <f t="shared" si="4"/>
        <v>2022</v>
      </c>
      <c r="J21" t="str">
        <f t="shared" si="5"/>
        <v>10.7554/eLife.77875</v>
      </c>
      <c r="K21" t="str">
        <f t="shared" si="6"/>
        <v>Caspar_etal_2022_Table1</v>
      </c>
      <c r="L21" t="str">
        <f t="shared" si="7"/>
        <v>10.7554%2FeLife.77875_Table1</v>
      </c>
      <c r="M21" t="str">
        <f t="array" ref="M21">IFERROR(INDEX(FileList!$A$1:$A$100, MATCH(L21, _xlfn.TEXTBEFORE(FileList!$A$1:$A$100, ".tsv"), 0)), "notfound")</f>
        <v>10.7554%2FeLife.77875_Table1.tsv</v>
      </c>
      <c r="N21" s="2" t="s">
        <v>151</v>
      </c>
      <c r="P21" s="2" t="s">
        <v>44</v>
      </c>
      <c r="Q21" s="2" t="s">
        <v>45</v>
      </c>
      <c r="R21" s="2" t="s">
        <v>152</v>
      </c>
      <c r="S21" s="2" t="s">
        <v>47</v>
      </c>
      <c r="T21" s="2" t="s">
        <v>153</v>
      </c>
      <c r="U21" s="2" t="s">
        <v>49</v>
      </c>
      <c r="V21" s="2" t="s">
        <v>39</v>
      </c>
      <c r="W21" s="2" t="s">
        <v>154</v>
      </c>
      <c r="X21" s="2" t="s">
        <v>155</v>
      </c>
      <c r="Y21" s="2" t="s">
        <v>156</v>
      </c>
      <c r="Z21" s="2" t="s">
        <v>157</v>
      </c>
      <c r="AE21" s="2" t="s">
        <v>158</v>
      </c>
      <c r="AF21" s="2" t="s">
        <v>141</v>
      </c>
      <c r="AJ21" s="2" t="s">
        <v>86</v>
      </c>
      <c r="AK21" s="2" t="s">
        <v>103</v>
      </c>
      <c r="AL21" s="2" t="s">
        <v>159</v>
      </c>
    </row>
    <row r="22" ht="16" customHeight="1">
      <c r="A22" s="2" t="s">
        <v>160</v>
      </c>
      <c r="D22" s="2" t="s">
        <v>161</v>
      </c>
      <c r="E22" t="str">
        <f t="shared" si="0"/>
        <v>5</v>
      </c>
      <c r="F22" t="str">
        <f t="shared" si="1"/>
        <v>Changizi__2001</v>
      </c>
      <c r="G22" t="str">
        <f t="shared" si="2"/>
        <v>Changizi</v>
      </c>
      <c r="H22" t="str">
        <f t="shared" si="16"/>
      </c>
      <c r="I22" t="str">
        <f t="shared" si="4"/>
        <v>2001</v>
      </c>
      <c r="J22" t="str">
        <f t="shared" si="5"/>
        <v>10.1007/s004220000205</v>
      </c>
      <c r="K22" t="str">
        <f t="shared" si="6"/>
        <v>Changizi__2001_Figure3</v>
      </c>
      <c r="L22" t="str">
        <f t="shared" ref="L22:L29" si="17">IF(ISBLANK(C22),TRIM(SUBSTITUTE(SUBSTITUTE(SUBSTITUTE(_xlfn.TEXTJOIN("_", FALSE, J22, SUBSTITUTE(D22,"_", "")), "/", "%2F"), ":", "%3A"), " ", "")),TRIM(SUBSTITUTE(SUBSTITUTE(SUBSTITUTE(_xlfn.TEXTJOIN("_", FALSE, C22, SUBSTITUTE(D22,"_", "")), "/", "%2F"), ":", "%3A"), " ", "")))</f>
        <v>10.1007%2Fs004220000205_Figure3</v>
      </c>
      <c r="M22" t="str">
        <f t="array" ref="M22">IFERROR(INDEX(FileList!$A$1:$A$100, MATCH(L22, _xlfn.TEXTBEFORE(FileList!$A$1:$A$100, ".tsv"), 0)), "notfound")</f>
        <v>10.1007%2Fs004220000205_Figure3.tsv</v>
      </c>
      <c r="P22" s="2" t="s">
        <v>162</v>
      </c>
      <c r="Q22" s="2" t="s">
        <v>163</v>
      </c>
      <c r="R22" s="2" t="s">
        <v>164</v>
      </c>
      <c r="S22" s="2" t="s">
        <v>47</v>
      </c>
      <c r="T22" s="2" t="s">
        <v>165</v>
      </c>
      <c r="U22" s="2" t="s">
        <v>49</v>
      </c>
      <c r="V22" s="2" t="s">
        <v>166</v>
      </c>
      <c r="W22" s="2" t="s">
        <v>167</v>
      </c>
      <c r="Y22" s="2" t="s">
        <v>168</v>
      </c>
      <c r="Z22" s="2" t="s">
        <v>169</v>
      </c>
      <c r="AE22" s="2" t="s">
        <v>170</v>
      </c>
      <c r="AJ22" s="2" t="s">
        <v>106</v>
      </c>
      <c r="AK22" s="2" t="s">
        <v>103</v>
      </c>
      <c r="AL22" s="2" t="s">
        <v>171</v>
      </c>
    </row>
    <row r="23" ht="16" customHeight="1">
      <c r="A23" s="2" t="s">
        <v>172</v>
      </c>
      <c r="D23" s="2" t="s">
        <v>173</v>
      </c>
      <c r="E23" t="str">
        <f t="shared" si="0"/>
        <v>3</v>
      </c>
      <c r="F23" t="str">
        <f t="shared" si="1"/>
        <v>Chen_Wiens_2020</v>
      </c>
      <c r="G23" t="str">
        <f t="shared" si="2"/>
        <v>Chen</v>
      </c>
      <c r="H23" t="str">
        <f t="shared" si="16"/>
        <v>Wiens</v>
      </c>
      <c r="I23" t="str">
        <f t="shared" si="4"/>
        <v>2020</v>
      </c>
      <c r="J23" t="str">
        <f t="shared" si="5"/>
        <v>10.1038/s41467-020-14356-3</v>
      </c>
      <c r="K23" t="str">
        <f t="shared" si="6"/>
        <v>Chen_Wiens_2020_SupplementaryData3</v>
      </c>
      <c r="L23" t="str">
        <f t="shared" si="17"/>
        <v>10.1038%2Fs41467-020-14356-3_SupplementaryData3</v>
      </c>
      <c r="M23" t="str">
        <f t="array" ref="M23">IFERROR(INDEX(FileList!$A$1:$A$100, MATCH(L23, _xlfn.TEXTBEFORE(FileList!$A$1:$A$100, ".tsv"), 0)), "notfound")</f>
        <v>10.1038%2Fs41467-020-14356-3_SupplementaryData3.tsv</v>
      </c>
      <c r="P23" s="2" t="s">
        <v>44</v>
      </c>
      <c r="Q23" s="2" t="s">
        <v>45</v>
      </c>
      <c r="R23" s="2" t="s">
        <v>174</v>
      </c>
      <c r="S23" s="2" t="s">
        <v>99</v>
      </c>
      <c r="T23" s="2" t="str">
        <f>IF(S23="N", R23, "write file name")</f>
        <v>41467_2020_14356_MOESM6_ESM.xlsx</v>
      </c>
      <c r="U23" s="2" t="s">
        <v>146</v>
      </c>
      <c r="V23" s="2" t="s">
        <v>39</v>
      </c>
      <c r="W23" s="2" t="s">
        <v>147</v>
      </c>
      <c r="X23" s="2" t="s">
        <v>175</v>
      </c>
      <c r="Y23" s="2" t="s">
        <v>176</v>
      </c>
      <c r="Z23" s="2" t="s">
        <v>103</v>
      </c>
      <c r="AD23" s="2" t="s">
        <v>177</v>
      </c>
      <c r="AE23" s="2" t="s">
        <v>178</v>
      </c>
      <c r="AF23" s="2" t="s">
        <v>179</v>
      </c>
      <c r="AJ23" s="2" t="s">
        <v>180</v>
      </c>
      <c r="AK23" s="2" t="s">
        <v>103</v>
      </c>
      <c r="AL23" s="2" t="s">
        <v>181</v>
      </c>
    </row>
    <row r="24" ht="16" customHeight="1">
      <c r="A24" s="2" t="s">
        <v>182</v>
      </c>
      <c r="D24" s="2" t="s">
        <v>183</v>
      </c>
      <c r="E24" t="str">
        <f t="shared" si="0"/>
        <v>7</v>
      </c>
      <c r="F24" t="str">
        <f t="shared" si="1"/>
        <v>Collins_etal_2010</v>
      </c>
      <c r="G24" t="str">
        <f t="shared" si="2"/>
        <v>Collins</v>
      </c>
      <c r="H24" t="str">
        <f t="shared" si="16"/>
        <v>etal</v>
      </c>
      <c r="I24" t="str">
        <f t="shared" si="4"/>
        <v>2010</v>
      </c>
      <c r="J24" t="str">
        <f t="shared" si="5"/>
        <v>10.1073/pnas.1010356107</v>
      </c>
      <c r="K24" t="str">
        <f t="shared" si="6"/>
        <v>Collins_etal_2010_DatasetS1</v>
      </c>
      <c r="L24" t="str">
        <f t="shared" si="17"/>
        <v>10.1073%2Fpnas.1010356107_DatasetS1</v>
      </c>
      <c r="M24" t="str">
        <f t="array" ref="M24">IFERROR(INDEX(FileList!$A$1:$A$100, MATCH(L24, _xlfn.TEXTBEFORE(FileList!$A$1:$A$100, ".tsv"), 0)), "notfound")</f>
        <v>notfound</v>
      </c>
      <c r="Y24" s="2" t="s">
        <v>184</v>
      </c>
      <c r="Z24" s="2" t="s">
        <v>53</v>
      </c>
      <c r="AA24" s="2" t="s">
        <v>188</v>
      </c>
      <c r="AJ24" s="2" t="s">
        <v>86</v>
      </c>
      <c r="AK24" s="2" t="s">
        <v>53</v>
      </c>
      <c r="AL24" s="2" t="s">
        <v>92</v>
      </c>
    </row>
    <row r="25" ht="16" customHeight="1">
      <c r="A25" s="2" t="s">
        <v>185</v>
      </c>
      <c r="D25" s="2" t="s">
        <v>69</v>
      </c>
      <c r="E25" t="str">
        <f t="shared" si="0"/>
        <v>3</v>
      </c>
      <c r="F25" t="str">
        <f t="shared" si="1"/>
        <v>Collins_etal_2016</v>
      </c>
      <c r="G25" t="str">
        <f t="shared" si="2"/>
        <v>Collins</v>
      </c>
      <c r="H25" t="str">
        <f t="shared" si="16"/>
        <v>etal</v>
      </c>
      <c r="I25" t="str">
        <f t="shared" si="4"/>
        <v>2016</v>
      </c>
      <c r="J25" t="str">
        <f t="shared" si="5"/>
        <v>10.1073/pnas.1524208113</v>
      </c>
      <c r="K25" t="str">
        <f t="shared" si="6"/>
        <v>Collins_etal_2016_Table1</v>
      </c>
      <c r="L25" t="str">
        <f t="shared" si="17"/>
        <v>10.1073%2Fpnas.1524208113_Table1</v>
      </c>
      <c r="M25" t="str">
        <f t="array" ref="M25">IFERROR(INDEX(FileList!$A$1:$A$100, MATCH(L25, _xlfn.TEXTBEFORE(FileList!$A$1:$A$100, ".tsv"), 0)), "notfound")</f>
        <v>notfound</v>
      </c>
      <c r="N25" s="2" t="s">
        <v>186</v>
      </c>
      <c r="V25" s="2" t="s">
        <v>39</v>
      </c>
      <c r="Y25" s="2" t="s">
        <v>187</v>
      </c>
      <c r="Z25" s="2" t="s">
        <v>53</v>
      </c>
      <c r="AA25" s="2" t="s">
        <v>188</v>
      </c>
      <c r="AB25" s="2" t="s">
        <v>189</v>
      </c>
      <c r="AJ25" s="2" t="s">
        <v>86</v>
      </c>
      <c r="AK25" s="2" t="s">
        <v>53</v>
      </c>
      <c r="AL25" s="2" t="s">
        <v>190</v>
      </c>
    </row>
    <row r="26" ht="16" customHeight="1">
      <c r="A26" s="2" t="s">
        <v>191</v>
      </c>
      <c r="D26" s="2" t="s">
        <v>69</v>
      </c>
      <c r="E26" t="str">
        <f t="shared" si="0"/>
        <v>5</v>
      </c>
      <c r="F26" t="str">
        <f t="shared" si="1"/>
        <v>deSousa_etal_2013</v>
      </c>
      <c r="G26" t="str">
        <f t="shared" si="2"/>
        <v>deSousa</v>
      </c>
      <c r="H26" t="str">
        <f t="shared" si="16"/>
        <v>etal</v>
      </c>
      <c r="I26" t="str">
        <f t="shared" si="4"/>
        <v>2013</v>
      </c>
      <c r="J26" t="str">
        <f t="shared" si="5"/>
        <v>10.1159/000346495</v>
      </c>
      <c r="K26" t="str">
        <f t="shared" si="6"/>
        <v>deSousa_etal_2013_Table1</v>
      </c>
      <c r="L26" t="str">
        <f t="shared" si="17"/>
        <v>10.1159%2F000346495_Table1</v>
      </c>
      <c r="M26" t="str">
        <f t="array" ref="M26">IFERROR(INDEX(FileList!$A$1:$A$100, MATCH(L26, _xlfn.TEXTBEFORE(FileList!$A$1:$A$100, ".tsv"), 0)), "notfound")</f>
        <v>10.1159%2F000346495_Table1.tsv</v>
      </c>
      <c r="N26" s="2" t="s">
        <v>192</v>
      </c>
      <c r="P26" s="2" t="s">
        <v>129</v>
      </c>
      <c r="R26" s="2" t="s">
        <v>193</v>
      </c>
      <c r="S26" s="2" t="s">
        <v>47</v>
      </c>
      <c r="T26" s="2" t="s">
        <v>194</v>
      </c>
      <c r="U26" s="2" t="s">
        <v>49</v>
      </c>
      <c r="V26" s="2" t="s">
        <v>39</v>
      </c>
      <c r="Y26" s="2" t="s">
        <v>195</v>
      </c>
      <c r="Z26" s="2" t="s">
        <v>53</v>
      </c>
      <c r="AA26" s="2" t="s">
        <v>610</v>
      </c>
      <c r="AB26" s="2" t="s">
        <v>84</v>
      </c>
      <c r="AC26" s="2" t="s">
        <v>609</v>
      </c>
      <c r="AF26" s="2" t="s">
        <v>196</v>
      </c>
      <c r="AJ26" s="2" t="s">
        <v>197</v>
      </c>
      <c r="AK26" s="2" t="s">
        <v>53</v>
      </c>
      <c r="AL26" s="2" t="s">
        <v>63</v>
      </c>
    </row>
    <row r="27" ht="16" customHeight="1">
      <c r="A27" s="2" t="s">
        <v>198</v>
      </c>
      <c r="D27" s="2" t="s">
        <v>199</v>
      </c>
      <c r="E27" t="str">
        <f t="shared" si="0"/>
        <v>1</v>
      </c>
      <c r="F27" t="str">
        <f t="shared" si="1"/>
        <v>deSousa_etal_2010</v>
      </c>
      <c r="G27" t="str">
        <f t="shared" si="2"/>
        <v>deSousa</v>
      </c>
      <c r="H27" t="str">
        <f t="shared" si="16"/>
        <v>etal</v>
      </c>
      <c r="I27" t="str">
        <f t="shared" si="4"/>
        <v>2010</v>
      </c>
      <c r="J27" t="str">
        <f t="shared" si="5"/>
        <v>10.1016/j.jhevol.2009.11.011</v>
      </c>
      <c r="K27" t="str">
        <f t="shared" si="6"/>
        <v>deSousa_etal_2010_SupTable2</v>
      </c>
      <c r="L27" t="str">
        <f t="shared" si="17"/>
        <v>10.1016%2Fj.jhevol.2009.11.011_SupTable2</v>
      </c>
      <c r="M27" t="str">
        <f t="array" ref="M27">IFERROR(INDEX(FileList!$A$1:$A$100, MATCH(L27, _xlfn.TEXTBEFORE(FileList!$A$1:$A$100, ".tsv"), 0)), "notfound")</f>
        <v>notfound</v>
      </c>
      <c r="N27" s="2" t="s">
        <v>200</v>
      </c>
      <c r="O27" s="2" t="s">
        <v>201</v>
      </c>
      <c r="P27" s="2" t="s">
        <v>44</v>
      </c>
      <c r="R27" s="2" t="s">
        <v>202</v>
      </c>
      <c r="S27" s="2" t="s">
        <v>47</v>
      </c>
      <c r="T27" s="2" t="s">
        <v>203</v>
      </c>
      <c r="V27" s="2" t="s">
        <v>204</v>
      </c>
      <c r="X27" s="2" t="s">
        <v>205</v>
      </c>
      <c r="Y27" s="2" t="s">
        <v>206</v>
      </c>
      <c r="Z27" s="2" t="s">
        <v>53</v>
      </c>
      <c r="AA27" s="2" t="s">
        <v>610</v>
      </c>
      <c r="AB27" s="2" t="s">
        <v>84</v>
      </c>
      <c r="AC27" s="2" t="s">
        <v>609</v>
      </c>
      <c r="AE27" s="2" t="s">
        <v>207</v>
      </c>
      <c r="AF27" s="2" t="s">
        <v>208</v>
      </c>
      <c r="AG27" s="2" t="s">
        <v>209</v>
      </c>
      <c r="AH27" s="2" t="s">
        <v>210</v>
      </c>
      <c r="AJ27" s="2" t="s">
        <v>197</v>
      </c>
      <c r="AK27" s="2" t="s">
        <v>53</v>
      </c>
      <c r="AL27" s="2" t="s">
        <v>63</v>
      </c>
    </row>
    <row r="28" ht="16" customHeight="1">
      <c r="A28" s="2" t="s">
        <v>198</v>
      </c>
      <c r="D28" s="2" t="s">
        <v>69</v>
      </c>
      <c r="E28" t="str">
        <f t="shared" si="0"/>
        <v>1</v>
      </c>
      <c r="F28" t="str">
        <f t="shared" si="1"/>
        <v>deSousa_etal_2010</v>
      </c>
      <c r="G28" t="str">
        <f t="shared" si="2"/>
        <v>deSousa</v>
      </c>
      <c r="H28" t="str">
        <f t="shared" si="16"/>
        <v>etal</v>
      </c>
      <c r="I28" t="str">
        <f t="shared" si="4"/>
        <v>2010</v>
      </c>
      <c r="J28" t="str">
        <f t="shared" si="5"/>
        <v>10.1016/j.jhevol.2009.11.011</v>
      </c>
      <c r="K28" t="str">
        <f t="shared" si="6"/>
        <v>deSousa_etal_2010_Table1</v>
      </c>
      <c r="L28" t="str">
        <f t="shared" si="17"/>
        <v>10.1016%2Fj.jhevol.2009.11.011_Table1</v>
      </c>
      <c r="M28" t="str">
        <f t="array" ref="M28">IFERROR(INDEX(FileList!$A$1:$A$100, MATCH(L28, _xlfn.TEXTBEFORE(FileList!$A$1:$A$100, ".tsv"), 0)), "notfound")</f>
        <v>10.1016%2Fj.jhevol.2009.11.011_Table1.tsv</v>
      </c>
      <c r="N28" s="2" t="s">
        <v>211</v>
      </c>
      <c r="V28" s="2" t="s">
        <v>39</v>
      </c>
      <c r="Y28" s="2" t="s">
        <v>212</v>
      </c>
      <c r="Z28" s="2" t="s">
        <v>53</v>
      </c>
      <c r="AA28" s="2" t="s">
        <v>610</v>
      </c>
      <c r="AB28" s="2" t="s">
        <v>84</v>
      </c>
      <c r="AC28" s="2" t="s">
        <v>609</v>
      </c>
      <c r="AJ28" s="2" t="s">
        <v>197</v>
      </c>
      <c r="AK28" s="2" t="s">
        <v>53</v>
      </c>
      <c r="AL28" s="2" t="s">
        <v>63</v>
      </c>
    </row>
    <row r="29" ht="16" customHeight="1">
      <c r="A29" s="2" t="s">
        <v>213</v>
      </c>
      <c r="D29" s="2" t="s">
        <v>214</v>
      </c>
      <c r="E29" t="str">
        <f t="shared" si="0"/>
        <v>0</v>
      </c>
      <c r="F29" t="str">
        <f t="shared" si="1"/>
        <v>DeCasien_Higham_2019</v>
      </c>
      <c r="G29" t="str">
        <f t="shared" si="2"/>
        <v>DeCasien</v>
      </c>
      <c r="H29" t="str">
        <f t="shared" si="16"/>
        <v>Higham</v>
      </c>
      <c r="I29" t="str">
        <f t="shared" si="4"/>
        <v>2019</v>
      </c>
      <c r="J29" t="str">
        <f t="shared" si="5"/>
        <v>10.1038/s41559-019-0969-0</v>
      </c>
      <c r="K29" t="str">
        <f t="shared" si="6"/>
        <v>DeCasien_Higham_2019_SupplementaryData1-BrainRegion</v>
      </c>
      <c r="L29" t="str">
        <f t="shared" si="17"/>
        <v>10.1038%2Fs41559-019-0969-0_SupplementaryData1-BrainRegion</v>
      </c>
      <c r="M29" t="str">
        <f t="array" ref="M29">IFERROR(INDEX(FileList!$A$1:$A$100, MATCH(L29, _xlfn.TEXTBEFORE(FileList!$A$1:$A$100, ".tsv"), 0)), "notfound")</f>
        <v>notfound</v>
      </c>
      <c r="N29" s="2" t="s">
        <v>215</v>
      </c>
      <c r="U29" s="2" t="s">
        <v>146</v>
      </c>
      <c r="V29" s="2" t="s">
        <v>216</v>
      </c>
      <c r="W29" s="2" t="s">
        <v>147</v>
      </c>
      <c r="X29" s="2" t="s">
        <v>217</v>
      </c>
      <c r="Y29" s="2" t="s">
        <v>218</v>
      </c>
      <c r="Z29" s="2" t="s">
        <v>103</v>
      </c>
      <c r="AE29" s="2" t="s">
        <v>219</v>
      </c>
      <c r="AF29" s="2" t="s">
        <v>141</v>
      </c>
      <c r="AJ29" s="2" t="s">
        <v>86</v>
      </c>
      <c r="AK29" s="2" t="s">
        <v>103</v>
      </c>
      <c r="AL29" s="2" t="s">
        <v>63</v>
      </c>
    </row>
    <row r="30" ht="16" customHeight="1">
      <c r="A30" s="2" t="s">
        <v>213</v>
      </c>
      <c r="D30" s="2" t="s">
        <v>220</v>
      </c>
      <c r="E30" t="str">
        <f t="shared" si="0"/>
        <v>0</v>
      </c>
      <c r="F30" t="str">
        <f t="shared" si="1"/>
        <v>DeCasien_Higham_2019</v>
      </c>
      <c r="G30" t="str">
        <f t="shared" si="2"/>
        <v>DeCasien</v>
      </c>
      <c r="H30" t="str">
        <f t="shared" si="16"/>
        <v>Higham</v>
      </c>
      <c r="I30" t="str">
        <f t="shared" si="4"/>
        <v>2019</v>
      </c>
      <c r="J30" t="str">
        <f t="shared" si="5"/>
        <v>10.1038/s41559-019-0969-0</v>
      </c>
      <c r="K30" t="str">
        <f>TRIM(_xlfn.TEXTJOIN("_",FALSE,F30,(SUBSTITUTE(SUBSTITUTE(D31," ",""), "_", ""))))</f>
        <v>DeCasien_Higham_2019_SupplementaryData1-Diet</v>
      </c>
      <c r="L30" t="str">
        <f>IF(ISBLANK(C30),TRIM(SUBSTITUTE(SUBSTITUTE(SUBSTITUTE(_xlfn.TEXTJOIN("_", FALSE, J30, SUBSTITUTE(D31,"_", "")), "/", "%2F"), ":", "%3A"), " ", "")),TRIM(SUBSTITUTE(SUBSTITUTE(SUBSTITUTE(_xlfn.TEXTJOIN("_", FALSE, C30, SUBSTITUTE(D31,"_", "")), "/", "%2F"), ":", "%3A"), " ", "")))</f>
        <v>10.1038%2Fs41559-019-0969-0_SupplementaryData1-Diet</v>
      </c>
      <c r="M30" t="str">
        <f t="array" ref="M30">IFERROR(INDEX(FileList!$A$1:$A$100, MATCH(L30, _xlfn.TEXTBEFORE(FileList!$A$1:$A$100, ".tsv"), 0)), "notfound")</f>
        <v>notfound</v>
      </c>
      <c r="N30" s="2" t="s">
        <v>215</v>
      </c>
      <c r="U30" s="2" t="s">
        <v>146</v>
      </c>
      <c r="V30" s="2" t="s">
        <v>216</v>
      </c>
      <c r="W30" s="2" t="s">
        <v>147</v>
      </c>
      <c r="X30" s="2" t="s">
        <v>217</v>
      </c>
      <c r="Y30" s="2" t="s">
        <v>221</v>
      </c>
      <c r="Z30" s="2" t="s">
        <v>103</v>
      </c>
      <c r="AF30" s="2" t="s">
        <v>141</v>
      </c>
      <c r="AJ30" s="2" t="s">
        <v>86</v>
      </c>
      <c r="AK30" s="2" t="s">
        <v>103</v>
      </c>
      <c r="AL30" s="2" t="s">
        <v>222</v>
      </c>
    </row>
    <row r="31" ht="15" customHeight="1">
      <c r="A31" s="2" t="s">
        <v>213</v>
      </c>
      <c r="D31" s="2" t="s">
        <v>223</v>
      </c>
      <c r="E31" t="str">
        <f t="shared" si="0"/>
        <v>0</v>
      </c>
      <c r="F31" t="str">
        <f t="shared" si="1"/>
        <v>DeCasien_Higham_2019</v>
      </c>
      <c r="G31" t="str">
        <f t="shared" si="2"/>
        <v>DeCasien</v>
      </c>
      <c r="H31" t="str">
        <f t="shared" si="16"/>
        <v>Higham</v>
      </c>
      <c r="I31" t="str">
        <f t="shared" si="4"/>
        <v>2019</v>
      </c>
      <c r="J31" t="str">
        <f t="shared" si="5"/>
        <v>10.1038/s41559-019-0969-0</v>
      </c>
      <c r="K31" t="str">
        <f>TRIM(_xlfn.TEXTJOIN("_",FALSE,F31,(SUBSTITUTE(SUBSTITUTE(D32," ",""), "_", ""))))</f>
        <v>DeCasien_Higham_2019_SupplementaryData1-SocialSystem</v>
      </c>
      <c r="L31" t="str">
        <f>IF(ISBLANK(C31),TRIM(SUBSTITUTE(SUBSTITUTE(SUBSTITUTE(_xlfn.TEXTJOIN("_", FALSE, J31, SUBSTITUTE(D32,"_", "")), "/", "%2F"), ":", "%3A"), " ", "")),TRIM(SUBSTITUTE(SUBSTITUTE(SUBSTITUTE(_xlfn.TEXTJOIN("_", FALSE, C31, SUBSTITUTE(D32,"_", "")), "/", "%2F"), ":", "%3A"), " ", "")))</f>
        <v>10.1038%2Fs41559-019-0969-0_SupplementaryData1-SocialSystem</v>
      </c>
      <c r="M31" t="str">
        <f t="array" ref="M31">IFERROR(INDEX(FileList!$A$1:$A$100, MATCH(L31, _xlfn.TEXTBEFORE(FileList!$A$1:$A$100, ".tsv"), 0)), "notfound")</f>
        <v>notfound</v>
      </c>
      <c r="N31" s="2" t="s">
        <v>215</v>
      </c>
      <c r="U31" s="2" t="s">
        <v>146</v>
      </c>
      <c r="V31" s="2" t="s">
        <v>216</v>
      </c>
      <c r="W31" s="2" t="s">
        <v>147</v>
      </c>
      <c r="X31" s="2" t="s">
        <v>217</v>
      </c>
      <c r="Y31" s="2" t="s">
        <v>224</v>
      </c>
      <c r="Z31" s="2" t="s">
        <v>103</v>
      </c>
      <c r="AF31" s="2" t="s">
        <v>141</v>
      </c>
      <c r="AJ31" s="2" t="s">
        <v>86</v>
      </c>
      <c r="AK31" s="2" t="s">
        <v>103</v>
      </c>
      <c r="AL31" s="2" t="s">
        <v>225</v>
      </c>
    </row>
    <row r="32" ht="16" customHeight="1">
      <c r="A32" s="2" t="s">
        <v>213</v>
      </c>
      <c r="D32" s="2" t="s">
        <v>226</v>
      </c>
      <c r="E32" t="str">
        <f t="shared" si="0"/>
        <v>0</v>
      </c>
      <c r="F32" t="str">
        <f t="shared" si="1"/>
        <v>DeCasien_Higham_2019</v>
      </c>
      <c r="G32" t="str">
        <f t="shared" si="2"/>
        <v>DeCasien</v>
      </c>
      <c r="H32" t="str">
        <f t="shared" si="16"/>
        <v>Higham</v>
      </c>
      <c r="I32" t="str">
        <f t="shared" si="4"/>
        <v>2019</v>
      </c>
      <c r="J32" t="str">
        <f t="shared" si="5"/>
        <v>10.1038/s41559-019-0969-0</v>
      </c>
      <c r="K32" t="str">
        <f t="shared" ref="K32:K39" si="18">TRIM(_xlfn.TEXTJOIN("_",FALSE,F32,(SUBSTITUTE(SUBSTITUTE(D32," ",""), "_", ""))))</f>
        <v>DeCasien_Higham_2019_SupplementaryData1-SocialSystem</v>
      </c>
      <c r="L32" t="str">
        <f t="shared" ref="L32:L39" si="19">IF(ISBLANK(C32),TRIM(SUBSTITUTE(SUBSTITUTE(SUBSTITUTE(_xlfn.TEXTJOIN("_", FALSE, J32, SUBSTITUTE(D32,"_", "")), "/", "%2F"), ":", "%3A"), " ", "")),TRIM(SUBSTITUTE(SUBSTITUTE(SUBSTITUTE(_xlfn.TEXTJOIN("_", FALSE, C32, SUBSTITUTE(D32,"_", "")), "/", "%2F"), ":", "%3A"), " ", "")))</f>
        <v>10.1038%2Fs41559-019-0969-0_SupplementaryData1-SocialSystem</v>
      </c>
      <c r="M32" t="str">
        <f t="array" ref="M32">IFERROR(INDEX(FileList!$A$1:$A$100, MATCH(L32, _xlfn.TEXTBEFORE(FileList!$A$1:$A$100, ".tsv"), 0)), "notfound")</f>
        <v>notfound</v>
      </c>
      <c r="N32" s="2" t="s">
        <v>215</v>
      </c>
      <c r="U32" s="2" t="s">
        <v>146</v>
      </c>
      <c r="V32" s="2" t="s">
        <v>216</v>
      </c>
      <c r="W32" s="2" t="s">
        <v>147</v>
      </c>
      <c r="X32" s="2" t="s">
        <v>217</v>
      </c>
      <c r="Y32" s="2" t="s">
        <v>227</v>
      </c>
      <c r="Z32" s="2" t="s">
        <v>103</v>
      </c>
      <c r="AF32" s="2" t="s">
        <v>141</v>
      </c>
      <c r="AJ32" s="2" t="s">
        <v>86</v>
      </c>
      <c r="AK32" s="2" t="s">
        <v>103</v>
      </c>
      <c r="AL32" s="2" t="s">
        <v>228</v>
      </c>
    </row>
    <row r="33" ht="16" customHeight="1">
      <c r="A33" s="2" t="s">
        <v>229</v>
      </c>
      <c r="D33" s="2" t="s">
        <v>117</v>
      </c>
      <c r="E33" t="str">
        <f t="shared" si="0"/>
        <v>0</v>
      </c>
      <c r="F33" t="str">
        <f t="shared" si="1"/>
        <v>DosSantos_etal_2020</v>
      </c>
      <c r="G33" t="str">
        <f t="shared" si="2"/>
        <v>DosSantos</v>
      </c>
      <c r="H33" t="str">
        <f t="shared" si="16"/>
        <v>etal</v>
      </c>
      <c r="I33" t="str">
        <f t="shared" si="4"/>
        <v>2020</v>
      </c>
      <c r="J33" t="str">
        <f t="shared" si="5"/>
        <v>10.1523/JNEUROSCI.2339-19.2020</v>
      </c>
      <c r="K33" t="str">
        <f t="shared" si="18"/>
        <v>DosSantos_etal_2020_Table1</v>
      </c>
      <c r="L33" t="str">
        <f t="shared" si="19"/>
        <v>10.1523%2FJNEUROSCI.2339-19.2020_Table1</v>
      </c>
      <c r="M33" t="str">
        <f t="array" ref="M33">IFERROR(INDEX(FileList!$A$1:$A$100, MATCH(L33, _xlfn.TEXTBEFORE(FileList!$A$1:$A$100, ".tsv"), 0)), "notfound")</f>
        <v>10.1523%2FJNEUROSCI.2339-19.2020_Table1.tsv</v>
      </c>
      <c r="O33" s="2" t="s">
        <v>230</v>
      </c>
      <c r="P33" s="2" t="s">
        <v>44</v>
      </c>
      <c r="Q33" s="2" t="s">
        <v>45</v>
      </c>
      <c r="R33" s="2" t="s">
        <v>231</v>
      </c>
      <c r="S33" s="2" t="s">
        <v>47</v>
      </c>
      <c r="T33" s="2" t="s">
        <v>232</v>
      </c>
      <c r="U33" s="2" t="s">
        <v>233</v>
      </c>
      <c r="V33" s="2" t="s">
        <v>39</v>
      </c>
      <c r="Y33" s="2" t="s">
        <v>234</v>
      </c>
      <c r="Z33" s="2" t="s">
        <v>235</v>
      </c>
      <c r="AA33" s="2" t="s">
        <v>54</v>
      </c>
      <c r="AB33" s="2" t="s">
        <v>189</v>
      </c>
      <c r="AF33" s="2" t="s">
        <v>236</v>
      </c>
      <c r="AG33" s="2" t="s">
        <v>237</v>
      </c>
      <c r="AI33" s="2" t="s">
        <v>238</v>
      </c>
      <c r="AJ33" s="2" t="s">
        <v>106</v>
      </c>
      <c r="AK33" s="2" t="s">
        <v>53</v>
      </c>
      <c r="AL33" s="2" t="s">
        <v>239</v>
      </c>
    </row>
    <row r="34" ht="16" customHeight="1">
      <c r="A34" s="2" t="s">
        <v>229</v>
      </c>
      <c r="D34" s="2" t="s">
        <v>240</v>
      </c>
      <c r="E34" t="str">
        <f t="shared" si="0"/>
        <v>0</v>
      </c>
      <c r="F34" t="str">
        <f t="shared" si="1"/>
        <v>DosSantos_etal_2020</v>
      </c>
      <c r="G34" t="str">
        <f t="shared" si="2"/>
        <v>DosSantos</v>
      </c>
      <c r="H34" t="str">
        <f t="shared" si="16"/>
        <v>etal</v>
      </c>
      <c r="I34" t="str">
        <f t="shared" si="4"/>
        <v>2020</v>
      </c>
      <c r="J34" t="str">
        <f t="shared" si="5"/>
        <v>10.1523/JNEUROSCI.2339-19.2020</v>
      </c>
      <c r="K34" t="str">
        <f t="shared" si="18"/>
        <v>DosSantos_etal_2020_unpublished</v>
      </c>
      <c r="L34" t="str">
        <f t="shared" si="19"/>
        <v>10.1523%2FJNEUROSCI.2339-19.2020_unpublished</v>
      </c>
      <c r="M34" t="str">
        <f t="array" ref="M34">IFERROR(INDEX(FileList!$A$1:$A$100, MATCH(L34, _xlfn.TEXTBEFORE(FileList!$A$1:$A$100, ".tsv"), 0)), "notfound")</f>
        <v>10.1523%2FJNEUROSCI.2339-19.2020_unpublished.tsv</v>
      </c>
      <c r="O34" s="2" t="s">
        <v>241</v>
      </c>
      <c r="P34" s="2" t="s">
        <v>44</v>
      </c>
      <c r="Q34" s="2" t="s">
        <v>45</v>
      </c>
      <c r="R34" s="2" t="s">
        <v>231</v>
      </c>
      <c r="S34" s="2" t="s">
        <v>47</v>
      </c>
      <c r="T34" s="2" t="s">
        <v>232</v>
      </c>
      <c r="U34" s="2" t="s">
        <v>233</v>
      </c>
      <c r="V34" s="2" t="s">
        <v>39</v>
      </c>
      <c r="X34" s="2" t="s">
        <v>242</v>
      </c>
      <c r="Y34" s="2" t="s">
        <v>234</v>
      </c>
      <c r="Z34" s="2" t="s">
        <v>235</v>
      </c>
      <c r="AA34" s="2" t="s">
        <v>54</v>
      </c>
      <c r="AB34" s="2" t="s">
        <v>189</v>
      </c>
      <c r="AF34" s="2" t="s">
        <v>236</v>
      </c>
      <c r="AG34" s="2" t="s">
        <v>243</v>
      </c>
      <c r="AJ34" s="2" t="s">
        <v>106</v>
      </c>
      <c r="AK34" s="2" t="s">
        <v>53</v>
      </c>
      <c r="AL34" s="2" t="s">
        <v>239</v>
      </c>
    </row>
    <row r="35" ht="16" customHeight="1">
      <c r="A35" s="2" t="s">
        <v>244</v>
      </c>
      <c r="D35" s="2" t="s">
        <v>245</v>
      </c>
      <c r="E35" t="str">
        <f t="shared" ref="E35:E66" si="20">RIGHT(A35,1)</f>
        <v>6</v>
      </c>
      <c r="F35" t="str">
        <f t="shared" ref="F35:F66" si="21">G35 &amp; IF(H35&lt;&gt;"", "_" &amp; H35, "_") &amp; IF(I35&lt;&gt;"", "_" &amp; I35, "_") &amp; IF(B35&lt;&gt;"", "_" &amp; B35, "")</f>
        <v>DosSantos_etal_2017</v>
      </c>
      <c r="G35" t="str">
        <f t="shared" ref="G35:G66" si="22">SUBSTITUTE(SUBSTITUTE(_xlfn.TEXTBEFORE(A35,","), "-", ""), " ", "")</f>
        <v>DosSantos</v>
      </c>
      <c r="H35" t="str">
        <f t="shared" si="16"/>
        <v>etal</v>
      </c>
      <c r="I35" t="str">
        <f t="shared" ref="I35:I66" si="23">_xlfn.TEXTBEFORE(_xlfn.TEXTAFTER(A35, "("), ")")</f>
        <v>2017</v>
      </c>
      <c r="J35" t="str">
        <f t="shared" si="5"/>
        <v>10.1159/000452856</v>
      </c>
      <c r="K35" t="str">
        <f t="shared" si="18"/>
        <v>DosSantos_etal_2017_TableS1</v>
      </c>
      <c r="L35" t="str">
        <f t="shared" si="19"/>
        <v>10.1159%2F000452856_TableS1</v>
      </c>
      <c r="M35" t="str">
        <f t="array" ref="M35">IFERROR(INDEX(FileList!$A$1:$A$100, MATCH(L35, _xlfn.TEXTBEFORE(FileList!$A$1:$A$100, ".tsv"), 0)), "notfound")</f>
        <v>10.1159%2F000452856_TableS1.tsv</v>
      </c>
      <c r="O35" s="2" t="s">
        <v>246</v>
      </c>
      <c r="P35" s="2" t="s">
        <v>44</v>
      </c>
      <c r="Q35" s="2" t="s">
        <v>45</v>
      </c>
      <c r="R35" s="2" t="s">
        <v>247</v>
      </c>
      <c r="S35" s="2" t="s">
        <v>47</v>
      </c>
      <c r="T35" s="2" t="s">
        <v>248</v>
      </c>
      <c r="U35" s="2" t="s">
        <v>249</v>
      </c>
      <c r="V35" s="2" t="s">
        <v>250</v>
      </c>
      <c r="W35" s="2" t="s">
        <v>147</v>
      </c>
      <c r="X35" s="2" t="s">
        <v>251</v>
      </c>
      <c r="Y35" s="2" t="s">
        <v>234</v>
      </c>
      <c r="Z35" s="2" t="s">
        <v>53</v>
      </c>
      <c r="AA35" s="2" t="s">
        <v>54</v>
      </c>
      <c r="AB35" s="2" t="s">
        <v>189</v>
      </c>
      <c r="AF35" s="2" t="s">
        <v>252</v>
      </c>
      <c r="AG35" s="2" t="s">
        <v>253</v>
      </c>
      <c r="AJ35" s="2" t="s">
        <v>254</v>
      </c>
      <c r="AK35" s="2" t="s">
        <v>53</v>
      </c>
      <c r="AL35" s="2" t="s">
        <v>57</v>
      </c>
    </row>
    <row r="36" ht="16" customHeight="1">
      <c r="A36" s="2" t="s">
        <v>255</v>
      </c>
      <c r="D36" s="2" t="s">
        <v>42</v>
      </c>
      <c r="E36" t="str">
        <f t="shared" si="20"/>
        <v>3</v>
      </c>
      <c r="F36" t="str">
        <f t="shared" si="21"/>
        <v>Eagleman_Vaughn_2021</v>
      </c>
      <c r="G36" t="str">
        <f t="shared" si="22"/>
        <v>Eagleman</v>
      </c>
      <c r="H36" t="str">
        <f t="shared" si="16"/>
        <v>Vaughn</v>
      </c>
      <c r="I36" t="str">
        <f t="shared" si="23"/>
        <v>2021</v>
      </c>
      <c r="J36" t="str">
        <f t="shared" si="5"/>
        <v>10.3389/fnins.2021.632853</v>
      </c>
      <c r="K36" t="str">
        <f t="shared" si="18"/>
        <v>Eagleman_Vaughn_2021_TABLE1</v>
      </c>
      <c r="L36" t="str">
        <f t="shared" si="19"/>
        <v>10.3389%2Ffnins.2021.632853_TABLE1</v>
      </c>
      <c r="M36" t="str">
        <f t="array" ref="M36">IFERROR(INDEX(FileList!$A$1:$A$100, MATCH(L36, _xlfn.TEXTBEFORE(FileList!$A$1:$A$100, ".tsv"), 0)), "notfound")</f>
        <v>10.3389%2Ffnins.2021.632853_TABLE1.tsv</v>
      </c>
      <c r="N36" s="2" t="s">
        <v>256</v>
      </c>
      <c r="U36" s="2" t="s">
        <v>49</v>
      </c>
      <c r="Y36" s="2" t="s">
        <v>257</v>
      </c>
      <c r="Z36" s="2" t="s">
        <v>103</v>
      </c>
      <c r="AJ36" s="2" t="s">
        <v>106</v>
      </c>
      <c r="AK36" s="2" t="s">
        <v>103</v>
      </c>
      <c r="AL36" s="2" t="s">
        <v>258</v>
      </c>
    </row>
    <row r="37" ht="16" customHeight="1">
      <c r="A37" s="2" t="s">
        <v>259</v>
      </c>
      <c r="D37" s="2" t="s">
        <v>42</v>
      </c>
      <c r="E37" t="str">
        <f t="shared" si="20"/>
        <v>5</v>
      </c>
      <c r="F37" t="str">
        <f t="shared" si="21"/>
        <v>Falcone_etal_2019</v>
      </c>
      <c r="G37" t="str">
        <f t="shared" si="22"/>
        <v>Falcone</v>
      </c>
      <c r="H37" t="str">
        <f t="shared" si="16"/>
        <v>etal</v>
      </c>
      <c r="I37" t="str">
        <f t="shared" si="23"/>
        <v>2019</v>
      </c>
      <c r="J37" t="str">
        <f t="shared" si="5"/>
        <v>10.1002/cne.24605</v>
      </c>
      <c r="K37" t="str">
        <f t="shared" si="18"/>
        <v>Falcone_etal_2019_TABLE1</v>
      </c>
      <c r="L37" t="str">
        <f t="shared" si="19"/>
        <v>10.1002%2Fcne.24605_TABLE1</v>
      </c>
      <c r="M37" t="str">
        <f t="array" ref="M37">IFERROR(INDEX(FileList!$A$1:$A$100, MATCH(L37, _xlfn.TEXTBEFORE(FileList!$A$1:$A$100, ".tsv"), 0)), "notfound")</f>
        <v>10.1002%2Fcne.24605_TABLE1.tsv</v>
      </c>
      <c r="N37" s="2" t="s">
        <v>260</v>
      </c>
      <c r="U37" s="2" t="s">
        <v>49</v>
      </c>
      <c r="Y37" s="2" t="s">
        <v>261</v>
      </c>
      <c r="Z37" s="2" t="s">
        <v>53</v>
      </c>
      <c r="AJ37" s="2" t="s">
        <v>262</v>
      </c>
      <c r="AK37" s="2" t="s">
        <v>53</v>
      </c>
      <c r="AL37" s="2" t="s">
        <v>263</v>
      </c>
    </row>
    <row r="38" ht="16" customHeight="1">
      <c r="A38" s="2" t="s">
        <v>259</v>
      </c>
      <c r="D38" s="2" t="s">
        <v>264</v>
      </c>
      <c r="E38" t="str">
        <f t="shared" si="20"/>
        <v>5</v>
      </c>
      <c r="F38" t="str">
        <f t="shared" si="21"/>
        <v>Falcone_etal_2019</v>
      </c>
      <c r="G38" t="str">
        <f t="shared" si="22"/>
        <v>Falcone</v>
      </c>
      <c r="H38" t="str">
        <f t="shared" si="16"/>
        <v>etal</v>
      </c>
      <c r="I38" t="str">
        <f t="shared" si="23"/>
        <v>2019</v>
      </c>
      <c r="J38" t="str">
        <f t="shared" si="5"/>
        <v>10.1002/cne.24605</v>
      </c>
      <c r="K38" t="str">
        <f t="shared" si="18"/>
        <v>Falcone_etal_2019_TABLE2</v>
      </c>
      <c r="L38" t="str">
        <f t="shared" si="19"/>
        <v>10.1002%2Fcne.24605_TABLE2</v>
      </c>
      <c r="M38" t="str">
        <f t="array" ref="M38">IFERROR(INDEX(FileList!$A$1:$A$100, MATCH(L38, _xlfn.TEXTBEFORE(FileList!$A$1:$A$100, ".tsv"), 0)), "notfound")</f>
        <v>10.1002%2Fcne.24605_TABLE2.tsv</v>
      </c>
      <c r="N38" s="2" t="s">
        <v>265</v>
      </c>
      <c r="U38" s="2" t="s">
        <v>49</v>
      </c>
      <c r="Y38" s="2" t="s">
        <v>261</v>
      </c>
      <c r="Z38" s="2" t="s">
        <v>53</v>
      </c>
      <c r="AJ38" s="2" t="s">
        <v>262</v>
      </c>
      <c r="AK38" s="2" t="s">
        <v>53</v>
      </c>
      <c r="AL38" s="2" t="s">
        <v>263</v>
      </c>
    </row>
    <row r="39" ht="16" customHeight="1">
      <c r="A39" s="2" t="s">
        <v>266</v>
      </c>
      <c r="D39" s="2" t="s">
        <v>267</v>
      </c>
      <c r="E39" t="str">
        <f t="shared" si="20"/>
        <v>6</v>
      </c>
      <c r="F39" t="str">
        <f t="shared" si="21"/>
        <v>Finlay_etal_2006</v>
      </c>
      <c r="G39" t="str">
        <f t="shared" si="22"/>
        <v>Finlay</v>
      </c>
      <c r="H39" t="str">
        <f t="shared" si="16"/>
        <v>etal</v>
      </c>
      <c r="I39" t="str">
        <f t="shared" si="23"/>
        <v>2006</v>
      </c>
      <c r="J39" t="str">
        <f t="shared" si="5"/>
        <v>10.1093/oso/9780198568742.003.0006</v>
      </c>
      <c r="K39" t="str">
        <f t="shared" si="18"/>
        <v>Finlay_etal_2006_Table6.1</v>
      </c>
      <c r="L39" t="str">
        <f t="shared" si="19"/>
        <v>10.1093%2Foso%2F9780198568742.003.0006_Table6.1</v>
      </c>
      <c r="M39" t="str">
        <f t="array" ref="M39">IFERROR(INDEX(FileList!$A$1:$A$100, MATCH(L39, _xlfn.TEXTBEFORE(FileList!$A$1:$A$100, ".tsv"), 0)), "notfound")</f>
        <v>10.1093%2Foso%2F9780198568742.003.0006_Table6.1.tsv</v>
      </c>
      <c r="P39" s="2" t="s">
        <v>162</v>
      </c>
      <c r="Q39" s="2" t="s">
        <v>163</v>
      </c>
      <c r="R39" s="2" t="s">
        <v>268</v>
      </c>
      <c r="S39" s="2" t="s">
        <v>47</v>
      </c>
      <c r="T39" s="2" t="s">
        <v>269</v>
      </c>
      <c r="U39" s="2" t="s">
        <v>49</v>
      </c>
      <c r="V39" s="2" t="s">
        <v>39</v>
      </c>
      <c r="W39" s="2" t="s">
        <v>154</v>
      </c>
      <c r="X39" s="2" t="s">
        <v>270</v>
      </c>
      <c r="Y39" s="2" t="s">
        <v>271</v>
      </c>
      <c r="Z39" s="2" t="s">
        <v>169</v>
      </c>
      <c r="AE39" s="2" t="s">
        <v>170</v>
      </c>
      <c r="AF39" s="2" t="s">
        <v>105</v>
      </c>
      <c r="AJ39" s="2" t="s">
        <v>106</v>
      </c>
      <c r="AK39" s="2" t="s">
        <v>103</v>
      </c>
      <c r="AL39" s="2" t="s">
        <v>272</v>
      </c>
    </row>
    <row r="40" ht="16" customHeight="1">
      <c r="A40" s="2" t="s">
        <v>273</v>
      </c>
      <c r="C40" s="2" t="s">
        <v>274</v>
      </c>
      <c r="D40" s="2" t="s">
        <v>125</v>
      </c>
      <c r="E40" t="str">
        <f t="shared" si="20"/>
        <v>8</v>
      </c>
      <c r="F40" t="str">
        <f t="shared" ref="F40" si="24">G40 &amp; IF(H40&lt;&gt;"", "_" &amp; H40, "_") &amp; IF(I40&lt;&gt;"", "_" &amp; I40, "_") &amp; IF(B40&lt;&gt;"", "_" &amp; B40, "")</f>
        <v>Frahm_Zilles_1994</v>
      </c>
      <c r="G40" t="str">
        <f t="shared" ref="G40" si="25">SUBSTITUTE(SUBSTITUTE(_xlfn.TEXTBEFORE(A40,","), "-", ""), " ", "")</f>
        <v>Frahm</v>
      </c>
      <c r="H40" t="str">
        <f t="shared" si="16"/>
        <v>Zilles</v>
      </c>
      <c r="I40" t="str">
        <f t="shared" ref="I40" si="26">_xlfn.TEXTBEFORE(_xlfn.TEXTAFTER(A40, "("), ")")</f>
        <v>1994</v>
      </c>
      <c r="J40" t="str">
        <f t="shared" ref="J40" si="27">IF(C40&lt;&gt;"", C40, IF(C40="", _xlfn.TEXTAFTER(A40,"https://doi.org/"), C40))</f>
        <v>PMID:7983368</v>
      </c>
      <c r="K40" t="str">
        <f t="shared" ref="K40" si="28">TRIM(_xlfn.TEXTJOIN("_",FALSE,F40,(SUBSTITUTE(SUBSTITUTE(D40," ",""), "_", ""))))</f>
        <v>Frahm_Zilles_1994_Table2</v>
      </c>
      <c r="L40" t="str">
        <f t="shared" ref="L40" si="29">IF(ISBLANK(C40),TRIM(SUBSTITUTE(SUBSTITUTE(SUBSTITUTE(_xlfn.TEXTJOIN("_", FALSE, J40, SUBSTITUTE(D40,"_", "")), "/", "%2F"), ":", "%3A"), " ", "")),TRIM(SUBSTITUTE(SUBSTITUTE(SUBSTITUTE(_xlfn.TEXTJOIN("_", FALSE, C40, SUBSTITUTE(D40,"_", "")), "/", "%2F"), ":", "%3A"), " ", "")))</f>
        <v>PMID%3A7983368_Table2</v>
      </c>
      <c r="M40" t="str">
        <f t="array" ref="M40">IFERROR(INDEX(FileList!$A$1:$A$100, MATCH(L40, _xlfn.TEXTBEFORE(FileList!$A$1:$A$100, ".tsv"), 0)), "notfound")</f>
        <v>notfound</v>
      </c>
    </row>
    <row r="41" ht="16" customHeight="1">
      <c r="A41" s="2" t="s">
        <v>273</v>
      </c>
      <c r="C41" s="2" t="s">
        <v>274</v>
      </c>
      <c r="D41" s="2" t="s">
        <v>69</v>
      </c>
      <c r="E41" t="str">
        <f t="shared" si="20"/>
        <v>8</v>
      </c>
      <c r="F41" t="str">
        <f t="shared" si="21"/>
        <v>Frahm_Zilles_1994</v>
      </c>
      <c r="G41" t="str">
        <f t="shared" si="22"/>
        <v>Frahm</v>
      </c>
      <c r="H41" t="str">
        <f t="shared" si="16"/>
        <v>Zilles</v>
      </c>
      <c r="I41" t="str">
        <f t="shared" si="23"/>
        <v>1994</v>
      </c>
      <c r="J41" t="str">
        <f t="shared" ref="J41:J72" si="30">IF(C41&lt;&gt;"", C41, IF(C41="", _xlfn.TEXTAFTER(A41,"https://doi.org/"), C41))</f>
        <v>PMID:7983368</v>
      </c>
      <c r="K41" t="str">
        <f t="shared" ref="K41:K72" si="31">TRIM(_xlfn.TEXTJOIN("_",FALSE,F41,(SUBSTITUTE(SUBSTITUTE(D41," ",""), "_", ""))))</f>
        <v>Frahm_Zilles_1994_Table1</v>
      </c>
      <c r="L41" t="str">
        <f t="shared" ref="L41:L72" si="32">IF(ISBLANK(C41),TRIM(SUBSTITUTE(SUBSTITUTE(SUBSTITUTE(_xlfn.TEXTJOIN("_", FALSE, J41, SUBSTITUTE(D41,"_", "")), "/", "%2F"), ":", "%3A"), " ", "")),TRIM(SUBSTITUTE(SUBSTITUTE(SUBSTITUTE(_xlfn.TEXTJOIN("_", FALSE, C41, SUBSTITUTE(D41,"_", "")), "/", "%2F"), ":", "%3A"), " ", "")))</f>
        <v>PMID%3A7983368_Table1</v>
      </c>
      <c r="M41" t="str">
        <f t="array" ref="M41">IFERROR(INDEX(FileList!$A$1:$A$100, MATCH(L41, _xlfn.TEXTBEFORE(FileList!$A$1:$A$100, ".tsv"), 0)), "notfound")</f>
        <v>PMID%3A7983368_Table1.tsv</v>
      </c>
      <c r="N41" s="2" t="s">
        <v>275</v>
      </c>
      <c r="V41" s="2" t="s">
        <v>39</v>
      </c>
      <c r="W41" s="2" t="s">
        <v>76</v>
      </c>
      <c r="Y41" s="2" t="s">
        <v>276</v>
      </c>
      <c r="Z41" s="2" t="s">
        <v>53</v>
      </c>
      <c r="AA41" s="2" t="s">
        <v>72</v>
      </c>
      <c r="AB41" s="2" t="s">
        <v>84</v>
      </c>
      <c r="AJ41" s="2" t="s">
        <v>73</v>
      </c>
      <c r="AK41" s="2" t="s">
        <v>53</v>
      </c>
      <c r="AL41" s="2" t="s">
        <v>63</v>
      </c>
    </row>
    <row r="42" ht="16" customHeight="1">
      <c r="A42" s="2" t="s">
        <v>277</v>
      </c>
      <c r="C42" s="2" t="s">
        <v>278</v>
      </c>
      <c r="D42" s="2" t="s">
        <v>69</v>
      </c>
      <c r="E42" t="str">
        <f t="shared" si="20"/>
        <v>3</v>
      </c>
      <c r="F42" t="str">
        <f t="shared" si="21"/>
        <v>Frahm_etal_1997</v>
      </c>
      <c r="G42" t="str">
        <f t="shared" si="22"/>
        <v>Frahm</v>
      </c>
      <c r="H42" t="str">
        <f t="shared" si="16"/>
        <v>etal</v>
      </c>
      <c r="I42" t="str">
        <f t="shared" si="23"/>
        <v>1997</v>
      </c>
      <c r="J42" t="str">
        <f t="shared" si="30"/>
        <v>PMID:9176733</v>
      </c>
      <c r="K42" t="str">
        <f t="shared" si="31"/>
        <v>Frahm_etal_1997_Table1</v>
      </c>
      <c r="L42" t="str">
        <f t="shared" si="32"/>
        <v>PMID%3A9176733_Table1</v>
      </c>
      <c r="M42" t="str">
        <f t="array" ref="M42">IFERROR(INDEX(FileList!$A$1:$A$100, MATCH(L42, _xlfn.TEXTBEFORE(FileList!$A$1:$A$100, ".tsv"), 0)), "notfound")</f>
        <v>PMID%3A9176733_Table1.tsv</v>
      </c>
      <c r="N42" s="2" t="s">
        <v>279</v>
      </c>
      <c r="V42" s="2" t="s">
        <v>39</v>
      </c>
      <c r="W42" s="2" t="s">
        <v>76</v>
      </c>
      <c r="Y42" s="2" t="s">
        <v>280</v>
      </c>
      <c r="Z42" s="2" t="s">
        <v>53</v>
      </c>
      <c r="AA42" s="2" t="s">
        <v>72</v>
      </c>
      <c r="AB42" s="2" t="s">
        <v>84</v>
      </c>
      <c r="AJ42" s="2" t="s">
        <v>73</v>
      </c>
      <c r="AK42" s="2" t="s">
        <v>53</v>
      </c>
      <c r="AL42" s="2" t="s">
        <v>63</v>
      </c>
    </row>
    <row r="43" ht="19" customHeight="1">
      <c r="A43" s="2" t="s">
        <v>281</v>
      </c>
      <c r="C43" s="2" t="s">
        <v>282</v>
      </c>
      <c r="D43" s="2" t="s">
        <v>117</v>
      </c>
      <c r="E43" t="str">
        <f t="shared" si="20"/>
        <v>9</v>
      </c>
      <c r="F43" t="str">
        <f t="shared" si="21"/>
        <v>Frahm_etal_1984</v>
      </c>
      <c r="G43" t="str">
        <f t="shared" si="22"/>
        <v>Frahm</v>
      </c>
      <c r="H43" t="str">
        <f t="shared" si="16"/>
        <v>etal</v>
      </c>
      <c r="I43" t="str">
        <f t="shared" si="23"/>
        <v>1984</v>
      </c>
      <c r="J43" t="str">
        <f t="shared" si="30"/>
        <v>PMID:6501869</v>
      </c>
      <c r="K43" t="str">
        <f t="shared" si="31"/>
        <v>Frahm_etal_1984_Table1</v>
      </c>
      <c r="L43" t="str">
        <f t="shared" si="32"/>
        <v>PMID%3A6501869_Table1</v>
      </c>
      <c r="M43" t="str">
        <f t="array" ref="M43">IFERROR(INDEX(FileList!$A$1:$A$100, MATCH(L43, _xlfn.TEXTBEFORE(FileList!$A$1:$A$100, ".tsv"), 0)), "notfound")</f>
        <v>PMID%3A6501869_Table1.tsv</v>
      </c>
      <c r="N43" s="2" t="s">
        <v>283</v>
      </c>
      <c r="V43" s="2" t="s">
        <v>39</v>
      </c>
      <c r="W43" s="2" t="s">
        <v>76</v>
      </c>
      <c r="Y43" s="2" t="s">
        <v>284</v>
      </c>
      <c r="Z43" s="2" t="s">
        <v>53</v>
      </c>
      <c r="AA43" s="2" t="s">
        <v>72</v>
      </c>
      <c r="AB43" s="2" t="s">
        <v>84</v>
      </c>
      <c r="AJ43" s="2" t="s">
        <v>73</v>
      </c>
      <c r="AK43" s="2" t="s">
        <v>53</v>
      </c>
      <c r="AL43" s="2" t="s">
        <v>63</v>
      </c>
    </row>
    <row r="44" ht="17" customHeight="1">
      <c r="A44" s="2" t="s">
        <v>285</v>
      </c>
      <c r="C44" s="2" t="s">
        <v>286</v>
      </c>
      <c r="D44" s="2" t="s">
        <v>125</v>
      </c>
      <c r="E44" t="str">
        <f t="shared" si="20"/>
        <v>7</v>
      </c>
      <c r="F44" t="str">
        <f t="shared" si="21"/>
        <v>Frahm_etal_1982</v>
      </c>
      <c r="G44" t="str">
        <f t="shared" si="22"/>
        <v>Frahm</v>
      </c>
      <c r="H44" t="str">
        <f t="shared" si="16"/>
        <v>etal</v>
      </c>
      <c r="I44" t="str">
        <f t="shared" si="23"/>
        <v>1982</v>
      </c>
      <c r="J44" t="str">
        <f t="shared" si="30"/>
        <v>PMID:7161477</v>
      </c>
      <c r="K44" t="str">
        <f t="shared" si="31"/>
        <v>Frahm_etal_1982_Table2</v>
      </c>
      <c r="L44" t="str">
        <f t="shared" si="32"/>
        <v>PMID%3A7161477_Table2</v>
      </c>
      <c r="M44" t="str">
        <f t="array" ref="M44">IFERROR(INDEX(FileList!$A$1:$A$100, MATCH(L44, _xlfn.TEXTBEFORE(FileList!$A$1:$A$100, ".tsv"), 0)), "notfound")</f>
        <v>PMID%3A7161477_Table2.tsv</v>
      </c>
      <c r="N44" s="2" t="s">
        <v>287</v>
      </c>
      <c r="V44" s="2" t="s">
        <v>39</v>
      </c>
      <c r="W44" s="2" t="s">
        <v>76</v>
      </c>
      <c r="Y44" s="2" t="s">
        <v>288</v>
      </c>
      <c r="Z44" s="2" t="s">
        <v>53</v>
      </c>
      <c r="AA44" s="2" t="s">
        <v>72</v>
      </c>
      <c r="AB44" s="2" t="s">
        <v>84</v>
      </c>
      <c r="AJ44" s="2" t="s">
        <v>73</v>
      </c>
      <c r="AK44" s="2" t="s">
        <v>53</v>
      </c>
      <c r="AL44" s="2" t="s">
        <v>63</v>
      </c>
    </row>
    <row r="45" ht="17" customHeight="1">
      <c r="A45" s="2" t="s">
        <v>289</v>
      </c>
      <c r="C45" s="2" t="s">
        <v>290</v>
      </c>
      <c r="D45" s="2" t="s">
        <v>69</v>
      </c>
      <c r="E45" t="str">
        <f t="shared" si="20"/>
        <v>0</v>
      </c>
      <c r="F45" t="str">
        <f t="shared" si="21"/>
        <v>Frahm_etal_1998</v>
      </c>
      <c r="G45" t="str">
        <f t="shared" si="22"/>
        <v>Frahm</v>
      </c>
      <c r="H45" t="str">
        <f t="shared" si="16"/>
        <v>etal</v>
      </c>
      <c r="I45" t="str">
        <f t="shared" si="23"/>
        <v>1998</v>
      </c>
      <c r="J45" t="str">
        <f t="shared" si="30"/>
        <v>PMID:9672110</v>
      </c>
      <c r="K45" t="str">
        <f t="shared" si="31"/>
        <v>Frahm_etal_1998_Table1</v>
      </c>
      <c r="L45" t="str">
        <f t="shared" si="32"/>
        <v>PMID%3A9672110_Table1</v>
      </c>
      <c r="M45" t="str">
        <f t="array" ref="M45">IFERROR(INDEX(FileList!$A$1:$A$100, MATCH(L45, _xlfn.TEXTBEFORE(FileList!$A$1:$A$100, ".tsv"), 0)), "notfound")</f>
        <v>PMID%3A9672110_Table1.tsv</v>
      </c>
      <c r="N45" s="2" t="s">
        <v>291</v>
      </c>
      <c r="V45" s="2" t="s">
        <v>39</v>
      </c>
      <c r="W45" s="2" t="s">
        <v>76</v>
      </c>
      <c r="Y45" s="2" t="s">
        <v>292</v>
      </c>
      <c r="Z45" s="2" t="s">
        <v>53</v>
      </c>
      <c r="AA45" s="2" t="s">
        <v>72</v>
      </c>
      <c r="AB45" s="2" t="s">
        <v>84</v>
      </c>
      <c r="AJ45" s="2" t="s">
        <v>73</v>
      </c>
      <c r="AK45" s="2" t="s">
        <v>53</v>
      </c>
      <c r="AL45" s="2" t="s">
        <v>63</v>
      </c>
    </row>
    <row r="46" ht="17" customHeight="1">
      <c r="A46" s="2" t="s">
        <v>293</v>
      </c>
      <c r="D46" s="2" t="s">
        <v>117</v>
      </c>
      <c r="E46" t="str">
        <f t="shared" si="20"/>
        <v>x</v>
      </c>
      <c r="F46" t="str">
        <f t="shared" si="21"/>
        <v>Fu_etal_2013</v>
      </c>
      <c r="G46" t="str">
        <f t="shared" si="22"/>
        <v>Fu</v>
      </c>
      <c r="H46" t="str">
        <f t="shared" si="16"/>
        <v>etal</v>
      </c>
      <c r="I46" t="str">
        <f t="shared" si="23"/>
        <v>2013</v>
      </c>
      <c r="J46" t="str">
        <f t="shared" si="30"/>
        <v>10.1007/s00429-012-0462-x</v>
      </c>
      <c r="K46" t="str">
        <f t="shared" si="31"/>
        <v>Fu_etal_2013_Table1</v>
      </c>
      <c r="L46" t="str">
        <f t="shared" si="32"/>
        <v>10.1007%2Fs00429-012-0462-x_Table1</v>
      </c>
      <c r="M46" t="str">
        <f t="array" ref="M46">IFERROR(INDEX(FileList!$A$1:$A$100, MATCH(L46, _xlfn.TEXTBEFORE(FileList!$A$1:$A$100, ".tsv"), 0)), "notfound")</f>
        <v>notfound</v>
      </c>
      <c r="N46" s="2" t="s">
        <v>294</v>
      </c>
      <c r="P46" s="2" t="s">
        <v>295</v>
      </c>
      <c r="Z46" s="2" t="s">
        <v>296</v>
      </c>
      <c r="AD46" s="2" t="s">
        <v>114</v>
      </c>
      <c r="AJ46" s="2" t="s">
        <v>40</v>
      </c>
      <c r="AK46" s="2" t="s">
        <v>40</v>
      </c>
      <c r="AL46" s="2" t="s">
        <v>40</v>
      </c>
    </row>
    <row r="47" ht="17" customHeight="1">
      <c r="A47" s="2" t="s">
        <v>297</v>
      </c>
      <c r="D47" s="2" t="s">
        <v>245</v>
      </c>
      <c r="E47" t="str">
        <f t="shared" si="20"/>
        <v>6</v>
      </c>
      <c r="F47" t="str">
        <f t="shared" si="21"/>
        <v>Garwicz_etal_2009</v>
      </c>
      <c r="G47" t="str">
        <f t="shared" si="22"/>
        <v>Garwicz</v>
      </c>
      <c r="H47" t="str">
        <f t="shared" si="16"/>
        <v>etal</v>
      </c>
      <c r="I47" t="str">
        <f t="shared" si="23"/>
        <v>2009</v>
      </c>
      <c r="J47" t="str">
        <f t="shared" si="30"/>
        <v>10.1073/pnas.0905777106</v>
      </c>
      <c r="K47" t="str">
        <f t="shared" si="31"/>
        <v>Garwicz_etal_2009_TableS1</v>
      </c>
      <c r="L47" t="str">
        <f t="shared" si="32"/>
        <v>10.1073%2Fpnas.0905777106_TableS1</v>
      </c>
      <c r="M47" t="str">
        <f t="array" ref="M47">IFERROR(INDEX(FileList!$A$1:$A$100, MATCH(L47, _xlfn.TEXTBEFORE(FileList!$A$1:$A$100, ".tsv"), 0)), "notfound")</f>
        <v>10.1073%2Fpnas.0905777106_TableS1.tsv</v>
      </c>
      <c r="N47" s="2" t="s">
        <v>298</v>
      </c>
      <c r="U47" s="2" t="s">
        <v>49</v>
      </c>
      <c r="W47" s="2" t="s">
        <v>147</v>
      </c>
      <c r="X47" s="2" t="s">
        <v>299</v>
      </c>
      <c r="AJ47" s="2" t="s">
        <v>106</v>
      </c>
      <c r="AK47" s="2" t="s">
        <v>103</v>
      </c>
      <c r="AL47" s="2" t="s">
        <v>300</v>
      </c>
    </row>
    <row r="48" ht="17" customHeight="1">
      <c r="A48" s="2" t="s">
        <v>297</v>
      </c>
      <c r="D48" s="2" t="s">
        <v>301</v>
      </c>
      <c r="E48" t="str">
        <f t="shared" si="20"/>
        <v>6</v>
      </c>
      <c r="F48" t="str">
        <f t="shared" si="21"/>
        <v>Garwicz_etal_2009</v>
      </c>
      <c r="G48" t="str">
        <f t="shared" si="22"/>
        <v>Garwicz</v>
      </c>
      <c r="H48" t="str">
        <f t="shared" si="16"/>
        <v>etal</v>
      </c>
      <c r="I48" t="str">
        <f t="shared" si="23"/>
        <v>2009</v>
      </c>
      <c r="J48" t="str">
        <f t="shared" si="30"/>
        <v>10.1073/pnas.0905777106</v>
      </c>
      <c r="K48" t="str">
        <f t="shared" si="31"/>
        <v>Garwicz_etal_2009_TableS2</v>
      </c>
      <c r="L48" t="str">
        <f t="shared" si="32"/>
        <v>10.1073%2Fpnas.0905777106_TableS2</v>
      </c>
      <c r="M48" t="str">
        <f t="array" ref="M48">IFERROR(INDEX(FileList!$A$1:$A$100, MATCH(L48, _xlfn.TEXTBEFORE(FileList!$A$1:$A$100, ".tsv"), 0)), "notfound")</f>
        <v>notfound</v>
      </c>
      <c r="N48" s="2" t="s">
        <v>302</v>
      </c>
      <c r="U48" s="2" t="s">
        <v>49</v>
      </c>
      <c r="W48" s="2" t="s">
        <v>147</v>
      </c>
      <c r="X48" s="2" t="s">
        <v>299</v>
      </c>
      <c r="AJ48" s="2" t="s">
        <v>106</v>
      </c>
      <c r="AK48" s="2" t="s">
        <v>103</v>
      </c>
      <c r="AL48" s="2" t="s">
        <v>300</v>
      </c>
    </row>
    <row r="49" ht="16" customHeight="1">
      <c r="A49" s="2" t="s">
        <v>303</v>
      </c>
      <c r="D49" s="2" t="s">
        <v>301</v>
      </c>
      <c r="E49" t="str">
        <f t="shared" si="20"/>
        <v>0</v>
      </c>
      <c r="F49" t="str">
        <f t="shared" si="21"/>
        <v>Genoud_etal_2018</v>
      </c>
      <c r="G49" t="str">
        <f t="shared" si="22"/>
        <v>Genoud</v>
      </c>
      <c r="H49" t="str">
        <f t="shared" si="16"/>
        <v>etal</v>
      </c>
      <c r="I49" t="str">
        <f t="shared" si="23"/>
        <v>2018</v>
      </c>
      <c r="J49" t="str">
        <f t="shared" si="30"/>
        <v>10.1111/brv.12350</v>
      </c>
      <c r="K49" t="str">
        <f t="shared" si="31"/>
        <v>Genoud_etal_2018_TableS2</v>
      </c>
      <c r="L49" t="str">
        <f t="shared" si="32"/>
        <v>10.1111%2Fbrv.12350_TableS2</v>
      </c>
      <c r="M49" t="str">
        <f t="array" ref="M49">IFERROR(INDEX(FileList!$A$1:$A$100, MATCH(L49, _xlfn.TEXTBEFORE(FileList!$A$1:$A$100, ".tsv"), 0)), "notfound")</f>
        <v>notfound</v>
      </c>
      <c r="N49" s="2" t="s">
        <v>304</v>
      </c>
      <c r="P49" s="2" t="s">
        <v>295</v>
      </c>
      <c r="AD49" s="2" t="s">
        <v>305</v>
      </c>
      <c r="AJ49" s="2" t="s">
        <v>40</v>
      </c>
      <c r="AK49" s="2" t="s">
        <v>40</v>
      </c>
      <c r="AL49" s="2" t="s">
        <v>40</v>
      </c>
    </row>
    <row r="50" ht="16" customHeight="1">
      <c r="A50" s="2" t="s">
        <v>306</v>
      </c>
      <c r="D50" s="2" t="s">
        <v>245</v>
      </c>
      <c r="E50" t="str">
        <f t="shared" si="20"/>
        <v>8</v>
      </c>
      <c r="F50" t="str">
        <f t="shared" si="21"/>
        <v>Granatosky__2018</v>
      </c>
      <c r="G50" t="str">
        <f t="shared" si="22"/>
        <v>Granatosky</v>
      </c>
      <c r="H50" t="str">
        <f t="shared" si="16"/>
      </c>
      <c r="I50" t="str">
        <f t="shared" si="23"/>
        <v>2018</v>
      </c>
      <c r="J50" t="str">
        <f t="shared" si="30"/>
        <v>10.1111/jzo.12608</v>
      </c>
      <c r="K50" t="str">
        <f t="shared" si="31"/>
        <v>Granatosky__2018_TableS1</v>
      </c>
      <c r="L50" t="str">
        <f t="shared" si="32"/>
        <v>10.1111%2Fjzo.12608_TableS1</v>
      </c>
      <c r="M50" t="str">
        <f t="array" ref="M50">IFERROR(INDEX(FileList!$A$1:$A$100, MATCH(L50, _xlfn.TEXTBEFORE(FileList!$A$1:$A$100, ".tsv"), 0)), "notfound")</f>
        <v>notfound</v>
      </c>
      <c r="N50" s="2" t="s">
        <v>307</v>
      </c>
      <c r="P50" s="2" t="s">
        <v>295</v>
      </c>
      <c r="X50" s="2" t="s">
        <v>308</v>
      </c>
      <c r="AJ50" s="2" t="s">
        <v>106</v>
      </c>
      <c r="AK50" s="2" t="s">
        <v>103</v>
      </c>
      <c r="AL50" s="2" t="s">
        <v>309</v>
      </c>
    </row>
    <row r="51" ht="16" customHeight="1">
      <c r="A51" s="2" t="s">
        <v>310</v>
      </c>
      <c r="E51" t="str">
        <f t="shared" si="20"/>
        <v>7</v>
      </c>
      <c r="F51" t="str">
        <f t="shared" si="21"/>
        <v>Haarlem_etal_2026</v>
      </c>
      <c r="G51" t="str">
        <f t="shared" si="22"/>
        <v>Haarlem</v>
      </c>
      <c r="H51" t="str">
        <f t="shared" si="16"/>
        <v>etal</v>
      </c>
      <c r="I51" t="str">
        <f t="shared" si="23"/>
        <v>2026</v>
      </c>
      <c r="J51" t="str">
        <f t="shared" si="30"/>
        <v>10.1038/s41559-026-02994-7</v>
      </c>
      <c r="K51" t="str">
        <f t="shared" si="31"/>
        <v>Haarlem_etal_2026_</v>
      </c>
      <c r="L51" t="str">
        <f t="shared" si="32"/>
        <v>10.1038%2Fs41559-026-02994-7_</v>
      </c>
      <c r="M51" t="str">
        <f t="array" ref="M51">IFERROR(INDEX(FileList!$A$1:$A$100, MATCH(L51, _xlfn.TEXTBEFORE(FileList!$A$1:$A$100, ".tsv"), 0)), "notfound")</f>
        <v>notfound</v>
      </c>
      <c r="X51" s="2" t="s">
        <v>308</v>
      </c>
      <c r="AJ51" s="2" t="s">
        <v>40</v>
      </c>
      <c r="AK51" s="2" t="s">
        <v>40</v>
      </c>
      <c r="AL51" s="2" t="s">
        <v>40</v>
      </c>
    </row>
    <row r="52" ht="16" customHeight="1">
      <c r="A52" s="2" t="s">
        <v>311</v>
      </c>
      <c r="D52" s="2" t="s">
        <v>312</v>
      </c>
      <c r="E52" t="str">
        <f t="shared" si="20"/>
        <v>4</v>
      </c>
      <c r="F52" t="str">
        <f t="shared" si="21"/>
        <v>Heffner_Masterton_1983</v>
      </c>
      <c r="G52" t="str">
        <f t="shared" si="22"/>
        <v>Heffner</v>
      </c>
      <c r="H52" t="str">
        <f t="shared" si="16"/>
        <v>Masterton</v>
      </c>
      <c r="I52" t="str">
        <f t="shared" si="23"/>
        <v>1983</v>
      </c>
      <c r="J52" t="str">
        <f t="shared" si="30"/>
        <v>10.1159/000121494</v>
      </c>
      <c r="K52" t="str">
        <f t="shared" si="31"/>
        <v>Heffner_Masterton_1983_TableI</v>
      </c>
      <c r="L52" t="str">
        <f t="shared" si="32"/>
        <v>10.1159%2F000121494_TableI</v>
      </c>
      <c r="M52" t="str">
        <f t="array" ref="M52">IFERROR(INDEX(FileList!$A$1:$A$100, MATCH(L52, _xlfn.TEXTBEFORE(FileList!$A$1:$A$100, ".tsv"), 0)), "notfound")</f>
        <v>notfound</v>
      </c>
      <c r="P52" s="2" t="s">
        <v>295</v>
      </c>
      <c r="Q52" s="2" t="s">
        <v>163</v>
      </c>
      <c r="T52" s="2" t="str">
        <f>IF(S52="N", R52, "write file name")</f>
        <v>write file name</v>
      </c>
      <c r="U52" s="2" t="s">
        <v>49</v>
      </c>
      <c r="V52" s="2" t="s">
        <v>39</v>
      </c>
      <c r="W52" s="2" t="s">
        <v>167</v>
      </c>
      <c r="X52" s="2" t="s">
        <v>308</v>
      </c>
      <c r="Y52" s="2" t="s">
        <v>313</v>
      </c>
      <c r="AF52" s="2" t="s">
        <v>105</v>
      </c>
      <c r="AH52" s="2" t="s">
        <v>314</v>
      </c>
      <c r="AJ52" s="2" t="s">
        <v>106</v>
      </c>
      <c r="AK52" s="2" t="s">
        <v>103</v>
      </c>
      <c r="AL52" s="2" t="s">
        <v>315</v>
      </c>
    </row>
    <row r="53" ht="16" customHeight="1">
      <c r="A53" s="2" t="s">
        <v>316</v>
      </c>
      <c r="D53" s="2" t="s">
        <v>312</v>
      </c>
      <c r="E53" t="str">
        <f t="shared" si="20"/>
        <v>1</v>
      </c>
      <c r="F53" t="str">
        <f t="shared" si="21"/>
        <v>Heffner_Masterton_1975</v>
      </c>
      <c r="G53" t="str">
        <f t="shared" si="22"/>
        <v>Heffner</v>
      </c>
      <c r="H53" t="str">
        <f t="shared" si="16"/>
        <v>Masterton</v>
      </c>
      <c r="I53" t="str">
        <f t="shared" si="23"/>
        <v>1975</v>
      </c>
      <c r="J53" t="str">
        <f t="shared" si="30"/>
        <v>10.1159/000124401</v>
      </c>
      <c r="K53" t="str">
        <f t="shared" si="31"/>
        <v>Heffner_Masterton_1975_TableI</v>
      </c>
      <c r="L53" t="str">
        <f t="shared" si="32"/>
        <v>10.1159%2F000124401_TableI</v>
      </c>
      <c r="M53" t="str">
        <f t="array" ref="M53">IFERROR(INDEX(FileList!$A$1:$A$100, MATCH(L53, _xlfn.TEXTBEFORE(FileList!$A$1:$A$100, ".tsv"), 0)), "notfound")</f>
        <v>10.1159%2F000124401_TableI.tsv</v>
      </c>
      <c r="P53" s="2" t="s">
        <v>44</v>
      </c>
      <c r="Q53" s="2" t="s">
        <v>45</v>
      </c>
      <c r="R53" s="2" t="s">
        <v>317</v>
      </c>
      <c r="S53" s="2" t="s">
        <v>47</v>
      </c>
      <c r="T53" s="2" t="s">
        <v>318</v>
      </c>
      <c r="U53" s="2" t="s">
        <v>49</v>
      </c>
      <c r="V53" s="2" t="s">
        <v>39</v>
      </c>
      <c r="W53" s="2" t="s">
        <v>167</v>
      </c>
      <c r="X53" s="2" t="s">
        <v>308</v>
      </c>
      <c r="Y53" s="2" t="s">
        <v>313</v>
      </c>
      <c r="Z53" s="2" t="s">
        <v>319</v>
      </c>
      <c r="AD53" s="2" t="s">
        <v>320</v>
      </c>
      <c r="AF53" s="2" t="s">
        <v>105</v>
      </c>
      <c r="AJ53" s="2" t="s">
        <v>106</v>
      </c>
      <c r="AK53" s="2" t="s">
        <v>321</v>
      </c>
      <c r="AL53" s="2" t="s">
        <v>322</v>
      </c>
    </row>
    <row r="54" ht="16" customHeight="1">
      <c r="A54" s="2" t="s">
        <v>323</v>
      </c>
      <c r="C54" s="2" t="s">
        <v>324</v>
      </c>
      <c r="D54" s="2" t="s">
        <v>42</v>
      </c>
      <c r="E54" t="str">
        <f t="shared" si="20"/>
        <v>8</v>
      </c>
      <c r="F54" t="str">
        <f t="shared" si="21"/>
        <v>Heiss_etal_2004</v>
      </c>
      <c r="G54" t="str">
        <f t="shared" si="22"/>
        <v>Heiss</v>
      </c>
      <c r="H54" t="str">
        <f t="shared" si="16"/>
        <v>etal</v>
      </c>
      <c r="I54" t="str">
        <f t="shared" si="23"/>
        <v>2004</v>
      </c>
      <c r="J54" t="str">
        <f t="shared" si="30"/>
        <v>PMID:15534048</v>
      </c>
      <c r="K54" t="str">
        <f t="shared" si="31"/>
        <v>Heiss_etal_2004_TABLE1</v>
      </c>
      <c r="L54" t="str">
        <f t="shared" si="32"/>
        <v>PMID%3A15534048_TABLE1</v>
      </c>
      <c r="M54" t="str">
        <f t="array" ref="M54">IFERROR(INDEX(FileList!$A$1:$A$100, MATCH(L54, _xlfn.TEXTBEFORE(FileList!$A$1:$A$100, ".tsv"), 0)), "notfound")</f>
        <v>notfound</v>
      </c>
      <c r="N54" s="2" t="s">
        <v>325</v>
      </c>
      <c r="X54" s="2" t="s">
        <v>308</v>
      </c>
      <c r="Y54" s="2" t="s">
        <v>326</v>
      </c>
      <c r="AJ54" s="2" t="s">
        <v>327</v>
      </c>
      <c r="AK54" s="2" t="s">
        <v>53</v>
      </c>
      <c r="AL54" s="2" t="s">
        <v>328</v>
      </c>
    </row>
    <row r="55" ht="16" customHeight="1">
      <c r="A55" s="2" t="s">
        <v>329</v>
      </c>
      <c r="D55" s="2" t="s">
        <v>245</v>
      </c>
      <c r="E55" t="str">
        <f t="shared" si="20"/>
        <v>8</v>
      </c>
      <c r="F55" t="str">
        <f t="shared" si="21"/>
        <v>Heldstab_etal_2016</v>
      </c>
      <c r="G55" t="str">
        <f t="shared" si="22"/>
        <v>Heldstab</v>
      </c>
      <c r="H55" t="str">
        <f t="shared" si="16"/>
        <v>etal</v>
      </c>
      <c r="I55" t="str">
        <f t="shared" si="23"/>
        <v>2016</v>
      </c>
      <c r="J55" t="str">
        <f t="shared" si="30"/>
        <v>10.1038/srep24528</v>
      </c>
      <c r="K55" t="str">
        <f t="shared" si="31"/>
        <v>Heldstab_etal_2016_TableS1</v>
      </c>
      <c r="L55" t="str">
        <f t="shared" si="32"/>
        <v>10.1038%2Fsrep24528_TableS1</v>
      </c>
      <c r="M55" t="str">
        <f t="array" ref="M55">IFERROR(INDEX(FileList!$A$1:$A$100, MATCH(L55, _xlfn.TEXTBEFORE(FileList!$A$1:$A$100, ".tsv"), 0)), "notfound")</f>
        <v>notfound</v>
      </c>
      <c r="P55" s="2" t="s">
        <v>295</v>
      </c>
      <c r="Q55" s="2" t="s">
        <v>163</v>
      </c>
      <c r="T55" s="2" t="str">
        <f>IF(S55="N", R55, "write file name")</f>
        <v>write file name</v>
      </c>
      <c r="U55" s="2" t="s">
        <v>49</v>
      </c>
      <c r="V55" s="2" t="s">
        <v>39</v>
      </c>
      <c r="X55" s="2" t="s">
        <v>308</v>
      </c>
      <c r="Y55" s="2" t="s">
        <v>330</v>
      </c>
      <c r="AF55" s="2" t="s">
        <v>141</v>
      </c>
      <c r="AJ55" s="2" t="s">
        <v>86</v>
      </c>
      <c r="AK55" s="2" t="s">
        <v>103</v>
      </c>
      <c r="AL55" s="2" t="s">
        <v>331</v>
      </c>
    </row>
    <row r="56" ht="16" customHeight="1">
      <c r="A56" s="2" t="s">
        <v>332</v>
      </c>
      <c r="D56" s="2" t="s">
        <v>117</v>
      </c>
      <c r="E56" t="str">
        <f t="shared" si="20"/>
        <v>3</v>
      </c>
      <c r="F56" t="str">
        <f t="shared" si="21"/>
        <v>HerculanoHouzel__2015</v>
      </c>
      <c r="G56" t="str">
        <f t="shared" si="22"/>
        <v>HerculanoHouzel</v>
      </c>
      <c r="H56" t="str">
        <f t="shared" si="16"/>
      </c>
      <c r="I56" t="str">
        <f t="shared" si="23"/>
        <v>2015</v>
      </c>
      <c r="J56" t="str">
        <f t="shared" si="30"/>
        <v>10.1098/rspb.2015.1853</v>
      </c>
      <c r="K56" t="str">
        <f t="shared" si="31"/>
        <v>HerculanoHouzel__2015_Table1</v>
      </c>
      <c r="L56" t="str">
        <f t="shared" si="32"/>
        <v>10.1098%2Frspb.2015.1853_Table1</v>
      </c>
      <c r="M56" t="str">
        <f t="array" ref="M56">IFERROR(INDEX(FileList!$A$1:$A$100, MATCH(L56, _xlfn.TEXTBEFORE(FileList!$A$1:$A$100, ".tsv"), 0)), "notfound")</f>
        <v>10.1098%2Frspb.2015.1853_Table1.tsv</v>
      </c>
      <c r="U56" s="2" t="s">
        <v>49</v>
      </c>
      <c r="V56" s="2" t="s">
        <v>39</v>
      </c>
      <c r="Y56" s="2" t="s">
        <v>333</v>
      </c>
      <c r="AJ56" s="2" t="s">
        <v>106</v>
      </c>
      <c r="AK56" s="2" t="s">
        <v>321</v>
      </c>
      <c r="AL56" s="2" t="s">
        <v>334</v>
      </c>
    </row>
    <row r="57" ht="16" customHeight="1">
      <c r="A57" s="2" t="s">
        <v>332</v>
      </c>
      <c r="D57" s="2" t="s">
        <v>125</v>
      </c>
      <c r="E57" t="str">
        <f t="shared" si="20"/>
        <v>3</v>
      </c>
      <c r="F57" t="str">
        <f t="shared" si="21"/>
        <v>HerculanoHouzel__2015</v>
      </c>
      <c r="G57" t="str">
        <f t="shared" si="22"/>
        <v>HerculanoHouzel</v>
      </c>
      <c r="H57" t="str">
        <f t="shared" si="16"/>
      </c>
      <c r="I57" t="str">
        <f t="shared" si="23"/>
        <v>2015</v>
      </c>
      <c r="J57" t="str">
        <f t="shared" si="30"/>
        <v>10.1098/rspb.2015.1853</v>
      </c>
      <c r="K57" t="str">
        <f t="shared" si="31"/>
        <v>HerculanoHouzel__2015_Table2</v>
      </c>
      <c r="L57" t="str">
        <f t="shared" si="32"/>
        <v>10.1098%2Frspb.2015.1853_Table2</v>
      </c>
      <c r="M57" t="str">
        <f t="array" ref="M57">IFERROR(INDEX(FileList!$A$1:$A$100, MATCH(L57, _xlfn.TEXTBEFORE(FileList!$A$1:$A$100, ".tsv"), 0)), "notfound")</f>
        <v>notfound</v>
      </c>
      <c r="N57" s="2" t="s">
        <v>335</v>
      </c>
      <c r="U57" s="2" t="s">
        <v>49</v>
      </c>
      <c r="V57" s="2" t="s">
        <v>39</v>
      </c>
      <c r="Y57" s="2" t="s">
        <v>336</v>
      </c>
      <c r="Z57" s="2" t="s">
        <v>103</v>
      </c>
      <c r="AJ57" s="2" t="s">
        <v>106</v>
      </c>
      <c r="AK57" s="2" t="s">
        <v>321</v>
      </c>
      <c r="AL57" s="2" t="s">
        <v>337</v>
      </c>
    </row>
    <row r="58" ht="16" customHeight="1">
      <c r="A58" s="2" t="s">
        <v>338</v>
      </c>
      <c r="D58" s="2" t="s">
        <v>117</v>
      </c>
      <c r="E58" t="str">
        <f t="shared" si="20"/>
        <v>3</v>
      </c>
      <c r="F58" t="str">
        <f t="shared" si="21"/>
        <v>HerculanoHouzel_etal_2015</v>
      </c>
      <c r="G58" t="str">
        <f t="shared" si="22"/>
        <v>HerculanoHouzel</v>
      </c>
      <c r="H58" t="str">
        <f t="shared" si="16"/>
        <v>etal</v>
      </c>
      <c r="I58" t="str">
        <f t="shared" si="23"/>
        <v>2015</v>
      </c>
      <c r="J58" t="str">
        <f t="shared" si="30"/>
        <v>10.1159/000437413</v>
      </c>
      <c r="K58" t="str">
        <f t="shared" si="31"/>
        <v>HerculanoHouzel_etal_2015_Table1</v>
      </c>
      <c r="L58" t="str">
        <f t="shared" si="32"/>
        <v>10.1159%2F000437413_Table1</v>
      </c>
      <c r="M58" t="str">
        <f t="array" ref="M58">IFERROR(INDEX(FileList!$A$1:$A$100, MATCH(L58, _xlfn.TEXTBEFORE(FileList!$A$1:$A$100, ".tsv"), 0)), "notfound")</f>
        <v>10.1159%2F000437413_Table1.tsv</v>
      </c>
      <c r="N58" s="2" t="s">
        <v>339</v>
      </c>
      <c r="P58" s="2" t="s">
        <v>44</v>
      </c>
      <c r="Q58" s="2" t="s">
        <v>45</v>
      </c>
      <c r="R58" s="2" t="s">
        <v>340</v>
      </c>
      <c r="S58" s="2" t="s">
        <v>47</v>
      </c>
      <c r="T58" s="2" t="s">
        <v>341</v>
      </c>
      <c r="U58" s="2" t="s">
        <v>49</v>
      </c>
      <c r="V58" s="2" t="s">
        <v>39</v>
      </c>
      <c r="W58" s="2" t="s">
        <v>154</v>
      </c>
      <c r="X58" s="2" t="s">
        <v>308</v>
      </c>
      <c r="Y58" s="2" t="s">
        <v>234</v>
      </c>
      <c r="AA58" s="2" t="s">
        <v>54</v>
      </c>
      <c r="AB58" s="2" t="s">
        <v>189</v>
      </c>
      <c r="AF58" s="2" t="s">
        <v>55</v>
      </c>
      <c r="AG58" s="2" t="s">
        <v>342</v>
      </c>
      <c r="AJ58" s="2" t="s">
        <v>343</v>
      </c>
      <c r="AK58" s="2" t="s">
        <v>53</v>
      </c>
      <c r="AL58" s="2" t="s">
        <v>57</v>
      </c>
    </row>
    <row r="59" ht="16" customHeight="1">
      <c r="A59" s="2" t="s">
        <v>338</v>
      </c>
      <c r="D59" s="2" t="s">
        <v>125</v>
      </c>
      <c r="E59" t="str">
        <f t="shared" si="20"/>
        <v>3</v>
      </c>
      <c r="F59" t="str">
        <f t="shared" si="21"/>
        <v>HerculanoHouzel_etal_2015</v>
      </c>
      <c r="G59" t="str">
        <f t="shared" si="22"/>
        <v>HerculanoHouzel</v>
      </c>
      <c r="H59" t="str">
        <f t="shared" si="16"/>
        <v>etal</v>
      </c>
      <c r="I59" t="str">
        <f t="shared" si="23"/>
        <v>2015</v>
      </c>
      <c r="J59" t="str">
        <f t="shared" si="30"/>
        <v>10.1159/000437413</v>
      </c>
      <c r="K59" t="str">
        <f t="shared" si="31"/>
        <v>HerculanoHouzel_etal_2015_Table2</v>
      </c>
      <c r="L59" t="str">
        <f t="shared" si="32"/>
        <v>10.1159%2F000437413_Table2</v>
      </c>
      <c r="M59" t="str">
        <f t="array" ref="M59">IFERROR(INDEX(FileList!$A$1:$A$100, MATCH(L59, _xlfn.TEXTBEFORE(FileList!$A$1:$A$100, ".tsv"), 0)), "notfound")</f>
        <v>10.1159%2F000437413_Table2.tsv</v>
      </c>
      <c r="N59" s="2" t="s">
        <v>344</v>
      </c>
      <c r="P59" s="2" t="s">
        <v>44</v>
      </c>
      <c r="Q59" s="2" t="s">
        <v>45</v>
      </c>
      <c r="R59" s="2" t="s">
        <v>345</v>
      </c>
      <c r="S59" s="2" t="s">
        <v>47</v>
      </c>
      <c r="T59" s="2" t="s">
        <v>346</v>
      </c>
      <c r="U59" s="2" t="s">
        <v>49</v>
      </c>
      <c r="V59" s="2" t="s">
        <v>39</v>
      </c>
      <c r="W59" s="2" t="s">
        <v>154</v>
      </c>
      <c r="X59" s="2" t="s">
        <v>308</v>
      </c>
      <c r="Y59" s="2" t="s">
        <v>234</v>
      </c>
      <c r="AA59" s="2" t="s">
        <v>54</v>
      </c>
      <c r="AB59" s="2" t="s">
        <v>189</v>
      </c>
      <c r="AF59" s="2" t="s">
        <v>55</v>
      </c>
      <c r="AJ59" s="2" t="s">
        <v>343</v>
      </c>
      <c r="AK59" s="2" t="s">
        <v>53</v>
      </c>
      <c r="AL59" s="2" t="s">
        <v>57</v>
      </c>
    </row>
    <row r="60" ht="16" customHeight="1">
      <c r="A60" s="2" t="s">
        <v>338</v>
      </c>
      <c r="D60" s="2" t="s">
        <v>347</v>
      </c>
      <c r="E60" t="str">
        <f t="shared" si="20"/>
        <v>3</v>
      </c>
      <c r="F60" t="str">
        <f t="shared" si="21"/>
        <v>HerculanoHouzel_etal_2015</v>
      </c>
      <c r="G60" t="str">
        <f t="shared" si="22"/>
        <v>HerculanoHouzel</v>
      </c>
      <c r="H60" t="str">
        <f t="shared" si="16"/>
        <v>etal</v>
      </c>
      <c r="I60" t="str">
        <f t="shared" si="23"/>
        <v>2015</v>
      </c>
      <c r="J60" t="str">
        <f t="shared" si="30"/>
        <v>10.1159/000437413</v>
      </c>
      <c r="K60" t="str">
        <f t="shared" si="31"/>
        <v>HerculanoHouzel_etal_2015_Table3</v>
      </c>
      <c r="L60" t="str">
        <f t="shared" si="32"/>
        <v>10.1159%2F000437413_Table3</v>
      </c>
      <c r="M60" t="str">
        <f t="array" ref="M60">IFERROR(INDEX(FileList!$A$1:$A$100, MATCH(L60, _xlfn.TEXTBEFORE(FileList!$A$1:$A$100, ".tsv"), 0)), "notfound")</f>
        <v>10.1159%2F000437413_Table3.tsv</v>
      </c>
      <c r="N60" s="2" t="s">
        <v>348</v>
      </c>
      <c r="P60" s="2" t="s">
        <v>44</v>
      </c>
      <c r="Q60" s="2" t="s">
        <v>45</v>
      </c>
      <c r="R60" s="2" t="s">
        <v>349</v>
      </c>
      <c r="S60" s="2" t="s">
        <v>47</v>
      </c>
      <c r="T60" s="2" t="s">
        <v>350</v>
      </c>
      <c r="U60" s="2" t="s">
        <v>49</v>
      </c>
      <c r="V60" s="2" t="s">
        <v>39</v>
      </c>
      <c r="W60" s="2" t="s">
        <v>154</v>
      </c>
      <c r="X60" s="2" t="s">
        <v>308</v>
      </c>
      <c r="Y60" s="2" t="s">
        <v>234</v>
      </c>
      <c r="AA60" s="2" t="s">
        <v>54</v>
      </c>
      <c r="AB60" s="2" t="s">
        <v>189</v>
      </c>
      <c r="AF60" s="2" t="s">
        <v>55</v>
      </c>
      <c r="AJ60" s="2" t="s">
        <v>343</v>
      </c>
      <c r="AK60" s="2" t="s">
        <v>53</v>
      </c>
      <c r="AL60" s="2" t="s">
        <v>57</v>
      </c>
    </row>
    <row r="61" ht="16" customHeight="1">
      <c r="A61" s="2" t="s">
        <v>338</v>
      </c>
      <c r="D61" s="2" t="s">
        <v>38</v>
      </c>
      <c r="E61" t="str">
        <f t="shared" si="20"/>
        <v>3</v>
      </c>
      <c r="F61" t="str">
        <f t="shared" si="21"/>
        <v>HerculanoHouzel_etal_2015</v>
      </c>
      <c r="G61" t="str">
        <f t="shared" si="22"/>
        <v>HerculanoHouzel</v>
      </c>
      <c r="H61" t="str">
        <f t="shared" si="16"/>
        <v>etal</v>
      </c>
      <c r="I61" t="str">
        <f t="shared" si="23"/>
        <v>2015</v>
      </c>
      <c r="J61" t="str">
        <f t="shared" si="30"/>
        <v>10.1159/000437413</v>
      </c>
      <c r="K61" t="str">
        <f t="shared" si="31"/>
        <v>HerculanoHouzel_etal_2015_Table4</v>
      </c>
      <c r="L61" t="str">
        <f t="shared" si="32"/>
        <v>10.1159%2F000437413_Table4</v>
      </c>
      <c r="M61" t="str">
        <f t="array" ref="M61">IFERROR(INDEX(FileList!$A$1:$A$100, MATCH(L61, _xlfn.TEXTBEFORE(FileList!$A$1:$A$100, ".tsv"), 0)), "notfound")</f>
        <v>10.1159%2F000437413_Table4.tsv</v>
      </c>
      <c r="N61" s="2" t="s">
        <v>351</v>
      </c>
      <c r="P61" s="2" t="s">
        <v>44</v>
      </c>
      <c r="Q61" s="2" t="s">
        <v>45</v>
      </c>
      <c r="R61" s="2" t="s">
        <v>352</v>
      </c>
      <c r="S61" s="2" t="s">
        <v>47</v>
      </c>
      <c r="T61" s="2" t="s">
        <v>353</v>
      </c>
      <c r="U61" s="2" t="s">
        <v>49</v>
      </c>
      <c r="V61" s="2" t="s">
        <v>39</v>
      </c>
      <c r="W61" s="2" t="s">
        <v>154</v>
      </c>
      <c r="X61" s="2" t="s">
        <v>308</v>
      </c>
      <c r="Y61" s="2" t="s">
        <v>234</v>
      </c>
      <c r="AA61" s="2" t="s">
        <v>54</v>
      </c>
      <c r="AB61" s="2" t="s">
        <v>189</v>
      </c>
      <c r="AF61" s="2" t="s">
        <v>55</v>
      </c>
      <c r="AJ61" s="2" t="s">
        <v>343</v>
      </c>
      <c r="AK61" s="2" t="s">
        <v>53</v>
      </c>
      <c r="AL61" s="2" t="s">
        <v>57</v>
      </c>
    </row>
    <row r="62" ht="16" customHeight="1">
      <c r="A62" s="2" t="s">
        <v>338</v>
      </c>
      <c r="D62" s="2" t="s">
        <v>354</v>
      </c>
      <c r="E62" t="str">
        <f t="shared" si="20"/>
        <v>3</v>
      </c>
      <c r="F62" t="str">
        <f t="shared" si="21"/>
        <v>HerculanoHouzel_etal_2015</v>
      </c>
      <c r="G62" t="str">
        <f t="shared" si="22"/>
        <v>HerculanoHouzel</v>
      </c>
      <c r="H62" t="str">
        <f t="shared" si="16"/>
        <v>etal</v>
      </c>
      <c r="I62" t="str">
        <f t="shared" si="23"/>
        <v>2015</v>
      </c>
      <c r="J62" t="str">
        <f t="shared" si="30"/>
        <v>10.1159/000437413</v>
      </c>
      <c r="K62" t="str">
        <f t="shared" si="31"/>
        <v>HerculanoHouzel_etal_2015_Table5</v>
      </c>
      <c r="L62" t="str">
        <f t="shared" si="32"/>
        <v>10.1159%2F000437413_Table5</v>
      </c>
      <c r="M62" t="str">
        <f t="array" ref="M62">IFERROR(INDEX(FileList!$A$1:$A$100, MATCH(L62, _xlfn.TEXTBEFORE(FileList!$A$1:$A$100, ".tsv"), 0)), "notfound")</f>
        <v>10.1159%2F000437413_Table5.tsv</v>
      </c>
      <c r="N62" s="2" t="s">
        <v>355</v>
      </c>
      <c r="P62" s="2" t="s">
        <v>44</v>
      </c>
      <c r="Q62" s="2" t="s">
        <v>45</v>
      </c>
      <c r="R62" s="2" t="s">
        <v>356</v>
      </c>
      <c r="S62" s="2" t="s">
        <v>47</v>
      </c>
      <c r="T62" s="2" t="s">
        <v>357</v>
      </c>
      <c r="U62" s="2" t="s">
        <v>49</v>
      </c>
      <c r="V62" s="2" t="s">
        <v>39</v>
      </c>
      <c r="W62" s="2" t="s">
        <v>154</v>
      </c>
      <c r="X62" s="2" t="s">
        <v>308</v>
      </c>
      <c r="Y62" s="2" t="s">
        <v>234</v>
      </c>
      <c r="AA62" s="2" t="s">
        <v>54</v>
      </c>
      <c r="AB62" s="2" t="s">
        <v>189</v>
      </c>
      <c r="AF62" s="2" t="s">
        <v>55</v>
      </c>
      <c r="AJ62" s="2" t="s">
        <v>343</v>
      </c>
      <c r="AK62" s="2" t="s">
        <v>53</v>
      </c>
      <c r="AL62" s="2" t="s">
        <v>57</v>
      </c>
    </row>
    <row r="63" ht="16" customHeight="1">
      <c r="A63" s="2" t="s">
        <v>358</v>
      </c>
      <c r="D63" s="2" t="s">
        <v>42</v>
      </c>
      <c r="E63" t="str">
        <f t="shared" si="20"/>
        <v>5</v>
      </c>
      <c r="F63" t="str">
        <f t="shared" si="21"/>
        <v>HerculanoHouzel_etal_2020</v>
      </c>
      <c r="G63" t="str">
        <f t="shared" si="22"/>
        <v>HerculanoHouzel</v>
      </c>
      <c r="H63" t="str">
        <f t="shared" si="16"/>
        <v>etal</v>
      </c>
      <c r="I63" t="str">
        <f t="shared" si="23"/>
        <v>2020</v>
      </c>
      <c r="J63" t="str">
        <f t="shared" si="30"/>
        <v>10.1002/cne.24985</v>
      </c>
      <c r="K63" t="str">
        <f t="shared" si="31"/>
        <v>HerculanoHouzel_etal_2020_TABLE1</v>
      </c>
      <c r="L63" t="str">
        <f t="shared" si="32"/>
        <v>10.1002%2Fcne.24985_TABLE1</v>
      </c>
      <c r="M63" t="str">
        <f t="array" ref="M63">IFERROR(INDEX(FileList!$A$1:$A$100, MATCH(L63, _xlfn.TEXTBEFORE(FileList!$A$1:$A$100, ".tsv"), 0)), "notfound")</f>
        <v>10.1002%2Fcne.24985_TABLE1.tsv</v>
      </c>
      <c r="N63" s="2" t="s">
        <v>359</v>
      </c>
      <c r="P63" s="2" t="s">
        <v>44</v>
      </c>
      <c r="Q63" s="2" t="s">
        <v>45</v>
      </c>
      <c r="R63" s="2" t="s">
        <v>360</v>
      </c>
      <c r="S63" s="2" t="s">
        <v>47</v>
      </c>
      <c r="T63" s="2" t="s">
        <v>361</v>
      </c>
      <c r="U63" s="2" t="s">
        <v>49</v>
      </c>
      <c r="V63" s="2" t="s">
        <v>39</v>
      </c>
      <c r="W63" s="2" t="s">
        <v>167</v>
      </c>
      <c r="X63" s="2" t="s">
        <v>362</v>
      </c>
      <c r="Y63" s="2" t="s">
        <v>363</v>
      </c>
      <c r="AA63" s="2" t="s">
        <v>54</v>
      </c>
      <c r="AB63" s="2" t="s">
        <v>189</v>
      </c>
      <c r="AF63" s="2" t="s">
        <v>364</v>
      </c>
      <c r="AG63" s="2" t="s">
        <v>123</v>
      </c>
      <c r="AJ63" s="2" t="s">
        <v>365</v>
      </c>
      <c r="AK63" s="2" t="s">
        <v>53</v>
      </c>
      <c r="AL63" s="2" t="s">
        <v>366</v>
      </c>
    </row>
    <row r="64" ht="16" customHeight="1">
      <c r="A64" s="2" t="s">
        <v>358</v>
      </c>
      <c r="D64" s="2" t="s">
        <v>264</v>
      </c>
      <c r="E64" t="str">
        <f t="shared" si="20"/>
        <v>5</v>
      </c>
      <c r="F64" t="str">
        <f t="shared" si="21"/>
        <v>HerculanoHouzel_etal_2020</v>
      </c>
      <c r="G64" t="str">
        <f t="shared" si="22"/>
        <v>HerculanoHouzel</v>
      </c>
      <c r="H64" t="str">
        <f t="shared" si="16"/>
        <v>etal</v>
      </c>
      <c r="I64" t="str">
        <f t="shared" si="23"/>
        <v>2020</v>
      </c>
      <c r="J64" t="str">
        <f t="shared" si="30"/>
        <v>10.1002/cne.24985</v>
      </c>
      <c r="K64" t="str">
        <f t="shared" si="31"/>
        <v>HerculanoHouzel_etal_2020_TABLE2</v>
      </c>
      <c r="L64" t="str">
        <f t="shared" si="32"/>
        <v>10.1002%2Fcne.24985_TABLE2</v>
      </c>
      <c r="M64" t="str">
        <f t="array" ref="M64">IFERROR(INDEX(FileList!$A$1:$A$100, MATCH(L64, _xlfn.TEXTBEFORE(FileList!$A$1:$A$100, ".tsv"), 0)), "notfound")</f>
        <v>10.1002%2Fcne.24985_TABLE2.tsv</v>
      </c>
      <c r="N64" s="2" t="s">
        <v>367</v>
      </c>
      <c r="P64" s="2" t="s">
        <v>44</v>
      </c>
      <c r="Q64" s="2" t="s">
        <v>45</v>
      </c>
      <c r="R64" s="2" t="s">
        <v>368</v>
      </c>
      <c r="S64" s="2" t="s">
        <v>47</v>
      </c>
      <c r="T64" s="2" t="s">
        <v>369</v>
      </c>
      <c r="U64" s="2" t="s">
        <v>49</v>
      </c>
      <c r="V64" s="2" t="s">
        <v>39</v>
      </c>
      <c r="W64" s="2" t="s">
        <v>167</v>
      </c>
      <c r="X64" s="2" t="s">
        <v>362</v>
      </c>
      <c r="Y64" s="2" t="s">
        <v>370</v>
      </c>
      <c r="AA64" s="2" t="s">
        <v>54</v>
      </c>
      <c r="AB64" s="2" t="s">
        <v>189</v>
      </c>
      <c r="AF64" s="2" t="s">
        <v>364</v>
      </c>
      <c r="AG64" s="2" t="s">
        <v>123</v>
      </c>
      <c r="AJ64" s="2" t="s">
        <v>365</v>
      </c>
      <c r="AK64" s="2" t="s">
        <v>53</v>
      </c>
      <c r="AL64" s="2" t="s">
        <v>57</v>
      </c>
    </row>
    <row r="65" ht="16" customHeight="1">
      <c r="A65" s="2" t="s">
        <v>371</v>
      </c>
      <c r="D65" s="2" t="s">
        <v>372</v>
      </c>
      <c r="E65" t="str">
        <f t="shared" si="20"/>
        <v>5</v>
      </c>
      <c r="F65" t="str">
        <f t="shared" si="21"/>
        <v>HerculanoHouzel_etal_2013</v>
      </c>
      <c r="G65" t="str">
        <f t="shared" si="22"/>
        <v>HerculanoHouzel</v>
      </c>
      <c r="H65" t="str">
        <f t="shared" si="16"/>
        <v>etal</v>
      </c>
      <c r="I65" t="str">
        <f t="shared" si="23"/>
        <v>2013</v>
      </c>
      <c r="J65" t="str">
        <f t="shared" si="30"/>
        <v>10.3389/fnana.2013.00035</v>
      </c>
      <c r="K65" t="str">
        <f t="shared" si="31"/>
        <v>HerculanoHouzel_etal_2013_Figure2TopLeft</v>
      </c>
      <c r="L65" t="str">
        <f t="shared" si="32"/>
        <v>10.3389%2Ffnana.2013.00035_Figure2TopLeft</v>
      </c>
      <c r="M65" t="str">
        <f t="array" ref="M65">IFERROR(INDEX(FileList!$A$1:$A$100, MATCH(L65, _xlfn.TEXTBEFORE(FileList!$A$1:$A$100, ".tsv"), 0)), "notfound")</f>
        <v>10.3389%2Ffnana.2013.00035_Figure2TopLeft.tsv</v>
      </c>
      <c r="Q65" s="2" t="s">
        <v>97</v>
      </c>
      <c r="Y65" s="2" t="s">
        <v>373</v>
      </c>
      <c r="AA65" s="2" t="s">
        <v>54</v>
      </c>
      <c r="AB65" s="2" t="s">
        <v>189</v>
      </c>
      <c r="AJ65" s="2" t="s">
        <v>106</v>
      </c>
      <c r="AK65" s="2" t="s">
        <v>53</v>
      </c>
      <c r="AL65" s="2" t="s">
        <v>57</v>
      </c>
    </row>
    <row r="66" ht="16" customHeight="1">
      <c r="A66" s="2" t="s">
        <v>371</v>
      </c>
      <c r="D66" s="2" t="s">
        <v>374</v>
      </c>
      <c r="E66" t="str">
        <f t="shared" si="20"/>
        <v>5</v>
      </c>
      <c r="F66" t="str">
        <f t="shared" si="21"/>
        <v>HerculanoHouzel_etal_2013</v>
      </c>
      <c r="G66" t="str">
        <f t="shared" si="22"/>
        <v>HerculanoHouzel</v>
      </c>
      <c r="H66" t="str">
        <f t="shared" si="16"/>
        <v>etal</v>
      </c>
      <c r="I66" t="str">
        <f t="shared" si="23"/>
        <v>2013</v>
      </c>
      <c r="J66" t="str">
        <f t="shared" si="30"/>
        <v>10.3389/fnana.2013.00035</v>
      </c>
      <c r="K66" t="str">
        <f t="shared" si="31"/>
        <v>HerculanoHouzel_etal_2013_Table1-a</v>
      </c>
      <c r="L66" t="str">
        <f t="shared" si="32"/>
        <v>10.3389%2Ffnana.2013.00035_Table1-a</v>
      </c>
      <c r="M66" t="str">
        <f t="array" ref="M66">IFERROR(INDEX(FileList!$A$1:$A$100, MATCH(L66, _xlfn.TEXTBEFORE(FileList!$A$1:$A$100, ".tsv"), 0)), "notfound")</f>
        <v>10.3389%2Ffnana.2013.00035_Table1-a.tsv</v>
      </c>
      <c r="Q66" s="2" t="s">
        <v>97</v>
      </c>
      <c r="Y66" s="2" t="s">
        <v>373</v>
      </c>
      <c r="AA66" s="2" t="s">
        <v>54</v>
      </c>
      <c r="AB66" s="2" t="s">
        <v>189</v>
      </c>
      <c r="AJ66" s="2" t="s">
        <v>106</v>
      </c>
      <c r="AK66" s="2" t="s">
        <v>53</v>
      </c>
      <c r="AL66" s="2" t="s">
        <v>57</v>
      </c>
    </row>
    <row r="67" ht="16" customHeight="1">
      <c r="A67" s="2" t="s">
        <v>371</v>
      </c>
      <c r="D67" s="2" t="s">
        <v>375</v>
      </c>
      <c r="E67" t="str">
        <f t="shared" ref="E67:E98" si="33">RIGHT(A67,1)</f>
        <v>5</v>
      </c>
      <c r="F67" t="str">
        <f t="shared" ref="F67:F98" si="34">G67 &amp; IF(H67&lt;&gt;"", "_" &amp; H67, "_") &amp; IF(I67&lt;&gt;"", "_" &amp; I67, "_") &amp; IF(B67&lt;&gt;"", "_" &amp; B67, "")</f>
        <v>HerculanoHouzel_etal_2013</v>
      </c>
      <c r="G67" t="str">
        <f t="shared" ref="G67:G98" si="35">SUBSTITUTE(SUBSTITUTE(_xlfn.TEXTBEFORE(A67,","), "-", ""), " ", "")</f>
        <v>HerculanoHouzel</v>
      </c>
      <c r="H67" t="str">
        <f t="shared" si="16"/>
        <v>etal</v>
      </c>
      <c r="I67" t="str">
        <f t="shared" ref="I67:I98" si="36">_xlfn.TEXTBEFORE(_xlfn.TEXTAFTER(A67, "("), ")")</f>
        <v>2013</v>
      </c>
      <c r="J67" t="str">
        <f t="shared" si="30"/>
        <v>10.3389/fnana.2013.00035</v>
      </c>
      <c r="K67" t="str">
        <f t="shared" si="31"/>
        <v>HerculanoHouzel_etal_2013_Table1-b</v>
      </c>
      <c r="L67" t="str">
        <f t="shared" si="32"/>
        <v>10.3389%2Ffnana.2013.00035_Table1-b</v>
      </c>
      <c r="M67" t="str">
        <f t="array" ref="M67">IFERROR(INDEX(FileList!$A$1:$A$100, MATCH(L67, _xlfn.TEXTBEFORE(FileList!$A$1:$A$100, ".tsv"), 0)), "notfound")</f>
        <v>10.3389%2Ffnana.2013.00035_Table1-b.tsv</v>
      </c>
      <c r="Q67" s="2" t="s">
        <v>97</v>
      </c>
      <c r="Y67" s="2" t="s">
        <v>373</v>
      </c>
      <c r="AA67" s="2" t="s">
        <v>54</v>
      </c>
      <c r="AB67" s="2" t="s">
        <v>189</v>
      </c>
      <c r="AJ67" s="2" t="s">
        <v>106</v>
      </c>
      <c r="AK67" s="2" t="s">
        <v>53</v>
      </c>
      <c r="AL67" s="2" t="s">
        <v>57</v>
      </c>
    </row>
    <row r="68" ht="16" customHeight="1">
      <c r="A68" s="2" t="s">
        <v>376</v>
      </c>
      <c r="D68" s="2" t="s">
        <v>125</v>
      </c>
      <c r="E68" t="str">
        <f t="shared" si="33"/>
        <v>4</v>
      </c>
      <c r="F68" t="str">
        <f t="shared" si="34"/>
        <v>Isler_etal_2008</v>
      </c>
      <c r="G68" t="str">
        <f t="shared" si="35"/>
        <v>Isler</v>
      </c>
      <c r="H68" t="str">
        <f t="shared" ref="H68:H83" si="37">_xlfn.LET(_xlpm.authorPart,_xlfn.TEXTBEFORE(A68," ("),IFERROR(IF(ISNUMBER(FIND("&amp;",_xlpm.authorPart)),IF(LEN(A68)-LEN(SUBSTITUTE(A68,",",""))&gt;=6,"etal",_xlfn.TEXTBEFORE(_xlfn.TEXTAFTER(_xlpm.authorPart,"&amp; "),",")),""),""))</f>
        <v>etal</v>
      </c>
      <c r="I68" t="str">
        <f t="shared" si="36"/>
        <v>2008</v>
      </c>
      <c r="J68" t="str">
        <f t="shared" si="30"/>
        <v>10.1016/j.jhevol.2008.08.004</v>
      </c>
      <c r="K68" t="str">
        <f t="shared" si="31"/>
        <v>Isler_etal_2008_Table2</v>
      </c>
      <c r="L68" t="str">
        <f t="shared" si="32"/>
        <v>10.1016%2Fj.jhevol.2008.08.004_Table2</v>
      </c>
      <c r="M68" t="str">
        <f t="array" ref="M68">IFERROR(INDEX(FileList!$A$1:$A$100, MATCH(L68, _xlfn.TEXTBEFORE(FileList!$A$1:$A$100, ".tsv"), 0)), "notfound")</f>
        <v>10.1016%2Fj.jhevol.2008.08.004_Table2.tsv</v>
      </c>
      <c r="Q68" s="2" t="s">
        <v>97</v>
      </c>
      <c r="Y68" s="2" t="s">
        <v>377</v>
      </c>
      <c r="AJ68" s="2" t="s">
        <v>86</v>
      </c>
      <c r="AK68" s="2" t="s">
        <v>103</v>
      </c>
      <c r="AL68" s="2" t="s">
        <v>378</v>
      </c>
    </row>
    <row r="69" ht="16" customHeight="1">
      <c r="A69" s="2" t="s">
        <v>376</v>
      </c>
      <c r="D69" s="2" t="s">
        <v>379</v>
      </c>
      <c r="E69" t="str">
        <f t="shared" si="33"/>
        <v>4</v>
      </c>
      <c r="F69" t="str">
        <f t="shared" si="34"/>
        <v>Isler_etal_2008</v>
      </c>
      <c r="G69" t="str">
        <f t="shared" si="35"/>
        <v>Isler</v>
      </c>
      <c r="H69" t="str">
        <f t="shared" si="37"/>
        <v>etal</v>
      </c>
      <c r="I69" t="str">
        <f t="shared" si="36"/>
        <v>2008</v>
      </c>
      <c r="J69" t="str">
        <f t="shared" si="30"/>
        <v>10.1016/j.jhevol.2008.08.004</v>
      </c>
      <c r="K69" t="str">
        <f t="shared" si="31"/>
        <v>Isler_etal_2008_Table7</v>
      </c>
      <c r="L69" t="str">
        <f t="shared" si="32"/>
        <v>10.1016%2Fj.jhevol.2008.08.004_Table7</v>
      </c>
      <c r="M69" t="str">
        <f t="array" ref="M69">IFERROR(INDEX(FileList!$A$1:$A$100, MATCH(L69, _xlfn.TEXTBEFORE(FileList!$A$1:$A$100, ".tsv"), 0)), "notfound")</f>
        <v>10.1016%2Fj.jhevol.2008.08.004_Table7.tsv</v>
      </c>
      <c r="Q69" s="2" t="s">
        <v>97</v>
      </c>
      <c r="Y69" s="2" t="s">
        <v>377</v>
      </c>
      <c r="AJ69" s="2" t="s">
        <v>86</v>
      </c>
      <c r="AK69" s="2" t="s">
        <v>103</v>
      </c>
      <c r="AL69" s="2" t="s">
        <v>378</v>
      </c>
    </row>
    <row r="70" ht="16" customHeight="1">
      <c r="A70" s="2" t="s">
        <v>376</v>
      </c>
      <c r="D70" s="2" t="s">
        <v>245</v>
      </c>
      <c r="E70" t="str">
        <f t="shared" si="33"/>
        <v>4</v>
      </c>
      <c r="F70" t="str">
        <f t="shared" si="34"/>
        <v>Isler_etal_2008</v>
      </c>
      <c r="G70" t="str">
        <f t="shared" si="35"/>
        <v>Isler</v>
      </c>
      <c r="H70" t="str">
        <f t="shared" si="37"/>
        <v>etal</v>
      </c>
      <c r="I70" t="str">
        <f t="shared" si="36"/>
        <v>2008</v>
      </c>
      <c r="J70" t="str">
        <f t="shared" si="30"/>
        <v>10.1016/j.jhevol.2008.08.004</v>
      </c>
      <c r="K70" t="str">
        <f t="shared" si="31"/>
        <v>Isler_etal_2008_TableS1</v>
      </c>
      <c r="L70" t="str">
        <f t="shared" si="32"/>
        <v>10.1016%2Fj.jhevol.2008.08.004_TableS1</v>
      </c>
      <c r="M70" t="str">
        <f t="array" ref="M70">IFERROR(INDEX(FileList!$A$1:$A$100, MATCH(L70, _xlfn.TEXTBEFORE(FileList!$A$1:$A$100, ".tsv"), 0)), "notfound")</f>
        <v>10.1016%2Fj.jhevol.2008.08.004_TableS1.tsv</v>
      </c>
      <c r="Q70" s="2" t="s">
        <v>97</v>
      </c>
      <c r="Y70" s="2" t="s">
        <v>377</v>
      </c>
      <c r="AJ70" s="2" t="s">
        <v>86</v>
      </c>
      <c r="AK70" s="2" t="s">
        <v>103</v>
      </c>
      <c r="AL70" s="2" t="s">
        <v>378</v>
      </c>
    </row>
    <row r="71" ht="16" customHeight="1">
      <c r="A71" s="2" t="s">
        <v>376</v>
      </c>
      <c r="D71" s="2" t="s">
        <v>301</v>
      </c>
      <c r="E71" t="str">
        <f t="shared" si="33"/>
        <v>4</v>
      </c>
      <c r="F71" t="str">
        <f t="shared" si="34"/>
        <v>Isler_etal_2008</v>
      </c>
      <c r="G71" t="str">
        <f t="shared" si="35"/>
        <v>Isler</v>
      </c>
      <c r="H71" t="str">
        <f t="shared" si="37"/>
        <v>etal</v>
      </c>
      <c r="I71" t="str">
        <f t="shared" si="36"/>
        <v>2008</v>
      </c>
      <c r="J71" t="str">
        <f t="shared" si="30"/>
        <v>10.1016/j.jhevol.2008.08.004</v>
      </c>
      <c r="K71" t="str">
        <f t="shared" si="31"/>
        <v>Isler_etal_2008_TableS2</v>
      </c>
      <c r="L71" t="str">
        <f t="shared" si="32"/>
        <v>10.1016%2Fj.jhevol.2008.08.004_TableS2</v>
      </c>
      <c r="M71" t="str">
        <f t="array" ref="M71">IFERROR(INDEX(FileList!$A$1:$A$100, MATCH(L71, _xlfn.TEXTBEFORE(FileList!$A$1:$A$100, ".tsv"), 0)), "notfound")</f>
        <v>10.1016%2Fj.jhevol.2008.08.004_TableS2.tsv</v>
      </c>
      <c r="Q71" s="2" t="s">
        <v>97</v>
      </c>
      <c r="Y71" s="2" t="s">
        <v>377</v>
      </c>
      <c r="AJ71" s="2" t="s">
        <v>86</v>
      </c>
      <c r="AK71" s="2" t="s">
        <v>103</v>
      </c>
      <c r="AL71" s="2" t="s">
        <v>378</v>
      </c>
    </row>
    <row r="72" ht="16" customHeight="1">
      <c r="A72" s="2" t="s">
        <v>376</v>
      </c>
      <c r="D72" s="2" t="s">
        <v>380</v>
      </c>
      <c r="E72" t="str">
        <f t="shared" si="33"/>
        <v>4</v>
      </c>
      <c r="F72" t="str">
        <f t="shared" si="34"/>
        <v>Isler_etal_2008</v>
      </c>
      <c r="G72" t="str">
        <f t="shared" si="35"/>
        <v>Isler</v>
      </c>
      <c r="H72" t="str">
        <f t="shared" si="37"/>
        <v>etal</v>
      </c>
      <c r="I72" t="str">
        <f t="shared" si="36"/>
        <v>2008</v>
      </c>
      <c r="J72" t="str">
        <f t="shared" si="30"/>
        <v>10.1016/j.jhevol.2008.08.004</v>
      </c>
      <c r="K72" t="str">
        <f t="shared" si="31"/>
        <v>Isler_etal_2008_TableS3</v>
      </c>
      <c r="L72" t="str">
        <f t="shared" si="32"/>
        <v>10.1016%2Fj.jhevol.2008.08.004_TableS3</v>
      </c>
      <c r="M72" t="str">
        <f t="array" ref="M72">IFERROR(INDEX(FileList!$A$1:$A$100, MATCH(L72, _xlfn.TEXTBEFORE(FileList!$A$1:$A$100, ".tsv"), 0)), "notfound")</f>
        <v>10.1016%2Fj.jhevol.2008.08.004_TableS3.tsv</v>
      </c>
      <c r="Q72" s="2" t="s">
        <v>97</v>
      </c>
      <c r="Y72" s="2" t="s">
        <v>377</v>
      </c>
      <c r="AJ72" s="2" t="s">
        <v>86</v>
      </c>
      <c r="AK72" s="2" t="s">
        <v>103</v>
      </c>
      <c r="AL72" s="2" t="s">
        <v>378</v>
      </c>
    </row>
    <row r="73" ht="16" customHeight="1">
      <c r="A73" s="2" t="s">
        <v>376</v>
      </c>
      <c r="D73" s="2" t="s">
        <v>381</v>
      </c>
      <c r="E73" t="str">
        <f t="shared" si="33"/>
        <v>4</v>
      </c>
      <c r="F73" t="str">
        <f t="shared" si="34"/>
        <v>Isler_etal_2008</v>
      </c>
      <c r="G73" t="str">
        <f t="shared" si="35"/>
        <v>Isler</v>
      </c>
      <c r="H73" t="str">
        <f t="shared" si="37"/>
        <v>etal</v>
      </c>
      <c r="I73" t="str">
        <f t="shared" si="36"/>
        <v>2008</v>
      </c>
      <c r="J73" t="str">
        <f t="shared" ref="J73:J104" si="38">IF(C73&lt;&gt;"", C73, IF(C73="", _xlfn.TEXTAFTER(A73,"https://doi.org/"), C73))</f>
        <v>10.1016/j.jhevol.2008.08.004</v>
      </c>
      <c r="K73" t="str">
        <f t="shared" ref="K73:K104" si="39">TRIM(_xlfn.TEXTJOIN("_",FALSE,F73,(SUBSTITUTE(SUBSTITUTE(D73," ",""), "_", ""))))</f>
        <v>Isler_etal_2008_Tree.nex</v>
      </c>
      <c r="L73" t="str">
        <f t="shared" ref="L73:L104" si="40">IF(ISBLANK(C73),TRIM(SUBSTITUTE(SUBSTITUTE(SUBSTITUTE(_xlfn.TEXTJOIN("_", FALSE, J73, SUBSTITUTE(D73,"_", "")), "/", "%2F"), ":", "%3A"), " ", "")),TRIM(SUBSTITUTE(SUBSTITUTE(SUBSTITUTE(_xlfn.TEXTJOIN("_", FALSE, C73, SUBSTITUTE(D73,"_", "")), "/", "%2F"), ":", "%3A"), " ", "")))</f>
        <v>10.1016%2Fj.jhevol.2008.08.004_Tree.nex</v>
      </c>
      <c r="M73" t="str">
        <f t="array" ref="M73">IFERROR(INDEX(FileList!$A$1:$A$100, MATCH(L73, _xlfn.TEXTBEFORE(FileList!$A$1:$A$100, ".tsv"), 0)), "notfound")</f>
        <v>notfound</v>
      </c>
      <c r="Q73" s="2" t="s">
        <v>97</v>
      </c>
      <c r="Y73" s="2" t="s">
        <v>382</v>
      </c>
      <c r="AJ73" s="2" t="s">
        <v>86</v>
      </c>
      <c r="AK73" s="2" t="s">
        <v>103</v>
      </c>
      <c r="AL73" s="2" t="s">
        <v>383</v>
      </c>
    </row>
    <row r="74" ht="15.75" customHeight="1">
      <c r="A74" s="2" t="s">
        <v>384</v>
      </c>
      <c r="D74" s="2" t="s">
        <v>117</v>
      </c>
      <c r="E74" t="str">
        <f t="shared" si="33"/>
        <v>9</v>
      </c>
      <c r="F74" t="str">
        <f t="shared" si="34"/>
        <v>Iwaniuk_etal_2001</v>
      </c>
      <c r="G74" t="str">
        <f t="shared" si="35"/>
        <v>Iwaniuk</v>
      </c>
      <c r="H74" t="str">
        <f t="shared" si="37"/>
        <v>etal</v>
      </c>
      <c r="I74" t="str">
        <f t="shared" si="36"/>
        <v>2001</v>
      </c>
      <c r="J74" t="str">
        <f t="shared" si="38"/>
        <v>10.1037/0735-7036.115.1.29</v>
      </c>
      <c r="K74" t="str">
        <f t="shared" si="39"/>
        <v>Iwaniuk_etal_2001_Table1</v>
      </c>
      <c r="L74" t="str">
        <f t="shared" si="40"/>
        <v>10.1037%2F0735-7036.115.1.29_Table1</v>
      </c>
      <c r="M74" t="str">
        <f t="array" ref="M74">IFERROR(INDEX(FileList!$A$1:$A$100, MATCH(L74, _xlfn.TEXTBEFORE(FileList!$A$1:$A$100, ".tsv"), 0)), "notfound")</f>
        <v>10.1037%2F0735-7036.115.1.29_Table1.tsv</v>
      </c>
      <c r="N74" s="2" t="s">
        <v>385</v>
      </c>
      <c r="P74" s="2" t="s">
        <v>386</v>
      </c>
      <c r="Q74" s="2" t="s">
        <v>163</v>
      </c>
      <c r="T74" s="2" t="str">
        <f>IF(S74="N", R74, "write file name")</f>
        <v>write file name</v>
      </c>
      <c r="U74" s="2" t="s">
        <v>49</v>
      </c>
      <c r="V74" s="2" t="s">
        <v>39</v>
      </c>
      <c r="Y74" s="2" t="s">
        <v>387</v>
      </c>
      <c r="AF74" s="2" t="s">
        <v>388</v>
      </c>
      <c r="AJ74" s="2" t="s">
        <v>106</v>
      </c>
      <c r="AK74" s="2" t="s">
        <v>103</v>
      </c>
      <c r="AL74" s="2" t="s">
        <v>389</v>
      </c>
    </row>
    <row r="75" ht="15.75" customHeight="1">
      <c r="A75" s="2" t="s">
        <v>384</v>
      </c>
      <c r="D75" s="2" t="s">
        <v>125</v>
      </c>
      <c r="E75" t="str">
        <f t="shared" si="33"/>
        <v>9</v>
      </c>
      <c r="F75" t="str">
        <f t="shared" si="34"/>
        <v>Iwaniuk_etal_2001</v>
      </c>
      <c r="G75" t="str">
        <f t="shared" si="35"/>
        <v>Iwaniuk</v>
      </c>
      <c r="H75" t="str">
        <f t="shared" si="37"/>
        <v>etal</v>
      </c>
      <c r="I75" t="str">
        <f t="shared" si="36"/>
        <v>2001</v>
      </c>
      <c r="J75" t="str">
        <f t="shared" si="38"/>
        <v>10.1037/0735-7036.115.1.29</v>
      </c>
      <c r="K75" t="str">
        <f t="shared" si="39"/>
        <v>Iwaniuk_etal_2001_Table2</v>
      </c>
      <c r="L75" t="str">
        <f t="shared" si="40"/>
        <v>10.1037%2F0735-7036.115.1.29_Table2</v>
      </c>
      <c r="M75" t="str">
        <f t="array" ref="M75">IFERROR(INDEX(FileList!$A$1:$A$100, MATCH(L75, _xlfn.TEXTBEFORE(FileList!$A$1:$A$100, ".tsv"), 0)), "notfound")</f>
        <v>10.1037%2F0735-7036.115.1.29_Table2.tsv</v>
      </c>
      <c r="N75" s="2" t="s">
        <v>390</v>
      </c>
      <c r="P75" s="2" t="s">
        <v>386</v>
      </c>
      <c r="Q75" s="2" t="s">
        <v>163</v>
      </c>
      <c r="T75" s="2" t="str">
        <f>IF(S75="N", R75, "write file name")</f>
        <v>write file name</v>
      </c>
      <c r="U75" s="2" t="s">
        <v>49</v>
      </c>
      <c r="V75" s="2" t="s">
        <v>39</v>
      </c>
      <c r="Y75" s="2" t="s">
        <v>387</v>
      </c>
      <c r="AF75" s="2" t="s">
        <v>388</v>
      </c>
      <c r="AJ75" s="2" t="s">
        <v>106</v>
      </c>
      <c r="AK75" s="2" t="s">
        <v>103</v>
      </c>
      <c r="AL75" s="2" t="s">
        <v>389</v>
      </c>
    </row>
    <row r="76" ht="15.75" customHeight="1">
      <c r="A76" s="2" t="s">
        <v>384</v>
      </c>
      <c r="D76" s="2" t="s">
        <v>347</v>
      </c>
      <c r="E76" t="str">
        <f t="shared" si="33"/>
        <v>9</v>
      </c>
      <c r="F76" t="str">
        <f t="shared" si="34"/>
        <v>Iwaniuk_etal_2001</v>
      </c>
      <c r="G76" t="str">
        <f t="shared" si="35"/>
        <v>Iwaniuk</v>
      </c>
      <c r="H76" t="str">
        <f t="shared" si="37"/>
        <v>etal</v>
      </c>
      <c r="I76" t="str">
        <f t="shared" si="36"/>
        <v>2001</v>
      </c>
      <c r="J76" t="str">
        <f t="shared" si="38"/>
        <v>10.1037/0735-7036.115.1.29</v>
      </c>
      <c r="K76" t="str">
        <f t="shared" si="39"/>
        <v>Iwaniuk_etal_2001_Table3</v>
      </c>
      <c r="L76" t="str">
        <f t="shared" si="40"/>
        <v>10.1037%2F0735-7036.115.1.29_Table3</v>
      </c>
      <c r="M76" t="str">
        <f t="array" ref="M76">IFERROR(INDEX(FileList!$A$1:$A$100, MATCH(L76, _xlfn.TEXTBEFORE(FileList!$A$1:$A$100, ".tsv"), 0)), "notfound")</f>
        <v>10.1037%2F0735-7036.115.1.29_Table3.tsv</v>
      </c>
      <c r="N76" s="2" t="s">
        <v>391</v>
      </c>
      <c r="P76" s="2" t="s">
        <v>386</v>
      </c>
      <c r="Q76" s="2" t="s">
        <v>163</v>
      </c>
      <c r="T76" s="2" t="str">
        <f>IF(S76="N", R76, "write file name")</f>
        <v>write file name</v>
      </c>
      <c r="U76" s="2" t="s">
        <v>49</v>
      </c>
      <c r="V76" s="2" t="s">
        <v>39</v>
      </c>
      <c r="Y76" s="2" t="s">
        <v>387</v>
      </c>
      <c r="AF76" s="2" t="s">
        <v>388</v>
      </c>
      <c r="AJ76" s="2" t="s">
        <v>106</v>
      </c>
      <c r="AK76" s="2" t="s">
        <v>103</v>
      </c>
      <c r="AL76" s="2" t="s">
        <v>389</v>
      </c>
    </row>
    <row r="77" ht="15.75" customHeight="1">
      <c r="A77" s="2" t="s">
        <v>384</v>
      </c>
      <c r="D77" s="2" t="s">
        <v>38</v>
      </c>
      <c r="E77" t="str">
        <f t="shared" si="33"/>
        <v>9</v>
      </c>
      <c r="F77" t="str">
        <f t="shared" si="34"/>
        <v>Iwaniuk_etal_2001</v>
      </c>
      <c r="G77" t="str">
        <f t="shared" si="35"/>
        <v>Iwaniuk</v>
      </c>
      <c r="H77" t="str">
        <f t="shared" si="37"/>
        <v>etal</v>
      </c>
      <c r="I77" t="str">
        <f t="shared" si="36"/>
        <v>2001</v>
      </c>
      <c r="J77" t="str">
        <f t="shared" si="38"/>
        <v>10.1037/0735-7036.115.1.29</v>
      </c>
      <c r="K77" t="str">
        <f t="shared" si="39"/>
        <v>Iwaniuk_etal_2001_Table4</v>
      </c>
      <c r="L77" t="str">
        <f t="shared" si="40"/>
        <v>10.1037%2F0735-7036.115.1.29_Table4</v>
      </c>
      <c r="M77" t="str">
        <f t="array" ref="M77">IFERROR(INDEX(FileList!$A$1:$A$100, MATCH(L77, _xlfn.TEXTBEFORE(FileList!$A$1:$A$100, ".tsv"), 0)), "notfound")</f>
        <v>10.1037%2F0735-7036.115.1.29_Table4.tsv</v>
      </c>
      <c r="N77" s="2" t="s">
        <v>392</v>
      </c>
      <c r="P77" s="2" t="s">
        <v>386</v>
      </c>
      <c r="Q77" s="2" t="s">
        <v>163</v>
      </c>
      <c r="T77" s="2" t="str">
        <f>IF(S77="N", R77, "write file name")</f>
        <v>write file name</v>
      </c>
      <c r="U77" s="2" t="s">
        <v>49</v>
      </c>
      <c r="V77" s="2" t="s">
        <v>39</v>
      </c>
      <c r="Y77" s="2" t="s">
        <v>387</v>
      </c>
      <c r="AF77" s="2" t="s">
        <v>388</v>
      </c>
      <c r="AJ77" s="2" t="s">
        <v>106</v>
      </c>
      <c r="AK77" s="2" t="s">
        <v>103</v>
      </c>
      <c r="AL77" s="2" t="s">
        <v>389</v>
      </c>
    </row>
    <row r="78" ht="15.75" customHeight="1">
      <c r="A78" s="2" t="s">
        <v>393</v>
      </c>
      <c r="D78" s="2" t="s">
        <v>394</v>
      </c>
      <c r="E78" t="str">
        <f t="shared" si="33"/>
        <v>x</v>
      </c>
      <c r="F78" t="str">
        <f t="shared" si="34"/>
        <v>Iwaniuk_etal_1999</v>
      </c>
      <c r="G78" t="str">
        <f t="shared" si="35"/>
        <v>Iwaniuk</v>
      </c>
      <c r="H78" t="str">
        <f t="shared" si="37"/>
        <v>etal</v>
      </c>
      <c r="I78" t="str">
        <f t="shared" si="36"/>
        <v>1999</v>
      </c>
      <c r="J78" t="str">
        <f t="shared" si="38"/>
        <v>10.1016/s0166-4328(98)00151-x</v>
      </c>
      <c r="K78" t="str">
        <f t="shared" si="39"/>
        <v>Iwaniuk_etal_1999_References</v>
      </c>
      <c r="L78" t="str">
        <f t="shared" si="40"/>
        <v>10.1016%2Fs0166-4328(98)00151-x_References</v>
      </c>
      <c r="M78" t="str">
        <f t="array" ref="M78">IFERROR(INDEX(FileList!$A$1:$A$100, MATCH(L78, _xlfn.TEXTBEFORE(FileList!$A$1:$A$100, ".tsv"), 0)), "notfound")</f>
        <v>notfound</v>
      </c>
      <c r="N78" s="2" t="s">
        <v>394</v>
      </c>
      <c r="P78" s="2" t="s">
        <v>295</v>
      </c>
      <c r="V78" s="2" t="s">
        <v>395</v>
      </c>
      <c r="W78" s="2" t="s">
        <v>167</v>
      </c>
      <c r="Y78" s="2" t="s">
        <v>396</v>
      </c>
      <c r="AJ78" s="2" t="s">
        <v>106</v>
      </c>
      <c r="AK78" s="2" t="s">
        <v>103</v>
      </c>
      <c r="AL78" s="2" t="s">
        <v>397</v>
      </c>
    </row>
    <row r="79" ht="15.75" customHeight="1">
      <c r="A79" s="2" t="s">
        <v>393</v>
      </c>
      <c r="D79" s="2" t="s">
        <v>117</v>
      </c>
      <c r="E79" t="str">
        <f t="shared" si="33"/>
        <v>x</v>
      </c>
      <c r="F79" t="str">
        <f t="shared" si="34"/>
        <v>Iwaniuk_etal_1999</v>
      </c>
      <c r="G79" t="str">
        <f t="shared" si="35"/>
        <v>Iwaniuk</v>
      </c>
      <c r="H79" t="str">
        <f t="shared" si="37"/>
        <v>etal</v>
      </c>
      <c r="I79" t="str">
        <f t="shared" si="36"/>
        <v>1999</v>
      </c>
      <c r="J79" t="str">
        <f t="shared" si="38"/>
        <v>10.1016/s0166-4328(98)00151-x</v>
      </c>
      <c r="K79" t="str">
        <f t="shared" si="39"/>
        <v>Iwaniuk_etal_1999_Table1</v>
      </c>
      <c r="L79" t="str">
        <f t="shared" si="40"/>
        <v>10.1016%2Fs0166-4328(98)00151-x_Table1</v>
      </c>
      <c r="M79" t="str">
        <f t="array" ref="M79">IFERROR(INDEX(FileList!$A$1:$A$100, MATCH(L79, _xlfn.TEXTBEFORE(FileList!$A$1:$A$100, ".tsv"), 0)), "notfound")</f>
        <v>10.1016%2Fs0166-4328(98)00151-x_Table1.tsv</v>
      </c>
      <c r="N79" s="2" t="s">
        <v>398</v>
      </c>
      <c r="P79" s="2" t="s">
        <v>295</v>
      </c>
      <c r="V79" s="2" t="s">
        <v>39</v>
      </c>
      <c r="W79" s="2" t="s">
        <v>167</v>
      </c>
      <c r="Y79" s="2" t="s">
        <v>396</v>
      </c>
      <c r="AJ79" s="2" t="s">
        <v>106</v>
      </c>
      <c r="AK79" s="2" t="s">
        <v>103</v>
      </c>
      <c r="AL79" s="2" t="s">
        <v>397</v>
      </c>
    </row>
    <row r="80" ht="15.75" customHeight="1">
      <c r="A80" s="2" t="s">
        <v>399</v>
      </c>
      <c r="D80" s="2" t="s">
        <v>117</v>
      </c>
      <c r="E80" t="str">
        <f t="shared" si="33"/>
        <v>8</v>
      </c>
      <c r="F80" t="str">
        <f t="shared" si="34"/>
        <v>JardimMesseder_etal_2017</v>
      </c>
      <c r="G80" t="str">
        <f t="shared" si="35"/>
        <v>JardimMesseder</v>
      </c>
      <c r="H80" t="str">
        <f t="shared" si="37"/>
        <v>etal</v>
      </c>
      <c r="I80" t="str">
        <f t="shared" si="36"/>
        <v>2017</v>
      </c>
      <c r="J80" t="str">
        <f t="shared" si="38"/>
        <v>10.3389/fnana.2017.00118</v>
      </c>
      <c r="K80" t="str">
        <f t="shared" si="39"/>
        <v>JardimMesseder_etal_2017_Table1</v>
      </c>
      <c r="L80" t="str">
        <f t="shared" si="40"/>
        <v>10.3389%2Ffnana.2017.00118_Table1</v>
      </c>
      <c r="M80" t="str">
        <f t="array" ref="M80">IFERROR(INDEX(FileList!$A$1:$A$100, MATCH(L80, _xlfn.TEXTBEFORE(FileList!$A$1:$A$100, ".tsv"), 0)), "notfound")</f>
        <v>10.3389%2Ffnana.2017.00118_Table1.tsv</v>
      </c>
      <c r="N80" s="2" t="s">
        <v>400</v>
      </c>
      <c r="P80" s="2" t="s">
        <v>44</v>
      </c>
      <c r="Q80" s="2" t="s">
        <v>45</v>
      </c>
      <c r="R80" s="2" t="s">
        <v>401</v>
      </c>
      <c r="S80" s="2" t="s">
        <v>47</v>
      </c>
      <c r="T80" s="2" t="s">
        <v>402</v>
      </c>
      <c r="U80" s="2" t="s">
        <v>49</v>
      </c>
      <c r="V80" s="2" t="s">
        <v>39</v>
      </c>
      <c r="W80" s="2" t="s">
        <v>154</v>
      </c>
      <c r="X80" s="2" t="s">
        <v>403</v>
      </c>
      <c r="Y80" s="2" t="s">
        <v>234</v>
      </c>
      <c r="Z80" s="2" t="s">
        <v>53</v>
      </c>
      <c r="AA80" s="2" t="s">
        <v>54</v>
      </c>
      <c r="AB80" s="2" t="s">
        <v>54</v>
      </c>
      <c r="AC80" s="2" t="s">
        <v>54</v>
      </c>
      <c r="AF80" s="2" t="s">
        <v>404</v>
      </c>
      <c r="AJ80" s="2" t="s">
        <v>405</v>
      </c>
      <c r="AK80" s="2" t="s">
        <v>53</v>
      </c>
      <c r="AL80" s="2" t="s">
        <v>57</v>
      </c>
    </row>
    <row r="81" ht="15.75" customHeight="1">
      <c r="A81" s="2" t="s">
        <v>406</v>
      </c>
      <c r="D81" s="2" t="s">
        <v>125</v>
      </c>
      <c r="E81" t="str">
        <f t="shared" si="33"/>
        <v>4</v>
      </c>
      <c r="F81" t="str">
        <f t="shared" si="34"/>
        <v>Johansen_etal_2024</v>
      </c>
      <c r="G81" t="str">
        <f t="shared" si="35"/>
        <v>Johansen</v>
      </c>
      <c r="H81" t="str">
        <f t="shared" si="37"/>
        <v>etal</v>
      </c>
      <c r="I81" t="str">
        <f t="shared" si="36"/>
        <v>2024</v>
      </c>
      <c r="J81" t="str">
        <f t="shared" si="38"/>
        <v>10.1523/JNEUROSCI.1750-23.2024</v>
      </c>
      <c r="K81" t="str">
        <f t="shared" si="39"/>
        <v>Johansen_etal_2024_Table2</v>
      </c>
      <c r="L81" t="str">
        <f t="shared" si="40"/>
        <v>10.1523%2FJNEUROSCI.1750-23.2024_Table2</v>
      </c>
      <c r="M81" t="str">
        <f t="array" ref="M81">IFERROR(INDEX(FileList!$A$1:$A$100, MATCH(L81, _xlfn.TEXTBEFORE(FileList!$A$1:$A$100, ".tsv"), 0)), "notfound")</f>
        <v>notfound</v>
      </c>
      <c r="N81" s="2" t="s">
        <v>407</v>
      </c>
      <c r="Y81" s="2" t="s">
        <v>408</v>
      </c>
      <c r="AJ81" s="2" t="s">
        <v>409</v>
      </c>
      <c r="AK81" s="2" t="s">
        <v>53</v>
      </c>
      <c r="AL81" s="2" t="s">
        <v>410</v>
      </c>
    </row>
    <row r="82" ht="15.75" customHeight="1">
      <c r="A82" s="2" t="s">
        <v>411</v>
      </c>
      <c r="D82" s="2" t="s">
        <v>117</v>
      </c>
      <c r="E82" t="str">
        <f t="shared" si="33"/>
        <v>8</v>
      </c>
      <c r="F82" t="str">
        <f>G75</f>
        <v>Iwaniuk</v>
      </c>
      <c r="G82" t="str">
        <f t="shared" si="35"/>
        <v>Karbowski</v>
      </c>
      <c r="H82" t="str">
        <f t="shared" si="37"/>
      </c>
      <c r="I82" t="str">
        <f t="shared" si="36"/>
        <v>2007</v>
      </c>
      <c r="J82" t="str">
        <f t="shared" si="38"/>
        <v>10.1186/1741-7007-5-18</v>
      </c>
      <c r="K82" t="str">
        <f t="shared" si="39"/>
        <v>Iwaniuk_Table1</v>
      </c>
      <c r="L82" t="str">
        <f t="shared" si="40"/>
        <v>10.1186%2F1741-7007-5-18_Table1</v>
      </c>
      <c r="M82" t="str">
        <f t="array" ref="M82">IFERROR(INDEX(FileList!$A$1:$A$100, MATCH(L82, _xlfn.TEXTBEFORE(FileList!$A$1:$A$100, ".tsv"), 0)), "notfound")</f>
        <v>notfound</v>
      </c>
      <c r="N82" s="2" t="s">
        <v>412</v>
      </c>
      <c r="V82" s="2" t="s">
        <v>39</v>
      </c>
      <c r="Y82" s="2" t="s">
        <v>413</v>
      </c>
      <c r="Z82" s="2" t="s">
        <v>53</v>
      </c>
      <c r="AB82" s="2" t="s">
        <v>414</v>
      </c>
      <c r="AJ82" s="2" t="s">
        <v>106</v>
      </c>
      <c r="AK82" s="2" t="s">
        <v>103</v>
      </c>
      <c r="AL82" s="2" t="s">
        <v>415</v>
      </c>
    </row>
    <row r="83">
      <c r="A83" s="2" t="s">
        <v>416</v>
      </c>
      <c r="D83" s="2" t="s">
        <v>42</v>
      </c>
      <c r="E83" t="str">
        <f t="shared" si="33"/>
        <v>9</v>
      </c>
      <c r="F83" t="str">
        <f t="shared" si="34"/>
        <v>Karl_etal_2024</v>
      </c>
      <c r="G83" t="str">
        <f t="shared" si="35"/>
        <v>Karl</v>
      </c>
      <c r="H83" t="str">
        <f t="shared" si="37"/>
        <v>etal</v>
      </c>
      <c r="I83" t="str">
        <f t="shared" si="36"/>
        <v>2024</v>
      </c>
      <c r="J83" t="str">
        <f t="shared" si="38"/>
        <v>10.1002/cne.25669</v>
      </c>
      <c r="K83" t="str">
        <f t="shared" si="39"/>
        <v>Karl_etal_2024_TABLE1</v>
      </c>
      <c r="L83" t="str">
        <f t="shared" si="40"/>
        <v>10.1002%2Fcne.25669_TABLE1</v>
      </c>
      <c r="M83" t="str">
        <f t="array" ref="M83">IFERROR(INDEX(FileList!$A$1:$A$100, MATCH(L83, _xlfn.TEXTBEFORE(FileList!$A$1:$A$100, ".tsv"), 0)), "notfound")</f>
        <v>10.1002%2Fcne.25669_TABLE1.tsv</v>
      </c>
      <c r="N83" s="2" t="s">
        <v>417</v>
      </c>
      <c r="U83" s="2" t="s">
        <v>49</v>
      </c>
      <c r="V83" s="2" t="s">
        <v>39</v>
      </c>
      <c r="W83" s="2" t="s">
        <v>167</v>
      </c>
      <c r="Y83" s="2" t="s">
        <v>418</v>
      </c>
      <c r="Z83" s="2" t="s">
        <v>53</v>
      </c>
      <c r="AJ83" s="2" t="s">
        <v>106</v>
      </c>
      <c r="AK83" s="2" t="s">
        <v>53</v>
      </c>
      <c r="AL83" s="2" t="s">
        <v>418</v>
      </c>
    </row>
    <row r="84" ht="15.75" customHeight="1">
      <c r="A84" s="2" t="s">
        <v>604</v>
      </c>
      <c r="C84" s="2" t="s">
        <v>612</v>
      </c>
      <c r="D84" s="2" t="s">
        <v>117</v>
      </c>
      <c r="E84" t="str">
        <f t="shared" ref="E84" si="41">RIGHT(A84,1)</f>
        <v>i</v>
      </c>
      <c r="F84" t="str">
        <f t="shared" ref="F84" si="42">G84 &amp; IF(H84&lt;&gt;"", "_" &amp; H84, "_") &amp; IF(I84&lt;&gt;"", "_" &amp; I84, "_") &amp; IF(B84&lt;&gt;"", "_" &amp; B84, "")</f>
        <v>Kaufman__2004</v>
      </c>
      <c r="G84" t="str">
        <f t="shared" ref="G84" si="43">SUBSTITUTE(SUBSTITUTE(_xlfn.TEXTBEFORE(A84,","), "-", ""), " ", "")</f>
        <v>Kaufman</v>
      </c>
      <c r="H84" t="str">
        <f>_xlfn.LET(_xlpm.authorPart,_xlfn.TEXTBEFORE(A84," ("),IFERROR(IF(ISNUMBER(FIND("&amp;",_xlpm.authorPart)),IF(LEN(A84)-LEN(SUBSTITUTE(A84,",",""))&gt;=6,"etal",_xlfn.TEXTBEFORE(_xlfn.TEXTAFTER(_xlpm.authorPart,"&amp; "),",")),""),""))</f>
      </c>
      <c r="I84" t="str">
        <f t="shared" ref="I84" si="44">_xlfn.TEXTBEFORE(_xlfn.TEXTAFTER(A84, "("), ")")</f>
        <v>2004</v>
      </c>
      <c r="J84" t="str">
        <f t="shared" ref="J84" si="45">IF(C84&lt;&gt;"", C84, IF(C84="", _xlfn.TEXTAFTER(A84,"https://doi.org/"), C84))</f>
        <v>UMI:3147447</v>
      </c>
      <c r="K84" t="str">
        <f t="shared" ref="K84" si="46">TRIM(_xlfn.TEXTJOIN("_",FALSE,F84,(SUBSTITUTE(SUBSTITUTE(D84," ",""), "_", ""))))</f>
        <v>Kaufman__2004_Table1</v>
      </c>
      <c r="L84" t="str">
        <f t="shared" ref="L84" si="47">IF(ISBLANK(C84),TRIM(SUBSTITUTE(SUBSTITUTE(SUBSTITUTE(_xlfn.TEXTJOIN("_", FALSE, J84, SUBSTITUTE(D84,"_", "")), "/", "%2F"), ":", "%3A"), " ", "")),TRIM(SUBSTITUTE(SUBSTITUTE(SUBSTITUTE(_xlfn.TEXTJOIN("_", FALSE, C84, SUBSTITUTE(D84,"_", "")), "/", "%2F"), ":", "%3A"), " ", "")))</f>
        <v>UMI%3A3147447_Table1</v>
      </c>
      <c r="M84" t="str">
        <f t="array" ref="M84">IFERROR(INDEX(FileList!$A$1:$A$100, MATCH(L84, _xlfn.TEXTBEFORE(FileList!$A$1:$A$100, ".tsv"), 0)), "notfound")</f>
        <v>notfound</v>
      </c>
      <c r="V84" s="2" t="s">
        <v>39</v>
      </c>
      <c r="Y84" s="2" t="s">
        <v>419</v>
      </c>
      <c r="Z84" s="2" t="s">
        <v>53</v>
      </c>
      <c r="AB84" s="2" t="s">
        <v>420</v>
      </c>
      <c r="AE84" s="2" t="s">
        <v>421</v>
      </c>
      <c r="AJ84" s="2" t="s">
        <v>106</v>
      </c>
      <c r="AK84" s="2" t="s">
        <v>103</v>
      </c>
      <c r="AL84" s="2" t="s">
        <v>422</v>
      </c>
    </row>
    <row r="85" ht="15.75" customHeight="1">
      <c r="A85" s="2" t="s">
        <v>423</v>
      </c>
      <c r="D85" s="2" t="s">
        <v>117</v>
      </c>
      <c r="E85" t="str">
        <f t="shared" si="33"/>
        <v>8</v>
      </c>
      <c r="F85" t="str">
        <f t="shared" si="34"/>
        <v>Kverkova_etal_2018</v>
      </c>
      <c r="G85" t="str">
        <f t="shared" si="35"/>
        <v>Kverkova</v>
      </c>
      <c r="H85" t="str">
        <f t="shared" ref="H85:H121" si="48">_xlfn.LET(_xlpm.authorPart,_xlfn.TEXTBEFORE(A85," ("),IFERROR(IF(ISNUMBER(FIND("&amp;",_xlpm.authorPart)),IF(LEN(A85)-LEN(SUBSTITUTE(A85,",",""))&gt;=6,"etal",_xlfn.TEXTBEFORE(_xlfn.TEXTAFTER(_xlpm.authorPart,"&amp; "),",")),""),""))</f>
        <v>etal</v>
      </c>
      <c r="I85" t="str">
        <f t="shared" si="36"/>
        <v>2018</v>
      </c>
      <c r="J85" t="str">
        <f t="shared" si="38"/>
        <v>10.1038/s41598-018-26062-8</v>
      </c>
      <c r="K85" t="str">
        <f t="shared" si="39"/>
        <v>Kverkova_etal_2018_Table1</v>
      </c>
      <c r="L85" t="str">
        <f t="shared" si="40"/>
        <v>10.1038%2Fs41598-018-26062-8_Table1</v>
      </c>
      <c r="M85" t="str">
        <f t="array" ref="M85">IFERROR(INDEX(FileList!$A$1:$A$100, MATCH(L85, _xlfn.TEXTBEFORE(FileList!$A$1:$A$100, ".tsv"), 0)), "notfound")</f>
        <v>10.1038%2Fs41598-018-26062-8_Table1.tsv</v>
      </c>
      <c r="N85" s="2" t="s">
        <v>424</v>
      </c>
      <c r="P85" s="2" t="s">
        <v>44</v>
      </c>
      <c r="Q85" s="2" t="s">
        <v>45</v>
      </c>
      <c r="R85" s="2" t="s">
        <v>425</v>
      </c>
      <c r="S85" s="2" t="s">
        <v>47</v>
      </c>
      <c r="T85" s="2" t="s">
        <v>426</v>
      </c>
      <c r="U85" s="2" t="s">
        <v>427</v>
      </c>
      <c r="V85" s="2" t="s">
        <v>39</v>
      </c>
      <c r="Y85" s="2" t="s">
        <v>428</v>
      </c>
      <c r="Z85" s="2" t="s">
        <v>53</v>
      </c>
      <c r="AA85" s="2" t="s">
        <v>436</v>
      </c>
      <c r="AC85" s="2" t="s">
        <v>436</v>
      </c>
      <c r="AF85" s="2" t="s">
        <v>429</v>
      </c>
      <c r="AJ85" s="2" t="s">
        <v>430</v>
      </c>
      <c r="AK85" s="2" t="s">
        <v>53</v>
      </c>
      <c r="AL85" s="2" t="s">
        <v>431</v>
      </c>
    </row>
    <row r="86">
      <c r="A86" s="2" t="s">
        <v>423</v>
      </c>
      <c r="D86" s="2" t="s">
        <v>245</v>
      </c>
      <c r="E86" t="str">
        <f t="shared" si="33"/>
        <v>8</v>
      </c>
      <c r="F86" t="str">
        <f t="shared" si="34"/>
        <v>Kverkova_etal_2018</v>
      </c>
      <c r="G86" t="str">
        <f t="shared" si="35"/>
        <v>Kverkova</v>
      </c>
      <c r="H86" t="str">
        <f t="shared" si="48"/>
        <v>etal</v>
      </c>
      <c r="I86" t="str">
        <f t="shared" si="36"/>
        <v>2018</v>
      </c>
      <c r="J86" t="str">
        <f t="shared" si="38"/>
        <v>10.1038/s41598-018-26062-8</v>
      </c>
      <c r="K86" t="str">
        <f t="shared" si="39"/>
        <v>Kverkova_etal_2018_TableS1</v>
      </c>
      <c r="L86" t="str">
        <f t="shared" si="40"/>
        <v>10.1038%2Fs41598-018-26062-8_TableS1</v>
      </c>
      <c r="M86" t="str">
        <f t="array" ref="M86">IFERROR(INDEX(FileList!$A$1:$A$100, MATCH(L86, _xlfn.TEXTBEFORE(FileList!$A$1:$A$100, ".tsv"), 0)), "notfound")</f>
        <v>10.1038%2Fs41598-018-26062-8_TableS1.tsv</v>
      </c>
      <c r="N86" s="2" t="s">
        <v>432</v>
      </c>
      <c r="P86" s="2" t="s">
        <v>44</v>
      </c>
      <c r="Q86" s="2" t="s">
        <v>45</v>
      </c>
      <c r="R86" s="2" t="s">
        <v>433</v>
      </c>
      <c r="S86" s="2" t="s">
        <v>47</v>
      </c>
      <c r="T86" s="2" t="s">
        <v>426</v>
      </c>
      <c r="U86" s="2" t="s">
        <v>427</v>
      </c>
      <c r="V86" s="2" t="s">
        <v>39</v>
      </c>
      <c r="W86" s="2" t="s">
        <v>154</v>
      </c>
      <c r="X86" s="2" t="s">
        <v>434</v>
      </c>
      <c r="Y86" s="2" t="s">
        <v>363</v>
      </c>
      <c r="Z86" s="2" t="s">
        <v>435</v>
      </c>
      <c r="AA86" s="2" t="s">
        <v>436</v>
      </c>
      <c r="AC86" s="2" t="s">
        <v>436</v>
      </c>
      <c r="AF86" s="2" t="s">
        <v>429</v>
      </c>
      <c r="AJ86" s="2" t="s">
        <v>430</v>
      </c>
      <c r="AK86" s="2" t="s">
        <v>53</v>
      </c>
      <c r="AL86" s="2" t="s">
        <v>366</v>
      </c>
    </row>
    <row r="87">
      <c r="A87" s="2" t="s">
        <v>423</v>
      </c>
      <c r="D87" s="2" t="s">
        <v>437</v>
      </c>
      <c r="E87" t="str">
        <f t="shared" si="33"/>
        <v>8</v>
      </c>
      <c r="F87" t="str">
        <f t="shared" si="34"/>
        <v>Kverkova_etal_2018</v>
      </c>
      <c r="G87" t="str">
        <f t="shared" si="35"/>
        <v>Kverkova</v>
      </c>
      <c r="H87" t="str">
        <f t="shared" si="48"/>
        <v>etal</v>
      </c>
      <c r="I87" t="str">
        <f t="shared" si="36"/>
        <v>2018</v>
      </c>
      <c r="J87" t="str">
        <f t="shared" si="38"/>
        <v>10.1038/s41598-018-26062-8</v>
      </c>
      <c r="K87" t="str">
        <f t="shared" si="39"/>
        <v>Kverkova_etal_2018_TableS5</v>
      </c>
      <c r="L87" t="str">
        <f t="shared" si="40"/>
        <v>10.1038%2Fs41598-018-26062-8_TableS5</v>
      </c>
      <c r="M87" t="str">
        <f t="array" ref="M87">IFERROR(INDEX(FileList!$A$1:$A$100, MATCH(L87, _xlfn.TEXTBEFORE(FileList!$A$1:$A$100, ".tsv"), 0)), "notfound")</f>
        <v>10.1038%2Fs41598-018-26062-8_TableS5.tsv</v>
      </c>
      <c r="N87" s="2" t="s">
        <v>438</v>
      </c>
      <c r="P87" s="2" t="s">
        <v>44</v>
      </c>
      <c r="Q87" s="2" t="s">
        <v>45</v>
      </c>
      <c r="R87" s="2" t="s">
        <v>439</v>
      </c>
      <c r="S87" s="2" t="s">
        <v>47</v>
      </c>
      <c r="T87" s="2" t="s">
        <v>440</v>
      </c>
      <c r="U87" s="2" t="s">
        <v>441</v>
      </c>
      <c r="V87" s="2" t="s">
        <v>39</v>
      </c>
      <c r="W87" s="2" t="s">
        <v>154</v>
      </c>
      <c r="X87" s="2" t="s">
        <v>434</v>
      </c>
      <c r="Y87" s="2" t="s">
        <v>370</v>
      </c>
      <c r="Z87" s="2" t="s">
        <v>53</v>
      </c>
      <c r="AA87" s="2" t="s">
        <v>436</v>
      </c>
      <c r="AB87" s="2" t="s">
        <v>189</v>
      </c>
      <c r="AC87" s="2" t="s">
        <v>436</v>
      </c>
      <c r="AF87" s="2" t="s">
        <v>429</v>
      </c>
      <c r="AJ87" s="2" t="s">
        <v>430</v>
      </c>
      <c r="AK87" s="2" t="s">
        <v>53</v>
      </c>
      <c r="AL87" s="2" t="s">
        <v>57</v>
      </c>
    </row>
    <row r="88">
      <c r="A88" s="2" t="s">
        <v>442</v>
      </c>
      <c r="D88" s="2" t="s">
        <v>443</v>
      </c>
      <c r="E88" t="str">
        <f t="shared" si="33"/>
        <v>4</v>
      </c>
      <c r="F88" t="str">
        <f t="shared" si="34"/>
        <v>Lewitus_etal_2013</v>
      </c>
      <c r="G88" t="str">
        <f t="shared" si="35"/>
        <v>Lewitus</v>
      </c>
      <c r="H88" t="str">
        <f t="shared" si="48"/>
        <v>etal</v>
      </c>
      <c r="I88" t="str">
        <f t="shared" si="36"/>
        <v>2013</v>
      </c>
      <c r="J88" t="str">
        <f t="shared" si="38"/>
        <v>10.3389/fnhum.2013.00424</v>
      </c>
      <c r="K88" t="str">
        <f t="shared" si="39"/>
        <v>Lewitus_etal_2013_TableS2partial</v>
      </c>
      <c r="L88" t="str">
        <f t="shared" si="40"/>
        <v>10.3389%2Ffnhum.2013.00424_TableS2partial</v>
      </c>
      <c r="M88" t="str">
        <f t="array" ref="M88">IFERROR(INDEX(FileList!$A$1:$A$100, MATCH(L88, _xlfn.TEXTBEFORE(FileList!$A$1:$A$100, ".tsv"), 0)), "notfound")</f>
        <v>10.3389%2Ffnhum.2013.00424_TableS2partial.tsv</v>
      </c>
      <c r="Q88" s="2" t="s">
        <v>97</v>
      </c>
      <c r="Y88" s="2" t="s">
        <v>444</v>
      </c>
      <c r="AA88" s="2" t="s">
        <v>445</v>
      </c>
      <c r="AJ88" s="2" t="s">
        <v>106</v>
      </c>
      <c r="AK88" s="2" t="s">
        <v>53</v>
      </c>
      <c r="AL88" s="2" t="s">
        <v>446</v>
      </c>
    </row>
    <row r="89">
      <c r="A89" s="2" t="s">
        <v>447</v>
      </c>
      <c r="D89" s="2" t="s">
        <v>245</v>
      </c>
      <c r="E89" t="str">
        <f t="shared" si="33"/>
        <v>0</v>
      </c>
      <c r="F89" t="str">
        <f t="shared" si="34"/>
        <v>Lewitus_etal_2014</v>
      </c>
      <c r="G89" t="str">
        <f t="shared" si="35"/>
        <v>Lewitus</v>
      </c>
      <c r="H89" t="str">
        <f t="shared" si="48"/>
        <v>etal</v>
      </c>
      <c r="I89" t="str">
        <f t="shared" si="36"/>
        <v>2014</v>
      </c>
      <c r="J89" t="str">
        <f t="shared" si="38"/>
        <v>10.1371/journal.pbio.1002000</v>
      </c>
      <c r="K89" t="str">
        <f t="shared" si="39"/>
        <v>Lewitus_etal_2014_TableS1</v>
      </c>
      <c r="L89" t="str">
        <f t="shared" si="40"/>
        <v>10.1371%2Fjournal.pbio.1002000_TableS1</v>
      </c>
      <c r="M89" t="str">
        <f t="array" ref="M89">IFERROR(INDEX(FileList!$A$1:$A$100, MATCH(L89, _xlfn.TEXTBEFORE(FileList!$A$1:$A$100, ".tsv"), 0)), "notfound")</f>
        <v>10.1371%2Fjournal.pbio.1002000_TableS1.tsv</v>
      </c>
      <c r="N89" s="2" t="s">
        <v>448</v>
      </c>
      <c r="Q89" s="2" t="s">
        <v>97</v>
      </c>
      <c r="Y89" s="2" t="s">
        <v>449</v>
      </c>
      <c r="AA89" s="2" t="s">
        <v>445</v>
      </c>
      <c r="AJ89" s="2" t="s">
        <v>106</v>
      </c>
      <c r="AK89" s="2" t="s">
        <v>103</v>
      </c>
      <c r="AL89" s="2" t="s">
        <v>450</v>
      </c>
    </row>
    <row r="90">
      <c r="A90" s="2" t="s">
        <v>447</v>
      </c>
      <c r="D90" s="2" t="s">
        <v>451</v>
      </c>
      <c r="E90" t="str">
        <f t="shared" si="33"/>
        <v>0</v>
      </c>
      <c r="F90" t="str">
        <f t="shared" si="34"/>
        <v>Lewitus_etal_2014</v>
      </c>
      <c r="G90" t="str">
        <f t="shared" si="35"/>
        <v>Lewitus</v>
      </c>
      <c r="H90" t="str">
        <f t="shared" si="48"/>
        <v>etal</v>
      </c>
      <c r="I90" t="str">
        <f t="shared" si="36"/>
        <v>2014</v>
      </c>
      <c r="J90" t="str">
        <f t="shared" si="38"/>
        <v>10.1371/journal.pbio.1002000</v>
      </c>
      <c r="K90" t="str">
        <f t="shared" si="39"/>
        <v>Lewitus_etal_2014_TableS8</v>
      </c>
      <c r="L90" t="str">
        <f t="shared" si="40"/>
        <v>10.1371%2Fjournal.pbio.1002000_TableS8</v>
      </c>
      <c r="M90" t="str">
        <f t="array" ref="M90">IFERROR(INDEX(FileList!$A$1:$A$100, MATCH(L90, _xlfn.TEXTBEFORE(FileList!$A$1:$A$100, ".tsv"), 0)), "notfound")</f>
        <v>10.1371%2Fjournal.pbio.1002000_TableS8.tsv</v>
      </c>
      <c r="N90" s="2" t="s">
        <v>452</v>
      </c>
      <c r="Q90" s="2" t="s">
        <v>97</v>
      </c>
      <c r="Y90" s="2" t="s">
        <v>449</v>
      </c>
      <c r="AA90" s="2" t="s">
        <v>445</v>
      </c>
      <c r="AJ90" s="2" t="s">
        <v>106</v>
      </c>
      <c r="AK90" s="2" t="s">
        <v>103</v>
      </c>
      <c r="AL90" s="2" t="s">
        <v>450</v>
      </c>
    </row>
    <row r="91">
      <c r="A91" s="2" t="s">
        <v>453</v>
      </c>
      <c r="D91" s="2" t="s">
        <v>117</v>
      </c>
      <c r="E91" t="str">
        <f t="shared" si="33"/>
        <v>5</v>
      </c>
      <c r="F91" t="str">
        <f t="shared" si="34"/>
        <v>MacLarnon__1996</v>
      </c>
      <c r="G91" t="str">
        <f t="shared" si="35"/>
        <v>MacLarnon</v>
      </c>
      <c r="H91" t="str">
        <f t="shared" si="48"/>
      </c>
      <c r="I91" t="str">
        <f t="shared" si="36"/>
        <v>1996</v>
      </c>
      <c r="J91" t="str">
        <f t="shared" si="38"/>
        <v>10.1006/jhev.1996.0005</v>
      </c>
      <c r="K91" t="str">
        <f t="shared" si="39"/>
        <v>MacLarnon__1996_Table1</v>
      </c>
      <c r="L91" t="str">
        <f t="shared" si="40"/>
        <v>10.1006%2Fjhev.1996.0005_Table1</v>
      </c>
      <c r="M91" t="str">
        <f t="array" ref="M91">IFERROR(INDEX(FileList!$A$1:$A$100, MATCH(L91, _xlfn.TEXTBEFORE(FileList!$A$1:$A$100, ".tsv"), 0)), "notfound")</f>
        <v>10.1006%2Fjhev.1996.0005_Table1.tsv</v>
      </c>
      <c r="N91" s="2" t="s">
        <v>454</v>
      </c>
      <c r="P91" s="2" t="s">
        <v>295</v>
      </c>
      <c r="Y91" s="2" t="s">
        <v>455</v>
      </c>
      <c r="AJ91" s="2" t="s">
        <v>86</v>
      </c>
      <c r="AK91" s="2" t="s">
        <v>53</v>
      </c>
      <c r="AL91" s="2" t="s">
        <v>456</v>
      </c>
    </row>
    <row r="92">
      <c r="A92" s="2" t="s">
        <v>457</v>
      </c>
      <c r="E92" t="str">
        <f t="shared" si="33"/>
        <v>9</v>
      </c>
      <c r="F92" t="str">
        <f t="shared" si="34"/>
        <v>MacLeod_etal_2003</v>
      </c>
      <c r="G92" t="str">
        <f t="shared" si="35"/>
        <v>MacLeod</v>
      </c>
      <c r="H92" t="str">
        <f t="shared" si="48"/>
        <v>etal</v>
      </c>
      <c r="I92" t="str">
        <f t="shared" si="36"/>
        <v>2003</v>
      </c>
      <c r="J92" t="str">
        <f t="shared" si="38"/>
        <v>10.1016/s0047-2484(03)00028-9</v>
      </c>
      <c r="K92" t="str">
        <f t="shared" si="39"/>
        <v>MacLeod_etal_2003_</v>
      </c>
      <c r="L92" t="str">
        <f t="shared" si="40"/>
        <v>10.1016%2Fs0047-2484(03)00028-9_</v>
      </c>
      <c r="M92" t="str">
        <f t="array" ref="M92">IFERROR(INDEX(FileList!$A$1:$A$100, MATCH(L92, _xlfn.TEXTBEFORE(FileList!$A$1:$A$100, ".tsv"), 0)), "notfound")</f>
        <v>10.1016%2Fs0047-2484(03)00028-9_.tsv</v>
      </c>
      <c r="Y92" s="2" t="s">
        <v>458</v>
      </c>
      <c r="AJ92" s="2" t="s">
        <v>459</v>
      </c>
      <c r="AK92" s="2" t="s">
        <v>53</v>
      </c>
      <c r="AL92" s="2" t="s">
        <v>63</v>
      </c>
    </row>
    <row r="93">
      <c r="A93" s="2" t="s">
        <v>460</v>
      </c>
      <c r="D93" s="2" t="s">
        <v>461</v>
      </c>
      <c r="E93" t="str">
        <f t="shared" si="33"/>
        <v>2</v>
      </c>
      <c r="F93" t="str">
        <f t="shared" si="34"/>
        <v>ManyPrimates__2022</v>
      </c>
      <c r="G93" t="str">
        <f t="shared" si="35"/>
        <v>ManyPrimates</v>
      </c>
      <c r="H93" t="str">
        <f t="shared" si="48"/>
      </c>
      <c r="I93" t="str">
        <f t="shared" si="36"/>
        <v>2022</v>
      </c>
      <c r="J93" t="str">
        <f t="shared" si="38"/>
        <v>10.26451/abc.09.04.06.2022</v>
      </c>
      <c r="K93" t="str">
        <f t="shared" si="39"/>
        <v>ManyPrimates__2022_data/speciespredictors.xlsx</v>
      </c>
      <c r="L93" t="str">
        <f t="shared" si="40"/>
        <v>10.26451%2Fabc.09.04.06.2022_data%2Fspeciespredictors.xlsx</v>
      </c>
      <c r="M93" t="str">
        <f t="array" ref="M93">IFERROR(INDEX(FileList!$A$1:$A$100, MATCH(L93, _xlfn.TEXTBEFORE(FileList!$A$1:$A$100, ".tsv"), 0)), "notfound")</f>
        <v>notfound</v>
      </c>
      <c r="P93" s="2" t="s">
        <v>462</v>
      </c>
      <c r="Q93" s="2" t="s">
        <v>163</v>
      </c>
      <c r="T93" s="2" t="str">
        <f>IF(S93="N", R93, "write file name")</f>
        <v>write file name</v>
      </c>
      <c r="U93" s="2" t="s">
        <v>146</v>
      </c>
      <c r="V93" s="2" t="s">
        <v>39</v>
      </c>
      <c r="W93" s="2" t="s">
        <v>147</v>
      </c>
      <c r="X93" s="2" t="s">
        <v>463</v>
      </c>
      <c r="Y93" s="2" t="s">
        <v>464</v>
      </c>
      <c r="Z93" s="2" t="s">
        <v>103</v>
      </c>
      <c r="AD93" s="2" t="s">
        <v>465</v>
      </c>
      <c r="AF93" s="2" t="s">
        <v>141</v>
      </c>
      <c r="AJ93" s="2" t="s">
        <v>86</v>
      </c>
      <c r="AK93" s="2" t="s">
        <v>53</v>
      </c>
      <c r="AL93" s="2" t="s">
        <v>466</v>
      </c>
    </row>
    <row r="94">
      <c r="A94" s="2" t="s">
        <v>467</v>
      </c>
      <c r="B94" s="2" t="s">
        <v>599</v>
      </c>
      <c r="D94" s="2" t="s">
        <v>117</v>
      </c>
      <c r="E94" t="str">
        <f t="shared" si="33"/>
        <v>2</v>
      </c>
      <c r="F94" t="str">
        <f t="shared" si="34"/>
        <v>Matano_etal_1985_a</v>
      </c>
      <c r="G94" t="str">
        <f t="shared" si="35"/>
        <v>Matano</v>
      </c>
      <c r="H94" t="str">
        <f t="shared" si="48"/>
        <v>etal</v>
      </c>
      <c r="I94" t="str">
        <f t="shared" si="36"/>
        <v>1985</v>
      </c>
      <c r="J94" t="str">
        <f t="shared" si="38"/>
        <v>10.1159/000156212</v>
      </c>
      <c r="K94" t="str">
        <f t="shared" si="39"/>
        <v>Matano_etal_1985_a_Table1</v>
      </c>
      <c r="L94" t="str">
        <f t="shared" si="40"/>
        <v>10.1159%2F000156212_Table1</v>
      </c>
      <c r="M94" t="str">
        <f t="array" ref="M94">IFERROR(INDEX(FileList!$A$1:$A$100, MATCH(L94, _xlfn.TEXTBEFORE(FileList!$A$1:$A$100, ".tsv"), 0)), "notfound")</f>
        <v>10.1159%2F000156212_Table1.tsv</v>
      </c>
      <c r="N94" s="2" t="s">
        <v>468</v>
      </c>
      <c r="V94" s="2" t="s">
        <v>39</v>
      </c>
      <c r="Y94" s="2" t="s">
        <v>469</v>
      </c>
      <c r="Z94" s="2" t="s">
        <v>53</v>
      </c>
      <c r="AA94" s="2" t="s">
        <v>72</v>
      </c>
      <c r="AB94" s="2" t="s">
        <v>84</v>
      </c>
      <c r="AC94" s="2" t="s">
        <v>72</v>
      </c>
      <c r="AJ94" s="2" t="s">
        <v>73</v>
      </c>
      <c r="AK94" s="2" t="s">
        <v>53</v>
      </c>
      <c r="AL94" s="2" t="s">
        <v>63</v>
      </c>
    </row>
    <row r="95">
      <c r="A95" s="2" t="s">
        <v>601</v>
      </c>
      <c r="B95" s="2" t="s">
        <v>598</v>
      </c>
      <c r="D95" s="2" t="s">
        <v>117</v>
      </c>
      <c r="E95" t="str">
        <f t="shared" si="33"/>
        <v>1</v>
      </c>
      <c r="F95" t="str">
        <f t="shared" si="34"/>
        <v>Matano_etal_1985_b</v>
      </c>
      <c r="G95" t="str">
        <f t="shared" si="35"/>
        <v>Matano</v>
      </c>
      <c r="H95" t="str">
        <f t="shared" si="48"/>
        <v>etal</v>
      </c>
      <c r="I95" t="str">
        <f t="shared" si="36"/>
        <v>1985</v>
      </c>
      <c r="J95" t="str">
        <f t="shared" si="38"/>
        <v>10.1159/000156211</v>
      </c>
      <c r="K95" t="str">
        <f t="shared" si="39"/>
        <v>Matano_etal_1985_b_Table1</v>
      </c>
      <c r="L95" t="str">
        <f t="shared" si="40"/>
        <v>10.1159%2F000156211_Table1</v>
      </c>
      <c r="M95" t="str">
        <f t="array" ref="M95">IFERROR(INDEX(FileList!$A$1:$A$100, MATCH(L95, _xlfn.TEXTBEFORE(FileList!$A$1:$A$100, ".tsv"), 0)), "notfound")</f>
        <v>10.1159%2F000156211_Table1.tsv</v>
      </c>
      <c r="AA95" s="2" t="s">
        <v>72</v>
      </c>
      <c r="AC95" s="2" t="s">
        <v>72</v>
      </c>
    </row>
    <row r="96">
      <c r="A96" s="2" t="s">
        <v>470</v>
      </c>
      <c r="D96" s="2" t="s">
        <v>245</v>
      </c>
      <c r="E96" t="str">
        <f t="shared" si="33"/>
        <v>1</v>
      </c>
      <c r="F96" t="str">
        <f t="shared" si="34"/>
        <v>Mota_etal_2015</v>
      </c>
      <c r="G96" t="str">
        <f t="shared" si="35"/>
        <v>Mota</v>
      </c>
      <c r="H96" t="str">
        <f t="shared" si="48"/>
        <v>etal</v>
      </c>
      <c r="I96" t="str">
        <f t="shared" si="36"/>
        <v>2015</v>
      </c>
      <c r="J96" t="str">
        <f t="shared" si="38"/>
        <v>10.1126/science.aaa9101</v>
      </c>
      <c r="K96" t="str">
        <f t="shared" si="39"/>
        <v>Mota_etal_2015_TableS1</v>
      </c>
      <c r="L96" t="str">
        <f t="shared" si="40"/>
        <v>10.1126%2Fscience.aaa9101_TableS1</v>
      </c>
      <c r="M96" t="str">
        <f t="array" ref="M96">IFERROR(INDEX(FileList!$A$1:$A$100, MATCH(L96, _xlfn.TEXTBEFORE(FileList!$A$1:$A$100, ".tsv"), 0)), "notfound")</f>
        <v>10.1126%2Fscience.aaa9101_TableS1.tsv</v>
      </c>
      <c r="Q96" s="2" t="s">
        <v>97</v>
      </c>
      <c r="Y96" s="2" t="s">
        <v>471</v>
      </c>
      <c r="AJ96" s="2" t="s">
        <v>106</v>
      </c>
      <c r="AK96" s="2" t="s">
        <v>321</v>
      </c>
      <c r="AL96" s="2" t="s">
        <v>471</v>
      </c>
    </row>
    <row r="97">
      <c r="A97" s="2" t="s">
        <v>472</v>
      </c>
      <c r="D97" s="2" t="s">
        <v>473</v>
      </c>
      <c r="E97" t="str">
        <f t="shared" si="33"/>
        <v>6</v>
      </c>
      <c r="F97" t="str">
        <f t="shared" si="34"/>
        <v>Mota_etal_2019</v>
      </c>
      <c r="G97" t="str">
        <f t="shared" si="35"/>
        <v>Mota</v>
      </c>
      <c r="H97" t="str">
        <f t="shared" si="48"/>
        <v>etal</v>
      </c>
      <c r="I97" t="str">
        <f t="shared" si="36"/>
        <v>2019</v>
      </c>
      <c r="J97" t="str">
        <f t="shared" si="38"/>
        <v>10.1073/pnas.1716956116</v>
      </c>
      <c r="K97" t="str">
        <f t="shared" si="39"/>
        <v>Mota_etal_2019_SupplementaryTableS1</v>
      </c>
      <c r="L97" t="str">
        <f t="shared" si="40"/>
        <v>10.1073%2Fpnas.1716956116_SupplementaryTableS1</v>
      </c>
      <c r="M97" t="str">
        <f t="array" ref="M97">IFERROR(INDEX(FileList!$A$1:$A$100, MATCH(L97, _xlfn.TEXTBEFORE(FileList!$A$1:$A$100, ".tsv"), 0)), "notfound")</f>
        <v>notfound</v>
      </c>
      <c r="N97" s="2" t="s">
        <v>474</v>
      </c>
      <c r="P97" s="2" t="s">
        <v>295</v>
      </c>
      <c r="Y97" s="2" t="s">
        <v>475</v>
      </c>
      <c r="AD97" s="2" t="s">
        <v>476</v>
      </c>
      <c r="AJ97" s="2" t="s">
        <v>106</v>
      </c>
      <c r="AK97" s="2" t="s">
        <v>321</v>
      </c>
      <c r="AL97" s="2" t="s">
        <v>477</v>
      </c>
    </row>
    <row r="98">
      <c r="A98" s="2" t="s">
        <v>478</v>
      </c>
      <c r="C98" s="2" t="s">
        <v>479</v>
      </c>
      <c r="D98" s="2" t="s">
        <v>480</v>
      </c>
      <c r="E98" t="str">
        <f t="shared" si="33"/>
        <v>5</v>
      </c>
      <c r="F98" t="str">
        <f t="shared" si="34"/>
        <v>Powell_etal_2017</v>
      </c>
      <c r="G98" t="str">
        <f t="shared" si="35"/>
        <v>Powell</v>
      </c>
      <c r="H98" t="str">
        <f t="shared" si="48"/>
        <v>etal</v>
      </c>
      <c r="I98" t="str">
        <f t="shared" si="36"/>
        <v>2017</v>
      </c>
      <c r="J98" t="str">
        <f t="shared" si="38"/>
        <v>10.6084/m9.figshare.c.3899422.v1</v>
      </c>
      <c r="K98" t="str">
        <f t="shared" si="39"/>
        <v>Powell_etal_2017_Dataset1</v>
      </c>
      <c r="L98" t="str">
        <f t="shared" si="40"/>
        <v>10.6084%2Fm9.figshare.c.3899422.v1_Dataset1</v>
      </c>
      <c r="M98" t="str">
        <f t="array" ref="M98">IFERROR(INDEX(FileList!$A$1:$A$100, MATCH(L98, _xlfn.TEXTBEFORE(FileList!$A$1:$A$100, ".tsv"), 0)), "notfound")</f>
        <v>10.6084%2Fm9.figshare.c.3899422.v1_Dataset1.tsv</v>
      </c>
      <c r="P98" s="2" t="s">
        <v>295</v>
      </c>
      <c r="Q98" s="2" t="s">
        <v>163</v>
      </c>
      <c r="T98" s="2" t="str">
        <f>IF(S98="N", R98, "write file name")</f>
        <v>write file name</v>
      </c>
      <c r="U98" s="2" t="s">
        <v>146</v>
      </c>
      <c r="V98" s="2" t="s">
        <v>39</v>
      </c>
      <c r="W98" s="2" t="s">
        <v>147</v>
      </c>
      <c r="X98" s="2" t="s">
        <v>481</v>
      </c>
      <c r="Y98" s="2" t="s">
        <v>482</v>
      </c>
      <c r="Z98" s="2" t="s">
        <v>103</v>
      </c>
      <c r="AD98" s="2" t="s">
        <v>102</v>
      </c>
      <c r="AF98" s="2" t="s">
        <v>141</v>
      </c>
      <c r="AJ98" s="2" t="s">
        <v>86</v>
      </c>
      <c r="AK98" s="2" t="s">
        <v>103</v>
      </c>
      <c r="AL98" s="2" t="s">
        <v>482</v>
      </c>
    </row>
    <row r="99">
      <c r="A99" s="2" t="s">
        <v>483</v>
      </c>
      <c r="E99" t="str">
        <f t="shared" ref="E99:E121" si="49">RIGHT(A99,1)</f>
        <v>L</v>
      </c>
      <c r="F99" t="str">
        <f t="shared" ref="F99:F121" si="50">G99 &amp; IF(H99&lt;&gt;"", "_" &amp; H99, "_") &amp; IF(I99&lt;&gt;"", "_" &amp; I99, "_") &amp; IF(B99&lt;&gt;"", "_" &amp; B99, "")</f>
        <v>Semendeferi_etal_1998</v>
      </c>
      <c r="G99" t="str">
        <f t="shared" ref="G99:G121" si="51">SUBSTITUTE(SUBSTITUTE(_xlfn.TEXTBEFORE(A99,","), "-", ""), " ", "")</f>
        <v>Semendeferi</v>
      </c>
      <c r="H99" t="str">
        <f t="shared" si="48"/>
        <v>etal</v>
      </c>
      <c r="I99" t="str">
        <f t="shared" ref="I99:I121" si="52">_xlfn.TEXTBEFORE(_xlfn.TEXTAFTER(A99, "("), ")")</f>
        <v>1998</v>
      </c>
      <c r="J99" t="str">
        <f t="shared" si="38"/>
        <v>10.1002/(SICI)1096-8644(199806)106:2&lt;129::AID-AJPA3&gt;3.0.CO;2-L</v>
      </c>
      <c r="K99" t="str">
        <f t="shared" si="39"/>
        <v>Semendeferi_etal_1998_</v>
      </c>
      <c r="L99" t="str">
        <f t="shared" si="40"/>
        <v>10.1002%2F(SICI)1096-8644(199806)106%3A2&lt;129%3A%3AAID-AJPA3&gt;3.0.CO;2-L_</v>
      </c>
      <c r="M99" t="str">
        <f t="array" ref="M99">IFERROR(INDEX(FileList!$A$1:$A$100, MATCH(L99, _xlfn.TEXTBEFORE(FileList!$A$1:$A$100, ".tsv"), 0)), "notfound")</f>
        <v>notfound</v>
      </c>
      <c r="Y99" s="2" t="s">
        <v>484</v>
      </c>
      <c r="Z99" s="2" t="s">
        <v>53</v>
      </c>
      <c r="AA99" s="2" t="s">
        <v>562</v>
      </c>
      <c r="AJ99" s="2" t="s">
        <v>62</v>
      </c>
      <c r="AK99" s="2" t="s">
        <v>53</v>
      </c>
      <c r="AL99" s="2" t="s">
        <v>63</v>
      </c>
    </row>
    <row r="100">
      <c r="A100" s="2" t="s">
        <v>485</v>
      </c>
      <c r="E100" t="str">
        <f t="shared" si="49"/>
        <v>I</v>
      </c>
      <c r="F100" t="str">
        <f t="shared" si="50"/>
        <v>Semendeferi_etal_2001</v>
      </c>
      <c r="G100" t="str">
        <f t="shared" si="51"/>
        <v>Semendeferi</v>
      </c>
      <c r="H100" t="str">
        <f t="shared" si="48"/>
        <v>etal</v>
      </c>
      <c r="I100" t="str">
        <f t="shared" si="52"/>
        <v>2001</v>
      </c>
      <c r="J100" t="str">
        <f t="shared" si="38"/>
        <v>10.1002/1096-8644(200103)114:3&lt;224::AID-AJPA1022&gt;3.0.CO;2-I</v>
      </c>
      <c r="K100" t="str">
        <f t="shared" si="39"/>
        <v>Semendeferi_etal_2001_</v>
      </c>
      <c r="L100" t="str">
        <f t="shared" si="40"/>
        <v>10.1002%2F1096-8644(200103)114%3A3&lt;224%3A%3AAID-AJPA1022&gt;3.0.CO;2-I_</v>
      </c>
      <c r="M100" t="str">
        <f t="array" ref="M100">IFERROR(INDEX(FileList!$A$1:$A$100, MATCH(L100, _xlfn.TEXTBEFORE(FileList!$A$1:$A$100, ".tsv"), 0)), "notfound")</f>
        <v>notfound</v>
      </c>
      <c r="Y100" s="2" t="s">
        <v>486</v>
      </c>
      <c r="Z100" s="2" t="s">
        <v>53</v>
      </c>
      <c r="AA100" s="2" t="s">
        <v>562</v>
      </c>
      <c r="AJ100" s="2" t="s">
        <v>62</v>
      </c>
      <c r="AK100" s="2" t="s">
        <v>53</v>
      </c>
      <c r="AL100" s="2" t="s">
        <v>63</v>
      </c>
    </row>
    <row r="101">
      <c r="A101" s="2" t="s">
        <v>487</v>
      </c>
      <c r="E101" t="str">
        <f t="shared" si="49"/>
        <v>4</v>
      </c>
      <c r="F101" t="str">
        <f t="shared" si="50"/>
        <v>Semendeferi_etal_2002</v>
      </c>
      <c r="G101" t="str">
        <f t="shared" si="51"/>
        <v>Semendeferi</v>
      </c>
      <c r="H101" t="str">
        <f t="shared" si="48"/>
        <v>etal</v>
      </c>
      <c r="I101" t="str">
        <f t="shared" si="52"/>
        <v>2002</v>
      </c>
      <c r="J101" t="str">
        <f t="shared" si="38"/>
        <v>10.1038/nn814</v>
      </c>
      <c r="K101" t="str">
        <f t="shared" si="39"/>
        <v>Semendeferi_etal_2002_</v>
      </c>
      <c r="L101" t="str">
        <f t="shared" si="40"/>
        <v>10.1038%2Fnn814_</v>
      </c>
      <c r="M101" t="str">
        <f t="array" ref="M101">IFERROR(INDEX(FileList!$A$1:$A$100, MATCH(L101, _xlfn.TEXTBEFORE(FileList!$A$1:$A$100, ".tsv"), 0)), "notfound")</f>
        <v>notfound</v>
      </c>
      <c r="Y101" s="2" t="s">
        <v>488</v>
      </c>
      <c r="Z101" s="2" t="s">
        <v>53</v>
      </c>
      <c r="AA101" s="2" t="s">
        <v>562</v>
      </c>
      <c r="AJ101" s="2" t="s">
        <v>62</v>
      </c>
      <c r="AK101" s="2" t="s">
        <v>53</v>
      </c>
      <c r="AL101" s="2" t="s">
        <v>63</v>
      </c>
    </row>
    <row r="102">
      <c r="A102" s="2" t="s">
        <v>489</v>
      </c>
      <c r="D102" s="2" t="s">
        <v>117</v>
      </c>
      <c r="E102" t="str">
        <f t="shared" si="49"/>
        <v>3</v>
      </c>
      <c r="F102" t="str">
        <f t="shared" si="50"/>
        <v>Sherwood_etal_2005</v>
      </c>
      <c r="G102" t="str">
        <f t="shared" si="51"/>
        <v>Sherwood</v>
      </c>
      <c r="H102" t="str">
        <f t="shared" si="48"/>
        <v>etal</v>
      </c>
      <c r="I102" t="str">
        <f t="shared" si="52"/>
        <v>2005</v>
      </c>
      <c r="J102" t="str">
        <f t="shared" si="38"/>
        <v>10.1016/j.jhevol.2004.10.003</v>
      </c>
      <c r="K102" t="str">
        <f t="shared" si="39"/>
        <v>Sherwood_etal_2005_Table1</v>
      </c>
      <c r="L102" t="str">
        <f t="shared" si="40"/>
        <v>10.1016%2Fj.jhevol.2004.10.003_Table1</v>
      </c>
      <c r="M102" t="str">
        <f t="array" ref="M102">IFERROR(INDEX(FileList!$A$1:$A$100, MATCH(L102, _xlfn.TEXTBEFORE(FileList!$A$1:$A$100, ".tsv"), 0)), "notfound")</f>
        <v>notfound</v>
      </c>
      <c r="N102" s="2" t="s">
        <v>490</v>
      </c>
      <c r="V102" s="2" t="s">
        <v>39</v>
      </c>
      <c r="Y102" s="2" t="s">
        <v>491</v>
      </c>
      <c r="Z102" s="2" t="s">
        <v>53</v>
      </c>
      <c r="AA102" s="2" t="s">
        <v>72</v>
      </c>
      <c r="AB102" s="2" t="s">
        <v>84</v>
      </c>
      <c r="AC102" s="2" t="s">
        <v>607</v>
      </c>
      <c r="AJ102" s="2" t="s">
        <v>116</v>
      </c>
      <c r="AK102" s="2" t="s">
        <v>53</v>
      </c>
      <c r="AL102" s="2" t="s">
        <v>63</v>
      </c>
    </row>
    <row r="103">
      <c r="A103" s="2" t="s">
        <v>492</v>
      </c>
      <c r="B103" s="2" t="s">
        <v>493</v>
      </c>
      <c r="D103" s="2" t="s">
        <v>38</v>
      </c>
      <c r="E103" t="str">
        <f t="shared" si="49"/>
        <v>2</v>
      </c>
      <c r="F103" t="str">
        <f t="shared" si="50"/>
        <v>Sherwood_etal_2004_I</v>
      </c>
      <c r="G103" t="str">
        <f t="shared" si="51"/>
        <v>Sherwood</v>
      </c>
      <c r="H103" t="str">
        <f t="shared" si="48"/>
        <v>etal</v>
      </c>
      <c r="I103" t="str">
        <f t="shared" si="52"/>
        <v>2004</v>
      </c>
      <c r="J103" t="str">
        <f t="shared" si="38"/>
        <v>10.1159/000075672</v>
      </c>
      <c r="K103" t="str">
        <f t="shared" si="39"/>
        <v>Sherwood_etal_2004_I_Table4</v>
      </c>
      <c r="L103" t="str">
        <f t="shared" si="40"/>
        <v>10.1159%2F000075672_Table4</v>
      </c>
      <c r="M103" t="str">
        <f t="array" ref="M103">IFERROR(INDEX(FileList!$A$1:$A$100, MATCH(L103, _xlfn.TEXTBEFORE(FileList!$A$1:$A$100, ".tsv"), 0)), "notfound")</f>
        <v>notfound</v>
      </c>
      <c r="N103" s="2" t="s">
        <v>494</v>
      </c>
      <c r="P103" s="2" t="s">
        <v>462</v>
      </c>
      <c r="Q103" s="2" t="s">
        <v>163</v>
      </c>
      <c r="T103" s="2" t="str">
        <f>IF(S103="N", R103, "write file name")</f>
        <v>write file name</v>
      </c>
      <c r="U103" s="2" t="s">
        <v>49</v>
      </c>
      <c r="V103" s="2" t="s">
        <v>495</v>
      </c>
      <c r="Y103" s="2" t="s">
        <v>496</v>
      </c>
      <c r="Z103" s="2" t="s">
        <v>53</v>
      </c>
      <c r="AB103" s="2" t="s">
        <v>562</v>
      </c>
      <c r="AF103" s="2" t="s">
        <v>141</v>
      </c>
      <c r="AJ103" s="2" t="s">
        <v>86</v>
      </c>
      <c r="AK103" s="2" t="s">
        <v>53</v>
      </c>
      <c r="AL103" s="2" t="s">
        <v>497</v>
      </c>
    </row>
    <row r="104">
      <c r="A104" s="2" t="s">
        <v>492</v>
      </c>
      <c r="B104" s="2" t="s">
        <v>493</v>
      </c>
      <c r="D104" s="2" t="s">
        <v>354</v>
      </c>
      <c r="E104" t="str">
        <f t="shared" si="49"/>
        <v>2</v>
      </c>
      <c r="F104" t="str">
        <f t="shared" si="50"/>
        <v>Sherwood_etal_2004_I</v>
      </c>
      <c r="G104" t="str">
        <f t="shared" si="51"/>
        <v>Sherwood</v>
      </c>
      <c r="H104" t="str">
        <f t="shared" si="48"/>
        <v>etal</v>
      </c>
      <c r="I104" t="str">
        <f t="shared" si="52"/>
        <v>2004</v>
      </c>
      <c r="J104" t="str">
        <f t="shared" si="38"/>
        <v>10.1159/000075672</v>
      </c>
      <c r="K104" t="str">
        <f t="shared" si="39"/>
        <v>Sherwood_etal_2004_I_Table5</v>
      </c>
      <c r="L104" t="str">
        <f t="shared" si="40"/>
        <v>10.1159%2F000075672_Table5</v>
      </c>
      <c r="M104" t="str">
        <f t="array" ref="M104">IFERROR(INDEX(FileList!$A$1:$A$100, MATCH(L104, _xlfn.TEXTBEFORE(FileList!$A$1:$A$100, ".tsv"), 0)), "notfound")</f>
        <v>notfound</v>
      </c>
      <c r="N104" s="2" t="s">
        <v>498</v>
      </c>
      <c r="P104" s="2" t="s">
        <v>462</v>
      </c>
      <c r="Q104" s="2" t="s">
        <v>163</v>
      </c>
      <c r="T104" s="2" t="str">
        <f>IF(S104="N", R104, "write file name")</f>
        <v>write file name</v>
      </c>
      <c r="U104" s="2" t="s">
        <v>49</v>
      </c>
      <c r="V104" s="2" t="s">
        <v>495</v>
      </c>
      <c r="Y104" s="2" t="s">
        <v>496</v>
      </c>
      <c r="Z104" s="2" t="s">
        <v>53</v>
      </c>
      <c r="AB104" s="2" t="s">
        <v>562</v>
      </c>
      <c r="AF104" s="2" t="s">
        <v>141</v>
      </c>
      <c r="AJ104" s="2" t="s">
        <v>86</v>
      </c>
      <c r="AK104" s="2" t="s">
        <v>53</v>
      </c>
      <c r="AL104" s="2" t="s">
        <v>497</v>
      </c>
    </row>
    <row r="105">
      <c r="A105" s="2" t="s">
        <v>499</v>
      </c>
      <c r="C105" s="2" t="s">
        <v>500</v>
      </c>
      <c r="D105" s="2" t="s">
        <v>501</v>
      </c>
      <c r="E105" t="str">
        <f t="shared" si="49"/>
        <v>9</v>
      </c>
      <c r="F105" t="str">
        <f t="shared" si="50"/>
        <v>Smaers_etal_2013</v>
      </c>
      <c r="G105" t="str">
        <f t="shared" si="51"/>
        <v>Smaers</v>
      </c>
      <c r="H105" t="str">
        <f t="shared" si="48"/>
        <v>etal</v>
      </c>
      <c r="I105" t="str">
        <f t="shared" si="52"/>
        <v>2013</v>
      </c>
      <c r="J105" t="str">
        <f t="shared" ref="J105:J121" si="53">IF(C105&lt;&gt;"", C105, IF(C105="", _xlfn.TEXTAFTER(A105,"https://doi.org/"), C105))</f>
        <v>10.1098/rspb.2013.0269</v>
      </c>
      <c r="K105" t="str">
        <f t="shared" ref="K105:K121" si="54">TRIM(_xlfn.TEXTJOIN("_",FALSE,F105,(SUBSTITUTE(SUBSTITUTE(D105," ",""), "_", ""))))</f>
        <v>Smaers_etal_2013_Supplement</v>
      </c>
      <c r="L105" t="str">
        <f t="shared" ref="L105:L121" si="55">IF(ISBLANK(C105),TRIM(SUBSTITUTE(SUBSTITUTE(SUBSTITUTE(_xlfn.TEXTJOIN("_", FALSE, J105, SUBSTITUTE(D105,"_", "")), "/", "%2F"), ":", "%3A"), " ", "")),TRIM(SUBSTITUTE(SUBSTITUTE(SUBSTITUTE(_xlfn.TEXTJOIN("_", FALSE, C105, SUBSTITUTE(D105,"_", "")), "/", "%2F"), ":", "%3A"), " ", "")))</f>
        <v>10.1098%2Frspb.2013.0269_Supplement</v>
      </c>
      <c r="M105" t="str">
        <f t="array" ref="M105">IFERROR(INDEX(FileList!$A$1:$A$100, MATCH(L105, _xlfn.TEXTBEFORE(FileList!$A$1:$A$100, ".tsv"), 0)), "notfound")</f>
        <v>notfound</v>
      </c>
      <c r="N105" s="2" t="s">
        <v>502</v>
      </c>
      <c r="Y105" s="2" t="s">
        <v>503</v>
      </c>
      <c r="AJ105" s="2" t="s">
        <v>504</v>
      </c>
      <c r="AK105" s="2" t="s">
        <v>321</v>
      </c>
      <c r="AL105" s="2" t="s">
        <v>63</v>
      </c>
    </row>
    <row r="106">
      <c r="A106" s="2" t="s">
        <v>505</v>
      </c>
      <c r="D106" s="2" t="s">
        <v>117</v>
      </c>
      <c r="E106" t="str">
        <f t="shared" si="49"/>
        <v>0</v>
      </c>
      <c r="F106" t="str">
        <f t="shared" si="50"/>
        <v>Smaers_etal_2017</v>
      </c>
      <c r="G106" t="str">
        <f t="shared" si="51"/>
        <v>Smaers</v>
      </c>
      <c r="H106" t="str">
        <f t="shared" si="48"/>
        <v>etal</v>
      </c>
      <c r="I106" t="str">
        <f t="shared" si="52"/>
        <v>2017</v>
      </c>
      <c r="J106" t="str">
        <f t="shared" si="53"/>
        <v>10.1016/j.cub.2017.01.020</v>
      </c>
      <c r="K106" t="str">
        <f t="shared" si="54"/>
        <v>Smaers_etal_2017_Table1</v>
      </c>
      <c r="L106" t="str">
        <f t="shared" si="55"/>
        <v>10.1016%2Fj.cub.2017.01.020_Table1</v>
      </c>
      <c r="M106" t="str">
        <f t="array" ref="M106">IFERROR(INDEX(FileList!$A$1:$A$100, MATCH(L106, _xlfn.TEXTBEFORE(FileList!$A$1:$A$100, ".tsv"), 0)), "notfound")</f>
        <v>notfound</v>
      </c>
      <c r="N106" s="2" t="s">
        <v>506</v>
      </c>
      <c r="V106" s="2" t="s">
        <v>39</v>
      </c>
      <c r="Y106" s="2" t="s">
        <v>507</v>
      </c>
      <c r="Z106" s="2" t="s">
        <v>613</v>
      </c>
      <c r="AA106" s="2" t="s">
        <v>614</v>
      </c>
      <c r="AC106" s="2" t="s">
        <v>607</v>
      </c>
      <c r="AG106" s="2" t="s">
        <v>615</v>
      </c>
      <c r="AJ106" s="2" t="s">
        <v>86</v>
      </c>
      <c r="AK106" s="2" t="s">
        <v>321</v>
      </c>
      <c r="AL106" s="2" t="s">
        <v>63</v>
      </c>
    </row>
    <row r="107">
      <c r="A107" s="2" t="s">
        <v>508</v>
      </c>
      <c r="D107" s="2" t="s">
        <v>509</v>
      </c>
      <c r="E107" t="str">
        <f t="shared" si="49"/>
        <v>1</v>
      </c>
      <c r="F107" t="str">
        <f t="shared" si="50"/>
        <v>Smaers_etal_2011</v>
      </c>
      <c r="G107" t="str">
        <f t="shared" si="51"/>
        <v>Smaers</v>
      </c>
      <c r="H107" t="str">
        <f t="shared" si="48"/>
        <v>etal</v>
      </c>
      <c r="I107" t="str">
        <f t="shared" si="52"/>
        <v>2011</v>
      </c>
      <c r="J107" t="str">
        <f t="shared" si="53"/>
        <v>10.1159/000323671</v>
      </c>
      <c r="K107" t="str">
        <f t="shared" si="54"/>
        <v>Smaers_etal_2011_SupplementaryTable1</v>
      </c>
      <c r="L107" t="str">
        <f t="shared" si="55"/>
        <v>10.1159%2F000323671_SupplementaryTable1</v>
      </c>
      <c r="M107" t="str">
        <f t="array" ref="M107">IFERROR(INDEX(FileList!$A$1:$A$100, MATCH(L107, _xlfn.TEXTBEFORE(FileList!$A$1:$A$100, ".tsv"), 0)), "notfound")</f>
        <v>10.1159%2F000323671_SupplementaryTable1.tsv</v>
      </c>
      <c r="Q107" s="2" t="s">
        <v>97</v>
      </c>
      <c r="Y107" s="2" t="s">
        <v>510</v>
      </c>
      <c r="AC107" s="2" t="s">
        <v>607</v>
      </c>
      <c r="AJ107" s="2" t="s">
        <v>86</v>
      </c>
      <c r="AK107" s="2" t="s">
        <v>321</v>
      </c>
      <c r="AL107" s="2" t="s">
        <v>63</v>
      </c>
    </row>
    <row r="108">
      <c r="A108" s="2" t="s">
        <v>508</v>
      </c>
      <c r="D108" s="2" t="s">
        <v>511</v>
      </c>
      <c r="E108" t="str">
        <f t="shared" si="49"/>
        <v>1</v>
      </c>
      <c r="F108" t="str">
        <f t="shared" si="50"/>
        <v>Smaers_etal_2011</v>
      </c>
      <c r="G108" t="str">
        <f t="shared" si="51"/>
        <v>Smaers</v>
      </c>
      <c r="H108" t="str">
        <f t="shared" si="48"/>
        <v>etal</v>
      </c>
      <c r="I108" t="str">
        <f t="shared" si="52"/>
        <v>2011</v>
      </c>
      <c r="J108" t="str">
        <f t="shared" si="53"/>
        <v>10.1159/000323671</v>
      </c>
      <c r="K108" t="str">
        <f t="shared" si="54"/>
        <v>Smaers_etal_2011_SupplementaryTable2</v>
      </c>
      <c r="L108" t="str">
        <f t="shared" si="55"/>
        <v>10.1159%2F000323671_SupplementaryTable2</v>
      </c>
      <c r="M108" t="str">
        <f t="array" ref="M108">IFERROR(INDEX(FileList!$A$1:$A$100, MATCH(L108, _xlfn.TEXTBEFORE(FileList!$A$1:$A$100, ".tsv"), 0)), "notfound")</f>
        <v>10.1159%2F000323671_SupplementaryTable2.tsv</v>
      </c>
      <c r="Q108" s="2" t="s">
        <v>97</v>
      </c>
      <c r="Y108" s="2" t="s">
        <v>510</v>
      </c>
      <c r="AC108" s="2" t="s">
        <v>607</v>
      </c>
      <c r="AJ108" s="2" t="s">
        <v>86</v>
      </c>
      <c r="AK108" s="2" t="s">
        <v>321</v>
      </c>
      <c r="AL108" s="2" t="s">
        <v>63</v>
      </c>
    </row>
    <row r="109">
      <c r="A109" s="2" t="s">
        <v>512</v>
      </c>
      <c r="C109" s="2" t="s">
        <v>513</v>
      </c>
      <c r="D109" s="2" t="s">
        <v>514</v>
      </c>
      <c r="E109" t="str">
        <f t="shared" si="49"/>
        <v>6</v>
      </c>
      <c r="F109" t="str">
        <f t="shared" si="50"/>
        <v>Smaers_etal_2018</v>
      </c>
      <c r="G109" t="str">
        <f t="shared" si="51"/>
        <v>Smaers</v>
      </c>
      <c r="H109" t="str">
        <f t="shared" si="48"/>
        <v>etal</v>
      </c>
      <c r="I109" t="str">
        <f t="shared" si="52"/>
        <v>2018</v>
      </c>
      <c r="J109" t="str">
        <f t="shared" si="53"/>
        <v>10.7554/eLife.35696</v>
      </c>
      <c r="K109" t="str">
        <f t="shared" si="54"/>
        <v>Smaers_etal_2018_Figure2-data1</v>
      </c>
      <c r="L109" t="str">
        <f t="shared" si="55"/>
        <v>10.7554%2FeLife.35696_Figure2-data1</v>
      </c>
      <c r="M109" t="str">
        <f t="array" ref="M109">IFERROR(INDEX(FileList!$A$1:$A$100, MATCH(L109, _xlfn.TEXTBEFORE(FileList!$A$1:$A$100, ".tsv"), 0)), "notfound")</f>
        <v>notfound</v>
      </c>
      <c r="N109" s="2" t="s">
        <v>515</v>
      </c>
      <c r="Y109" s="2" t="s">
        <v>516</v>
      </c>
      <c r="AC109" s="2" t="s">
        <v>607</v>
      </c>
      <c r="AJ109" s="2" t="s">
        <v>106</v>
      </c>
      <c r="AK109" s="2" t="s">
        <v>321</v>
      </c>
      <c r="AL109" s="2" t="s">
        <v>63</v>
      </c>
    </row>
    <row r="110">
      <c r="A110" s="2" t="s">
        <v>517</v>
      </c>
      <c r="C110" s="2" t="s">
        <v>518</v>
      </c>
      <c r="D110" s="2" t="s">
        <v>117</v>
      </c>
      <c r="E110" t="str">
        <f t="shared" si="49"/>
        <v>3</v>
      </c>
      <c r="F110" t="str">
        <f t="shared" si="50"/>
        <v>Stephan_etal_1982</v>
      </c>
      <c r="G110" t="str">
        <f t="shared" si="51"/>
        <v>Stephan</v>
      </c>
      <c r="H110" t="str">
        <f t="shared" si="48"/>
        <v>etal</v>
      </c>
      <c r="I110" t="str">
        <f t="shared" si="52"/>
        <v>1982</v>
      </c>
      <c r="J110" t="str">
        <f t="shared" si="53"/>
        <v>PMID:7161483</v>
      </c>
      <c r="K110" t="str">
        <f t="shared" si="54"/>
        <v>Stephan_etal_1982_Table1</v>
      </c>
      <c r="L110" t="str">
        <f t="shared" si="55"/>
        <v>PMID%3A7161483_Table1</v>
      </c>
      <c r="M110" t="str">
        <f t="array" ref="M110">IFERROR(INDEX(FileList!$A$1:$A$100, MATCH(L110, _xlfn.TEXTBEFORE(FileList!$A$1:$A$100, ".tsv"), 0)), "notfound")</f>
        <v>PMID%3A7161483_Table1.tsv</v>
      </c>
      <c r="N110" s="2" t="s">
        <v>519</v>
      </c>
      <c r="V110" s="2" t="s">
        <v>39</v>
      </c>
      <c r="W110" s="2" t="s">
        <v>76</v>
      </c>
      <c r="Y110" s="2" t="s">
        <v>520</v>
      </c>
      <c r="Z110" s="2" t="s">
        <v>53</v>
      </c>
      <c r="AA110" s="2" t="s">
        <v>72</v>
      </c>
      <c r="AB110" s="2" t="s">
        <v>84</v>
      </c>
      <c r="AC110" s="2" t="s">
        <v>72</v>
      </c>
      <c r="AJ110" s="2" t="s">
        <v>73</v>
      </c>
      <c r="AK110" s="2" t="s">
        <v>53</v>
      </c>
      <c r="AL110" s="2" t="s">
        <v>63</v>
      </c>
    </row>
    <row r="111">
      <c r="A111" s="2" t="s">
        <v>521</v>
      </c>
      <c r="C111" s="2" t="s">
        <v>522</v>
      </c>
      <c r="D111" s="2" t="s">
        <v>117</v>
      </c>
      <c r="E111" t="str">
        <f t="shared" si="49"/>
        <v>4</v>
      </c>
      <c r="F111" t="str">
        <f t="shared" si="50"/>
        <v>Stephan_etal_1984</v>
      </c>
      <c r="G111" t="str">
        <f t="shared" si="51"/>
        <v>Stephan</v>
      </c>
      <c r="H111" t="str">
        <f t="shared" si="48"/>
        <v>etal</v>
      </c>
      <c r="I111" t="str">
        <f t="shared" si="52"/>
        <v>1984</v>
      </c>
      <c r="J111" t="str">
        <f t="shared" si="53"/>
        <v>PMID:6481154</v>
      </c>
      <c r="K111" t="str">
        <f t="shared" si="54"/>
        <v>Stephan_etal_1984_Table1</v>
      </c>
      <c r="L111" t="str">
        <f t="shared" si="55"/>
        <v>PMID%3A6481154_Table1</v>
      </c>
      <c r="M111" t="str">
        <f t="array" ref="M111">IFERROR(INDEX(FileList!$A$1:$A$100, MATCH(L111, _xlfn.TEXTBEFORE(FileList!$A$1:$A$100, ".tsv"), 0)), "notfound")</f>
        <v>PMID%3A6481154_Table1.tsv</v>
      </c>
      <c r="N111" s="2" t="s">
        <v>523</v>
      </c>
      <c r="V111" s="2" t="s">
        <v>39</v>
      </c>
      <c r="W111" s="2" t="s">
        <v>76</v>
      </c>
      <c r="Y111" s="2" t="s">
        <v>524</v>
      </c>
      <c r="Z111" s="2" t="s">
        <v>53</v>
      </c>
      <c r="AA111" s="2" t="s">
        <v>72</v>
      </c>
      <c r="AB111" s="2" t="s">
        <v>84</v>
      </c>
      <c r="AC111" s="2" t="s">
        <v>72</v>
      </c>
      <c r="AJ111" s="2" t="s">
        <v>73</v>
      </c>
      <c r="AK111" s="2" t="s">
        <v>53</v>
      </c>
      <c r="AL111" s="2" t="s">
        <v>63</v>
      </c>
    </row>
    <row r="112">
      <c r="A112" s="2" t="s">
        <v>525</v>
      </c>
      <c r="C112" s="2" t="s">
        <v>526</v>
      </c>
      <c r="D112" s="2" t="s">
        <v>117</v>
      </c>
      <c r="E112" t="str">
        <f t="shared" si="49"/>
        <v>5</v>
      </c>
      <c r="F112" t="str">
        <f t="shared" si="50"/>
        <v>Stephan_etal_1987</v>
      </c>
      <c r="G112" t="str">
        <f t="shared" si="51"/>
        <v>Stephan</v>
      </c>
      <c r="H112" t="str">
        <f t="shared" si="48"/>
        <v>etal</v>
      </c>
      <c r="I112" t="str">
        <f t="shared" si="52"/>
        <v>1987</v>
      </c>
      <c r="J112" t="str">
        <f t="shared" si="53"/>
        <v>PMID:3693895</v>
      </c>
      <c r="K112" t="str">
        <f t="shared" si="54"/>
        <v>Stephan_etal_1987_Table1</v>
      </c>
      <c r="L112" t="str">
        <f t="shared" si="55"/>
        <v>PMID%3A3693895_Table1</v>
      </c>
      <c r="M112" t="str">
        <f t="array" ref="M112">IFERROR(INDEX(FileList!$A$1:$A$100, MATCH(L112, _xlfn.TEXTBEFORE(FileList!$A$1:$A$100, ".tsv"), 0)), "notfound")</f>
        <v>PMID%3A3693895_Table1.tsv</v>
      </c>
      <c r="N112" s="2" t="s">
        <v>527</v>
      </c>
      <c r="V112" s="2" t="s">
        <v>39</v>
      </c>
      <c r="W112" s="2" t="s">
        <v>76</v>
      </c>
      <c r="Y112" s="2" t="s">
        <v>528</v>
      </c>
      <c r="Z112" s="2" t="s">
        <v>53</v>
      </c>
      <c r="AA112" s="2" t="s">
        <v>72</v>
      </c>
      <c r="AB112" s="2" t="s">
        <v>84</v>
      </c>
      <c r="AC112" s="2" t="s">
        <v>72</v>
      </c>
      <c r="AJ112" s="2" t="s">
        <v>73</v>
      </c>
      <c r="AK112" s="2" t="s">
        <v>53</v>
      </c>
      <c r="AL112" s="2" t="s">
        <v>63</v>
      </c>
    </row>
    <row r="113">
      <c r="A113" s="2" t="s">
        <v>529</v>
      </c>
      <c r="D113" s="2" t="s">
        <v>117</v>
      </c>
      <c r="E113" t="str">
        <f t="shared" si="49"/>
        <v>3</v>
      </c>
      <c r="F113" t="str">
        <f t="shared" si="50"/>
        <v>Stephan_etal_1981</v>
      </c>
      <c r="G113" t="str">
        <f t="shared" si="51"/>
        <v>Stephan</v>
      </c>
      <c r="H113" t="str">
        <f t="shared" si="48"/>
        <v>etal</v>
      </c>
      <c r="I113" t="str">
        <f t="shared" si="52"/>
        <v>1981</v>
      </c>
      <c r="J113" t="str">
        <f t="shared" si="53"/>
        <v>10.1159/000155963</v>
      </c>
      <c r="K113" t="str">
        <f t="shared" si="54"/>
        <v>Stephan_etal_1981_Table1</v>
      </c>
      <c r="L113" t="str">
        <f t="shared" si="55"/>
        <v>10.1159%2F000155963_Table1</v>
      </c>
      <c r="M113" t="str">
        <f t="array" ref="M113">IFERROR(INDEX(FileList!$A$1:$A$100, MATCH(L113, _xlfn.TEXTBEFORE(FileList!$A$1:$A$100, ".tsv"), 0)), "notfound")</f>
        <v>10.1159%2F000155963_Table1.tsv</v>
      </c>
      <c r="N113" s="2" t="s">
        <v>530</v>
      </c>
      <c r="V113" s="2" t="s">
        <v>39</v>
      </c>
      <c r="Y113" s="2" t="s">
        <v>531</v>
      </c>
      <c r="Z113" s="2" t="s">
        <v>53</v>
      </c>
      <c r="AA113" s="2" t="s">
        <v>72</v>
      </c>
      <c r="AB113" s="2" t="s">
        <v>84</v>
      </c>
      <c r="AC113" s="2" t="s">
        <v>72</v>
      </c>
      <c r="AJ113" s="2" t="s">
        <v>73</v>
      </c>
      <c r="AK113" s="2" t="s">
        <v>53</v>
      </c>
      <c r="AL113" s="2" t="s">
        <v>63</v>
      </c>
    </row>
    <row r="114">
      <c r="A114" s="2" t="s">
        <v>532</v>
      </c>
      <c r="D114" s="2" t="s">
        <v>117</v>
      </c>
      <c r="E114" t="str">
        <f t="shared" si="49"/>
        <v>2</v>
      </c>
      <c r="F114" t="str">
        <f t="shared" si="50"/>
        <v>Turner_etal_2016</v>
      </c>
      <c r="G114" t="str">
        <f t="shared" si="51"/>
        <v>Turner</v>
      </c>
      <c r="H114" t="str">
        <f t="shared" si="48"/>
        <v>etal</v>
      </c>
      <c r="I114" t="str">
        <f t="shared" si="52"/>
        <v>2016</v>
      </c>
      <c r="J114" t="str">
        <f t="shared" si="53"/>
        <v>10.1159/000446762</v>
      </c>
      <c r="K114" t="str">
        <f t="shared" si="54"/>
        <v>Turner_etal_2016_Table1</v>
      </c>
      <c r="L114" t="str">
        <f t="shared" si="55"/>
        <v>10.1159%2F000446762_Table1</v>
      </c>
      <c r="M114" t="str">
        <f t="array" ref="M114">IFERROR(INDEX(FileList!$A$1:$A$100, MATCH(L114, _xlfn.TEXTBEFORE(FileList!$A$1:$A$100, ".tsv"), 0)), "notfound")</f>
        <v>notfound</v>
      </c>
      <c r="N114" s="2" t="s">
        <v>533</v>
      </c>
      <c r="Y114" s="2" t="s">
        <v>534</v>
      </c>
      <c r="AJ114" s="2" t="s">
        <v>106</v>
      </c>
      <c r="AK114" s="2" t="s">
        <v>53</v>
      </c>
      <c r="AL114" s="2" t="s">
        <v>92</v>
      </c>
    </row>
    <row r="115">
      <c r="A115" s="2" t="s">
        <v>535</v>
      </c>
      <c r="D115" s="2" t="s">
        <v>536</v>
      </c>
      <c r="E115" t="str">
        <f t="shared" si="49"/>
        <v>1</v>
      </c>
      <c r="F115" t="str">
        <f t="shared" si="50"/>
        <v>Wilman_etal_2014</v>
      </c>
      <c r="G115" t="str">
        <f t="shared" si="51"/>
        <v>Wilman</v>
      </c>
      <c r="H115" t="str">
        <f t="shared" si="48"/>
        <v>etal</v>
      </c>
      <c r="I115" t="str">
        <f t="shared" si="52"/>
        <v>2014</v>
      </c>
      <c r="J115" t="str">
        <f t="shared" si="53"/>
        <v>10.1890/13-1917.1</v>
      </c>
      <c r="K115" t="str">
        <f t="shared" si="54"/>
        <v>Wilman_etal_2014_MamFuncDat.txt</v>
      </c>
      <c r="L115" t="str">
        <f t="shared" si="55"/>
        <v>10.1890%2F13-1917.1_MamFuncDat.txt</v>
      </c>
      <c r="M115" t="str">
        <f t="array" ref="M115">IFERROR(INDEX(FileList!$A$1:$A$100, MATCH(L115, _xlfn.TEXTBEFORE(FileList!$A$1:$A$100, ".tsv"), 0)), "notfound")</f>
        <v>notfound</v>
      </c>
      <c r="Y115" s="2" t="s">
        <v>537</v>
      </c>
      <c r="AJ115" s="2" t="s">
        <v>106</v>
      </c>
      <c r="AK115" s="2" t="s">
        <v>103</v>
      </c>
      <c r="AL115" s="2" t="s">
        <v>538</v>
      </c>
    </row>
    <row r="116">
      <c r="A116" s="2" t="s">
        <v>539</v>
      </c>
      <c r="D116" s="2" t="s">
        <v>540</v>
      </c>
      <c r="E116" t="str">
        <f t="shared" si="49"/>
        <v>7</v>
      </c>
      <c r="F116" t="str">
        <f t="shared" si="50"/>
        <v>Wimberly_etal_2021</v>
      </c>
      <c r="G116" t="str">
        <f t="shared" si="51"/>
        <v>Wimberly</v>
      </c>
      <c r="H116" t="str">
        <f t="shared" si="48"/>
        <v>etal</v>
      </c>
      <c r="I116" t="str">
        <f t="shared" si="52"/>
        <v>2021</v>
      </c>
      <c r="J116" t="str">
        <f t="shared" si="53"/>
        <v>10.1098/rspb.2021.0937</v>
      </c>
      <c r="K116" t="str">
        <f t="shared" si="54"/>
        <v>Wimberly_etal_2021_mammalgait.txt</v>
      </c>
      <c r="L116" t="str">
        <f t="shared" si="55"/>
        <v>10.1098%2Frspb.2021.0937_mammalgait.txt</v>
      </c>
      <c r="M116" t="str">
        <f t="array" ref="M116">IFERROR(INDEX(FileList!$A$1:$A$100, MATCH(L116, _xlfn.TEXTBEFORE(FileList!$A$1:$A$100, ".tsv"), 0)), "notfound")</f>
        <v>notfound</v>
      </c>
      <c r="P116" s="2" t="s">
        <v>295</v>
      </c>
      <c r="AJ116" s="2" t="s">
        <v>40</v>
      </c>
      <c r="AK116" s="2" t="s">
        <v>40</v>
      </c>
      <c r="AL116" s="2" t="s">
        <v>40</v>
      </c>
    </row>
    <row r="117">
      <c r="A117" s="2" t="s">
        <v>541</v>
      </c>
      <c r="D117" s="2" t="s">
        <v>542</v>
      </c>
      <c r="E117" t="str">
        <f t="shared" si="49"/>
        <v>5</v>
      </c>
      <c r="F117" t="str">
        <f t="shared" si="50"/>
        <v>Winkler_Bryant_2021</v>
      </c>
      <c r="G117" t="str">
        <f t="shared" si="51"/>
        <v>Winkler</v>
      </c>
      <c r="H117" t="str">
        <f t="shared" si="48"/>
        <v>Bryant</v>
      </c>
      <c r="I117" t="str">
        <f t="shared" si="52"/>
        <v>2021</v>
      </c>
      <c r="J117" t="str">
        <f t="shared" si="53"/>
        <v>10.1080/09524622.2021.1905065</v>
      </c>
      <c r="K117" t="str">
        <f t="shared" si="54"/>
        <v>Winkler_Bryant_2021_Figure1</v>
      </c>
      <c r="L117" t="str">
        <f t="shared" si="55"/>
        <v>10.1080%2F09524622.2021.1905065_Figure1</v>
      </c>
      <c r="M117" t="str">
        <f t="array" ref="M117">IFERROR(INDEX(FileList!$A$1:$A$100, MATCH(L117, _xlfn.TEXTBEFORE(FileList!$A$1:$A$100, ".tsv"), 0)), "notfound")</f>
        <v>notfound</v>
      </c>
      <c r="P117" s="2" t="s">
        <v>295</v>
      </c>
      <c r="Q117" s="2" t="s">
        <v>163</v>
      </c>
      <c r="T117" s="2" t="str">
        <f>IF(S117="N", R117, "write file name")</f>
        <v>write file name</v>
      </c>
      <c r="U117" s="2" t="s">
        <v>49</v>
      </c>
      <c r="V117" s="2" t="s">
        <v>543</v>
      </c>
      <c r="Y117" s="2" t="s">
        <v>544</v>
      </c>
      <c r="AF117" s="2" t="s">
        <v>105</v>
      </c>
      <c r="AJ117" s="2" t="s">
        <v>106</v>
      </c>
      <c r="AK117" s="2" t="s">
        <v>103</v>
      </c>
      <c r="AL117" s="2" t="s">
        <v>545</v>
      </c>
    </row>
    <row r="118">
      <c r="A118" s="2" t="s">
        <v>546</v>
      </c>
      <c r="D118" s="2" t="s">
        <v>117</v>
      </c>
      <c r="E118" t="str">
        <f t="shared" si="49"/>
        <v>0</v>
      </c>
      <c r="F118" t="str">
        <f t="shared" si="50"/>
        <v>Young_etal_2013</v>
      </c>
      <c r="G118" t="str">
        <f t="shared" si="51"/>
        <v>Young</v>
      </c>
      <c r="H118" t="str">
        <f t="shared" si="48"/>
        <v>etal</v>
      </c>
      <c r="I118" t="str">
        <f t="shared" si="52"/>
        <v>2013</v>
      </c>
      <c r="J118" t="str">
        <f t="shared" si="53"/>
        <v>10.3389/fncir.2013.00030</v>
      </c>
      <c r="K118" t="str">
        <f t="shared" si="54"/>
        <v>Young_etal_2013_Table1</v>
      </c>
      <c r="L118" t="str">
        <f t="shared" si="55"/>
        <v>10.3389%2Ffncir.2013.00030_Table1</v>
      </c>
      <c r="M118" t="str">
        <f t="array" ref="M118">IFERROR(INDEX(FileList!$A$1:$A$100, MATCH(L118, _xlfn.TEXTBEFORE(FileList!$A$1:$A$100, ".tsv"), 0)), "notfound")</f>
        <v>notfound</v>
      </c>
      <c r="P118" s="2" t="s">
        <v>462</v>
      </c>
      <c r="Q118" s="2" t="s">
        <v>163</v>
      </c>
      <c r="T118" s="2" t="str">
        <f>IF(S118="N", R118, "write file name")</f>
        <v>write file name</v>
      </c>
      <c r="U118" s="2" t="s">
        <v>49</v>
      </c>
      <c r="V118" s="2" t="s">
        <v>39</v>
      </c>
      <c r="Y118" s="2" t="s">
        <v>547</v>
      </c>
      <c r="Z118" s="2" t="s">
        <v>53</v>
      </c>
      <c r="AF118" s="2" t="s">
        <v>141</v>
      </c>
      <c r="AJ118" s="2" t="s">
        <v>86</v>
      </c>
      <c r="AK118" s="2" t="s">
        <v>53</v>
      </c>
      <c r="AL118" s="2" t="s">
        <v>548</v>
      </c>
    </row>
    <row r="119">
      <c r="A119" s="2" t="s">
        <v>549</v>
      </c>
      <c r="D119" s="2" t="s">
        <v>117</v>
      </c>
      <c r="E119" t="str">
        <f t="shared" si="49"/>
        <v>0</v>
      </c>
      <c r="F119" t="str">
        <f t="shared" si="50"/>
        <v>Young_etal_2013</v>
      </c>
      <c r="G119" t="str">
        <f t="shared" si="51"/>
        <v>Young</v>
      </c>
      <c r="H119" t="str">
        <f t="shared" si="48"/>
        <v>etal</v>
      </c>
      <c r="I119" t="str">
        <f t="shared" si="52"/>
        <v>2013</v>
      </c>
      <c r="J119" t="str">
        <f t="shared" si="53"/>
        <v>10.1073/pnas.1318894110</v>
      </c>
      <c r="K119" t="str">
        <f t="shared" si="54"/>
        <v>Young_etal_2013_Table1</v>
      </c>
      <c r="L119" t="str">
        <f t="shared" si="55"/>
        <v>10.1073%2Fpnas.1318894110_Table1</v>
      </c>
      <c r="M119" t="str">
        <f t="array" ref="M119">IFERROR(INDEX(FileList!$A$1:$A$100, MATCH(L119, _xlfn.TEXTBEFORE(FileList!$A$1:$A$100, ".tsv"), 0)), "notfound")</f>
        <v>notfound</v>
      </c>
      <c r="N119" s="2" t="s">
        <v>550</v>
      </c>
      <c r="V119" s="2" t="s">
        <v>39</v>
      </c>
      <c r="Y119" s="2" t="s">
        <v>551</v>
      </c>
      <c r="Z119" s="2" t="s">
        <v>53</v>
      </c>
      <c r="AA119" s="2" t="s">
        <v>188</v>
      </c>
      <c r="AB119" s="2" t="s">
        <v>189</v>
      </c>
      <c r="AJ119" s="2" t="s">
        <v>552</v>
      </c>
      <c r="AK119" s="2" t="s">
        <v>53</v>
      </c>
      <c r="AL119" s="2" t="s">
        <v>553</v>
      </c>
    </row>
    <row r="120">
      <c r="A120" s="2" t="s">
        <v>554</v>
      </c>
      <c r="C120" s="2" t="s">
        <v>555</v>
      </c>
      <c r="D120" s="2" t="s">
        <v>602</v>
      </c>
      <c r="E120" t="str">
        <f t="shared" si="49"/>
        <v>s</v>
      </c>
      <c r="F120" t="str">
        <f t="shared" si="50"/>
        <v>Zilles_Rehkämper_1988</v>
      </c>
      <c r="G120" t="str">
        <f t="shared" si="51"/>
        <v>Zilles</v>
      </c>
      <c r="H120" t="str">
        <f t="shared" si="48"/>
        <v>Rehkämper</v>
      </c>
      <c r="I120" t="str">
        <f t="shared" si="52"/>
        <v>1988</v>
      </c>
      <c r="J120" t="str">
        <f t="shared" si="53"/>
        <v>ISBN:9780195043716</v>
      </c>
      <c r="K120" t="str">
        <f t="shared" si="54"/>
        <v>Zilles_Rehkämper_1988_Table12-2</v>
      </c>
      <c r="L120" t="str">
        <f t="shared" si="55"/>
        <v>ISBN%3A9780195043716_Table12-2</v>
      </c>
      <c r="M120" t="str">
        <f t="array" ref="M120">IFERROR(INDEX(FileList!$A$1:$A$100, MATCH(L120, _xlfn.TEXTBEFORE(FileList!$A$1:$A$100, ".tsv"), 0)), "notfound")</f>
        <v>ISBN%3A9780195043716_Table12-2.tsv</v>
      </c>
      <c r="N120" s="2" t="s">
        <v>556</v>
      </c>
      <c r="Y120" s="2" t="s">
        <v>557</v>
      </c>
      <c r="AJ120" s="2" t="s">
        <v>558</v>
      </c>
      <c r="AK120" s="2" t="s">
        <v>53</v>
      </c>
      <c r="AL120" s="2" t="s">
        <v>63</v>
      </c>
    </row>
    <row r="121">
      <c r="A121" s="2" t="s">
        <v>559</v>
      </c>
      <c r="D121" s="2" t="s">
        <v>69</v>
      </c>
      <c r="E121" t="str">
        <f t="shared" si="49"/>
        <v>6</v>
      </c>
      <c r="F121" t="str">
        <f t="shared" si="50"/>
        <v>Zilles_etal_2013</v>
      </c>
      <c r="G121" t="str">
        <f t="shared" si="51"/>
        <v>Zilles</v>
      </c>
      <c r="H121" t="str">
        <f t="shared" si="48"/>
        <v>etal</v>
      </c>
      <c r="I121" t="str">
        <f t="shared" si="52"/>
        <v>2013</v>
      </c>
      <c r="J121" t="str">
        <f t="shared" si="53"/>
        <v>10.1016/j.tins.2013.01.006</v>
      </c>
      <c r="K121" t="str">
        <f t="shared" si="54"/>
        <v>Zilles_etal_2013_Table1</v>
      </c>
      <c r="L121" t="str">
        <f t="shared" si="55"/>
        <v>10.1016%2Fj.tins.2013.01.006_Table1</v>
      </c>
      <c r="M121" t="str">
        <f t="array" ref="M121">IFERROR(INDEX(FileList!$A$1:$A$100, MATCH(L121, _xlfn.TEXTBEFORE(FileList!$A$1:$A$100, ".tsv"), 0)), "notfound")</f>
        <v>notfound</v>
      </c>
      <c r="N121" s="2" t="s">
        <v>560</v>
      </c>
      <c r="V121" s="2" t="s">
        <v>39</v>
      </c>
      <c r="Y121" s="2" t="s">
        <v>561</v>
      </c>
      <c r="Z121" s="2" t="s">
        <v>53</v>
      </c>
      <c r="AA121" s="2" t="s">
        <v>562</v>
      </c>
      <c r="AB121" s="2" t="s">
        <v>40</v>
      </c>
      <c r="AJ121" s="2" t="s">
        <v>563</v>
      </c>
      <c r="AK121" s="2" t="s">
        <v>103</v>
      </c>
      <c r="AL121" s="2" t="s">
        <v>564</v>
      </c>
    </row>
  </sheetData>
  <hyperlinks>
    <hyperlink ref="X20" r:id="rId1h"/>
    <hyperlink ref="X21" r:id="rId2h" display="https://elifesciences.org/download/aHR0cHM6Ly9jZG4uZWxpZmVzY2llbmNlcy5vcmcvYXJ0aWNsZXMvNzc4NzUvZWxpZmUtNzc4NzUtdjEucGRmP2Nhbm9uaWNhbFVyaT1odHRwczovL2VsaWZlc2NpZW5jZXMub3JnL2FydGljbGVzLzc3ODc1/elife-77875-v1.pdf?_hash=NStjcL9fTlmy3AQDwSiM0YgMVB3UYjO8nDg0UbwN5gM%3D"/>
    <hyperlink ref="X23" r:id="rId3h"/>
    <hyperlink ref="X35" r:id="rId4h"/>
    <hyperlink ref="X39" r:id="rId5h"/>
    <hyperlink ref="X47" r:id="rId6h"/>
    <hyperlink ref="X48" r:id="rId7h"/>
    <hyperlink ref="X50" r:id="rId8h"/>
    <hyperlink ref="X51" r:id="rId9h"/>
    <hyperlink ref="X52" r:id="rId10h"/>
    <hyperlink ref="X53" r:id="rId11h"/>
    <hyperlink ref="X54" r:id="rId12h"/>
    <hyperlink ref="X55" r:id="rId13h"/>
    <hyperlink ref="X58" r:id="rId14h"/>
    <hyperlink ref="X80" r:id="rId15h"/>
    <hyperlink ref="X86" r:id="rId16h"/>
    <hyperlink ref="X87" r:id="rId17h"/>
    <hyperlink ref="X93" r:id="rId18h"/>
    <hyperlink ref="X98" r:id="rId19h"/>
  </hyperlinks>
  <pageMargins left="0.7" right="0.7" top="0.75" bottom="0.75" header="0.3" footer="0.3"/>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selection activeCell="B8" sqref="B8"/>
    </sheetView>
  </sheetViews>
  <sheetFormatPr defaultRowHeight="15.0" baseColWidth="10"/>
  <cols>
    <col min="1" max="1" width="26.1640625" hidden="0" customWidth="1"/>
  </cols>
  <sheetData>
    <row r="1">
      <c r="A1" t="s">
        <v>565</v>
      </c>
    </row>
    <row r="2">
      <c r="A2" t="s">
        <v>566</v>
      </c>
    </row>
    <row r="3">
      <c r="A3" s="4" t="s">
        <v>567</v>
      </c>
      <c r="B3" t="s">
        <v>568</v>
      </c>
    </row>
    <row r="4">
      <c r="A4" s="4" t="s">
        <v>569</v>
      </c>
      <c r="B4" t="s">
        <v>570</v>
      </c>
    </row>
    <row r="5">
      <c r="A5" s="4" t="s">
        <v>571</v>
      </c>
      <c r="B5" t="s">
        <v>572</v>
      </c>
    </row>
    <row r="6">
      <c r="A6" s="4" t="s">
        <v>573</v>
      </c>
      <c r="B6" t="s">
        <v>574</v>
      </c>
    </row>
    <row r="7">
      <c r="A7" s="4" t="s">
        <v>575</v>
      </c>
      <c r="B7" t="s">
        <v>576</v>
      </c>
    </row>
    <row r="8">
      <c r="A8" s="4" t="s">
        <v>577</v>
      </c>
      <c r="B8" t="s">
        <v>578</v>
      </c>
    </row>
    <row r="9">
      <c r="A9" s="4" t="s">
        <v>579</v>
      </c>
      <c r="B9" t="s">
        <v>580</v>
      </c>
    </row>
    <row r="10">
      <c r="A10" s="4" t="s">
        <v>581</v>
      </c>
      <c r="B10" t="s">
        <v>582</v>
      </c>
    </row>
    <row r="11">
      <c r="A11" s="4" t="s">
        <v>583</v>
      </c>
      <c r="B11" t="s">
        <v>584</v>
      </c>
    </row>
    <row r="12" ht="17" customHeight="1">
      <c r="A12" s="3" t="s">
        <v>585</v>
      </c>
      <c r="B12" t="s">
        <v>586</v>
      </c>
    </row>
    <row r="13">
      <c r="A13" s="5" t="s">
        <v>587</v>
      </c>
    </row>
  </sheetData>
  <pageMargins left="0.7" right="0.7" top="0.75" bottom="0.75" header="0.3" footer="0.3"/>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selection activeCell="G35" sqref="G35"/>
    </sheetView>
  </sheetViews>
  <sheetFormatPr defaultRowHeight="15.0" baseColWidth="10"/>
  <cols>
    <col min="1" max="1" width="1.83203125" hidden="0" customWidth="1"/>
    <col min="2" max="2" width="126" hidden="0" customWidth="1"/>
  </cols>
  <sheetData>
    <row r="1">
      <c r="A1" t="s">
        <v>588</v>
      </c>
    </row>
    <row r="2">
      <c r="C2" t="s">
        <v>589</v>
      </c>
    </row>
    <row r="3">
      <c r="A3" t="n">
        <v>1</v>
      </c>
      <c r="B3" t="s">
        <v>590</v>
      </c>
      <c r="C3" t="s">
        <v>591</v>
      </c>
    </row>
    <row r="4">
      <c r="A4" t="n">
        <v>2</v>
      </c>
      <c r="B4" t="s">
        <v>592</v>
      </c>
      <c r="C4" t="s">
        <v>593</v>
      </c>
    </row>
    <row r="5">
      <c r="A5" t="n">
        <v>3</v>
      </c>
      <c r="B5" t="s">
        <v>594</v>
      </c>
      <c r="C5" t="s">
        <v>595</v>
      </c>
    </row>
    <row r="6">
      <c r="A6" t="n">
        <v>4</v>
      </c>
      <c r="B6" t="s">
        <v>596</v>
      </c>
      <c r="C6" t="s">
        <v>597</v>
      </c>
    </row>
  </sheetData>
  <pageMargins left="0.7" right="0.7" top="0.75" bottom="0.75" header="0.3" footer="0.3"/>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zoomScale="100" showGridLines="1" tabSelected="false"/>
  </sheetViews>
  <sheetFormatPr defaultRowHeight="15.0" baseColWidth="10"/>
  <sheetData>
    <row r="1">
      <c r="A1" t="s">
        <v>698</v>
      </c>
    </row>
    <row r="2">
      <c r="A2" t="s">
        <v>699</v>
      </c>
    </row>
    <row r="3">
      <c r="A3" t="s">
        <v>700</v>
      </c>
    </row>
    <row r="4">
      <c r="A4" t="s">
        <v>701</v>
      </c>
    </row>
    <row r="5">
      <c r="A5" t="s">
        <v>702</v>
      </c>
    </row>
    <row r="6">
      <c r="A6" t="s">
        <v>703</v>
      </c>
    </row>
    <row r="7">
      <c r="A7" t="s">
        <v>704</v>
      </c>
    </row>
    <row r="8">
      <c r="A8" t="s">
        <v>705</v>
      </c>
    </row>
    <row r="9">
      <c r="A9" t="s">
        <v>706</v>
      </c>
    </row>
    <row r="10">
      <c r="A10" t="s">
        <v>707</v>
      </c>
    </row>
    <row r="11">
      <c r="A11" t="s">
        <v>708</v>
      </c>
    </row>
    <row r="12">
      <c r="A12" t="s">
        <v>709</v>
      </c>
    </row>
    <row r="13">
      <c r="A13" t="s">
        <v>710</v>
      </c>
    </row>
    <row r="14">
      <c r="A14" t="s">
        <v>711</v>
      </c>
    </row>
    <row r="15">
      <c r="A15" t="s">
        <v>712</v>
      </c>
    </row>
    <row r="16">
      <c r="A16" t="s">
        <v>713</v>
      </c>
    </row>
    <row r="17">
      <c r="A17" t="s">
        <v>714</v>
      </c>
    </row>
    <row r="18">
      <c r="A18" t="s">
        <v>715</v>
      </c>
    </row>
    <row r="19">
      <c r="A19" t="s">
        <v>716</v>
      </c>
    </row>
    <row r="20">
      <c r="A20" t="s">
        <v>717</v>
      </c>
    </row>
    <row r="21">
      <c r="A21" t="s">
        <v>718</v>
      </c>
    </row>
    <row r="22">
      <c r="A22" t="s">
        <v>719</v>
      </c>
    </row>
    <row r="23">
      <c r="A23" t="s">
        <v>720</v>
      </c>
    </row>
    <row r="24">
      <c r="A24" t="s">
        <v>721</v>
      </c>
    </row>
    <row r="25">
      <c r="A25" t="s">
        <v>722</v>
      </c>
    </row>
    <row r="26">
      <c r="A26" t="s">
        <v>723</v>
      </c>
    </row>
    <row r="27">
      <c r="A27" t="s">
        <v>724</v>
      </c>
    </row>
    <row r="28">
      <c r="A28" t="s">
        <v>725</v>
      </c>
    </row>
    <row r="29">
      <c r="A29" t="s">
        <v>726</v>
      </c>
    </row>
    <row r="30">
      <c r="A30" t="s">
        <v>727</v>
      </c>
    </row>
    <row r="31">
      <c r="A31" t="s">
        <v>728</v>
      </c>
    </row>
    <row r="32">
      <c r="A32" t="s">
        <v>729</v>
      </c>
    </row>
    <row r="33">
      <c r="A33" t="s">
        <v>730</v>
      </c>
    </row>
    <row r="34">
      <c r="A34" t="s">
        <v>731</v>
      </c>
    </row>
    <row r="35">
      <c r="A35" t="s">
        <v>732</v>
      </c>
    </row>
    <row r="36">
      <c r="A36" t="s">
        <v>733</v>
      </c>
    </row>
    <row r="37">
      <c r="A37" t="s">
        <v>734</v>
      </c>
    </row>
    <row r="38">
      <c r="A38" t="s">
        <v>735</v>
      </c>
    </row>
    <row r="39">
      <c r="A39" t="s">
        <v>736</v>
      </c>
    </row>
    <row r="40">
      <c r="A40" t="s">
        <v>737</v>
      </c>
    </row>
    <row r="41">
      <c r="A41" t="s">
        <v>738</v>
      </c>
    </row>
    <row r="42">
      <c r="A42" t="s">
        <v>739</v>
      </c>
    </row>
    <row r="43">
      <c r="A43" t="s">
        <v>740</v>
      </c>
    </row>
    <row r="44">
      <c r="A44" t="s">
        <v>741</v>
      </c>
    </row>
    <row r="45">
      <c r="A45" t="s">
        <v>742</v>
      </c>
    </row>
    <row r="46">
      <c r="A46" t="s">
        <v>743</v>
      </c>
    </row>
    <row r="47">
      <c r="A47" t="s">
        <v>744</v>
      </c>
    </row>
    <row r="48">
      <c r="A48" t="s">
        <v>745</v>
      </c>
    </row>
    <row r="49">
      <c r="A49" t="s">
        <v>746</v>
      </c>
    </row>
    <row r="50">
      <c r="A50" t="s">
        <v>747</v>
      </c>
    </row>
    <row r="51">
      <c r="A51" t="s">
        <v>748</v>
      </c>
    </row>
    <row r="52">
      <c r="A52" t="s">
        <v>749</v>
      </c>
    </row>
    <row r="53">
      <c r="A53" t="s">
        <v>750</v>
      </c>
    </row>
    <row r="54">
      <c r="A54" t="s">
        <v>751</v>
      </c>
    </row>
    <row r="55">
      <c r="A55" t="s">
        <v>752</v>
      </c>
    </row>
    <row r="56">
      <c r="A56" t="s">
        <v>753</v>
      </c>
    </row>
    <row r="57">
      <c r="A57" t="s">
        <v>754</v>
      </c>
    </row>
    <row r="58">
      <c r="A58" t="s">
        <v>755</v>
      </c>
    </row>
    <row r="59">
      <c r="A59" t="s">
        <v>756</v>
      </c>
    </row>
    <row r="60">
      <c r="A60" t="s">
        <v>757</v>
      </c>
    </row>
    <row r="61">
      <c r="A61" t="s">
        <v>758</v>
      </c>
    </row>
    <row r="62">
      <c r="A62" t="s">
        <v>759</v>
      </c>
    </row>
    <row r="63">
      <c r="A63" t="s">
        <v>760</v>
      </c>
    </row>
    <row r="64">
      <c r="A64" t="s">
        <v>761</v>
      </c>
    </row>
    <row r="65">
      <c r="A65" t="s">
        <v>762</v>
      </c>
    </row>
    <row r="66">
      <c r="A66" t="s">
        <v>763</v>
      </c>
    </row>
    <row r="67">
      <c r="A67" t="s">
        <v>764</v>
      </c>
    </row>
    <row r="68">
      <c r="A68" t="s">
        <v>765</v>
      </c>
    </row>
    <row r="69">
      <c r="A69" t="s">
        <v>766</v>
      </c>
    </row>
    <row r="70">
      <c r="A70" t="s">
        <v>767</v>
      </c>
    </row>
    <row r="71">
      <c r="A71" t="s">
        <v>768</v>
      </c>
    </row>
    <row r="72">
      <c r="A72" t="s">
        <v>769</v>
      </c>
    </row>
    <row r="73">
      <c r="A73" t="s">
        <v>770</v>
      </c>
    </row>
    <row r="74">
      <c r="A74" t="s">
        <v>771</v>
      </c>
    </row>
    <row r="75">
      <c r="A75" t="s">
        <v>772</v>
      </c>
    </row>
    <row r="76">
      <c r="A76" t="s">
        <v>773</v>
      </c>
    </row>
    <row r="77">
      <c r="A77" t="s">
        <v>774</v>
      </c>
    </row>
    <row r="78">
      <c r="A78" t="s">
        <v>775</v>
      </c>
    </row>
    <row r="79">
      <c r="A79" t="s">
        <v>776</v>
      </c>
    </row>
    <row r="80">
      <c r="A80" t="s">
        <v>777</v>
      </c>
    </row>
  </sheetData>
  <pageMargins left="0.7" right="0.7" top="0.75" bottom="0.75" header="0.3" footer="0.3"/>
  <pageSetup paperSize="9" orientation="portrait" horizontalDpi="300" verticalDpi="300" r:id="rId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9B0162F312A93D41AE706303C1572F17" ma:contentTypeVersion="18" ma:contentTypeDescription="Create a new document." ma:contentTypeScope="" ma:versionID="3dd70bd28c77d4108edb5ca6812bb84f">
  <xsd:schema xmlns:xsd="http://www.w3.org/2001/XMLSchema" xmlns:xs="http://www.w3.org/2001/XMLSchema" xmlns:p="http://schemas.microsoft.com/office/2006/metadata/properties" xmlns:ns2="8e1efd23-f4ba-42d2-85fd-6a510437bae6" xmlns:ns3="3bad6c6a-329d-45e9-b8b0-1ebecc8a8764" targetNamespace="http://schemas.microsoft.com/office/2006/metadata/properties" ma:root="true" ma:fieldsID="4cd59d6f2988212fc297a6d404d3fed4" ns2:_="" ns3:_="">
    <xsd:import namespace="8e1efd23-f4ba-42d2-85fd-6a510437bae6"/>
    <xsd:import namespace="3bad6c6a-329d-45e9-b8b0-1ebecc8a8764"/>
    <xsd:element name="properties">
      <xsd:complexType>
        <xsd:sequence>
          <xsd:element name="documentManagement">
            <xsd:complexType>
              <xsd:all>
                <xsd:element ref="ns2:MediaServiceMetadata" minOccurs="0"/>
                <xsd:element ref="ns2:MediaServiceFastMetadata" minOccurs="0"/>
                <xsd:element ref="ns2:MediaServiceAutoKeyPoints" minOccurs="0"/>
                <xsd:element ref="ns2:MediaServiceKeyPoints" minOccurs="0"/>
                <xsd:element ref="ns2:MediaServiceAutoTags" minOccurs="0"/>
                <xsd:element ref="ns2:MediaServiceOCR" minOccurs="0"/>
                <xsd:element ref="ns2:MediaServiceGenerationTime" minOccurs="0"/>
                <xsd:element ref="ns2:MediaServiceEventHashCode" minOccurs="0"/>
                <xsd:element ref="ns2:MediaServiceDateTaken" minOccurs="0"/>
                <xsd:element ref="ns3:SharedWithUsers" minOccurs="0"/>
                <xsd:element ref="ns3:SharedWithDetails" minOccurs="0"/>
                <xsd:element ref="ns2:lcf76f155ced4ddcb4097134ff3c332f" minOccurs="0"/>
                <xsd:element ref="ns3:TaxCatchAll" minOccurs="0"/>
                <xsd:element ref="ns2:MediaServiceObjectDetectorVersions" minOccurs="0"/>
                <xsd:element ref="ns2:MediaServiceSearchProperties" minOccurs="0"/>
                <xsd:element ref="ns2:MediaLengthInSeconds" minOccurs="0"/>
                <xsd:element ref="ns2:MediaServiceLoca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1efd23-f4ba-42d2-85fd-6a510437bae6"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KeyPoints" ma:index="10" nillable="true" ma:displayName="MediaServiceAutoKeyPoints" ma:hidden="true" ma:internalName="MediaServiceAutoKeyPoints" ma:readOnly="true">
      <xsd:simpleType>
        <xsd:restriction base="dms:Note"/>
      </xsd:simpleType>
    </xsd:element>
    <xsd:element name="MediaServiceKeyPoints" ma:index="11" nillable="true" ma:displayName="KeyPoints" ma:internalName="MediaServiceKeyPoints" ma:readOnly="true">
      <xsd:simpleType>
        <xsd:restriction base="dms:Note">
          <xsd:maxLength value="255"/>
        </xsd:restriction>
      </xsd:simpleType>
    </xsd:element>
    <xsd:element name="MediaServiceAutoTags" ma:index="12" nillable="true" ma:displayName="Tags" ma:internalName="MediaServiceAutoTags" ma:readOnly="true">
      <xsd:simpleType>
        <xsd:restriction base="dms:Text"/>
      </xsd:simpleType>
    </xsd:element>
    <xsd:element name="MediaServiceOCR" ma:index="13" nillable="true" ma:displayName="Extracted Text" ma:internalName="MediaServiceOCR" ma:readOnly="true">
      <xsd:simpleType>
        <xsd:restriction base="dms:Note">
          <xsd:maxLength value="255"/>
        </xsd:restriction>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ServiceDateTaken" ma:index="16" nillable="true" ma:displayName="MediaServiceDateTaken" ma:hidden="true" ma:internalName="MediaServiceDateTaken" ma:readOnly="true">
      <xsd:simpleType>
        <xsd:restriction base="dms:Text"/>
      </xsd:simpleType>
    </xsd:element>
    <xsd:element name="lcf76f155ced4ddcb4097134ff3c332f" ma:index="20" nillable="true" ma:taxonomy="true" ma:internalName="lcf76f155ced4ddcb4097134ff3c332f" ma:taxonomyFieldName="MediaServiceImageTags" ma:displayName="Image Tags" ma:readOnly="false" ma:fieldId="{5cf76f15-5ced-4ddc-b409-7134ff3c332f}" ma:taxonomyMulti="true" ma:sspId="2a91012f-191a-4297-80da-223551dc3c4f"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2" nillable="true" ma:displayName="MediaServiceObjectDetectorVersions" ma:hidden="true" ma:indexed="true" ma:internalName="MediaServiceObjectDetectorVersions" ma:readOnly="true">
      <xsd:simpleType>
        <xsd:restriction base="dms:Text"/>
      </xsd:simpleType>
    </xsd:element>
    <xsd:element name="MediaServiceSearchProperties" ma:index="23" nillable="true" ma:displayName="MediaServiceSearchProperties" ma:hidden="true" ma:internalName="MediaServiceSearchProperties" ma:readOnly="true">
      <xsd:simpleType>
        <xsd:restriction base="dms:Note"/>
      </xsd:simpleType>
    </xsd:element>
    <xsd:element name="MediaLengthInSeconds" ma:index="24" nillable="true" ma:displayName="MediaLengthInSeconds" ma:hidden="true" ma:internalName="MediaLengthInSeconds" ma:readOnly="true">
      <xsd:simpleType>
        <xsd:restriction base="dms:Unknown"/>
      </xsd:simpleType>
    </xsd:element>
    <xsd:element name="MediaServiceLocation" ma:index="25" nillable="true" ma:displayName="Location" ma:indexed="true" ma:internalName="MediaServiceLocation"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3bad6c6a-329d-45e9-b8b0-1ebecc8a8764" elementFormDefault="qualified">
    <xsd:import namespace="http://schemas.microsoft.com/office/2006/documentManagement/types"/>
    <xsd:import namespace="http://schemas.microsoft.com/office/infopath/2007/PartnerControls"/>
    <xsd:element name="SharedWithUsers" ma:index="17"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8" nillable="true" ma:displayName="Shared With Details" ma:internalName="SharedWithDetails" ma:readOnly="true">
      <xsd:simpleType>
        <xsd:restriction base="dms:Note">
          <xsd:maxLength value="255"/>
        </xsd:restriction>
      </xsd:simpleType>
    </xsd:element>
    <xsd:element name="TaxCatchAll" ma:index="21" nillable="true" ma:displayName="Taxonomy Catch All Column" ma:hidden="true" ma:list="{ec99e049-fb75-4c8f-a4b4-b132771b9bd6}" ma:internalName="TaxCatchAll" ma:showField="CatchAllData" ma:web="3bad6c6a-329d-45e9-b8b0-1ebecc8a8764">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8e1efd23-f4ba-42d2-85fd-6a510437bae6">
      <Terms xmlns="http://schemas.microsoft.com/office/infopath/2007/PartnerControls"/>
    </lcf76f155ced4ddcb4097134ff3c332f>
    <TaxCatchAll xmlns="3bad6c6a-329d-45e9-b8b0-1ebecc8a8764" xsi:nil="true"/>
  </documentManagement>
</p:properties>
</file>

<file path=customXml/itemProps1.xml><?xml version="1.0" encoding="utf-8"?>
<ds:datastoreItem xmlns:ds="http://schemas.openxmlformats.org/officeDocument/2006/customXml" ds:itemID="{35EA5F01-1B92-4361-97B8-CBB1BA200681}"/>
</file>

<file path=customXml/itemProps2.xml><?xml version="1.0" encoding="utf-8"?>
<ds:datastoreItem xmlns:ds="http://schemas.openxmlformats.org/officeDocument/2006/customXml" ds:itemID="{45738017-6617-4F65-AFD2-1C6699E13201}"/>
</file>

<file path=customXml/itemProps3.xml><?xml version="1.0" encoding="utf-8"?>
<ds:datastoreItem xmlns:ds="http://schemas.openxmlformats.org/officeDocument/2006/customXml" ds:itemID="{650A826A-3550-4BEA-9E5E-BB8DCF53C3EB}"/>
</file>

<file path=docProps/app.xml><?xml version="1.0" encoding="utf-8"?>
<Properties xmlns="http://schemas.openxmlformats.org/officeDocument/2006/extended-properties" xmlns:vt="http://schemas.openxmlformats.org/officeDocument/2006/docPropsVTypes">
  <Application>Microsoft Excel</Applicat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Alexandra de Sousa</dc:creator>
  <cp:lastModifiedBy>Alexandra de Sousa</cp:lastModifiedBy>
  <dcterms:created xsi:type="dcterms:W3CDTF">2023-10-04T18:06:19Z</dcterms:created>
  <dcterms:modified xsi:type="dcterms:W3CDTF">2026-06-09T04:32:29Z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ediaServiceImageTags">
    <vt:lpwstr/>
  </property>
  <property fmtid="{D5CDD505-2E9C-101B-9397-08002B2CF9AE}" pid="3" name="ContentTypeId">
    <vt:lpwstr>0x0101009B0162F312A93D41AE706303C1572F17</vt:lpwstr>
  </property>
</Properties>
</file>