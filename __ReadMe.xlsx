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-M1-Trait-Data/"/>
    </mc:Choice>
  </mc:AlternateContent>
  <xr:revisionPtr revIDLastSave="51" documentId="6_{07DD5C5E-4B7E-564D-9FFA-3C28EE9E5650}" xr6:coauthVersionLast="47" xr6:coauthVersionMax="47" xr10:uidLastSave="{B5DD8E4C-FA79-834A-BD7F-F01A012B50B1}"/>
  <bookViews>
    <workbookView xWindow="36260" yWindow="-7080" windowWidth="34540" windowHeight="19640" xr2:uid="{D451F2D8-9E4F-7644-8584-5A4B2BCAED4A}"/>
  </bookViews>
  <sheets>
    <sheet name="Sheet1" sheetId="1" r:id="rId1"/>
    <sheet name="Pipeline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" i="1" l="1"/>
  <c r="P32" i="1"/>
  <c r="P31" i="1"/>
  <c r="P30" i="1"/>
  <c r="P29" i="1"/>
  <c r="P28" i="1"/>
  <c r="P24" i="1"/>
  <c r="P23" i="1"/>
  <c r="P22" i="1"/>
  <c r="P21" i="1"/>
  <c r="P13" i="1"/>
  <c r="P12" i="1"/>
  <c r="P7" i="1"/>
  <c r="P5" i="1"/>
  <c r="P3" i="1"/>
  <c r="J2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4" i="1"/>
  <c r="A2" i="1"/>
  <c r="I2" i="1" s="1"/>
  <c r="A3" i="1"/>
  <c r="I3" i="1" s="1"/>
  <c r="A4" i="1"/>
  <c r="I4" i="1" s="1"/>
  <c r="A5" i="1"/>
  <c r="I5" i="1" s="1"/>
  <c r="A6" i="1"/>
  <c r="I6" i="1" s="1"/>
  <c r="A7" i="1"/>
  <c r="I7" i="1" s="1"/>
  <c r="A8" i="1"/>
  <c r="I8" i="1" s="1"/>
  <c r="A9" i="1"/>
  <c r="I9" i="1" s="1"/>
  <c r="A10" i="1"/>
  <c r="I10" i="1" s="1"/>
  <c r="A11" i="1"/>
  <c r="I11" i="1" s="1"/>
  <c r="A12" i="1"/>
  <c r="I12" i="1" s="1"/>
  <c r="A13" i="1"/>
  <c r="I13" i="1" s="1"/>
  <c r="A14" i="1"/>
  <c r="I14" i="1" s="1"/>
  <c r="A15" i="1"/>
  <c r="I15" i="1" s="1"/>
  <c r="A16" i="1"/>
  <c r="I16" i="1" s="1"/>
  <c r="A17" i="1"/>
  <c r="I17" i="1" s="1"/>
  <c r="A18" i="1"/>
  <c r="I18" i="1" s="1"/>
  <c r="A19" i="1"/>
  <c r="I19" i="1" s="1"/>
  <c r="A20" i="1"/>
  <c r="I20" i="1" s="1"/>
  <c r="A21" i="1"/>
  <c r="I21" i="1" s="1"/>
  <c r="A22" i="1"/>
  <c r="I22" i="1" s="1"/>
  <c r="A23" i="1"/>
  <c r="I23" i="1" s="1"/>
  <c r="A24" i="1"/>
  <c r="I24" i="1" s="1"/>
  <c r="A25" i="1"/>
  <c r="I25" i="1" s="1"/>
  <c r="A26" i="1"/>
  <c r="I26" i="1" s="1"/>
  <c r="A27" i="1"/>
  <c r="I27" i="1" s="1"/>
  <c r="A28" i="1"/>
  <c r="I28" i="1" s="1"/>
  <c r="A29" i="1"/>
  <c r="I29" i="1" s="1"/>
  <c r="A30" i="1"/>
  <c r="I30" i="1" s="1"/>
  <c r="A31" i="1"/>
  <c r="I31" i="1" s="1"/>
  <c r="A32" i="1"/>
  <c r="I32" i="1" s="1"/>
  <c r="A33" i="1"/>
  <c r="I33" i="1" s="1"/>
</calcChain>
</file>

<file path=xl/sharedStrings.xml><?xml version="1.0" encoding="utf-8"?>
<sst xmlns="http://schemas.openxmlformats.org/spreadsheetml/2006/main" count="501" uniqueCount="248">
  <si>
    <t>Progress stage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</si>
  <si>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</si>
  <si>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</si>
  <si>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</si>
  <si>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</si>
  <si>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</si>
  <si>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</si>
  <si>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Possible Traits</t>
  </si>
  <si>
    <t>Note</t>
  </si>
  <si>
    <t>Subcategory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</si>
  <si>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</si>
  <si>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</si>
  <si>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</si>
  <si>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</si>
  <si>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</si>
  <si>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</si>
  <si>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</si>
  <si>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</si>
  <si>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</si>
  <si>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</si>
  <si>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</si>
  <si>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</si>
  <si>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</si>
  <si>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</si>
  <si>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</si>
  <si>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part 1: handedness summary table</t>
  </si>
  <si>
    <t>Y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</si>
  <si>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</si>
  <si>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</si>
  <si>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</si>
  <si>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</si>
  <si>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</si>
  <si>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</si>
  <si>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</si>
  <si>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</si>
  <si>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</si>
  <si>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</si>
  <si>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</si>
  <si>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</si>
  <si>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</si>
  <si>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</si>
  <si>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</si>
  <si>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</si>
  <si>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</si>
  <si>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</si>
  <si>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</si>
  <si>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</si>
  <si>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</si>
  <si>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</si>
  <si>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</si>
  <si>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</si>
  <si>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microglia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</si>
  <si>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</si>
  <si>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</si>
  <si>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</si>
  <si>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only manually added M1 species; do all species and record steps</t>
  </si>
  <si>
    <t>digital dexterity</t>
  </si>
  <si>
    <t>area of pyramidal tract; deepest lamina</t>
  </si>
  <si>
    <t>NOT STARTED</t>
  </si>
  <si>
    <t>manipulation complexity</t>
  </si>
  <si>
    <t>tables</t>
  </si>
  <si>
    <t>placental mammals</t>
  </si>
  <si>
    <t>bats</t>
  </si>
  <si>
    <t>play</t>
  </si>
  <si>
    <t>mammal clades</t>
  </si>
  <si>
    <t>companion animals</t>
  </si>
  <si>
    <t>need to record steps</t>
  </si>
  <si>
    <t>number of vocalizations</t>
  </si>
  <si>
    <t>various secondary and primary data, e.g., ecology</t>
  </si>
  <si>
    <t>ecology</t>
  </si>
  <si>
    <t>GLI: laminar and profiles</t>
  </si>
  <si>
    <t>table and figure</t>
  </si>
  <si>
    <t>play vocalizations</t>
  </si>
  <si>
    <t>M1 Cell count, surface area, mass</t>
  </si>
  <si>
    <t xml:space="preserve">Source 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</si>
  <si>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</si>
  <si>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</si>
  <si>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</si>
  <si>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</si>
  <si>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</si>
  <si>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</si>
  <si>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</si>
  <si>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</si>
  <si>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</si>
  <si>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</si>
  <si>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</si>
  <si>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</si>
  <si>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</si>
  <si>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</si>
  <si>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</si>
  <si>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</si>
  <si>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</si>
  <si>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</si>
  <si>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</si>
  <si>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</si>
  <si>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</si>
  <si>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</si>
  <si>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</si>
  <si>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10.7554/eLife.77875</t>
  </si>
  <si>
    <t>Table 1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</si>
  <si>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</si>
  <si>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</si>
  <si>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</si>
  <si>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</si>
  <si>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</si>
  <si>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</si>
  <si>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</si>
  <si>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</si>
  <si>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</si>
  <si>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</si>
  <si>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</si>
  <si>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</si>
  <si>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</si>
  <si>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</si>
  <si>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</si>
  <si>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</si>
  <si>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</si>
  <si>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</si>
  <si>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</si>
  <si>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</si>
  <si>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</si>
  <si>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</si>
  <si>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</si>
  <si>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</si>
  <si>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</si>
  <si>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</si>
  <si>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</si>
  <si>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</si>
  <si>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</si>
  <si>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</si>
  <si>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</si>
  <si>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</si>
  <si>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</si>
  <si>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</si>
  <si>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</si>
  <si>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</si>
  <si>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</si>
  <si>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</si>
  <si>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</si>
  <si>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</si>
  <si>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</si>
  <si>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</si>
  <si>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</si>
  <si>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</si>
  <si>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</si>
  <si>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</si>
  <si>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</si>
  <si>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</si>
  <si>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</si>
  <si>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</si>
  <si>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</si>
  <si>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</si>
  <si>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</si>
  <si>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</si>
  <si>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</si>
  <si>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</si>
  <si>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</si>
  <si>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</si>
  <si>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</si>
  <si>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</si>
  <si>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</si>
  <si>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DOI (or Alt)</t>
  </si>
  <si>
    <t>Data readable file, can use this</t>
  </si>
  <si>
    <t>Heffner_Masterton_1975_TableI.csv</t>
  </si>
  <si>
    <t>mostly secondary</t>
  </si>
  <si>
    <t>HerculanoHouzel_etal_2015_Table1.csv</t>
  </si>
  <si>
    <t>https://karger.com/bbe/article-pdf/86/3-4/145/2264694/000437413.pdf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</si>
  <si>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</si>
  <si>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</si>
  <si>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</si>
  <si>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</si>
  <si>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</si>
  <si>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pdf online</t>
  </si>
  <si>
    <t>HerculanoHouzel_etal_2020_Table1.csv</t>
  </si>
  <si>
    <t>HerculanoHouzel_etal_2020_Table2.csv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</si>
  <si>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</si>
  <si>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</si>
  <si>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</si>
  <si>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</si>
  <si>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</si>
  <si>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JardimMesseder_etal_2017_Table1.csv</t>
  </si>
  <si>
    <t>1st Author (no punctuation)</t>
  </si>
  <si>
    <t>year</t>
  </si>
  <si>
    <t>other author(s)</t>
  </si>
  <si>
    <t>sequence</t>
  </si>
  <si>
    <t>I</t>
  </si>
  <si>
    <t/>
  </si>
  <si>
    <t>Unpublished</t>
  </si>
  <si>
    <t>ProjectKaskan</t>
  </si>
  <si>
    <t>Burger</t>
  </si>
  <si>
    <t>etal</t>
  </si>
  <si>
    <t>Caspar</t>
  </si>
  <si>
    <t>Changizi</t>
  </si>
  <si>
    <t>Chen</t>
  </si>
  <si>
    <t>Wiens</t>
  </si>
  <si>
    <t>DosSantos</t>
  </si>
  <si>
    <t>Finlay</t>
  </si>
  <si>
    <t>Heffner</t>
  </si>
  <si>
    <t>Masterton</t>
  </si>
  <si>
    <t>Heldstab</t>
  </si>
  <si>
    <t>HerculanoHouzel</t>
  </si>
  <si>
    <t>Iwaniuk</t>
  </si>
  <si>
    <t>JardimMesseder</t>
  </si>
  <si>
    <t>Kverkova</t>
  </si>
  <si>
    <t>ManyPrimates</t>
  </si>
  <si>
    <t>Powell</t>
  </si>
  <si>
    <t>Sherwood</t>
  </si>
  <si>
    <t>Winkler</t>
  </si>
  <si>
    <t>Bryant</t>
  </si>
  <si>
    <t>Young</t>
  </si>
  <si>
    <t>Item name</t>
  </si>
  <si>
    <t>Source type</t>
  </si>
  <si>
    <t xml:space="preserve">Flexible Data Wrangling Pipeline: </t>
  </si>
  <si>
    <t>Publication name</t>
  </si>
  <si>
    <t>Item description</t>
  </si>
  <si>
    <t>Table 5. Species mean values for 10 GLI profile feature vectors</t>
  </si>
  <si>
    <t>--&gt; Snapshot</t>
  </si>
  <si>
    <t>Digitized in original layout for comparison to source. R readable, e.g., Excel or CSV. All further changes in R code. Save a reference hardcopy file even if it can be accessed through URL.</t>
  </si>
  <si>
    <t>Snapshot</t>
  </si>
  <si>
    <t>Item number</t>
  </si>
  <si>
    <t>Changizi_2001_Figure3_snapshot.csv</t>
  </si>
  <si>
    <t>Species -- wait for Project Kaskan</t>
  </si>
  <si>
    <t>Heffner_Masterton_1975_TableI_snapshot.xlsx</t>
  </si>
  <si>
    <t>Item encoded</t>
  </si>
  <si>
    <t>10.1093/oso/9780198568742.003.0006</t>
  </si>
  <si>
    <t>DosSantos_etal_2017_TableS1_snapshot.csv</t>
  </si>
  <si>
    <t>DosSantos_etal_2020_Table1_snapshot.csv</t>
  </si>
  <si>
    <t>DosSantos_etal_2020_Table1.csv</t>
  </si>
  <si>
    <t>DosSantos_etal_2017_TableS1.csv</t>
  </si>
  <si>
    <t>Finlay_etal_2006_Table6.1_snapshot.xlsx</t>
  </si>
  <si>
    <t>Caspar_etal_2022_Table1_snapshot.xlsx</t>
  </si>
  <si>
    <t>Caspar_etal_2022_Table1.csv</t>
  </si>
  <si>
    <t>Finlay_etal_2006_Table6.1.csv</t>
  </si>
  <si>
    <t>Changizi_2001_Figure3.csv</t>
  </si>
  <si>
    <t>HerculanoHouzel_etal_2020_TABLE1_snapshot.csv</t>
  </si>
  <si>
    <t>HerculanoHouzel_etal_2020_TABLE2_snapshot.csv</t>
  </si>
  <si>
    <t>HerculanoHouzel_etal_2015_Table1_snapshot.xlsx</t>
  </si>
  <si>
    <t>HerculanoHouzel_etal_2015_Table2_snapshot.xlsx</t>
  </si>
  <si>
    <t>HerculanoHouzel_etal_2015_Table3_snapshot.xlsx</t>
  </si>
  <si>
    <t>HerculanoHouzel_etal_2015_Table4_snapshot.xlsx</t>
  </si>
  <si>
    <t>HerculanoHouzel_etal_2015_Table5_snapshot.xlsx</t>
  </si>
  <si>
    <t>JardimMesseder_etal_2017_Table1_snapshot.csv</t>
  </si>
  <si>
    <t>https://doi.org/10.3389/fnana.2017.00118</t>
  </si>
  <si>
    <t>TABLE 1 | Summary of the cellular composition of the major brain structures of eight carnivoran species.</t>
  </si>
  <si>
    <t>primary; secondary brain and body mass</t>
  </si>
  <si>
    <t>Online Database</t>
  </si>
  <si>
    <t>added</t>
  </si>
  <si>
    <t>already there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</si>
</sst>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quotePrefix="1"/>
    <xf numFmtId="0" fontId="0" fillId="0" borderId="0" xfId="0" quotePrefix="1" applyAlignment="1">
      <alignment wrapText="1"/>
    </xf>
    <xf numFmtId="0" fontId="5" fillId="0" borderId="0" xfId="1" applyFont="1" applyFill="1"/>
    <xf numFmtId="0" fontId="6" fillId="0" borderId="0" xfId="0" applyFont="1"/>
    <xf numFmtId="0" fontId="8" fillId="0" borderId="0" xfId="0" applyFont="1" applyFill="1"/>
    <xf numFmtId="0" fontId="1" fillId="0" borderId="0" xfId="0" applyFont="1" applyFill="1"/>
    <xf numFmtId="0" fontId="7" fillId="0" borderId="0" xfId="1" applyFont="1" applyFill="1"/>
    <xf numFmtId="0" fontId="0" fillId="0" borderId="0" xfId="0" applyFill="1"/>
    <xf numFmtId="0" fontId="3" fillId="0" borderId="0" xfId="1" applyFill="1"/>
    <xf numFmtId="0" fontId="7" fillId="0" borderId="0" xfId="0" applyFont="1" applyFill="1"/>
    <xf numFmtId="0" fontId="5" fillId="0" borderId="0" xfId="0" applyFont="1" applyFill="1"/>
    <xf numFmtId="0" fontId="7" fillId="0" borderId="0" xfId="1" applyFont="1" applyFill="1" applyAlignment="1"/>
    <xf numFmtId="0" fontId="5" fillId="0" borderId="0" xfId="1" applyFont="1" applyFill="1" applyAlignment="1"/>
    <xf numFmtId="0" fontId="3" fillId="0" borderId="0" xfId="1" applyFill="1" applyAlignment="1"/>
    <xf numFmtId="49" fontId="7" fillId="0" borderId="0" xfId="1" applyNumberFormat="1" applyFont="1" applyFill="1"/>
    <xf numFmtId="0" fontId="2" fillId="0" borderId="0" xfId="0" applyFont="1" applyFill="1"/>
    <xf numFmtId="49" fontId="7" fillId="0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arger.com/bbe/article-pdf/86/3-4/145/2264694/000437413.pdf" TargetMode="External"/><Relationship Id="rId3" Type="http://schemas.openxmlformats.org/officeDocument/2006/relationships/hyperlink" Target="https://static-content.springer.com/esm/art%3A10.1038%2Fs41467-020-14356-3/MediaObjects/41467_2020_14356_MOESM6_ESM.xlsx" TargetMode="External"/><Relationship Id="rId7" Type="http://schemas.openxmlformats.org/officeDocument/2006/relationships/hyperlink" Target="https://figshare.com/ndownloader/files/9479092" TargetMode="External"/><Relationship Id="rId12" Type="http://schemas.openxmlformats.org/officeDocument/2006/relationships/hyperlink" Target="https://doi.org/10.3389/fnana.2017.00118" TargetMode="External"/><Relationship Id="rId2" Type="http://schemas.openxmlformats.org/officeDocument/2006/relationships/hyperlink" Target="https://cdn.elifesciences.org/articles/77875/elife-77875-supp3-v1.xlsx" TargetMode="External"/><Relationship Id="rId1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6" Type="http://schemas.openxmlformats.org/officeDocument/2006/relationships/hyperlink" Target="https://github.com/ManyPrimates/mp1_short_term_memory/raw/master/data/species_predictors.xlsx" TargetMode="External"/><Relationship Id="rId11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https://www.researchgate.net/publication/299027052_Developmental_constraints_on_or_developmental_structure_in_brain_evolution" TargetMode="External"/><Relationship Id="rId10" Type="http://schemas.openxmlformats.org/officeDocument/2006/relationships/hyperlink" Target="https://static-content.springer.com/esm/art%3A10.1038%2Fs41598-018-26062-8/MediaObjects/41598_2018_26062_MOESM1_ESM.docx" TargetMode="External"/><Relationship Id="rId4" Type="http://schemas.openxmlformats.org/officeDocument/2006/relationships/hyperlink" Target="https://ndownloader.figstatic.com/files/7428211" TargetMode="External"/><Relationship Id="rId9" Type="http://schemas.openxmlformats.org/officeDocument/2006/relationships/hyperlink" Target="https://karger.com/bbe/article-pdf/86/3-4/145/2264694/0004374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Z33"/>
  <sheetViews>
    <sheetView tabSelected="1" zoomScale="110" zoomScaleNormal="11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L6" sqref="L6"/>
    </sheetView>
  </sheetViews>
  <sheetFormatPr baseColWidth="10" defaultColWidth="11" defaultRowHeight="16" x14ac:dyDescent="0.2"/>
  <cols>
    <col min="1" max="1" width="25" style="10" customWidth="1"/>
    <col min="2" max="2" width="17" style="10" customWidth="1"/>
    <col min="3" max="3" width="10.6640625" style="10" customWidth="1"/>
    <col min="4" max="4" width="11.83203125" style="10" customWidth="1"/>
    <col min="5" max="5" width="9.33203125" style="10" customWidth="1"/>
    <col min="6" max="6" width="31.6640625" style="8" customWidth="1"/>
    <col min="7" max="7" width="20.5" style="8" customWidth="1"/>
    <col min="8" max="8" width="20.83203125" style="8" customWidth="1"/>
    <col min="9" max="9" width="45" style="8" customWidth="1"/>
    <col min="10" max="10" width="53.83203125" style="8" customWidth="1"/>
    <col min="11" max="11" width="23.1640625" style="8" customWidth="1"/>
    <col min="12" max="12" width="17.5" style="8" customWidth="1"/>
    <col min="13" max="13" width="14.5" style="8" customWidth="1"/>
    <col min="14" max="14" width="41.5" style="8" customWidth="1"/>
    <col min="15" max="15" width="16.1640625" style="8" customWidth="1"/>
    <col min="16" max="16" width="34.1640625" style="8" customWidth="1"/>
    <col min="17" max="17" width="13.83203125" style="8" customWidth="1"/>
    <col min="18" max="18" width="12.6640625" style="8" customWidth="1"/>
    <col min="19" max="19" width="22.1640625" style="8" customWidth="1"/>
    <col min="20" max="20" width="14.33203125" style="8" customWidth="1"/>
    <col min="21" max="21" width="41.1640625" style="8" customWidth="1"/>
    <col min="22" max="22" width="12.33203125" style="8" customWidth="1"/>
    <col min="23" max="23" width="11" style="8"/>
    <col min="24" max="24" width="10.6640625" style="8" customWidth="1"/>
    <col min="25" max="25" width="6.5" style="8" customWidth="1"/>
    <col min="26" max="16384" width="11" style="8"/>
  </cols>
  <sheetData>
    <row r="1" spans="1:26" s="6" customFormat="1" x14ac:dyDescent="0.2">
      <c r="A1" s="5" t="s">
        <v>213</v>
      </c>
      <c r="B1" s="5" t="s">
        <v>181</v>
      </c>
      <c r="C1" s="5" t="s">
        <v>183</v>
      </c>
      <c r="D1" s="5" t="s">
        <v>182</v>
      </c>
      <c r="E1" s="5" t="s">
        <v>184</v>
      </c>
      <c r="F1" s="6" t="s">
        <v>161</v>
      </c>
      <c r="G1" s="6" t="s">
        <v>150</v>
      </c>
      <c r="H1" s="6" t="s">
        <v>219</v>
      </c>
      <c r="I1" s="6" t="s">
        <v>210</v>
      </c>
      <c r="J1" s="6" t="s">
        <v>223</v>
      </c>
      <c r="K1" s="6" t="s">
        <v>103</v>
      </c>
      <c r="L1" s="6" t="s">
        <v>0</v>
      </c>
      <c r="M1" s="6" t="s">
        <v>245</v>
      </c>
      <c r="N1" s="6" t="s">
        <v>218</v>
      </c>
      <c r="O1" s="6" t="s">
        <v>1</v>
      </c>
      <c r="P1" s="6" t="s">
        <v>162</v>
      </c>
      <c r="Q1" s="6" t="s">
        <v>2</v>
      </c>
      <c r="R1" s="6" t="s">
        <v>3</v>
      </c>
      <c r="S1" s="6" t="s">
        <v>4</v>
      </c>
      <c r="T1" s="6" t="s">
        <v>5</v>
      </c>
      <c r="U1" s="6" t="s">
        <v>214</v>
      </c>
      <c r="V1" s="6" t="s">
        <v>6</v>
      </c>
      <c r="W1" s="6" t="s">
        <v>211</v>
      </c>
      <c r="X1" s="6" t="s">
        <v>7</v>
      </c>
      <c r="Y1" s="6" t="s">
        <v>8</v>
      </c>
      <c r="Z1" s="6" t="s">
        <v>9</v>
      </c>
    </row>
    <row r="2" spans="1:26" x14ac:dyDescent="0.2">
      <c r="A2" s="7" t="str">
        <f t="shared" ref="A2:A29" si="0">B2 &amp; IF(C2&lt;&gt;"", "_" &amp; C2, "") &amp; IF(D2&lt;&gt;"", "_" &amp; D2, "") &amp; IF(E2&lt;&gt;"", "-" &amp; E2, "")</f>
        <v>_Unpublished_ProjectKaskan</v>
      </c>
      <c r="B2" s="7" t="s">
        <v>186</v>
      </c>
      <c r="C2" s="7" t="s">
        <v>187</v>
      </c>
      <c r="D2" s="7" t="s">
        <v>188</v>
      </c>
      <c r="E2" s="7"/>
      <c r="F2" s="3"/>
      <c r="G2" s="3"/>
      <c r="H2" s="3"/>
      <c r="I2" s="3" t="str">
        <f t="shared" ref="I2:I33" si="1">TRIM(_xlfn.TEXTJOIN("_",FALSE,A2,(SUBSTITUTE(H2," ",""))))</f>
        <v>_Unpublished_ProjectKaskan_</v>
      </c>
      <c r="J2" s="3" t="str">
        <f t="shared" ref="J2:J33" si="2">TRIM(SUBSTITUTE(SUBSTITUTE(SUBSTITUTE(_xlfn.TEXTJOIN("_", FALSE, F2, H2), "/", "%2F"), ":", "%3A"), " ", ""))</f>
        <v>_</v>
      </c>
      <c r="K2" s="3"/>
      <c r="L2" s="8" t="s">
        <v>10</v>
      </c>
      <c r="M2" s="8" t="s">
        <v>186</v>
      </c>
      <c r="N2" s="7"/>
      <c r="O2" s="9"/>
      <c r="Q2" s="8" t="s">
        <v>11</v>
      </c>
      <c r="R2" s="8" t="s">
        <v>12</v>
      </c>
      <c r="U2" s="7"/>
      <c r="V2" s="8" t="s">
        <v>13</v>
      </c>
      <c r="W2" s="8" t="s">
        <v>49</v>
      </c>
      <c r="Y2" s="8" t="s">
        <v>14</v>
      </c>
      <c r="Z2" s="8" t="s">
        <v>15</v>
      </c>
    </row>
    <row r="3" spans="1:26" x14ac:dyDescent="0.2">
      <c r="A3" s="7" t="str">
        <f t="shared" si="0"/>
        <v>Burger_etal_2019</v>
      </c>
      <c r="B3" s="7" t="s">
        <v>189</v>
      </c>
      <c r="C3" s="7" t="s">
        <v>190</v>
      </c>
      <c r="D3" s="7">
        <v>2019</v>
      </c>
      <c r="E3" s="7"/>
      <c r="F3" s="3" t="s">
        <v>101</v>
      </c>
      <c r="G3" s="3"/>
      <c r="H3" s="3" t="s">
        <v>102</v>
      </c>
      <c r="I3" s="3" t="str">
        <f t="shared" si="1"/>
        <v>Burger_etal_2019_SupplementaryDataSD1</v>
      </c>
      <c r="J3" s="3" t="str">
        <f t="shared" si="2"/>
        <v>10.1093%2Fjmammal%2Fgyz043_SupplementaryDataSD1</v>
      </c>
      <c r="K3" s="3" t="s">
        <v>104</v>
      </c>
      <c r="L3" s="8" t="s">
        <v>16</v>
      </c>
      <c r="M3" s="3" t="s">
        <v>247</v>
      </c>
      <c r="N3" s="10" t="s">
        <v>17</v>
      </c>
      <c r="O3" s="8" t="s">
        <v>18</v>
      </c>
      <c r="P3" s="8" t="str">
        <f>IF(O3="N", N3, "write file name")</f>
        <v>gyz043_suppl_Supplement_Data.csv</v>
      </c>
      <c r="Q3" s="8" t="s">
        <v>19</v>
      </c>
      <c r="R3" s="8" t="s">
        <v>20</v>
      </c>
      <c r="S3" s="8" t="s">
        <v>21</v>
      </c>
      <c r="U3" s="7"/>
      <c r="V3" s="8" t="s">
        <v>22</v>
      </c>
      <c r="W3" s="8" t="s">
        <v>23</v>
      </c>
      <c r="Y3" s="8" t="s">
        <v>24</v>
      </c>
      <c r="Z3" s="8" t="s">
        <v>15</v>
      </c>
    </row>
    <row r="4" spans="1:26" x14ac:dyDescent="0.2">
      <c r="A4" s="7" t="str">
        <f t="shared" si="0"/>
        <v>Caspar_etal_2022</v>
      </c>
      <c r="B4" s="7" t="s">
        <v>191</v>
      </c>
      <c r="C4" s="7" t="s">
        <v>190</v>
      </c>
      <c r="D4" s="7">
        <v>2022</v>
      </c>
      <c r="E4" s="7"/>
      <c r="F4" s="11" t="s">
        <v>98</v>
      </c>
      <c r="G4" s="11"/>
      <c r="H4" s="3" t="s">
        <v>99</v>
      </c>
      <c r="I4" s="3" t="str">
        <f t="shared" si="1"/>
        <v>Caspar_etal_2022_Table1</v>
      </c>
      <c r="J4" s="3" t="str">
        <f t="shared" si="2"/>
        <v>10.7554%2FeLife.77875_Table1</v>
      </c>
      <c r="K4" s="3"/>
      <c r="L4" s="8" t="s">
        <v>16</v>
      </c>
      <c r="M4" s="8" t="s">
        <v>246</v>
      </c>
      <c r="N4" s="10" t="s">
        <v>230</v>
      </c>
      <c r="O4" s="8" t="s">
        <v>26</v>
      </c>
      <c r="P4" s="8" t="s">
        <v>231</v>
      </c>
      <c r="Q4" s="8" t="s">
        <v>27</v>
      </c>
      <c r="R4" s="8" t="s">
        <v>20</v>
      </c>
      <c r="S4" s="8" t="s">
        <v>28</v>
      </c>
      <c r="T4" s="9" t="s">
        <v>29</v>
      </c>
      <c r="U4" s="10" t="s">
        <v>25</v>
      </c>
      <c r="V4" s="8" t="s">
        <v>30</v>
      </c>
      <c r="W4" s="8" t="s">
        <v>31</v>
      </c>
      <c r="Y4" s="8" t="s">
        <v>32</v>
      </c>
      <c r="Z4" s="8" t="s">
        <v>33</v>
      </c>
    </row>
    <row r="5" spans="1:26" x14ac:dyDescent="0.2">
      <c r="A5" s="7" t="str">
        <f t="shared" si="0"/>
        <v>Caspar_etal_2022</v>
      </c>
      <c r="B5" s="7" t="s">
        <v>191</v>
      </c>
      <c r="C5" s="7" t="s">
        <v>190</v>
      </c>
      <c r="D5" s="7">
        <v>2022</v>
      </c>
      <c r="E5" s="12"/>
      <c r="F5" s="13" t="s">
        <v>98</v>
      </c>
      <c r="G5" s="13"/>
      <c r="H5" s="13" t="s">
        <v>100</v>
      </c>
      <c r="I5" s="3" t="str">
        <f>TRIM(_xlfn.TEXTJOIN("_",FALSE,A5,(SUBSTITUTE(H5," ",""))))</f>
        <v>Caspar_etal_2022_Supplementaryfile3</v>
      </c>
      <c r="J5" s="3" t="str">
        <f t="shared" si="2"/>
        <v>10.7554%2FeLife.77875_Supplementaryfile3</v>
      </c>
      <c r="K5" s="13"/>
      <c r="L5" s="8" t="s">
        <v>16</v>
      </c>
      <c r="M5" s="8" t="s">
        <v>246</v>
      </c>
      <c r="N5" s="10" t="s">
        <v>35</v>
      </c>
      <c r="O5" s="8" t="s">
        <v>18</v>
      </c>
      <c r="P5" s="8" t="str">
        <f>IF(O5="N", N5, "write file name")</f>
        <v>elife-77875-supp3-v1.xlsx</v>
      </c>
      <c r="Q5" s="8" t="s">
        <v>36</v>
      </c>
      <c r="R5" s="8" t="s">
        <v>20</v>
      </c>
      <c r="S5" s="8" t="s">
        <v>37</v>
      </c>
      <c r="T5" s="14" t="s">
        <v>38</v>
      </c>
      <c r="U5" s="10" t="s">
        <v>34</v>
      </c>
      <c r="V5" s="8" t="s">
        <v>39</v>
      </c>
      <c r="W5" s="8" t="s">
        <v>23</v>
      </c>
      <c r="Z5" s="8" t="s">
        <v>33</v>
      </c>
    </row>
    <row r="6" spans="1:26" x14ac:dyDescent="0.2">
      <c r="A6" s="7" t="str">
        <f t="shared" si="0"/>
        <v>Changizi_2001</v>
      </c>
      <c r="B6" s="7" t="s">
        <v>192</v>
      </c>
      <c r="C6" s="7"/>
      <c r="D6" s="7">
        <v>2001</v>
      </c>
      <c r="E6" s="12"/>
      <c r="F6" s="13" t="s">
        <v>105</v>
      </c>
      <c r="G6" s="13"/>
      <c r="H6" s="13" t="s">
        <v>106</v>
      </c>
      <c r="I6" s="3" t="str">
        <f t="shared" si="1"/>
        <v>Changizi_2001_Figure3</v>
      </c>
      <c r="J6" s="3" t="str">
        <f t="shared" si="2"/>
        <v>10.1007%2Fs004220000205_Figure3</v>
      </c>
      <c r="K6" s="13"/>
      <c r="L6" s="8" t="s">
        <v>221</v>
      </c>
      <c r="M6" s="8" t="s">
        <v>186</v>
      </c>
      <c r="N6" s="10" t="s">
        <v>220</v>
      </c>
      <c r="O6" s="8" t="s">
        <v>26</v>
      </c>
      <c r="P6" s="10" t="s">
        <v>233</v>
      </c>
      <c r="Q6" s="8" t="s">
        <v>27</v>
      </c>
      <c r="R6" s="8" t="s">
        <v>97</v>
      </c>
      <c r="S6" s="8" t="s">
        <v>96</v>
      </c>
      <c r="T6" s="14"/>
      <c r="U6" s="10"/>
      <c r="V6" s="8" t="s">
        <v>93</v>
      </c>
      <c r="W6" s="8" t="s">
        <v>92</v>
      </c>
      <c r="Y6" s="8" t="s">
        <v>95</v>
      </c>
    </row>
    <row r="7" spans="1:26" x14ac:dyDescent="0.2">
      <c r="A7" s="7" t="str">
        <f t="shared" si="0"/>
        <v>Chen_Wiens_2020</v>
      </c>
      <c r="B7" s="7" t="s">
        <v>193</v>
      </c>
      <c r="C7" s="7" t="s">
        <v>194</v>
      </c>
      <c r="D7" s="7">
        <v>2020</v>
      </c>
      <c r="E7" s="7"/>
      <c r="F7" s="3" t="s">
        <v>107</v>
      </c>
      <c r="G7" s="3"/>
      <c r="H7" s="3" t="s">
        <v>108</v>
      </c>
      <c r="I7" s="3" t="str">
        <f t="shared" si="1"/>
        <v>Chen_Wiens_2020_SupplementaryData3</v>
      </c>
      <c r="J7" s="3" t="str">
        <f t="shared" si="2"/>
        <v>10.1038%2Fs41467-020-14356-3_SupplementaryData3</v>
      </c>
      <c r="K7" s="3"/>
      <c r="L7" s="8" t="s">
        <v>16</v>
      </c>
      <c r="M7" s="8" t="s">
        <v>246</v>
      </c>
      <c r="N7" s="10" t="s">
        <v>40</v>
      </c>
      <c r="O7" s="8" t="s">
        <v>18</v>
      </c>
      <c r="P7" s="8" t="str">
        <f>IF(O7="N", N7, "write file name")</f>
        <v>41467_2020_14356_MOESM6_ESM.xlsx</v>
      </c>
      <c r="Q7" s="8" t="s">
        <v>36</v>
      </c>
      <c r="R7" s="8" t="s">
        <v>20</v>
      </c>
      <c r="S7" s="8" t="s">
        <v>37</v>
      </c>
      <c r="T7" s="9" t="s">
        <v>41</v>
      </c>
      <c r="U7" s="7"/>
      <c r="V7" s="8" t="s">
        <v>42</v>
      </c>
      <c r="W7" s="8" t="s">
        <v>23</v>
      </c>
      <c r="X7" s="8" t="s">
        <v>43</v>
      </c>
      <c r="Y7" s="8" t="s">
        <v>94</v>
      </c>
      <c r="Z7" s="8" t="s">
        <v>44</v>
      </c>
    </row>
    <row r="8" spans="1:26" x14ac:dyDescent="0.2">
      <c r="A8" s="7" t="str">
        <f t="shared" si="0"/>
        <v>DosSantos_etal_2017</v>
      </c>
      <c r="B8" s="7" t="s">
        <v>195</v>
      </c>
      <c r="C8" s="7" t="s">
        <v>190</v>
      </c>
      <c r="D8" s="7">
        <v>2017</v>
      </c>
      <c r="F8" s="3" t="s">
        <v>109</v>
      </c>
      <c r="G8" s="3"/>
      <c r="H8" s="3" t="s">
        <v>110</v>
      </c>
      <c r="I8" s="3" t="str">
        <f t="shared" si="1"/>
        <v>DosSantos_etal_2017_TableS1</v>
      </c>
      <c r="J8" s="3" t="str">
        <f t="shared" si="2"/>
        <v>10.1159%2F000452856_TableS1</v>
      </c>
      <c r="K8" s="3" t="s">
        <v>111</v>
      </c>
      <c r="L8" s="8" t="s">
        <v>16</v>
      </c>
      <c r="M8" s="8" t="s">
        <v>246</v>
      </c>
      <c r="N8" s="10" t="s">
        <v>225</v>
      </c>
      <c r="O8" s="8" t="s">
        <v>26</v>
      </c>
      <c r="P8" s="8" t="s">
        <v>228</v>
      </c>
      <c r="Q8" s="8" t="s">
        <v>45</v>
      </c>
      <c r="R8" s="8" t="s">
        <v>46</v>
      </c>
      <c r="S8" s="8" t="s">
        <v>37</v>
      </c>
      <c r="T8" s="9" t="s">
        <v>47</v>
      </c>
      <c r="U8" s="10"/>
      <c r="V8" s="8" t="s">
        <v>48</v>
      </c>
      <c r="W8" s="8" t="s">
        <v>49</v>
      </c>
      <c r="Z8" s="8" t="s">
        <v>50</v>
      </c>
    </row>
    <row r="9" spans="1:26" x14ac:dyDescent="0.2">
      <c r="A9" s="7" t="str">
        <f t="shared" si="0"/>
        <v>DosSantos_etal_2020</v>
      </c>
      <c r="B9" s="7" t="s">
        <v>195</v>
      </c>
      <c r="C9" s="7" t="s">
        <v>190</v>
      </c>
      <c r="D9" s="7">
        <v>2020</v>
      </c>
      <c r="E9" s="7"/>
      <c r="F9" s="3" t="s">
        <v>112</v>
      </c>
      <c r="G9" s="3"/>
      <c r="H9" s="3" t="s">
        <v>99</v>
      </c>
      <c r="I9" s="3" t="str">
        <f t="shared" si="1"/>
        <v>DosSantos_etal_2020_Table1</v>
      </c>
      <c r="J9" s="3" t="str">
        <f t="shared" si="2"/>
        <v>10.1523%2FJNEUROSCI.2339-19.2020_Table1</v>
      </c>
      <c r="K9" s="3"/>
      <c r="L9" s="8" t="s">
        <v>16</v>
      </c>
      <c r="M9" s="8" t="s">
        <v>246</v>
      </c>
      <c r="N9" s="15" t="s">
        <v>226</v>
      </c>
      <c r="O9" s="8" t="s">
        <v>26</v>
      </c>
      <c r="P9" s="8" t="s">
        <v>227</v>
      </c>
      <c r="Q9" s="8" t="s">
        <v>172</v>
      </c>
      <c r="R9" s="8" t="s">
        <v>20</v>
      </c>
      <c r="U9" s="7"/>
      <c r="V9" s="8" t="s">
        <v>48</v>
      </c>
      <c r="W9" s="8" t="s">
        <v>49</v>
      </c>
      <c r="Z9" s="8" t="s">
        <v>51</v>
      </c>
    </row>
    <row r="10" spans="1:26" x14ac:dyDescent="0.2">
      <c r="A10" s="7" t="str">
        <f t="shared" si="0"/>
        <v>Finlay_etal_2006</v>
      </c>
      <c r="B10" s="7" t="s">
        <v>196</v>
      </c>
      <c r="C10" s="7" t="s">
        <v>190</v>
      </c>
      <c r="D10" s="7">
        <v>2006</v>
      </c>
      <c r="E10" s="7"/>
      <c r="F10" s="3" t="s">
        <v>224</v>
      </c>
      <c r="G10" s="3"/>
      <c r="H10" s="3" t="s">
        <v>117</v>
      </c>
      <c r="I10" s="3" t="str">
        <f t="shared" si="1"/>
        <v>Finlay_etal_2006_Table6.1</v>
      </c>
      <c r="J10" s="3" t="str">
        <f t="shared" si="2"/>
        <v>10.1093%2Foso%2F9780198568742.003.0006_Table6.1</v>
      </c>
      <c r="K10" s="3"/>
      <c r="L10" s="8" t="s">
        <v>221</v>
      </c>
      <c r="M10" s="8" t="s">
        <v>186</v>
      </c>
      <c r="N10" s="10" t="s">
        <v>229</v>
      </c>
      <c r="O10" s="8" t="s">
        <v>26</v>
      </c>
      <c r="P10" s="8" t="s">
        <v>232</v>
      </c>
      <c r="Q10" s="8" t="s">
        <v>52</v>
      </c>
      <c r="R10" s="8" t="s">
        <v>20</v>
      </c>
      <c r="S10" s="8" t="s">
        <v>28</v>
      </c>
      <c r="T10" s="9" t="s">
        <v>53</v>
      </c>
      <c r="U10" s="7"/>
      <c r="V10" s="8" t="s">
        <v>171</v>
      </c>
      <c r="Y10" s="8" t="s">
        <v>54</v>
      </c>
      <c r="Z10" s="8" t="s">
        <v>15</v>
      </c>
    </row>
    <row r="11" spans="1:26" x14ac:dyDescent="0.2">
      <c r="A11" s="7" t="str">
        <f t="shared" si="0"/>
        <v>Heffner_Masterton_1975</v>
      </c>
      <c r="B11" s="7" t="s">
        <v>197</v>
      </c>
      <c r="C11" s="7" t="s">
        <v>198</v>
      </c>
      <c r="D11" s="7">
        <v>1975</v>
      </c>
      <c r="E11" s="7"/>
      <c r="F11" s="3" t="s">
        <v>113</v>
      </c>
      <c r="G11" s="3"/>
      <c r="H11" s="3" t="s">
        <v>116</v>
      </c>
      <c r="I11" s="3" t="str">
        <f t="shared" si="1"/>
        <v>Heffner_Masterton_1975_TableI</v>
      </c>
      <c r="J11" s="3" t="str">
        <f t="shared" si="2"/>
        <v>10.1159%2F000124401_TableI</v>
      </c>
      <c r="K11" s="3"/>
      <c r="L11" s="8" t="s">
        <v>16</v>
      </c>
      <c r="M11" s="8" t="s">
        <v>246</v>
      </c>
      <c r="N11" s="10" t="s">
        <v>222</v>
      </c>
      <c r="O11" s="8" t="s">
        <v>26</v>
      </c>
      <c r="P11" s="8" t="s">
        <v>163</v>
      </c>
      <c r="Q11" s="8" t="s">
        <v>27</v>
      </c>
      <c r="R11" s="8" t="s">
        <v>20</v>
      </c>
      <c r="S11" s="8" t="s">
        <v>96</v>
      </c>
      <c r="U11" s="7"/>
      <c r="V11" s="8" t="s">
        <v>56</v>
      </c>
      <c r="W11" s="8" t="s">
        <v>164</v>
      </c>
      <c r="X11" s="8" t="s">
        <v>57</v>
      </c>
      <c r="Z11" s="8" t="s">
        <v>15</v>
      </c>
    </row>
    <row r="12" spans="1:26" x14ac:dyDescent="0.2">
      <c r="A12" s="7" t="str">
        <f t="shared" si="0"/>
        <v>Heffner_Masterton_1983</v>
      </c>
      <c r="B12" s="7" t="s">
        <v>197</v>
      </c>
      <c r="C12" s="7" t="s">
        <v>198</v>
      </c>
      <c r="D12" s="7">
        <v>1983</v>
      </c>
      <c r="E12" s="7"/>
      <c r="F12" s="3" t="s">
        <v>114</v>
      </c>
      <c r="G12" s="3"/>
      <c r="H12" s="3" t="s">
        <v>116</v>
      </c>
      <c r="I12" s="3" t="str">
        <f t="shared" si="1"/>
        <v>Heffner_Masterton_1983_TableI</v>
      </c>
      <c r="J12" s="3" t="str">
        <f t="shared" si="2"/>
        <v>10.1159%2F000121494_TableI</v>
      </c>
      <c r="K12" s="3"/>
      <c r="L12" s="16" t="s">
        <v>58</v>
      </c>
      <c r="M12" s="8" t="s">
        <v>186</v>
      </c>
      <c r="N12" s="15"/>
      <c r="P12" s="8" t="str">
        <f>IF(O12="N", N12, "write file name")</f>
        <v>write file name</v>
      </c>
      <c r="Q12" s="8" t="s">
        <v>27</v>
      </c>
      <c r="R12" s="8" t="s">
        <v>20</v>
      </c>
      <c r="U12" s="7"/>
      <c r="V12" s="8" t="s">
        <v>56</v>
      </c>
      <c r="Z12" s="8" t="s">
        <v>15</v>
      </c>
    </row>
    <row r="13" spans="1:26" x14ac:dyDescent="0.2">
      <c r="A13" s="7" t="str">
        <f t="shared" si="0"/>
        <v>Heldstab_etal_2016</v>
      </c>
      <c r="B13" s="7" t="s">
        <v>199</v>
      </c>
      <c r="C13" s="7" t="s">
        <v>190</v>
      </c>
      <c r="D13" s="7">
        <v>2016</v>
      </c>
      <c r="E13" s="7"/>
      <c r="F13" s="3" t="s">
        <v>115</v>
      </c>
      <c r="G13" s="3"/>
      <c r="H13" s="3" t="s">
        <v>110</v>
      </c>
      <c r="I13" s="3" t="str">
        <f t="shared" si="1"/>
        <v>Heldstab_etal_2016_TableS1</v>
      </c>
      <c r="J13" s="3" t="str">
        <f t="shared" si="2"/>
        <v>10.1038%2Fsrep24528_TableS1</v>
      </c>
      <c r="K13" s="3"/>
      <c r="L13" s="16" t="s">
        <v>58</v>
      </c>
      <c r="M13" s="8" t="s">
        <v>186</v>
      </c>
      <c r="N13" s="15"/>
      <c r="P13" s="8" t="str">
        <f>IF(O13="N", N13, "write file name")</f>
        <v>write file name</v>
      </c>
      <c r="Q13" s="8" t="s">
        <v>27</v>
      </c>
      <c r="R13" s="8" t="s">
        <v>20</v>
      </c>
      <c r="U13" s="7"/>
      <c r="V13" s="8" t="s">
        <v>59</v>
      </c>
      <c r="Z13" s="8" t="s">
        <v>33</v>
      </c>
    </row>
    <row r="14" spans="1:26" x14ac:dyDescent="0.2">
      <c r="A14" s="7" t="str">
        <f t="shared" si="0"/>
        <v>HerculanoHouzel_etal_2015</v>
      </c>
      <c r="B14" s="7" t="s">
        <v>200</v>
      </c>
      <c r="C14" s="7" t="s">
        <v>190</v>
      </c>
      <c r="D14" s="7">
        <v>2015</v>
      </c>
      <c r="E14" s="7"/>
      <c r="F14" s="3" t="s">
        <v>118</v>
      </c>
      <c r="G14" s="3"/>
      <c r="H14" s="3" t="s">
        <v>99</v>
      </c>
      <c r="I14" s="3" t="str">
        <f t="shared" si="1"/>
        <v>HerculanoHouzel_etal_2015_Table1</v>
      </c>
      <c r="J14" s="3" t="str">
        <f t="shared" si="2"/>
        <v>10.1159%2F000437413_Table1</v>
      </c>
      <c r="K14" s="3"/>
      <c r="L14" s="8" t="s">
        <v>16</v>
      </c>
      <c r="M14" s="8" t="s">
        <v>246</v>
      </c>
      <c r="N14" s="15" t="s">
        <v>236</v>
      </c>
      <c r="O14" s="3" t="s">
        <v>26</v>
      </c>
      <c r="P14" s="8" t="s">
        <v>165</v>
      </c>
      <c r="Q14" s="8" t="s">
        <v>27</v>
      </c>
      <c r="R14" s="8" t="s">
        <v>20</v>
      </c>
      <c r="S14" s="8" t="s">
        <v>28</v>
      </c>
      <c r="T14" s="9" t="s">
        <v>166</v>
      </c>
      <c r="U14" s="7" t="s">
        <v>123</v>
      </c>
      <c r="V14" s="8" t="s">
        <v>48</v>
      </c>
      <c r="Z14" s="8" t="s">
        <v>61</v>
      </c>
    </row>
    <row r="15" spans="1:26" x14ac:dyDescent="0.2">
      <c r="A15" s="7" t="str">
        <f t="shared" si="0"/>
        <v>HerculanoHouzel_etal_2015</v>
      </c>
      <c r="B15" s="7" t="s">
        <v>200</v>
      </c>
      <c r="C15" s="7" t="s">
        <v>190</v>
      </c>
      <c r="D15" s="7">
        <v>2015</v>
      </c>
      <c r="E15" s="7"/>
      <c r="F15" s="3" t="s">
        <v>118</v>
      </c>
      <c r="G15" s="3"/>
      <c r="H15" s="3" t="s">
        <v>119</v>
      </c>
      <c r="I15" s="3" t="str">
        <f t="shared" si="1"/>
        <v>HerculanoHouzel_etal_2015_Table2</v>
      </c>
      <c r="J15" s="3" t="str">
        <f t="shared" si="2"/>
        <v>10.1159%2F000437413_Table2</v>
      </c>
      <c r="K15" s="3"/>
      <c r="L15" s="8" t="s">
        <v>16</v>
      </c>
      <c r="M15" s="8" t="s">
        <v>246</v>
      </c>
      <c r="N15" s="15" t="s">
        <v>237</v>
      </c>
      <c r="O15" s="3" t="s">
        <v>26</v>
      </c>
      <c r="P15" s="8" t="s">
        <v>167</v>
      </c>
      <c r="Q15" s="8" t="s">
        <v>27</v>
      </c>
      <c r="R15" s="8" t="s">
        <v>20</v>
      </c>
      <c r="S15" s="8" t="s">
        <v>28</v>
      </c>
      <c r="T15" s="9" t="s">
        <v>166</v>
      </c>
      <c r="U15" s="7" t="s">
        <v>124</v>
      </c>
      <c r="V15" s="8" t="s">
        <v>48</v>
      </c>
      <c r="Z15" s="8" t="s">
        <v>61</v>
      </c>
    </row>
    <row r="16" spans="1:26" x14ac:dyDescent="0.2">
      <c r="A16" s="7" t="str">
        <f t="shared" si="0"/>
        <v>HerculanoHouzel_etal_2015</v>
      </c>
      <c r="B16" s="7" t="s">
        <v>200</v>
      </c>
      <c r="C16" s="7" t="s">
        <v>190</v>
      </c>
      <c r="D16" s="7">
        <v>2015</v>
      </c>
      <c r="E16" s="7"/>
      <c r="F16" s="3" t="s">
        <v>118</v>
      </c>
      <c r="G16" s="3"/>
      <c r="H16" s="3" t="s">
        <v>120</v>
      </c>
      <c r="I16" s="3" t="str">
        <f t="shared" si="1"/>
        <v>HerculanoHouzel_etal_2015_Table3</v>
      </c>
      <c r="J16" s="3" t="str">
        <f t="shared" si="2"/>
        <v>10.1159%2F000437413_Table3</v>
      </c>
      <c r="K16" s="3"/>
      <c r="L16" s="8" t="s">
        <v>16</v>
      </c>
      <c r="M16" s="8" t="s">
        <v>246</v>
      </c>
      <c r="N16" s="17" t="s">
        <v>238</v>
      </c>
      <c r="O16" s="3" t="s">
        <v>26</v>
      </c>
      <c r="P16" s="8" t="s">
        <v>168</v>
      </c>
      <c r="Q16" s="8" t="s">
        <v>27</v>
      </c>
      <c r="R16" s="8" t="s">
        <v>20</v>
      </c>
      <c r="S16" s="8" t="s">
        <v>28</v>
      </c>
      <c r="T16" s="9" t="s">
        <v>166</v>
      </c>
      <c r="U16" s="7" t="s">
        <v>125</v>
      </c>
      <c r="V16" s="8" t="s">
        <v>48</v>
      </c>
      <c r="Z16" s="8" t="s">
        <v>61</v>
      </c>
    </row>
    <row r="17" spans="1:26" x14ac:dyDescent="0.2">
      <c r="A17" s="7" t="str">
        <f t="shared" si="0"/>
        <v>HerculanoHouzel_etal_2015</v>
      </c>
      <c r="B17" s="7" t="s">
        <v>200</v>
      </c>
      <c r="C17" s="7" t="s">
        <v>190</v>
      </c>
      <c r="D17" s="7">
        <v>2015</v>
      </c>
      <c r="E17" s="7"/>
      <c r="F17" s="3" t="s">
        <v>118</v>
      </c>
      <c r="G17" s="3"/>
      <c r="H17" s="3" t="s">
        <v>121</v>
      </c>
      <c r="I17" s="3" t="str">
        <f t="shared" si="1"/>
        <v>HerculanoHouzel_etal_2015_Table4</v>
      </c>
      <c r="J17" s="3" t="str">
        <f t="shared" si="2"/>
        <v>10.1159%2F000437413_Table4</v>
      </c>
      <c r="K17" s="3"/>
      <c r="L17" s="8" t="s">
        <v>16</v>
      </c>
      <c r="M17" s="8" t="s">
        <v>246</v>
      </c>
      <c r="N17" s="15" t="s">
        <v>239</v>
      </c>
      <c r="O17" s="3" t="s">
        <v>26</v>
      </c>
      <c r="P17" s="8" t="s">
        <v>169</v>
      </c>
      <c r="Q17" s="8" t="s">
        <v>27</v>
      </c>
      <c r="R17" s="8" t="s">
        <v>20</v>
      </c>
      <c r="S17" s="8" t="s">
        <v>28</v>
      </c>
      <c r="T17" s="9" t="s">
        <v>166</v>
      </c>
      <c r="U17" s="10" t="s">
        <v>126</v>
      </c>
      <c r="V17" s="8" t="s">
        <v>48</v>
      </c>
      <c r="Z17" s="8" t="s">
        <v>61</v>
      </c>
    </row>
    <row r="18" spans="1:26" x14ac:dyDescent="0.2">
      <c r="A18" s="7" t="str">
        <f t="shared" si="0"/>
        <v>HerculanoHouzel_etal_2015</v>
      </c>
      <c r="B18" s="7" t="s">
        <v>200</v>
      </c>
      <c r="C18" s="7" t="s">
        <v>190</v>
      </c>
      <c r="D18" s="7">
        <v>2015</v>
      </c>
      <c r="E18" s="7"/>
      <c r="F18" s="3" t="s">
        <v>118</v>
      </c>
      <c r="G18" s="3"/>
      <c r="H18" s="3" t="s">
        <v>122</v>
      </c>
      <c r="I18" s="3" t="str">
        <f t="shared" si="1"/>
        <v>HerculanoHouzel_etal_2015_Table5</v>
      </c>
      <c r="J18" s="3" t="str">
        <f t="shared" si="2"/>
        <v>10.1159%2F000437413_Table5</v>
      </c>
      <c r="K18" s="3"/>
      <c r="L18" s="8" t="s">
        <v>16</v>
      </c>
      <c r="M18" s="8" t="s">
        <v>246</v>
      </c>
      <c r="N18" s="15" t="s">
        <v>240</v>
      </c>
      <c r="O18" s="3" t="s">
        <v>26</v>
      </c>
      <c r="P18" s="8" t="s">
        <v>170</v>
      </c>
      <c r="Q18" s="8" t="s">
        <v>27</v>
      </c>
      <c r="R18" s="8" t="s">
        <v>20</v>
      </c>
      <c r="S18" s="8" t="s">
        <v>28</v>
      </c>
      <c r="T18" s="9" t="s">
        <v>166</v>
      </c>
      <c r="U18" s="10" t="s">
        <v>127</v>
      </c>
      <c r="V18" s="8" t="s">
        <v>48</v>
      </c>
      <c r="Z18" s="8" t="s">
        <v>61</v>
      </c>
    </row>
    <row r="19" spans="1:26" x14ac:dyDescent="0.2">
      <c r="A19" s="7" t="str">
        <f t="shared" si="0"/>
        <v>HerculanoHouzel_etal_2020</v>
      </c>
      <c r="B19" s="7" t="s">
        <v>200</v>
      </c>
      <c r="C19" s="7" t="s">
        <v>190</v>
      </c>
      <c r="D19" s="7">
        <v>2020</v>
      </c>
      <c r="E19" s="7"/>
      <c r="F19" s="3" t="s">
        <v>128</v>
      </c>
      <c r="G19" s="3"/>
      <c r="H19" s="3" t="s">
        <v>131</v>
      </c>
      <c r="I19" s="3" t="str">
        <f t="shared" si="1"/>
        <v>HerculanoHouzel_etal_2020_TABLE1</v>
      </c>
      <c r="J19" s="3" t="str">
        <f t="shared" si="2"/>
        <v>10.1002%2Fcne.24985_TABLE1</v>
      </c>
      <c r="K19" s="3"/>
      <c r="L19" s="8" t="s">
        <v>16</v>
      </c>
      <c r="M19" s="8" t="s">
        <v>246</v>
      </c>
      <c r="N19" s="15" t="s">
        <v>234</v>
      </c>
      <c r="O19" s="3" t="s">
        <v>26</v>
      </c>
      <c r="P19" s="8" t="s">
        <v>173</v>
      </c>
      <c r="Q19" s="8" t="s">
        <v>27</v>
      </c>
      <c r="R19" s="8" t="s">
        <v>20</v>
      </c>
      <c r="S19" s="8" t="s">
        <v>96</v>
      </c>
      <c r="U19" s="7" t="s">
        <v>129</v>
      </c>
      <c r="V19" s="8" t="s">
        <v>133</v>
      </c>
      <c r="Z19" s="8" t="s">
        <v>62</v>
      </c>
    </row>
    <row r="20" spans="1:26" ht="19" customHeight="1" x14ac:dyDescent="0.2">
      <c r="A20" s="7" t="str">
        <f t="shared" si="0"/>
        <v>HerculanoHouzel_etal_2020</v>
      </c>
      <c r="B20" s="7" t="s">
        <v>200</v>
      </c>
      <c r="C20" s="7" t="s">
        <v>190</v>
      </c>
      <c r="D20" s="7">
        <v>2020</v>
      </c>
      <c r="E20" s="7"/>
      <c r="F20" s="3" t="s">
        <v>128</v>
      </c>
      <c r="G20" s="3"/>
      <c r="H20" s="3" t="s">
        <v>132</v>
      </c>
      <c r="I20" s="3" t="str">
        <f t="shared" si="1"/>
        <v>HerculanoHouzel_etal_2020_TABLE2</v>
      </c>
      <c r="J20" s="3" t="str">
        <f t="shared" si="2"/>
        <v>10.1002%2Fcne.24985_TABLE2</v>
      </c>
      <c r="K20" s="3"/>
      <c r="L20" s="8" t="s">
        <v>16</v>
      </c>
      <c r="M20" s="8" t="s">
        <v>246</v>
      </c>
      <c r="N20" s="15" t="s">
        <v>235</v>
      </c>
      <c r="O20" s="3" t="s">
        <v>26</v>
      </c>
      <c r="P20" s="8" t="s">
        <v>174</v>
      </c>
      <c r="Q20" s="8" t="s">
        <v>27</v>
      </c>
      <c r="R20" s="8" t="s">
        <v>20</v>
      </c>
      <c r="S20" s="8" t="s">
        <v>96</v>
      </c>
      <c r="U20" s="7" t="s">
        <v>130</v>
      </c>
      <c r="V20" s="8" t="s">
        <v>134</v>
      </c>
      <c r="Z20" s="8" t="s">
        <v>62</v>
      </c>
    </row>
    <row r="21" spans="1:26" ht="17" customHeight="1" x14ac:dyDescent="0.2">
      <c r="A21" s="7" t="str">
        <f t="shared" si="0"/>
        <v>Iwaniuk_etal_2016</v>
      </c>
      <c r="B21" s="7" t="s">
        <v>201</v>
      </c>
      <c r="C21" s="7" t="s">
        <v>190</v>
      </c>
      <c r="D21" s="7">
        <v>2016</v>
      </c>
      <c r="E21" s="7"/>
      <c r="F21" s="3" t="s">
        <v>135</v>
      </c>
      <c r="G21" s="3"/>
      <c r="H21" s="3" t="s">
        <v>99</v>
      </c>
      <c r="I21" s="3" t="str">
        <f t="shared" si="1"/>
        <v>Iwaniuk_etal_2016_Table1</v>
      </c>
      <c r="J21" s="3" t="str">
        <f t="shared" si="2"/>
        <v>10.1037%2F0735-7036.115.1.29_Table1</v>
      </c>
      <c r="K21" s="3"/>
      <c r="L21" s="8" t="s">
        <v>55</v>
      </c>
      <c r="M21" s="8" t="s">
        <v>186</v>
      </c>
      <c r="N21" s="15"/>
      <c r="P21" s="8" t="str">
        <f>IF(O21="N", N21, "write file name")</f>
        <v>write file name</v>
      </c>
      <c r="Q21" s="8" t="s">
        <v>27</v>
      </c>
      <c r="R21" s="8" t="s">
        <v>20</v>
      </c>
      <c r="U21" s="12" t="s">
        <v>138</v>
      </c>
      <c r="V21" s="8" t="s">
        <v>63</v>
      </c>
      <c r="Z21" s="8" t="s">
        <v>64</v>
      </c>
    </row>
    <row r="22" spans="1:26" ht="17" customHeight="1" x14ac:dyDescent="0.2">
      <c r="A22" s="7" t="str">
        <f t="shared" si="0"/>
        <v>Iwaniuk_etal_2016</v>
      </c>
      <c r="B22" s="7" t="s">
        <v>201</v>
      </c>
      <c r="C22" s="7" t="s">
        <v>190</v>
      </c>
      <c r="D22" s="7">
        <v>2016</v>
      </c>
      <c r="E22" s="7"/>
      <c r="F22" s="3" t="s">
        <v>135</v>
      </c>
      <c r="G22" s="3"/>
      <c r="H22" s="3" t="s">
        <v>119</v>
      </c>
      <c r="I22" s="3" t="str">
        <f t="shared" si="1"/>
        <v>Iwaniuk_etal_2016_Table2</v>
      </c>
      <c r="J22" s="3" t="str">
        <f t="shared" si="2"/>
        <v>10.1037%2F0735-7036.115.1.29_Table2</v>
      </c>
      <c r="K22" s="3"/>
      <c r="L22" s="8" t="s">
        <v>55</v>
      </c>
      <c r="M22" s="8" t="s">
        <v>186</v>
      </c>
      <c r="N22" s="15"/>
      <c r="P22" s="8" t="str">
        <f>IF(O22="N", N22, "write file name")</f>
        <v>write file name</v>
      </c>
      <c r="Q22" s="8" t="s">
        <v>27</v>
      </c>
      <c r="R22" s="8" t="s">
        <v>20</v>
      </c>
      <c r="U22" s="12" t="s">
        <v>136</v>
      </c>
      <c r="V22" s="8" t="s">
        <v>63</v>
      </c>
      <c r="Z22" s="8" t="s">
        <v>64</v>
      </c>
    </row>
    <row r="23" spans="1:26" ht="17" customHeight="1" x14ac:dyDescent="0.2">
      <c r="A23" s="7" t="str">
        <f t="shared" si="0"/>
        <v>Iwaniuk_etal_2016</v>
      </c>
      <c r="B23" s="7" t="s">
        <v>201</v>
      </c>
      <c r="C23" s="7" t="s">
        <v>190</v>
      </c>
      <c r="D23" s="7">
        <v>2016</v>
      </c>
      <c r="E23" s="7"/>
      <c r="F23" s="3" t="s">
        <v>135</v>
      </c>
      <c r="G23" s="3"/>
      <c r="H23" s="3" t="s">
        <v>120</v>
      </c>
      <c r="I23" s="3" t="str">
        <f t="shared" si="1"/>
        <v>Iwaniuk_etal_2016_Table3</v>
      </c>
      <c r="J23" s="3" t="str">
        <f t="shared" si="2"/>
        <v>10.1037%2F0735-7036.115.1.29_Table3</v>
      </c>
      <c r="K23" s="3"/>
      <c r="L23" s="8" t="s">
        <v>55</v>
      </c>
      <c r="M23" s="8" t="s">
        <v>186</v>
      </c>
      <c r="N23" s="15"/>
      <c r="P23" s="8" t="str">
        <f>IF(O23="N", N23, "write file name")</f>
        <v>write file name</v>
      </c>
      <c r="Q23" s="8" t="s">
        <v>27</v>
      </c>
      <c r="R23" s="8" t="s">
        <v>20</v>
      </c>
      <c r="U23" s="12" t="s">
        <v>137</v>
      </c>
      <c r="V23" s="8" t="s">
        <v>63</v>
      </c>
      <c r="Z23" s="8" t="s">
        <v>64</v>
      </c>
    </row>
    <row r="24" spans="1:26" ht="17" customHeight="1" x14ac:dyDescent="0.2">
      <c r="A24" s="7" t="str">
        <f t="shared" si="0"/>
        <v>Iwaniuk_etal_2016</v>
      </c>
      <c r="B24" s="7" t="s">
        <v>201</v>
      </c>
      <c r="C24" s="7" t="s">
        <v>190</v>
      </c>
      <c r="D24" s="7">
        <v>2016</v>
      </c>
      <c r="E24" s="7"/>
      <c r="F24" s="3" t="s">
        <v>135</v>
      </c>
      <c r="G24" s="3"/>
      <c r="H24" s="3" t="s">
        <v>121</v>
      </c>
      <c r="I24" s="3" t="str">
        <f t="shared" si="1"/>
        <v>Iwaniuk_etal_2016_Table4</v>
      </c>
      <c r="J24" s="3" t="str">
        <f t="shared" si="2"/>
        <v>10.1037%2F0735-7036.115.1.29_Table4</v>
      </c>
      <c r="K24" s="3"/>
      <c r="L24" s="8" t="s">
        <v>55</v>
      </c>
      <c r="M24" s="8" t="s">
        <v>186</v>
      </c>
      <c r="N24" s="15"/>
      <c r="P24" s="8" t="str">
        <f>IF(O24="N", N24, "write file name")</f>
        <v>write file name</v>
      </c>
      <c r="Q24" s="8" t="s">
        <v>27</v>
      </c>
      <c r="R24" s="8" t="s">
        <v>20</v>
      </c>
      <c r="U24" s="12" t="s">
        <v>139</v>
      </c>
      <c r="V24" s="8" t="s">
        <v>63</v>
      </c>
      <c r="Z24" s="8" t="s">
        <v>64</v>
      </c>
    </row>
    <row r="25" spans="1:26" x14ac:dyDescent="0.2">
      <c r="A25" s="7" t="str">
        <f t="shared" si="0"/>
        <v>JardimMesseder_etal_2017</v>
      </c>
      <c r="B25" s="7" t="s">
        <v>202</v>
      </c>
      <c r="C25" s="7" t="s">
        <v>190</v>
      </c>
      <c r="D25" s="7">
        <v>2017</v>
      </c>
      <c r="E25" s="7"/>
      <c r="F25" s="3" t="s">
        <v>140</v>
      </c>
      <c r="G25" s="3"/>
      <c r="H25" s="3" t="s">
        <v>99</v>
      </c>
      <c r="I25" s="3" t="str">
        <f t="shared" si="1"/>
        <v>JardimMesseder_etal_2017_Table1</v>
      </c>
      <c r="J25" s="3" t="str">
        <f t="shared" si="2"/>
        <v>10.3389%2Ffnana.2017.00118_Table1</v>
      </c>
      <c r="K25" s="3"/>
      <c r="L25" s="8" t="s">
        <v>16</v>
      </c>
      <c r="M25" s="8" t="s">
        <v>246</v>
      </c>
      <c r="N25" s="15" t="s">
        <v>241</v>
      </c>
      <c r="O25" s="3" t="s">
        <v>26</v>
      </c>
      <c r="P25" s="8" t="s">
        <v>180</v>
      </c>
      <c r="Q25" s="8" t="s">
        <v>27</v>
      </c>
      <c r="R25" s="8" t="s">
        <v>20</v>
      </c>
      <c r="S25" s="8" t="s">
        <v>28</v>
      </c>
      <c r="T25" s="9" t="s">
        <v>242</v>
      </c>
      <c r="U25" s="7" t="s">
        <v>243</v>
      </c>
      <c r="V25" s="8" t="s">
        <v>48</v>
      </c>
      <c r="Z25" s="8" t="s">
        <v>65</v>
      </c>
    </row>
    <row r="26" spans="1:26" x14ac:dyDescent="0.2">
      <c r="A26" s="7" t="str">
        <f t="shared" si="0"/>
        <v>Kverkova_etal_2018</v>
      </c>
      <c r="B26" s="7" t="s">
        <v>203</v>
      </c>
      <c r="C26" s="7" t="s">
        <v>190</v>
      </c>
      <c r="D26" s="7">
        <v>2018</v>
      </c>
      <c r="E26" s="7"/>
      <c r="F26" s="3" t="s">
        <v>141</v>
      </c>
      <c r="G26" s="3"/>
      <c r="H26" s="3" t="s">
        <v>110</v>
      </c>
      <c r="I26" s="3" t="str">
        <f t="shared" si="1"/>
        <v>Kverkova_etal_2018_TableS1</v>
      </c>
      <c r="J26" s="3" t="str">
        <f t="shared" si="2"/>
        <v>10.1038%2Fs41598-018-26062-8_TableS1</v>
      </c>
      <c r="K26" s="3"/>
      <c r="L26" s="8" t="s">
        <v>16</v>
      </c>
      <c r="M26" s="8" t="s">
        <v>246</v>
      </c>
      <c r="N26" s="15"/>
      <c r="O26" s="3" t="s">
        <v>26</v>
      </c>
      <c r="P26" s="8" t="s">
        <v>177</v>
      </c>
      <c r="Q26" s="8" t="s">
        <v>175</v>
      </c>
      <c r="R26" s="8" t="s">
        <v>20</v>
      </c>
      <c r="S26" s="8" t="s">
        <v>28</v>
      </c>
      <c r="T26" s="9" t="s">
        <v>176</v>
      </c>
      <c r="U26" s="7" t="s">
        <v>145</v>
      </c>
      <c r="V26" s="8" t="s">
        <v>133</v>
      </c>
      <c r="W26" s="8" t="s">
        <v>244</v>
      </c>
      <c r="Z26" s="8" t="s">
        <v>143</v>
      </c>
    </row>
    <row r="27" spans="1:26" x14ac:dyDescent="0.2">
      <c r="A27" s="7" t="str">
        <f t="shared" si="0"/>
        <v>Kverkova_etal_2018</v>
      </c>
      <c r="B27" s="7" t="s">
        <v>203</v>
      </c>
      <c r="C27" s="7" t="s">
        <v>190</v>
      </c>
      <c r="D27" s="7">
        <v>2018</v>
      </c>
      <c r="E27" s="7"/>
      <c r="F27" s="3" t="s">
        <v>141</v>
      </c>
      <c r="G27" s="3"/>
      <c r="H27" s="3" t="s">
        <v>142</v>
      </c>
      <c r="I27" s="3" t="str">
        <f t="shared" si="1"/>
        <v>Kverkova_etal_2018_TableS5</v>
      </c>
      <c r="J27" s="3" t="str">
        <f t="shared" si="2"/>
        <v>10.1038%2Fs41598-018-26062-8_TableS5</v>
      </c>
      <c r="K27" s="3"/>
      <c r="L27" s="8" t="s">
        <v>16</v>
      </c>
      <c r="M27" s="8" t="s">
        <v>246</v>
      </c>
      <c r="N27" s="15"/>
      <c r="O27" s="3" t="s">
        <v>26</v>
      </c>
      <c r="P27" s="8" t="s">
        <v>178</v>
      </c>
      <c r="Q27" s="8" t="s">
        <v>179</v>
      </c>
      <c r="R27" s="8" t="s">
        <v>20</v>
      </c>
      <c r="S27" s="8" t="s">
        <v>28</v>
      </c>
      <c r="T27" s="9" t="s">
        <v>176</v>
      </c>
      <c r="U27" s="7" t="s">
        <v>144</v>
      </c>
      <c r="V27" s="8" t="s">
        <v>134</v>
      </c>
      <c r="W27" s="8" t="s">
        <v>49</v>
      </c>
      <c r="Z27" s="8" t="s">
        <v>143</v>
      </c>
    </row>
    <row r="28" spans="1:26" x14ac:dyDescent="0.2">
      <c r="A28" s="7" t="str">
        <f t="shared" si="0"/>
        <v>ManyPrimates_etal_2022</v>
      </c>
      <c r="B28" s="7" t="s">
        <v>204</v>
      </c>
      <c r="C28" s="7" t="s">
        <v>190</v>
      </c>
      <c r="D28" s="7">
        <v>2022</v>
      </c>
      <c r="E28" s="7"/>
      <c r="F28" s="3" t="s">
        <v>146</v>
      </c>
      <c r="G28" s="3"/>
      <c r="H28" s="13" t="s">
        <v>148</v>
      </c>
      <c r="I28" s="3" t="str">
        <f t="shared" si="1"/>
        <v>ManyPrimates_etal_2022_data/species_predictors.xlsx</v>
      </c>
      <c r="J28" s="3" t="str">
        <f t="shared" si="2"/>
        <v>10.26451%2Fabc.09.04.06.2022_data%2Fspecies_predictors.xlsx</v>
      </c>
      <c r="K28" s="3"/>
      <c r="L28" s="8" t="s">
        <v>66</v>
      </c>
      <c r="M28" s="8" t="s">
        <v>186</v>
      </c>
      <c r="N28" s="15"/>
      <c r="P28" s="8" t="str">
        <f t="shared" ref="P28:P33" si="3">IF(O28="N", N28, "write file name")</f>
        <v>write file name</v>
      </c>
      <c r="Q28" s="8" t="s">
        <v>36</v>
      </c>
      <c r="R28" s="8" t="s">
        <v>20</v>
      </c>
      <c r="S28" s="8" t="s">
        <v>37</v>
      </c>
      <c r="T28" s="9" t="s">
        <v>147</v>
      </c>
      <c r="U28" s="7"/>
      <c r="V28" s="8" t="s">
        <v>67</v>
      </c>
      <c r="W28" s="8" t="s">
        <v>23</v>
      </c>
      <c r="X28" s="8" t="s">
        <v>68</v>
      </c>
      <c r="Z28" s="8" t="s">
        <v>33</v>
      </c>
    </row>
    <row r="29" spans="1:26" x14ac:dyDescent="0.2">
      <c r="A29" s="7" t="str">
        <f t="shared" si="0"/>
        <v>Powell_etal_2017</v>
      </c>
      <c r="B29" s="7" t="s">
        <v>205</v>
      </c>
      <c r="C29" s="7" t="s">
        <v>190</v>
      </c>
      <c r="D29" s="7">
        <v>2017</v>
      </c>
      <c r="E29" s="7"/>
      <c r="F29" s="3" t="s">
        <v>151</v>
      </c>
      <c r="G29" s="3" t="s">
        <v>149</v>
      </c>
      <c r="H29" s="3" t="s">
        <v>152</v>
      </c>
      <c r="I29" s="3" t="str">
        <f t="shared" si="1"/>
        <v>Powell_etal_2017_Dataset1</v>
      </c>
      <c r="J29" s="3" t="str">
        <f t="shared" si="2"/>
        <v>10.6084%2Fm9.figshare.c.3899422.v1_Dataset1</v>
      </c>
      <c r="K29" s="3"/>
      <c r="L29" s="16" t="s">
        <v>58</v>
      </c>
      <c r="M29" s="8" t="s">
        <v>186</v>
      </c>
      <c r="N29" s="15"/>
      <c r="P29" s="8" t="str">
        <f t="shared" si="3"/>
        <v>write file name</v>
      </c>
      <c r="Q29" s="8" t="s">
        <v>36</v>
      </c>
      <c r="R29" s="8" t="s">
        <v>20</v>
      </c>
      <c r="S29" s="8" t="s">
        <v>37</v>
      </c>
      <c r="T29" s="9" t="s">
        <v>153</v>
      </c>
      <c r="U29" s="7"/>
      <c r="V29" s="8" t="s">
        <v>69</v>
      </c>
      <c r="W29" s="8" t="s">
        <v>23</v>
      </c>
      <c r="X29" s="8" t="s">
        <v>22</v>
      </c>
      <c r="Z29" s="8" t="s">
        <v>33</v>
      </c>
    </row>
    <row r="30" spans="1:26" x14ac:dyDescent="0.2">
      <c r="A30" s="7" t="str">
        <f>B30 &amp; IF(C30&lt;&gt;"", "_" &amp; C30, "") &amp; IF(D30&lt;&gt;"", "_" &amp; D30, "") &amp; IF(E30&lt;&gt;"", "_" &amp; E30, "")</f>
        <v>Sherwood_etal_2004_I</v>
      </c>
      <c r="B30" s="7" t="s">
        <v>206</v>
      </c>
      <c r="C30" s="7" t="s">
        <v>190</v>
      </c>
      <c r="D30" s="7">
        <v>2004</v>
      </c>
      <c r="E30" s="7" t="s">
        <v>185</v>
      </c>
      <c r="F30" s="3" t="s">
        <v>154</v>
      </c>
      <c r="G30" s="3"/>
      <c r="H30" s="3" t="s">
        <v>121</v>
      </c>
      <c r="I30" s="3" t="str">
        <f t="shared" si="1"/>
        <v>Sherwood_etal_2004_I_Table4</v>
      </c>
      <c r="J30" s="3" t="str">
        <f t="shared" si="2"/>
        <v>10.1159%2F000075672_Table4</v>
      </c>
      <c r="K30" s="3"/>
      <c r="L30" s="8" t="s">
        <v>66</v>
      </c>
      <c r="M30" s="8" t="s">
        <v>186</v>
      </c>
      <c r="N30" s="15"/>
      <c r="P30" s="8" t="str">
        <f t="shared" si="3"/>
        <v>write file name</v>
      </c>
      <c r="Q30" s="8" t="s">
        <v>27</v>
      </c>
      <c r="R30" s="8" t="s">
        <v>60</v>
      </c>
      <c r="U30" s="7" t="s">
        <v>155</v>
      </c>
      <c r="V30" s="8" t="s">
        <v>70</v>
      </c>
      <c r="W30" s="8" t="s">
        <v>49</v>
      </c>
      <c r="Z30" s="8" t="s">
        <v>33</v>
      </c>
    </row>
    <row r="31" spans="1:26" x14ac:dyDescent="0.2">
      <c r="A31" s="7" t="str">
        <f>B31 &amp; IF(C31&lt;&gt;"", "_" &amp; C31, "") &amp; IF(D31&lt;&gt;"", "_" &amp; D31, "") &amp; IF(E31&lt;&gt;"", "_" &amp; E31, "")</f>
        <v>Sherwood_etal_2004_I</v>
      </c>
      <c r="B31" s="7" t="s">
        <v>206</v>
      </c>
      <c r="C31" s="7" t="s">
        <v>190</v>
      </c>
      <c r="D31" s="7">
        <v>2004</v>
      </c>
      <c r="E31" s="7" t="s">
        <v>185</v>
      </c>
      <c r="F31" s="3" t="s">
        <v>154</v>
      </c>
      <c r="G31" s="3"/>
      <c r="H31" s="3" t="s">
        <v>122</v>
      </c>
      <c r="I31" s="3" t="str">
        <f t="shared" si="1"/>
        <v>Sherwood_etal_2004_I_Table5</v>
      </c>
      <c r="J31" s="3" t="str">
        <f t="shared" si="2"/>
        <v>10.1159%2F000075672_Table5</v>
      </c>
      <c r="K31" s="3"/>
      <c r="L31" s="8" t="s">
        <v>66</v>
      </c>
      <c r="M31" s="8" t="s">
        <v>186</v>
      </c>
      <c r="N31" s="15"/>
      <c r="P31" s="8" t="str">
        <f t="shared" si="3"/>
        <v>write file name</v>
      </c>
      <c r="Q31" s="8" t="s">
        <v>27</v>
      </c>
      <c r="R31" s="8" t="s">
        <v>60</v>
      </c>
      <c r="U31" s="12" t="s">
        <v>215</v>
      </c>
      <c r="V31" s="8" t="s">
        <v>70</v>
      </c>
      <c r="W31" s="8" t="s">
        <v>49</v>
      </c>
      <c r="Z31" s="8" t="s">
        <v>33</v>
      </c>
    </row>
    <row r="32" spans="1:26" x14ac:dyDescent="0.2">
      <c r="A32" s="7" t="str">
        <f>B32 &amp; IF(C32&lt;&gt;"", "_" &amp; C32, "") &amp; IF(D32&lt;&gt;"", "_" &amp; D32, "") &amp; IF(E32&lt;&gt;"", "-" &amp; E32, "")</f>
        <v>Winkler_Bryant_2021</v>
      </c>
      <c r="B32" s="7" t="s">
        <v>207</v>
      </c>
      <c r="C32" s="7" t="s">
        <v>208</v>
      </c>
      <c r="D32" s="7">
        <v>2021</v>
      </c>
      <c r="E32" s="7"/>
      <c r="F32" s="3" t="s">
        <v>156</v>
      </c>
      <c r="G32" s="3"/>
      <c r="H32" s="3" t="s">
        <v>157</v>
      </c>
      <c r="I32" s="3" t="str">
        <f t="shared" si="1"/>
        <v>Winkler_Bryant_2021_Figure1</v>
      </c>
      <c r="J32" s="3" t="str">
        <f t="shared" si="2"/>
        <v>10.1080%2F09524622.2021.1905065_Figure1</v>
      </c>
      <c r="K32" s="3"/>
      <c r="L32" s="16" t="s">
        <v>58</v>
      </c>
      <c r="M32" s="8" t="s">
        <v>186</v>
      </c>
      <c r="N32" s="15"/>
      <c r="P32" s="8" t="str">
        <f t="shared" si="3"/>
        <v>write file name</v>
      </c>
      <c r="Q32" s="8" t="s">
        <v>27</v>
      </c>
      <c r="R32" s="8" t="s">
        <v>71</v>
      </c>
      <c r="U32" s="7"/>
      <c r="V32" s="8" t="s">
        <v>72</v>
      </c>
      <c r="Z32" s="8" t="s">
        <v>15</v>
      </c>
    </row>
    <row r="33" spans="1:26" x14ac:dyDescent="0.2">
      <c r="A33" s="7" t="str">
        <f>B33 &amp; IF(C33&lt;&gt;"", "_" &amp; C33, "") &amp; IF(D33&lt;&gt;"", "_" &amp; D33, "") &amp; IF(E33&lt;&gt;"", "-" &amp; E33, "")</f>
        <v>Young_etal_2013</v>
      </c>
      <c r="B33" s="7" t="s">
        <v>209</v>
      </c>
      <c r="C33" s="7" t="s">
        <v>190</v>
      </c>
      <c r="D33" s="7">
        <v>2013</v>
      </c>
      <c r="E33" s="7"/>
      <c r="F33" s="3" t="s">
        <v>158</v>
      </c>
      <c r="G33" s="3"/>
      <c r="H33" s="3" t="s">
        <v>99</v>
      </c>
      <c r="I33" s="3" t="str">
        <f t="shared" si="1"/>
        <v>Young_etal_2013_Table1</v>
      </c>
      <c r="J33" s="3" t="str">
        <f t="shared" si="2"/>
        <v>10.3389%2Ffncir.2013.00030_Table1</v>
      </c>
      <c r="K33" s="3"/>
      <c r="L33" s="8" t="s">
        <v>66</v>
      </c>
      <c r="M33" s="8" t="s">
        <v>186</v>
      </c>
      <c r="N33" s="15"/>
      <c r="P33" s="8" t="str">
        <f t="shared" si="3"/>
        <v>write file name</v>
      </c>
      <c r="Q33" s="8" t="s">
        <v>52</v>
      </c>
      <c r="R33" s="8" t="s">
        <v>20</v>
      </c>
      <c r="U33" s="7"/>
      <c r="V33" s="8" t="s">
        <v>73</v>
      </c>
      <c r="Z33" s="8" t="s">
        <v>33</v>
      </c>
    </row>
  </sheetData>
  <phoneticPr fontId="4" type="noConversion"/>
  <hyperlinks>
    <hyperlink ref="T4" r:id="rId1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T5" r:id="rId2" xr:uid="{0C8D4DAC-C617-2547-BF75-D17B07FAB104}"/>
    <hyperlink ref="T7" r:id="rId3" xr:uid="{5C533C8B-7E31-6247-B07A-DA36A2ECB804}"/>
    <hyperlink ref="T8" r:id="rId4" xr:uid="{C7A27B14-F289-2345-8125-B9AE06601A7B}"/>
    <hyperlink ref="T10" r:id="rId5" xr:uid="{BC8CFBF1-94B9-B04B-B168-9B969B0A4C7D}"/>
    <hyperlink ref="T28" r:id="rId6" xr:uid="{C4869E3C-B5B1-6647-A144-091B1A64A38B}"/>
    <hyperlink ref="T29" r:id="rId7" xr:uid="{808C07EB-0E2A-B640-A28C-8E310E5A987B}"/>
    <hyperlink ref="T14" r:id="rId8" xr:uid="{9534F0D1-7C63-EC4F-921C-5D21474866A4}"/>
    <hyperlink ref="T15:T18" r:id="rId9" display="https://karger.com/bbe/article-pdf/86/3-4/145/2264694/000437413.pdf" xr:uid="{0070BD27-D760-3846-9F0D-91BB5EDD333F}"/>
    <hyperlink ref="T27" r:id="rId10" xr:uid="{FD223821-8B74-3345-B8A9-FA7536E78F2E}"/>
    <hyperlink ref="T26" r:id="rId11" xr:uid="{8FF3DE15-909D-F043-B90F-3D2A3402F9DE}"/>
    <hyperlink ref="T25" r:id="rId12" xr:uid="{236492C9-FC3A-614B-84DC-0D56063EE72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C489E-9770-1041-AA5F-EEF758A56CB8}">
  <dimension ref="A1:B13"/>
  <sheetViews>
    <sheetView workbookViewId="0">
      <selection activeCell="P15" sqref="P15"/>
    </sheetView>
  </sheetViews>
  <sheetFormatPr baseColWidth="10" defaultRowHeight="16" x14ac:dyDescent="0.2"/>
  <cols>
    <col min="1" max="1" width="26.1640625" customWidth="1"/>
  </cols>
  <sheetData>
    <row r="1" spans="1:2" x14ac:dyDescent="0.2">
      <c r="A1" t="s">
        <v>212</v>
      </c>
    </row>
    <row r="2" spans="1:2" x14ac:dyDescent="0.2">
      <c r="A2" t="s">
        <v>74</v>
      </c>
    </row>
    <row r="3" spans="1:2" x14ac:dyDescent="0.2">
      <c r="A3" s="1" t="s">
        <v>216</v>
      </c>
      <c r="B3" t="s">
        <v>217</v>
      </c>
    </row>
    <row r="4" spans="1:2" x14ac:dyDescent="0.2">
      <c r="A4" s="1" t="s">
        <v>75</v>
      </c>
      <c r="B4" t="s">
        <v>76</v>
      </c>
    </row>
    <row r="5" spans="1:2" x14ac:dyDescent="0.2">
      <c r="A5" s="1" t="s">
        <v>77</v>
      </c>
      <c r="B5" t="s">
        <v>78</v>
      </c>
    </row>
    <row r="6" spans="1:2" x14ac:dyDescent="0.2">
      <c r="A6" s="1" t="s">
        <v>79</v>
      </c>
      <c r="B6" t="s">
        <v>80</v>
      </c>
    </row>
    <row r="7" spans="1:2" x14ac:dyDescent="0.2">
      <c r="A7" s="1" t="s">
        <v>81</v>
      </c>
      <c r="B7" t="s">
        <v>82</v>
      </c>
    </row>
    <row r="8" spans="1:2" x14ac:dyDescent="0.2">
      <c r="A8" s="1" t="s">
        <v>83</v>
      </c>
      <c r="B8" t="s">
        <v>84</v>
      </c>
    </row>
    <row r="9" spans="1:2" x14ac:dyDescent="0.2">
      <c r="A9" s="1" t="s">
        <v>85</v>
      </c>
      <c r="B9" t="s">
        <v>86</v>
      </c>
    </row>
    <row r="10" spans="1:2" x14ac:dyDescent="0.2">
      <c r="A10" s="1" t="s">
        <v>87</v>
      </c>
      <c r="B10" t="s">
        <v>88</v>
      </c>
    </row>
    <row r="11" spans="1:2" x14ac:dyDescent="0.2">
      <c r="A11" s="1" t="s">
        <v>89</v>
      </c>
      <c r="B11" t="s">
        <v>90</v>
      </c>
    </row>
    <row r="12" spans="1:2" ht="17" x14ac:dyDescent="0.2">
      <c r="A12" s="2" t="s">
        <v>160</v>
      </c>
      <c r="B12" t="s">
        <v>159</v>
      </c>
    </row>
    <row r="13" spans="1:2" x14ac:dyDescent="0.2">
      <c r="A13" s="4" t="s">
        <v>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B6DEDC7-93D0-4B5E-BED5-006DF8C890FC}">
  <ds:schemaRefs>
    <ds:schemaRef ds:uri="8e1efd23-f4ba-42d2-85fd-6a510437bae6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3bad6c6a-329d-45e9-b8b0-1ebecc8a8764"/>
    <ds:schemaRef ds:uri="http://purl.org/dc/elements/1.1/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Pipeline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2024-01-10T17:08:49Z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