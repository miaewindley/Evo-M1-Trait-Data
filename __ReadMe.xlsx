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244" documentId="6_{3E294B1E-BE69-A04D-8F66-E6809E46817C}" xr6:coauthVersionLast="47" xr6:coauthVersionMax="47" xr10:uidLastSave="{06A6870C-C12F-EC40-BA79-F426324FC52E}"/>
  <bookViews>
    <workbookView xWindow="35120" yWindow="-5120" windowWidth="45340" windowHeight="18760" xr2:uid="{00000000-000D-0000-FFFF-FFFF00000000}"/>
  </bookViews>
  <sheets>
    <sheet name="Sheet1" sheetId="1" r:id="rId1"/>
    <sheet name="Pipeline" sheetId="3" r:id="rId2"/>
    <sheet name="Conflicts" sheetId="4" r:id="rId3"/>
    <sheet name="FileList"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 i="1" l="1"/>
  <c r="M15" i="1" s="1" a="1"/>
  <c r="M15" i="1" s="1"/>
  <c r="K15" i="1"/>
  <c r="H15" i="1"/>
  <c r="G15" i="1"/>
  <c r="F15" i="1"/>
  <c r="E15" i="1"/>
  <c r="D15" i="1"/>
  <c r="C15" i="1"/>
  <c r="H3" i="1"/>
  <c r="L3" i="1" s="1"/>
  <c r="M3" i="1" s="1" a="1"/>
  <c r="M3" i="1" s="1"/>
  <c r="G3" i="1"/>
  <c r="F3" i="1"/>
  <c r="E3" i="1"/>
  <c r="C3" i="1"/>
  <c r="H2" i="1"/>
  <c r="L2" i="1" s="1"/>
  <c r="M2" i="1" s="1" a="1"/>
  <c r="M2" i="1" s="1"/>
  <c r="G2" i="1"/>
  <c r="F2" i="1"/>
  <c r="E2" i="1"/>
  <c r="C2" i="1"/>
  <c r="H17" i="1"/>
  <c r="L17" i="1" s="1"/>
  <c r="M17" i="1" s="1" a="1"/>
  <c r="M17" i="1" s="1"/>
  <c r="G17" i="1"/>
  <c r="F17" i="1"/>
  <c r="E17" i="1"/>
  <c r="C17" i="1"/>
  <c r="C16" i="1"/>
  <c r="E16" i="1"/>
  <c r="F16" i="1"/>
  <c r="G16" i="1"/>
  <c r="H16" i="1"/>
  <c r="L16" i="1" s="1"/>
  <c r="M16" i="1" s="1" a="1"/>
  <c r="M16" i="1" s="1"/>
  <c r="C65" i="1"/>
  <c r="E65" i="1"/>
  <c r="F65" i="1"/>
  <c r="G65" i="1"/>
  <c r="H65" i="1"/>
  <c r="L65" i="1" s="1"/>
  <c r="M65" i="1" s="1" a="1"/>
  <c r="M65" i="1" s="1"/>
  <c r="H21" i="1"/>
  <c r="L21" i="1" s="1"/>
  <c r="M21" i="1" s="1" a="1"/>
  <c r="M21" i="1" s="1"/>
  <c r="G21" i="1"/>
  <c r="F21" i="1"/>
  <c r="E21" i="1"/>
  <c r="C21" i="1"/>
  <c r="C20" i="1"/>
  <c r="E20" i="1"/>
  <c r="F20" i="1"/>
  <c r="G20" i="1"/>
  <c r="H20" i="1"/>
  <c r="L20" i="1" s="1"/>
  <c r="M20" i="1" s="1" a="1"/>
  <c r="M20" i="1" s="1"/>
  <c r="C12" i="1"/>
  <c r="E12" i="1"/>
  <c r="F12" i="1"/>
  <c r="G12" i="1"/>
  <c r="H12" i="1"/>
  <c r="L12" i="1" s="1"/>
  <c r="M12" i="1" s="1" a="1"/>
  <c r="M12" i="1" s="1"/>
  <c r="L4" i="1"/>
  <c r="M4" i="1" s="1" a="1"/>
  <c r="M4" i="1" s="1"/>
  <c r="H4" i="1"/>
  <c r="G4" i="1"/>
  <c r="F4" i="1"/>
  <c r="E4" i="1"/>
  <c r="C4" i="1"/>
  <c r="C62" i="1"/>
  <c r="C68" i="1"/>
  <c r="C69" i="1"/>
  <c r="C58" i="1"/>
  <c r="C27" i="1"/>
  <c r="C28" i="1"/>
  <c r="C29" i="1"/>
  <c r="C37" i="1"/>
  <c r="C38" i="1"/>
  <c r="C39" i="1"/>
  <c r="C40" i="1"/>
  <c r="C41" i="1"/>
  <c r="C42" i="1"/>
  <c r="C54" i="1"/>
  <c r="C55" i="1"/>
  <c r="C53" i="1"/>
  <c r="C63" i="1"/>
  <c r="C64" i="1"/>
  <c r="C44" i="1"/>
  <c r="C43" i="1"/>
  <c r="C22" i="1"/>
  <c r="C59" i="1"/>
  <c r="C7" i="1"/>
  <c r="C6" i="1"/>
  <c r="C19" i="1"/>
  <c r="C56" i="1"/>
  <c r="C67" i="1"/>
  <c r="C23" i="1"/>
  <c r="C66" i="1"/>
  <c r="C9" i="1"/>
  <c r="C8" i="1"/>
  <c r="C10" i="1"/>
  <c r="C11" i="1"/>
  <c r="C13" i="1"/>
  <c r="C14" i="1"/>
  <c r="C18" i="1"/>
  <c r="C24" i="1"/>
  <c r="C25" i="1"/>
  <c r="C26" i="1"/>
  <c r="C30" i="1"/>
  <c r="C31" i="1"/>
  <c r="C32" i="1"/>
  <c r="C33" i="1"/>
  <c r="C34" i="1"/>
  <c r="C35" i="1"/>
  <c r="C36" i="1"/>
  <c r="C45" i="1"/>
  <c r="C46" i="1"/>
  <c r="C47" i="1"/>
  <c r="C48" i="1"/>
  <c r="C49" i="1"/>
  <c r="C50" i="1"/>
  <c r="C51" i="1"/>
  <c r="C52" i="1"/>
  <c r="C57" i="1"/>
  <c r="C60" i="1"/>
  <c r="C61" i="1"/>
  <c r="C5" i="1"/>
  <c r="H44" i="1"/>
  <c r="L44" i="1" s="1"/>
  <c r="M44" i="1" s="1" a="1"/>
  <c r="M44" i="1" s="1"/>
  <c r="H43" i="1"/>
  <c r="L43" i="1" s="1"/>
  <c r="M43" i="1" s="1" a="1"/>
  <c r="M43" i="1" s="1"/>
  <c r="G43" i="1"/>
  <c r="F43" i="1"/>
  <c r="E43" i="1"/>
  <c r="E66" i="1"/>
  <c r="F66" i="1"/>
  <c r="G66" i="1"/>
  <c r="H66" i="1"/>
  <c r="L66" i="1" s="1"/>
  <c r="M66" i="1" s="1" a="1"/>
  <c r="M66" i="1" s="1"/>
  <c r="E23" i="1"/>
  <c r="F23" i="1"/>
  <c r="G23" i="1"/>
  <c r="H23" i="1"/>
  <c r="L23" i="1" s="1"/>
  <c r="M23" i="1" s="1" a="1"/>
  <c r="M23" i="1" s="1"/>
  <c r="H67" i="1"/>
  <c r="L67" i="1" s="1"/>
  <c r="M67" i="1" s="1" a="1"/>
  <c r="M67" i="1" s="1"/>
  <c r="G67" i="1"/>
  <c r="F67" i="1"/>
  <c r="E67" i="1"/>
  <c r="H56" i="1"/>
  <c r="L56" i="1" s="1"/>
  <c r="M56" i="1" s="1" a="1"/>
  <c r="M56" i="1" s="1"/>
  <c r="G56" i="1"/>
  <c r="F56" i="1"/>
  <c r="E56" i="1"/>
  <c r="H19" i="1"/>
  <c r="L19" i="1" s="1"/>
  <c r="M19" i="1" s="1" a="1"/>
  <c r="M19" i="1" s="1"/>
  <c r="G19" i="1"/>
  <c r="F19" i="1"/>
  <c r="E19" i="1"/>
  <c r="H6" i="1"/>
  <c r="L6" i="1" s="1"/>
  <c r="M6" i="1" s="1" a="1"/>
  <c r="M6" i="1" s="1"/>
  <c r="G6" i="1"/>
  <c r="F6" i="1"/>
  <c r="E6" i="1"/>
  <c r="H7" i="1"/>
  <c r="L7" i="1" s="1"/>
  <c r="M7" i="1" s="1" a="1"/>
  <c r="M7" i="1" s="1"/>
  <c r="G7" i="1"/>
  <c r="F7" i="1"/>
  <c r="E7" i="1"/>
  <c r="H59" i="1"/>
  <c r="L59" i="1" s="1"/>
  <c r="M59" i="1" s="1" a="1"/>
  <c r="M59" i="1" s="1"/>
  <c r="G59" i="1"/>
  <c r="F59" i="1"/>
  <c r="E59" i="1"/>
  <c r="H22" i="1"/>
  <c r="L22" i="1" s="1"/>
  <c r="M22" i="1" s="1" a="1"/>
  <c r="M22" i="1" s="1"/>
  <c r="G22" i="1"/>
  <c r="F22" i="1"/>
  <c r="E22" i="1"/>
  <c r="G44" i="1"/>
  <c r="F44" i="1"/>
  <c r="E44" i="1"/>
  <c r="H64" i="1"/>
  <c r="L64" i="1" s="1"/>
  <c r="M64" i="1" s="1" a="1"/>
  <c r="M64" i="1" s="1"/>
  <c r="G64" i="1"/>
  <c r="F64" i="1"/>
  <c r="E64" i="1"/>
  <c r="H63" i="1"/>
  <c r="L63" i="1" s="1"/>
  <c r="M63" i="1" s="1" a="1"/>
  <c r="M63" i="1" s="1"/>
  <c r="G63" i="1"/>
  <c r="F63" i="1"/>
  <c r="E63" i="1"/>
  <c r="H53" i="1"/>
  <c r="L53" i="1" s="1"/>
  <c r="G53" i="1"/>
  <c r="F53" i="1"/>
  <c r="E53" i="1"/>
  <c r="H55" i="1"/>
  <c r="L55" i="1" s="1"/>
  <c r="M55" i="1" s="1" a="1"/>
  <c r="M55" i="1" s="1"/>
  <c r="G55" i="1"/>
  <c r="F55" i="1"/>
  <c r="E55" i="1"/>
  <c r="H54" i="1"/>
  <c r="L54" i="1" s="1"/>
  <c r="M54" i="1" s="1" a="1"/>
  <c r="M54" i="1" s="1"/>
  <c r="G54" i="1"/>
  <c r="F54" i="1"/>
  <c r="E54" i="1"/>
  <c r="H42" i="1"/>
  <c r="L42" i="1" s="1"/>
  <c r="M42" i="1" s="1" a="1"/>
  <c r="M42" i="1" s="1"/>
  <c r="G42" i="1"/>
  <c r="F42" i="1"/>
  <c r="E42" i="1"/>
  <c r="H41" i="1"/>
  <c r="L41" i="1" s="1"/>
  <c r="M41" i="1" s="1" a="1"/>
  <c r="M41" i="1" s="1"/>
  <c r="G41" i="1"/>
  <c r="F41" i="1"/>
  <c r="E41" i="1"/>
  <c r="H40" i="1"/>
  <c r="L40" i="1" s="1"/>
  <c r="M40" i="1" s="1" a="1"/>
  <c r="M40" i="1" s="1"/>
  <c r="G40" i="1"/>
  <c r="F40" i="1"/>
  <c r="E40" i="1"/>
  <c r="H39" i="1"/>
  <c r="L39" i="1" s="1"/>
  <c r="M39" i="1" s="1" a="1"/>
  <c r="M39" i="1" s="1"/>
  <c r="G39" i="1"/>
  <c r="F39" i="1"/>
  <c r="E39" i="1"/>
  <c r="H38" i="1"/>
  <c r="L38" i="1" s="1"/>
  <c r="M38" i="1" s="1" a="1"/>
  <c r="M38" i="1" s="1"/>
  <c r="G38" i="1"/>
  <c r="F38" i="1"/>
  <c r="E38" i="1"/>
  <c r="H37" i="1"/>
  <c r="L37" i="1" s="1"/>
  <c r="M37" i="1" s="1" a="1"/>
  <c r="M37" i="1" s="1"/>
  <c r="G37" i="1"/>
  <c r="F37" i="1"/>
  <c r="E37" i="1"/>
  <c r="H29" i="1"/>
  <c r="L29" i="1" s="1"/>
  <c r="M29" i="1" s="1" a="1"/>
  <c r="M29" i="1" s="1"/>
  <c r="G29" i="1"/>
  <c r="F29" i="1"/>
  <c r="E29" i="1"/>
  <c r="H28" i="1"/>
  <c r="L28" i="1" s="1"/>
  <c r="M28" i="1" s="1" a="1"/>
  <c r="M28" i="1" s="1"/>
  <c r="G28" i="1"/>
  <c r="F28" i="1"/>
  <c r="E28" i="1"/>
  <c r="H27" i="1"/>
  <c r="L27" i="1" s="1"/>
  <c r="M27" i="1" s="1" a="1"/>
  <c r="M27" i="1" s="1"/>
  <c r="G27" i="1"/>
  <c r="F27" i="1"/>
  <c r="E27" i="1"/>
  <c r="H58" i="1"/>
  <c r="L58" i="1" s="1"/>
  <c r="M58" i="1" s="1" a="1"/>
  <c r="M58" i="1" s="1"/>
  <c r="G58" i="1"/>
  <c r="F58" i="1"/>
  <c r="E58" i="1"/>
  <c r="T69" i="1"/>
  <c r="H69" i="1"/>
  <c r="L69" i="1" s="1"/>
  <c r="M69" i="1" s="1" a="1"/>
  <c r="M69" i="1" s="1"/>
  <c r="G69" i="1"/>
  <c r="F69" i="1"/>
  <c r="E69" i="1"/>
  <c r="T68" i="1"/>
  <c r="H68" i="1"/>
  <c r="L68" i="1" s="1"/>
  <c r="M68" i="1" s="1" a="1"/>
  <c r="M68" i="1" s="1"/>
  <c r="G68" i="1"/>
  <c r="F68" i="1"/>
  <c r="E68" i="1"/>
  <c r="T62" i="1"/>
  <c r="H62" i="1"/>
  <c r="L62" i="1" s="1"/>
  <c r="M62" i="1" s="1" a="1"/>
  <c r="M62" i="1" s="1"/>
  <c r="G62" i="1"/>
  <c r="F62" i="1"/>
  <c r="E62" i="1"/>
  <c r="T61" i="1"/>
  <c r="H61" i="1"/>
  <c r="L61" i="1" s="1"/>
  <c r="M61" i="1" s="1" a="1"/>
  <c r="M61" i="1" s="1"/>
  <c r="G61" i="1"/>
  <c r="F61" i="1"/>
  <c r="E61" i="1"/>
  <c r="T60" i="1"/>
  <c r="L60" i="1"/>
  <c r="M60" i="1" s="1" a="1"/>
  <c r="M60" i="1" s="1"/>
  <c r="H60" i="1"/>
  <c r="G60" i="1"/>
  <c r="F60" i="1"/>
  <c r="E60" i="1"/>
  <c r="T57" i="1"/>
  <c r="H57" i="1"/>
  <c r="L57" i="1" s="1"/>
  <c r="M57" i="1" s="1" a="1"/>
  <c r="M57" i="1" s="1"/>
  <c r="G57" i="1"/>
  <c r="F57" i="1"/>
  <c r="E57" i="1"/>
  <c r="H52" i="1"/>
  <c r="L52" i="1" s="1"/>
  <c r="M52" i="1" s="1" a="1"/>
  <c r="M52" i="1" s="1"/>
  <c r="G52" i="1"/>
  <c r="F52" i="1"/>
  <c r="E52" i="1"/>
  <c r="H51" i="1"/>
  <c r="L51" i="1" s="1"/>
  <c r="M51" i="1" s="1" a="1"/>
  <c r="M51" i="1" s="1"/>
  <c r="G51" i="1"/>
  <c r="F51" i="1"/>
  <c r="E51" i="1"/>
  <c r="H50" i="1"/>
  <c r="L50" i="1" s="1"/>
  <c r="M50" i="1" s="1" a="1"/>
  <c r="M50" i="1" s="1"/>
  <c r="G50" i="1"/>
  <c r="F50" i="1"/>
  <c r="E50" i="1"/>
  <c r="H49" i="1"/>
  <c r="L49" i="1" s="1"/>
  <c r="M49" i="1" s="1" a="1"/>
  <c r="M49" i="1" s="1"/>
  <c r="G49" i="1"/>
  <c r="F49" i="1"/>
  <c r="E49" i="1"/>
  <c r="T48" i="1"/>
  <c r="H48" i="1"/>
  <c r="L48" i="1" s="1"/>
  <c r="M48" i="1" s="1" a="1"/>
  <c r="M48" i="1" s="1"/>
  <c r="G48" i="1"/>
  <c r="F48" i="1"/>
  <c r="E48" i="1"/>
  <c r="T47" i="1"/>
  <c r="H47" i="1"/>
  <c r="L47" i="1" s="1"/>
  <c r="M47" i="1" s="1" a="1"/>
  <c r="M47" i="1" s="1"/>
  <c r="G47" i="1"/>
  <c r="F47" i="1"/>
  <c r="E47" i="1"/>
  <c r="T46" i="1"/>
  <c r="H46" i="1"/>
  <c r="L46" i="1" s="1"/>
  <c r="M46" i="1" s="1" a="1"/>
  <c r="M46" i="1" s="1"/>
  <c r="G46" i="1"/>
  <c r="F46" i="1"/>
  <c r="E46" i="1"/>
  <c r="T45" i="1"/>
  <c r="H45" i="1"/>
  <c r="L45" i="1" s="1"/>
  <c r="M45" i="1" s="1" a="1"/>
  <c r="M45" i="1" s="1"/>
  <c r="G45" i="1"/>
  <c r="F45" i="1"/>
  <c r="E45" i="1"/>
  <c r="H36" i="1"/>
  <c r="L36" i="1" s="1"/>
  <c r="M36" i="1" s="1" a="1"/>
  <c r="M36" i="1" s="1"/>
  <c r="G36" i="1"/>
  <c r="F36" i="1"/>
  <c r="E36" i="1"/>
  <c r="H35" i="1"/>
  <c r="L35" i="1" s="1"/>
  <c r="M35" i="1" s="1" a="1"/>
  <c r="M35" i="1" s="1"/>
  <c r="G35" i="1"/>
  <c r="F35" i="1"/>
  <c r="E35" i="1"/>
  <c r="H34" i="1"/>
  <c r="L34" i="1" s="1"/>
  <c r="M34" i="1" s="1" a="1"/>
  <c r="M34" i="1" s="1"/>
  <c r="G34" i="1"/>
  <c r="F34" i="1"/>
  <c r="E34" i="1"/>
  <c r="H33" i="1"/>
  <c r="L33" i="1" s="1"/>
  <c r="M33" i="1" s="1" a="1"/>
  <c r="M33" i="1" s="1"/>
  <c r="G33" i="1"/>
  <c r="F33" i="1"/>
  <c r="E33" i="1"/>
  <c r="H32" i="1"/>
  <c r="L32" i="1" s="1"/>
  <c r="M32" i="1" s="1" a="1"/>
  <c r="M32" i="1" s="1"/>
  <c r="G32" i="1"/>
  <c r="F32" i="1"/>
  <c r="E32" i="1"/>
  <c r="H31" i="1"/>
  <c r="L31" i="1" s="1"/>
  <c r="M31" i="1" s="1" a="1"/>
  <c r="M31" i="1" s="1"/>
  <c r="G31" i="1"/>
  <c r="F31" i="1"/>
  <c r="E31" i="1"/>
  <c r="H30" i="1"/>
  <c r="L30" i="1" s="1"/>
  <c r="M30" i="1" s="1" a="1"/>
  <c r="M30" i="1" s="1"/>
  <c r="G30" i="1"/>
  <c r="F30" i="1"/>
  <c r="E30" i="1"/>
  <c r="T26" i="1"/>
  <c r="H26" i="1"/>
  <c r="L26" i="1" s="1"/>
  <c r="M26" i="1" s="1" a="1"/>
  <c r="M26" i="1" s="1"/>
  <c r="G26" i="1"/>
  <c r="F26" i="1"/>
  <c r="E26" i="1"/>
  <c r="T25" i="1"/>
  <c r="H25" i="1"/>
  <c r="L25" i="1" s="1"/>
  <c r="M25" i="1" s="1" a="1"/>
  <c r="M25" i="1" s="1"/>
  <c r="G25" i="1"/>
  <c r="F25" i="1"/>
  <c r="E25" i="1"/>
  <c r="H24" i="1"/>
  <c r="L24" i="1" s="1"/>
  <c r="M24" i="1" s="1" a="1"/>
  <c r="M24" i="1" s="1"/>
  <c r="G24" i="1"/>
  <c r="F24" i="1"/>
  <c r="E24" i="1"/>
  <c r="H18" i="1"/>
  <c r="L18" i="1" s="1"/>
  <c r="M18" i="1" s="1" a="1"/>
  <c r="M18" i="1" s="1"/>
  <c r="G18" i="1"/>
  <c r="F18" i="1"/>
  <c r="E18" i="1"/>
  <c r="H14" i="1"/>
  <c r="L14" i="1" s="1"/>
  <c r="M14" i="1" s="1" a="1"/>
  <c r="M14" i="1" s="1"/>
  <c r="G14" i="1"/>
  <c r="F14" i="1"/>
  <c r="E14" i="1"/>
  <c r="H13" i="1"/>
  <c r="L13" i="1" s="1"/>
  <c r="M13" i="1" s="1" a="1"/>
  <c r="M13" i="1" s="1"/>
  <c r="G13" i="1"/>
  <c r="F13" i="1"/>
  <c r="E13" i="1"/>
  <c r="T11" i="1"/>
  <c r="H11" i="1"/>
  <c r="L11" i="1" s="1"/>
  <c r="M11" i="1" s="1" a="1"/>
  <c r="M11" i="1" s="1"/>
  <c r="G11" i="1"/>
  <c r="F11" i="1"/>
  <c r="E11" i="1"/>
  <c r="H10" i="1"/>
  <c r="L10" i="1" s="1"/>
  <c r="M10" i="1" s="1" a="1"/>
  <c r="M10" i="1" s="1"/>
  <c r="G10" i="1"/>
  <c r="F10" i="1"/>
  <c r="E10" i="1"/>
  <c r="T8" i="1"/>
  <c r="H8" i="1"/>
  <c r="L8" i="1" s="1"/>
  <c r="M8" i="1" s="1" a="1"/>
  <c r="M8" i="1" s="1"/>
  <c r="G8" i="1"/>
  <c r="F8" i="1"/>
  <c r="E8" i="1"/>
  <c r="H9" i="1"/>
  <c r="L9" i="1" s="1"/>
  <c r="M9" i="1" s="1" a="1"/>
  <c r="M9" i="1" s="1"/>
  <c r="G9" i="1"/>
  <c r="F9" i="1"/>
  <c r="E9" i="1"/>
  <c r="T5" i="1"/>
  <c r="H5" i="1"/>
  <c r="L5" i="1" s="1"/>
  <c r="M5" i="1" s="1" a="1"/>
  <c r="M5" i="1" s="1"/>
  <c r="G5" i="1"/>
  <c r="F5" i="1"/>
  <c r="E5" i="1"/>
  <c r="D3" i="1" l="1"/>
  <c r="K3" i="1" s="1"/>
  <c r="D16" i="1"/>
  <c r="K16" i="1" s="1"/>
  <c r="D2" i="1"/>
  <c r="K2" i="1" s="1"/>
  <c r="D17" i="1"/>
  <c r="K17" i="1" s="1"/>
  <c r="D65" i="1"/>
  <c r="K65" i="1" s="1"/>
  <c r="D21" i="1"/>
  <c r="K21" i="1" s="1"/>
  <c r="D20" i="1"/>
  <c r="K20" i="1" s="1"/>
  <c r="D12" i="1"/>
  <c r="K12" i="1" s="1"/>
  <c r="D8" i="1"/>
  <c r="K8" i="1" s="1"/>
  <c r="D29" i="1"/>
  <c r="K29" i="1" s="1"/>
  <c r="D47" i="1"/>
  <c r="K47" i="1" s="1"/>
  <c r="D49" i="1"/>
  <c r="K49" i="1" s="1"/>
  <c r="D11" i="1"/>
  <c r="K11" i="1" s="1"/>
  <c r="D9" i="1"/>
  <c r="K9" i="1" s="1"/>
  <c r="D4" i="1"/>
  <c r="K4" i="1" s="1"/>
  <c r="D23" i="1"/>
  <c r="K23" i="1" s="1"/>
  <c r="D13" i="1"/>
  <c r="K13" i="1" s="1"/>
  <c r="D32" i="1"/>
  <c r="K32" i="1" s="1"/>
  <c r="D59" i="1"/>
  <c r="K59" i="1" s="1"/>
  <c r="D14" i="1"/>
  <c r="K14" i="1" s="1"/>
  <c r="D6" i="1"/>
  <c r="K6" i="1" s="1"/>
  <c r="D10" i="1"/>
  <c r="K10" i="1" s="1"/>
  <c r="D36" i="1"/>
  <c r="K36" i="1" s="1"/>
  <c r="D57" i="1"/>
  <c r="K57" i="1" s="1"/>
  <c r="D43" i="1"/>
  <c r="K43" i="1" s="1"/>
  <c r="D27" i="1"/>
  <c r="K27" i="1" s="1"/>
  <c r="D38" i="1"/>
  <c r="K38" i="1" s="1"/>
  <c r="D67" i="1"/>
  <c r="K67" i="1" s="1"/>
  <c r="D25" i="1"/>
  <c r="K25" i="1" s="1"/>
  <c r="D30" i="1"/>
  <c r="K30" i="1" s="1"/>
  <c r="D35" i="1"/>
  <c r="K35" i="1" s="1"/>
  <c r="D44" i="1"/>
  <c r="K44" i="1" s="1"/>
  <c r="D45" i="1"/>
  <c r="K45" i="1" s="1"/>
  <c r="D24" i="1"/>
  <c r="K24" i="1" s="1"/>
  <c r="D51" i="1"/>
  <c r="K51" i="1" s="1"/>
  <c r="D5" i="1"/>
  <c r="K5" i="1" s="1"/>
  <c r="D18" i="1"/>
  <c r="K18" i="1" s="1"/>
  <c r="D39" i="1"/>
  <c r="K39" i="1" s="1"/>
  <c r="D22" i="1"/>
  <c r="K22" i="1" s="1"/>
  <c r="D19" i="1"/>
  <c r="K19" i="1" s="1"/>
  <c r="D33" i="1"/>
  <c r="K33" i="1" s="1"/>
  <c r="D46" i="1"/>
  <c r="K46" i="1" s="1"/>
  <c r="D48" i="1"/>
  <c r="K48" i="1" s="1"/>
  <c r="D50" i="1"/>
  <c r="K50" i="1" s="1"/>
  <c r="D37" i="1"/>
  <c r="K37" i="1" s="1"/>
  <c r="D64" i="1"/>
  <c r="K64" i="1" s="1"/>
  <c r="D66" i="1"/>
  <c r="K66" i="1" s="1"/>
  <c r="D28" i="1"/>
  <c r="K28" i="1" s="1"/>
  <c r="D53" i="1"/>
  <c r="K53" i="1" s="1"/>
  <c r="D62" i="1"/>
  <c r="K62" i="1" s="1"/>
  <c r="D69" i="1"/>
  <c r="K69" i="1" s="1"/>
  <c r="D41" i="1"/>
  <c r="K41" i="1" s="1"/>
  <c r="D7" i="1"/>
  <c r="K7" i="1" s="1"/>
  <c r="D56" i="1"/>
  <c r="K56" i="1" s="1"/>
  <c r="D34" i="1"/>
  <c r="K34" i="1" s="1"/>
  <c r="D42" i="1"/>
  <c r="K42" i="1" s="1"/>
  <c r="D55" i="1"/>
  <c r="K55" i="1" s="1"/>
  <c r="D63" i="1"/>
  <c r="K63" i="1" s="1"/>
  <c r="D61" i="1"/>
  <c r="K61" i="1" s="1"/>
  <c r="D68" i="1"/>
  <c r="K68" i="1" s="1"/>
  <c r="D58" i="1"/>
  <c r="K58" i="1" s="1"/>
  <c r="D40" i="1"/>
  <c r="K40" i="1" s="1"/>
  <c r="D54" i="1"/>
  <c r="K54" i="1" s="1"/>
  <c r="D26" i="1"/>
  <c r="K26" i="1" s="1"/>
  <c r="D31" i="1"/>
  <c r="K31" i="1" s="1"/>
  <c r="D52" i="1"/>
  <c r="K52" i="1" s="1"/>
  <c r="D60" i="1"/>
  <c r="K60" i="1" s="1"/>
  <c r="M53" i="1" a="1"/>
  <c r="M53" i="1" s="1"/>
</calcChain>
</file>

<file path=xl/sharedStrings.xml><?xml version="1.0" encoding="utf-8"?>
<sst xmlns="http://schemas.openxmlformats.org/spreadsheetml/2006/main" count="704" uniqueCount="373">
  <si>
    <t>Citation (APA 7th-Annotated)</t>
  </si>
  <si>
    <t>Publication name</t>
  </si>
  <si>
    <t>1st Author</t>
  </si>
  <si>
    <t>other author(s)</t>
  </si>
  <si>
    <t>year</t>
  </si>
  <si>
    <t>sequence</t>
  </si>
  <si>
    <t>DOI (or Alt)</t>
  </si>
  <si>
    <t>DOI if different from article</t>
  </si>
  <si>
    <t>Item number</t>
  </si>
  <si>
    <t>Item name</t>
  </si>
  <si>
    <t>Item encoded</t>
  </si>
  <si>
    <t>Note: related Item(s) included in folder</t>
  </si>
  <si>
    <t>Progress stage</t>
  </si>
  <si>
    <t>Item in directory FileList</t>
  </si>
  <si>
    <t>Online Database</t>
  </si>
  <si>
    <t>Snapshot</t>
  </si>
  <si>
    <t>Adjustment made</t>
  </si>
  <si>
    <t>Data readable file, can use this</t>
  </si>
  <si>
    <t>Source Type</t>
  </si>
  <si>
    <t>Source format</t>
  </si>
  <si>
    <t>Source URL direct access</t>
  </si>
  <si>
    <t>Source URL link</t>
  </si>
  <si>
    <t>Main Trait(s)</t>
  </si>
  <si>
    <t>Source type</t>
  </si>
  <si>
    <t>Team</t>
  </si>
  <si>
    <t>Method</t>
  </si>
  <si>
    <t>Possible Traits</t>
  </si>
  <si>
    <t>Note</t>
  </si>
  <si>
    <t>Subcategory</t>
  </si>
  <si>
    <t xml:space="preserve">Flags pre-addressed </t>
  </si>
  <si>
    <t xml:space="preserve">Flags possible </t>
  </si>
  <si>
    <t>Flags active (skips)</t>
  </si>
  <si>
    <t>M1 subspecies</t>
  </si>
  <si>
    <t>M1 species</t>
  </si>
  <si>
    <t>M1 genus</t>
  </si>
  <si>
    <t>NA</t>
  </si>
  <si>
    <t>primary (derived from published materials)</t>
  </si>
  <si>
    <t>mammals</t>
  </si>
  <si>
    <t>Burger, J. R., George, M. A., Leadbetter, C., &amp; Shaikh, F. (2019). The allometry of brain size in mammals. J Mammal, 100(2), 276-283. https://doi.org/10.1093/jmammal/gyz043</t>
  </si>
  <si>
    <t>Supplementary Data SD1</t>
  </si>
  <si>
    <t>Supplementary Data SD2</t>
  </si>
  <si>
    <t>FINISHED</t>
  </si>
  <si>
    <t>already there</t>
  </si>
  <si>
    <t>gyz043_suppl_Supplement_Data.csv</t>
  </si>
  <si>
    <t>N</t>
  </si>
  <si>
    <t>zipped csv</t>
  </si>
  <si>
    <t>table</t>
  </si>
  <si>
    <t>NO - the article link did not work in R, and goes to a zip</t>
  </si>
  <si>
    <t>Brain and body size</t>
  </si>
  <si>
    <t>secondary</t>
  </si>
  <si>
    <t>derived relative brain size data are problematic</t>
  </si>
  <si>
    <t>Caspar, K. R., Pallasdies, F., Mader, L., Sartorelli, H., &amp; Begall, S. (2022). The evolution and biological correlates of hand preferences in anthropoid primates. Elife, 11, e77875. https://doi.org/10.7554/eLife.77875</t>
  </si>
  <si>
    <t>Table 1</t>
  </si>
  <si>
    <t>added</t>
  </si>
  <si>
    <t>Caspar_etal_2022_Table1_snapshot.xlsx</t>
  </si>
  <si>
    <t>Y</t>
  </si>
  <si>
    <t>Caspar_etal_2022_Table1.csv</t>
  </si>
  <si>
    <t>pdf</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</si>
  <si>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</si>
  <si>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</si>
  <si>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part 1: handedness summary table</t>
  </si>
  <si>
    <t>Handedness derived data</t>
  </si>
  <si>
    <t>derived from primary</t>
  </si>
  <si>
    <t>perhaps useful to get raw data as well?</t>
  </si>
  <si>
    <t>primates</t>
  </si>
  <si>
    <t>Supplementary file 3</t>
  </si>
  <si>
    <t>elife-77875-supp3-v1.xlsx</t>
  </si>
  <si>
    <t>xlsx</t>
  </si>
  <si>
    <t>YES - download link</t>
  </si>
  <si>
    <t>https://cdn.elifesciences.org/articles/77875/elife-77875-supp3-v1.xlsx</t>
  </si>
  <si>
    <t>part 2: ecological table</t>
  </si>
  <si>
    <t>Habitual Tool Use, Ecology, Female brain size</t>
  </si>
  <si>
    <t>Changizi, M. A. (2001). Principles underlying mammalian neocortical scaling. Biol Cybern, 84(3), 207-215. https://doi.org/10.1007/s004220000205</t>
  </si>
  <si>
    <t>Figure 3</t>
  </si>
  <si>
    <t>Species -- wait for Project Kaskan</t>
  </si>
  <si>
    <t>Changizi__2001_Figure3_snapshot.csv</t>
  </si>
  <si>
    <t>Changizi__2001_Figure3.csv</t>
  </si>
  <si>
    <t>figure and caption</t>
  </si>
  <si>
    <t>NO - paywall</t>
  </si>
  <si>
    <t>number of cortical areas</t>
  </si>
  <si>
    <t>summary to check more precise areas from ProjectKaskan</t>
  </si>
  <si>
    <t>COMMON NAMES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</si>
  <si>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</si>
  <si>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</si>
  <si>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</si>
  <si>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</si>
  <si>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</si>
  <si>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</si>
  <si>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</si>
  <si>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</si>
  <si>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</si>
  <si>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</si>
  <si>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</si>
  <si>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</si>
  <si>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</si>
  <si>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</si>
  <si>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</si>
  <si>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</si>
  <si>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Cell numbers, region size</t>
  </si>
  <si>
    <t>primary</t>
  </si>
  <si>
    <t>HH</t>
  </si>
  <si>
    <t>marsupials</t>
  </si>
  <si>
    <t>erratum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</si>
  <si>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</si>
  <si>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</si>
  <si>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DosSantos_etal_2020_Table1.csv</t>
  </si>
  <si>
    <t>pdf online</t>
  </si>
  <si>
    <t>primary; secondary (compiled team data)</t>
  </si>
  <si>
    <t>microglia</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</si>
  <si>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</si>
  <si>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</si>
  <si>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</si>
  <si>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</si>
  <si>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 xml:space="preserve">pdf </t>
  </si>
  <si>
    <t>https://www.researchgate.net/publication/299027052_Developmental_constraints_on_or_developmental_structure_in_brain_evolution</t>
  </si>
  <si>
    <t>cerebral cortex surface area and number of areas (broadly defined)</t>
  </si>
  <si>
    <t xml:space="preserve"> summary to check more precise areas from ProjectKaskan</t>
  </si>
  <si>
    <t>Heffner, R., &amp; Masterton, B. (1975). Variation in form of the pyramidal tract and its relationship to digital dexterity. Brain Behav Evol, 12(3), 161-200. https://doi.org/10.1159/000124401</t>
  </si>
  <si>
    <t>Table I</t>
  </si>
  <si>
    <t>Heffner_Masterton_1975_TableI_snapshot.xlsx</t>
  </si>
  <si>
    <t>Heffner_Masterton_1975_TableI.csv</t>
  </si>
  <si>
    <t>digital dexterity</t>
  </si>
  <si>
    <t>mostly secondary</t>
  </si>
  <si>
    <t>area of pyramidal tract; deepest lamina</t>
  </si>
  <si>
    <t>Heffner, R. S., &amp; Masterton, R. B. (1983). The role of the corticospinal tract in the evolution of human digital dexterity. Brain Behav Evol, 23(3-4), 165-183. https://doi.org/10.1159/000121494</t>
  </si>
  <si>
    <t>NOT STARTED</t>
  </si>
  <si>
    <t>compare to 1975</t>
  </si>
  <si>
    <t>Heldstab, S. A., Kosonen, Z. K., Koski, S. E., Burkart, J. M., van Schaik, C. P., &amp; Isler, K. (2016). Manipulation complexity in primates coevolved with brain size and terrestriality. Sci Rep, 6, 24528. https://doi.org/10.1038/srep24528</t>
  </si>
  <si>
    <t>manipulation complexity</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</si>
  <si>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</si>
  <si>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HerculanoHouzel_etal_2015_Table1_snapshot.xlsx</t>
  </si>
  <si>
    <t>HerculanoHouzel_etal_2015_Table1.csv</t>
  </si>
  <si>
    <t>https://karger.com/bbe/article-pdf/86/3-4/145/2264694/000437413.pdf</t>
  </si>
  <si>
    <t>Table 1. Cerebral cortex</t>
  </si>
  <si>
    <t>placental mammals</t>
  </si>
  <si>
    <t>Table 2</t>
  </si>
  <si>
    <t>HerculanoHouzel_etal_2015_Table2_snapshot.xlsx</t>
  </si>
  <si>
    <t>HerculanoHouzel_etal_2015_Table2.csv</t>
  </si>
  <si>
    <t>Table 2. Cerebellum</t>
  </si>
  <si>
    <t>Table 3</t>
  </si>
  <si>
    <t>HerculanoHouzel_etal_2015_Table3_snapshot.xlsx</t>
  </si>
  <si>
    <t>HerculanoHouzel_etal_2015_Table3.csv</t>
  </si>
  <si>
    <t>Table 3. RoB</t>
  </si>
  <si>
    <t>Table 4</t>
  </si>
  <si>
    <t>HerculanoHouzel_etal_2015_Table4_snapshot.xlsx</t>
  </si>
  <si>
    <t>HerculanoHouzel_etal_2015_Table4.csv</t>
  </si>
  <si>
    <t>Table 4. Olfactory bulb</t>
  </si>
  <si>
    <t>Table 5</t>
  </si>
  <si>
    <t>HerculanoHouzel_etal_2015_Table5_snapshot.xlsx</t>
  </si>
  <si>
    <t>HerculanoHouzel_etal_2015_Table5.csv</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</si>
  <si>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</si>
  <si>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</si>
  <si>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t>
  </si>
  <si>
    <t>HerculanoHouzel_etal_2020_TABLE1_snapshot.csv</t>
  </si>
  <si>
    <t>HerculanoHouzel_etal_2020_Table1.csv</t>
  </si>
  <si>
    <t>TABLE 1 Dataset</t>
  </si>
  <si>
    <t>region size</t>
  </si>
  <si>
    <t>bats</t>
  </si>
  <si>
    <t>TABLE 2</t>
  </si>
  <si>
    <t>HerculanoHouzel_etal_2020_TABLE2_snapshot.csv</t>
  </si>
  <si>
    <t>HerculanoHouzel_etal_2020_Table2.csv</t>
  </si>
  <si>
    <t>TABLE 2 Numbers of neurons and neuronal density (neurons/mg)</t>
  </si>
  <si>
    <t>Cell numbers</t>
  </si>
  <si>
    <t>Iwaniuk, A. N., Nelson, J. E., &amp; Pellis, S. M. (2001). Do big-brained animals play more? Comparative analyses of play and relative brain size in mammals. J Comp Psychol, 115(1), 29-41. https://doi.org/10.1037/0735-7036.115.1.29</t>
  </si>
  <si>
    <t>only manually added M1 species; do all species and record steps</t>
  </si>
  <si>
    <t>Table 1 Encephalization Quotients (EQs) and Play Scores for 15 Mammalian Orders</t>
  </si>
  <si>
    <t>play</t>
  </si>
  <si>
    <t>mammal clades</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</si>
  <si>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</si>
  <si>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</si>
  <si>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</si>
  <si>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</si>
  <si>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JardimMesseder_etal_2017_Table1_snapshot.csv</t>
  </si>
  <si>
    <t>JardimMesseder_etal_2017_Table1.csv</t>
  </si>
  <si>
    <t>https://doi.org/10.3389/fnana.2017.00118</t>
  </si>
  <si>
    <t>TABLE 1 | Summary of the cellular composition of the major brain structures of eight carnivoran species.</t>
  </si>
  <si>
    <t>companion animals</t>
  </si>
  <si>
    <t>Kverkova, K., Belikova, T., Olkowicz, S., Pavelkova, Z., O'Riain, M. J., Sumbera, R., Burda, H., Bennett, N. C., &amp; Nemec, P. (2018). Sociality does not drive the evolution of large brains in eusocial African mole-rats. Sci Rep, 8(1), 9203. https://doi.org/10.1038/s41598-018-26062-8</t>
  </si>
  <si>
    <t>Kverkova_etal_2018_TableS1.csv</t>
  </si>
  <si>
    <t>docx</t>
  </si>
  <si>
    <t>https://static-content.springer.com/esm/art%3A10.1038%2Fs41598-018-26062-8/MediaObjects/41598_2018_26062_MOESM1_ESM.docx</t>
  </si>
  <si>
    <t xml:space="preserve">Table S1. Brain mass and brain region volumes </t>
  </si>
  <si>
    <t>primary; secondary brain and body mass</t>
  </si>
  <si>
    <t>African mole-rats (Bathyergidae)</t>
  </si>
  <si>
    <t>Table S5</t>
  </si>
  <si>
    <t>Kverkova_etal_2018_TableS5.csv</t>
  </si>
  <si>
    <t>docx online</t>
  </si>
  <si>
    <t>Table S5. Numbers of neurons in the whole brain and the major brain divisions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</si>
  <si>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</si>
  <si>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</si>
  <si>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</si>
  <si>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</si>
  <si>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</si>
  <si>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</si>
  <si>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</si>
  <si>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</si>
  <si>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</si>
  <si>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</si>
  <si>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</si>
  <si>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</si>
  <si>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</si>
  <si>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tables</t>
  </si>
  <si>
    <t>Table 4. GLI values for each cortical layer</t>
  </si>
  <si>
    <t>GLI: laminar and profiles</t>
  </si>
  <si>
    <t>Table 5. Species mean values for 10 GLI profile feature vectors</t>
  </si>
  <si>
    <t>Winkler, S. L., &amp; Bryant, G. A. (2021). Play vocalisations and human laughter: a comparative review. Bioacoustics, 1-28. https://doi.org/10.1080/09524622.2021.1905065</t>
  </si>
  <si>
    <t>Figure 1</t>
  </si>
  <si>
    <t>table and figure</t>
  </si>
  <si>
    <t>play vocalizations</t>
  </si>
  <si>
    <t>Young, N. A., Collins, C. E., &amp; Kaas, J. H. (2013). Cell and neuron densities in the primary motor cortex of primates [Original Research]. Front Neural Circuits, 7(30), 30. https://doi.org/10.3389/fncir.2013.00030</t>
  </si>
  <si>
    <t>M1 Cell count, surface area, mass</t>
  </si>
  <si>
    <t>Mota, B., &amp; Herculano-Houzel, S. (2015). Cortical folding scales universally with surface area and thickness, not number of neurons. Science, 349(6243), 74-77. https://doi.org/10.1126/science.aaa9101</t>
  </si>
  <si>
    <t>Herculano-Houzel, S., Watson, C., &amp; Paxinos, G. (2013). Distribution of neurons in functional areas of the mouse cerebral cortex reveals quantitatively different cortical zones. Front Neuroanat, 7, 35. https://doi.org/10.3389/fnana.2013.00035</t>
  </si>
  <si>
    <t>Figure 2 Top Left</t>
  </si>
  <si>
    <t>area data not species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</si>
  <si>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</si>
  <si>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</si>
  <si>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</si>
  <si>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Table 7</t>
  </si>
  <si>
    <t>named in two rows (only brain and body anyway)</t>
  </si>
  <si>
    <t>Table S2</t>
  </si>
  <si>
    <t>Table S3</t>
  </si>
  <si>
    <t>Tree.nex</t>
  </si>
  <si>
    <t>Lewitus, E., Kelava, I., Kalinka, A. T., Tomancak, P., &amp; Huttner, W. B. (2014). An adaptive threshold in mammalian neocortical evolution. PLoS Biol, 12(11), e1002000. https://doi.org/10.1371/journal.pbio.1002000</t>
  </si>
  <si>
    <t>Table S8</t>
  </si>
  <si>
    <t>Table S8: Neocortical neuron number for Figure 3d</t>
  </si>
  <si>
    <t>Lewitus, E., Kelava, I., &amp; Huttner, W. B. (2013). Conical expansion of the outer subventricular zone and the role of neocortical folding in evolution and development. Front Hum Neurosci, 7, 424. https://doi.org/10.3389/fnhum.2013.00424</t>
  </si>
  <si>
    <t>Table S2 partial</t>
  </si>
  <si>
    <t>Smaers, J. B., Steele, J., Case, C. R., Cowper, A., Amunts, K., &amp; Zilles, K. (2011). Primate prefrontal cortex evolution: human brains are the extreme of a lateralized ape trend. Brain Behav Evol, 77(2), 67-78. https://doi.org/10.1159/000323671</t>
  </si>
  <si>
    <t>SupplementaryTable1</t>
  </si>
  <si>
    <t>individuals</t>
  </si>
  <si>
    <t>SupplementaryTable2</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</si>
  <si>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</si>
  <si>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</si>
  <si>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</si>
  <si>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</si>
  <si>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</si>
  <si>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</si>
  <si>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</si>
  <si>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</si>
  <si>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</si>
  <si>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</si>
  <si>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</si>
  <si>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--&gt; Species note</t>
  </si>
  <si>
    <t xml:space="preserve">add a column to include any additional information about the species from the table legend, paper text, personal communication, etc </t>
  </si>
  <si>
    <t>--&gt; Species correction</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</si>
  <si>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</si>
  <si>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</si>
  <si>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</si>
  <si>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</si>
  <si>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</si>
  <si>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</si>
  <si>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</si>
  <si>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</si>
  <si>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</si>
  <si>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</si>
  <si>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</si>
  <si>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</si>
  <si>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</si>
  <si>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</si>
  <si>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</si>
  <si>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</si>
  <si>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</si>
  <si>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add a column to correct any errors in species designations (e.g., misidentified or combined different species of same genus)</t>
  </si>
  <si>
    <t>Table 1. Origin and use of the experimental animals.</t>
  </si>
  <si>
    <t>sample size and information</t>
  </si>
  <si>
    <t>Kverkova_etal_2018_Table1_snapshot.xlsx</t>
  </si>
  <si>
    <t>Kverkova_etal_2018_TableS1_snapshot.xlsx</t>
  </si>
  <si>
    <t>Kverkova_etal_2018_TableS5_snapshot.csv</t>
  </si>
  <si>
    <t>Table S1 Physiological and life-history variables</t>
  </si>
  <si>
    <t>L</t>
  </si>
  <si>
    <t>Supplementary Table S1. Morphometrical and cell number data used in this study (“our dataset”).</t>
  </si>
  <si>
    <t>Supplementary Table S1</t>
  </si>
  <si>
    <t>Table S2. Basal metabolic rate (BMR) database.</t>
  </si>
  <si>
    <t>Table 1. Cellular composition of the spinal cord</t>
  </si>
  <si>
    <t>Supplementary Table 1: Dataset of individual spinal cord measurements</t>
  </si>
  <si>
    <t>Supplementary Table 1</t>
  </si>
  <si>
    <t>primary (averages)</t>
  </si>
  <si>
    <t>primary (individual)</t>
  </si>
  <si>
    <t>primates and tree shrew</t>
  </si>
  <si>
    <t>total and exposed cortical surface area</t>
  </si>
  <si>
    <t>number spinal cord neurons</t>
  </si>
  <si>
    <t>BMR</t>
  </si>
  <si>
    <t>mouse (developmental)</t>
  </si>
  <si>
    <t>Species - binomials need to be added</t>
  </si>
  <si>
    <t>Burish_etal_2010_Table1_snapshot.csv</t>
  </si>
  <si>
    <t>Burish_etal_2010_SupplementaryTable1_snapshot.csv</t>
  </si>
  <si>
    <t>Table 1 Data</t>
  </si>
  <si>
    <t>Item full name</t>
  </si>
  <si>
    <t>if there are typos or shorthand species names used, can update based on heading, note, text</t>
  </si>
  <si>
    <t>Files</t>
  </si>
  <si>
    <t>10.1002%2Fcne.24985_TABLE1.tsv</t>
  </si>
  <si>
    <t>10.1002%2Fcne.24985_TABLE2.tsv</t>
  </si>
  <si>
    <t>10.1007%2Fs004220000205_Figure3.tsv</t>
  </si>
  <si>
    <t>10.1016%2Fj.jhevol.2008.08.004_Table2.tsv</t>
  </si>
  <si>
    <t>10.1016%2Fj.jhevol.2008.08.004_Table7.tsv</t>
  </si>
  <si>
    <t>10.1016%2Fj.jhevol.2008.08.004_TableS1.tsv</t>
  </si>
  <si>
    <t>10.1016%2Fj.jhevol.2008.08.004_TableS2.tsv</t>
  </si>
  <si>
    <t>10.1016%2Fj.jhevol.2008.08.004_TableS3.tsv</t>
  </si>
  <si>
    <t>10.1016%2Fj.jhevol.2008.08.004_Tree.nex</t>
  </si>
  <si>
    <t>10.1038%2Fs41467-020-14356-3_SupplementaryData3.tsv</t>
  </si>
  <si>
    <t>10.1038%2Fs41598-018-26062-8_Table1.tsv</t>
  </si>
  <si>
    <t>10.1038%2Fs41598-018-26062-8_TableS1.tsv</t>
  </si>
  <si>
    <t>10.1038%2Fs41598-018-26062-8_TableS5.tsv</t>
  </si>
  <si>
    <t>10.1093%2Fjmammal%2Fgyz043_SupplementaryDataSD1.tsv</t>
  </si>
  <si>
    <t>10.1093%2Fjmammal%2Fgyz043.ReadMe.md</t>
  </si>
  <si>
    <t>10.1093%2Foso%2F9780198568742.003.0006_Table6.1.tsv</t>
  </si>
  <si>
    <t>10.1126%2Fscience.aaa9101_TableS1.tsv</t>
  </si>
  <si>
    <t>10.1159%2F000124401_TableI.tsv</t>
  </si>
  <si>
    <t>10.1159%2F000319019_SupplementaryTable1.tsv</t>
  </si>
  <si>
    <t>10.1159%2F000319019_Table1.tsv</t>
  </si>
  <si>
    <t>10.1159%2F000323671_SupplementaryTable1.tsv</t>
  </si>
  <si>
    <t>10.1159%2F000323671_SupplementaryTable2.tsv</t>
  </si>
  <si>
    <t>10.1159%2F000323671.ReadMe.md</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</si>
  <si>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</si>
  <si>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</si>
  <si>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</si>
  <si>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</si>
  <si>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</si>
  <si>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</si>
  <si>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</si>
  <si>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10.1371%2Fjournal.pbio.1002000_TableS8.ReadMe.md</t>
  </si>
  <si>
    <t>10.1371%2Fjournal.pbio.1002000_TableS8.tsv</t>
  </si>
  <si>
    <t>10.1523%2FJNEUROSCI.2339-19.2020_Table1.tsv</t>
  </si>
  <si>
    <t>10.3389%25Ffnana.2013.00035.svg</t>
  </si>
  <si>
    <t>10.3389%2Ffnana.2013.00035_Figure2TopLeft.ReadMe.md</t>
  </si>
  <si>
    <t>10.3389%2Ffnana.2013.00035_Figure2TopLeft.tsv</t>
  </si>
  <si>
    <t>10.3389%2Ffnana.2013.00035_Table1-a.tsv</t>
  </si>
  <si>
    <t>10.3389%2Ffnana.2013.00035_Table1-b.tsv</t>
  </si>
  <si>
    <t>10.3389%2Ffnana.2013.00035.ReadMe.md</t>
  </si>
  <si>
    <t>10.3389%2Ffnana.2017.00118_Table1.tsv</t>
  </si>
  <si>
    <t>10.3389%2Ffnhum.2013.00424_TableS2partial.tsv</t>
  </si>
  <si>
    <t>10.3389%2Ffnhum.2013.00424.ReadMe.md</t>
  </si>
  <si>
    <t>10.7554%2FeLife.77875_Supplementaryfile3.tsv</t>
  </si>
  <si>
    <t>10.7554%2FeLife.77875_Table1.tsv</t>
  </si>
  <si>
    <t>README.md</t>
  </si>
  <si>
    <t>Table S1. Locomotor profiles for the species used in this
study.</t>
  </si>
  <si>
    <t>mammal_gait.txt</t>
  </si>
  <si>
    <t>MamFuncDat.txt</t>
  </si>
  <si>
    <t>References</t>
  </si>
  <si>
    <t>Table 1 The anatomical and behavioural traits used the comparative analysis</t>
  </si>
  <si>
    <t>reference list</t>
  </si>
  <si>
    <t>Iwaniuk, A. N., Pellis, S. M., &amp; Whishaw, I. Q. (1999). Is digital dexterity really related to corticospinal projections?: a re-analysis of the Heffner and Masterton data set using modern comparative statistics. Behav Brain Res, 101(2), 173-187. https://doi.org/10.1016/s0166-4328(98)00151-x</t>
  </si>
  <si>
    <t>Genoud, M., Isler, K., &amp; Martin, R. D. (2018). Comparative analyses of basal rate of metabolism in mammals: data selection does matter. Biol Rev Camb Philos Soc, 93(1), 404-438. https://doi.org/10.1111/brv.12350</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</si>
  <si>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</si>
  <si>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Burish, M. J., Peebles, J. K., Baldwin, M. K., Tavares, L., Kaas, J. H., &amp; Herculano-Houzel, S. (2010). Cellular scaling rules for primate spinal cords. Brain Behav Evol, 76(1), 45-59. https://doi.org/10.1159/000319019</t>
  </si>
  <si>
    <t>Fu, Y., Rusznak, Z., Herculano-Houzel, S., Watson, C., &amp; Paxinos, G. (2013). Cellular composition characterizing postnatal development and maturation of the mouse brain and spinal cord. Brain Struct Funct, 218(5), 1337-1354. https://doi.org/10.1007/s00429-012-0462-x</t>
  </si>
  <si>
    <t>MacLarnon, A. (1996). The scaling of gross dimensions of the spinal cord in primates and other species. J Hum Evol, 30(1), 71-87. https://doi.org/10.1006/jhev.1996.0005</t>
  </si>
  <si>
    <t>Wimberly, A. N., Slater, G. J., &amp; Granatosky, M. C. (2021). Evolutionary history of quadrupedal walking gaits shows mammalian release from locomotor constraint. Proc Biol Sci, 288(1957), 20210937. https://doi.org/10.1098/rspb.2021.0937</t>
  </si>
  <si>
    <t>Granatosky, M. C. (2018). A Review of locomotor diversity in mammals with analyses exploring the influence of substrate use, body mass and intermembral index in primates. Journal of Zoology, 306(4), 207-216. https://doi.org/10.1111/jzo.12608</t>
  </si>
  <si>
    <t>Wilman, H., Belmaker, J., Simpson, J., de la Rosa, C., Rivadeneira, M. M., &amp; Jetz, W. (2014). EltonTraits 1.0: Species‐level foraging attributes of the world's birds and mammals. Ecology, 95(7), 2027-2027. https://doi.org/10.1890/13-1917.1</t>
  </si>
  <si>
    <t>end</t>
  </si>
  <si>
    <t>10.0000/placeholder</t>
  </si>
  <si>
    <t>Tabelle 1</t>
  </si>
  <si>
    <t>Brodmann, K. (1913). Neue Forschungsergebnisse der Großhirnrindenanatomie mit besonderer Berücksichtigung anthropologischer Fragen. Verhandlungen der Gesellschaft Deutscher Naturforscher und Ärzte, 85(1), 200-240</t>
  </si>
  <si>
    <t>cortical area surface area, neuron density</t>
  </si>
  <si>
    <t>Collins, C. E., Airey, D. C., Young, N. A., Leitch, D. B., &amp; Kaas, J. H. (2010). Neuron densities vary across and within cortical areas in primates. Proc Natl Acad Sci U S A, 107(36), 15927-15932. https://doi.org/10.1073/pnas.1010356107</t>
  </si>
  <si>
    <t>Dataset S1</t>
  </si>
  <si>
    <t>Table 1 Age-dependent changes affecting the mouse central nervous system and pituitary</t>
  </si>
  <si>
    <t>Table S2. Database for multiple-regression model</t>
  </si>
  <si>
    <t>Garwicz, M., Christensson, M., &amp; Psouni, E. (2009). A unifying model for timing of walking onset in humans and other mammals. Proc Natl Acad Sci U S A, 106(51), 21889-21893. https://doi.org/10.1073/pnas.0905777106</t>
  </si>
  <si>
    <t>Table S1. Taxonomy of species included in the sample</t>
  </si>
  <si>
    <t>Table 1. Summary of experimental cases</t>
  </si>
  <si>
    <t>brain surface total area</t>
  </si>
  <si>
    <t>Turner, E. C., Young, N. A., Reed, J. L., Collins, C. E., Flaherty, D. K., Gabi, M., &amp; Kaas, J. H. (2016). Distributions of cells and neurons across the cortical sheet in old world macaques. Brain Behav Evol, 88(1), 1-13. https://doi.org/10.1159/000446762</t>
  </si>
  <si>
    <t>https://www.pnas.org/doi/suppl/10.1073/pnas.0905777106/suppl_file/0905777106si.pdf</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</si>
  <si>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</si>
  <si>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</si>
  <si>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TABLE 2 ILA linear density, number of primary processes, number of total processes, total length, and complexity, of mammalian species analyzed</t>
  </si>
  <si>
    <t>Avelino-de-Souza, K., Patzke, N., Karlsson, K. A. E., Manger, P. R., &amp; Herculano-Houzel, S. (2025). Cellular Composition of the Brain of a Northern Minke Whale. J Comp Neurol, 533(9), e70089. https://doi.org/10.1002/cne.70089</t>
  </si>
  <si>
    <t>Baron, G., Frahm, H. D., Bhatnagar, K. P., &amp; Stephan, H. (1983). Comparison of brain structure volumes in Insectivora and Primates. III. Main olfactory bulb (MOB). J Hirnforsch, 24(5), 551-568. https://www.ncbi.nlm.nih.gov/pubmed/6663055</t>
  </si>
  <si>
    <t>10.0000/placeholder.1</t>
  </si>
  <si>
    <t>unpublished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</si>
</sst>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2"/>
      <color theme="1"/>
      <name val="Calibri"/>
      <family val="2"/>
      <scheme val="minor"/>
    </font>
    <font>
      <sz val="12"/>
      <color theme="1"/>
      <name val="Calibri"/>
      <family val="2"/>
      <scheme val="minor"/>
    </font>
    <font>
      <sz val="12"/>
      <color theme="1"/>
      <name val="Calibri"/>
      <family val="2"/>
    </font>
    <font>
      <sz val="12"/>
      <color rgb="FF000000"/>
      <name val="Calibri"/>
      <family val="2"/>
      <scheme val="minor"/>
    </font>
    <font>
      <sz val="12"/>
      <color rgb="FFFF0000"/>
      <name val="Calibri"/>
      <family val="2"/>
      <scheme val="minor"/>
    </font>
    <font>
      <sz val="12"/>
      <color rgb="FFFF0000"/>
      <name val="Calibri"/>
      <family val="2"/>
    </font>
    <font>
      <sz val="12"/>
      <color rgb="FF000000"/>
      <name val="Calibri"/>
      <family val="2"/>
    </font>
    <font>
      <b/>
      <sz val="12"/>
      <color theme="1"/>
      <name val="Calibri"/>
      <family val="2"/>
    </font>
    <font>
      <b/>
      <sz val="12"/>
      <color theme="1"/>
      <name val="Calibri"/>
      <family val="2"/>
      <scheme val="minor"/>
    </font>
    <font>
      <sz val="12"/>
      <color theme="1"/>
      <name val="Calibri"/>
      <family val="2"/>
    </font>
    <font>
      <i/>
      <sz val="12"/>
      <color theme="1"/>
      <name val="Calibri"/>
      <family val="2"/>
      <scheme val="minor"/>
    </font>
    <font>
      <sz val="12"/>
      <color rgb="FF3F3F76"/>
      <name val="Calibri"/>
      <family val="2"/>
      <scheme val="minor"/>
    </font>
    <font>
      <b/>
      <sz val="12"/>
      <color rgb="FF3F3F76"/>
      <name val="Calibri"/>
      <family val="2"/>
      <scheme val="minor"/>
    </font>
    <font>
      <u/>
      <sz val="12"/>
      <color theme="1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CC99"/>
      </patternFill>
    </fill>
  </fills>
  <borders count="2">
    <border>
      <left/>
      <right/>
      <top/>
      <bottom/>
      <diagonal/>
    </border>
    <border>
      <left style="thin">
        <color rgb="FF7F7F7F"/>
      </left>
      <right style="thin">
        <color rgb="FF7F7F7F"/>
      </right>
      <top style="thin">
        <color rgb="FF7F7F7F"/>
      </top>
      <bottom style="thin">
        <color rgb="FF7F7F7F"/>
      </bottom>
      <diagonal/>
    </border>
  </borders>
  <cellStyleXfs count="3">
    <xf numFmtId="0" fontId="0" fillId="0" borderId="0"/>
    <xf numFmtId="0" fontId="11" fillId="3" borderId="1" applyNumberFormat="0" applyAlignment="0" applyProtection="0"/>
    <xf numFmtId="0" fontId="13" fillId="0" borderId="0" applyNumberFormat="0" applyFill="0" applyBorder="0" applyAlignment="0" applyProtection="0"/>
  </cellStyleXfs>
  <cellXfs count="18">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4" fillId="2" borderId="0" xfId="0" applyFont="1" applyFill="1"/>
    <xf numFmtId="0" fontId="6" fillId="0" borderId="0" xfId="0" applyFont="1"/>
    <xf numFmtId="0" fontId="7" fillId="0" borderId="0" xfId="0" applyFont="1"/>
    <xf numFmtId="0" fontId="8" fillId="0" borderId="0" xfId="0" applyFont="1"/>
    <xf numFmtId="0" fontId="9" fillId="0" borderId="0" xfId="0" applyFont="1"/>
    <xf numFmtId="0" fontId="9" fillId="0" borderId="0" xfId="0" applyFont="1" applyAlignment="1">
      <alignment wrapText="1"/>
    </xf>
    <xf numFmtId="0" fontId="10" fillId="0" borderId="0" xfId="0" applyFont="1"/>
    <xf numFmtId="0" fontId="11" fillId="3" borderId="1" xfId="1"/>
    <xf numFmtId="49" fontId="11" fillId="3" borderId="1" xfId="1" applyNumberFormat="1"/>
    <xf numFmtId="0" fontId="12" fillId="3" borderId="1" xfId="1" applyFont="1"/>
    <xf numFmtId="0" fontId="13" fillId="3" borderId="1" xfId="2" applyFill="1" applyBorder="1"/>
    <xf numFmtId="0" fontId="11" fillId="3" borderId="1" xfId="1" applyAlignment="1">
      <alignment wrapText="1"/>
    </xf>
  </cellXfs>
  <cellStyles count="3">
    <cellStyle name="Hyperlink" xfId="2" builtinId="8"/>
    <cellStyle name="Input" xfId="1" builtinId="2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13" Type="http://schemas.openxmlformats.org/officeDocument/2006/relationships/hyperlink" Target="https://www.pnas.org/doi/suppl/10.1073/pnas.0905777106/suppl_file/0905777106si.pdf"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figshare.com/ndownloader/files/9479092" TargetMode="External"/><Relationship Id="rId12" Type="http://schemas.openxmlformats.org/officeDocument/2006/relationships/hyperlink" Target="https://doi.org/10.3389/fnana.2017.00118" TargetMode="External"/><Relationship Id="rId2" Type="http://schemas.openxmlformats.org/officeDocument/2006/relationships/hyperlink" Target="https://cdn.elifesciences.org/articles/77875/elife-77875-supp3-v1.xlsx" TargetMode="External"/><Relationship Id="rId1"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6" Type="http://schemas.openxmlformats.org/officeDocument/2006/relationships/hyperlink" Target="https://github.com/ManyPrimates/mp1_short_term_memory/raw/master/data/species_predictors.xlsx" TargetMode="External"/><Relationship Id="rId11" Type="http://schemas.openxmlformats.org/officeDocument/2006/relationships/hyperlink" Target="https://static-content.springer.com/esm/art%3A10.1038%2Fs41598-018-26062-8/MediaObjects/41598_2018_26062_MOESM1_ESM.docx" TargetMode="External"/><Relationship Id="rId5" Type="http://schemas.openxmlformats.org/officeDocument/2006/relationships/hyperlink" Target="https://www.researchgate.net/publication/299027052_Developmental_constraints_on_or_developmental_structure_in_brain_evolution" TargetMode="External"/><Relationship Id="rId10" Type="http://schemas.openxmlformats.org/officeDocument/2006/relationships/hyperlink" Target="https://static-content.springer.com/esm/art%3A10.1038%2Fs41598-018-26062-8/MediaObjects/41598_2018_26062_MOESM1_ESM.docx"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 Id="rId14" Type="http://schemas.openxmlformats.org/officeDocument/2006/relationships/hyperlink" Target="https://www.pnas.org/doi/suppl/10.1073/pnas.0905777106/suppl_file/0905777106si.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69"/>
  <sheetViews>
    <sheetView tabSelected="1" zoomScale="110" zoomScaleNormal="110" workbookViewId="0">
      <pane xSplit="10" ySplit="1" topLeftCell="K2" activePane="bottomRight" state="frozen"/>
      <selection pane="topRight" activeCell="B1" sqref="B1"/>
      <selection pane="bottomLeft" activeCell="A2" sqref="A2"/>
      <selection pane="bottomRight" activeCell="K15" sqref="K15"/>
    </sheetView>
  </sheetViews>
  <sheetFormatPr baseColWidth="10" defaultRowHeight="16" x14ac:dyDescent="0.2"/>
  <cols>
    <col min="1" max="1" width="40.6640625" style="13" customWidth="1"/>
    <col min="2" max="2" width="2.1640625" style="13" customWidth="1"/>
    <col min="3" max="3" width="2" customWidth="1"/>
    <col min="4" max="4" width="23.6640625" customWidth="1"/>
    <col min="5" max="5" width="16.83203125" customWidth="1"/>
    <col min="6" max="6" width="15" customWidth="1"/>
    <col min="7" max="7" width="2.1640625" customWidth="1"/>
    <col min="8" max="8" width="4.5" customWidth="1"/>
    <col min="9" max="9" width="37.5" style="13" customWidth="1"/>
    <col min="10" max="10" width="17.1640625" style="13" customWidth="1"/>
    <col min="11" max="11" width="31.1640625" customWidth="1"/>
    <col min="12" max="12" width="46.5" customWidth="1"/>
    <col min="13" max="13" width="49.83203125" customWidth="1"/>
    <col min="14" max="14" width="15.33203125" style="13" customWidth="1"/>
    <col min="15" max="15" width="24" style="13" customWidth="1"/>
    <col min="16" max="16" width="5" style="13" customWidth="1"/>
    <col min="17" max="20" width="14.1640625" style="13" customWidth="1"/>
    <col min="21" max="21" width="13.83203125" style="13" customWidth="1"/>
    <col min="22" max="22" width="12.6640625" style="13" customWidth="1"/>
    <col min="23" max="23" width="22.1640625" style="13" customWidth="1"/>
    <col min="24" max="24" width="14.33203125" style="13" customWidth="1"/>
    <col min="25" max="25" width="39.5" style="13" customWidth="1"/>
    <col min="26" max="26" width="11.1640625" style="13" customWidth="1"/>
    <col min="27" max="27" width="5" style="13" customWidth="1"/>
    <col min="28" max="28" width="7.5" style="13" customWidth="1"/>
    <col min="29" max="29" width="10.6640625" style="13" customWidth="1"/>
    <col min="30" max="30" width="6.5" style="13" customWidth="1"/>
    <col min="31" max="31" width="11" style="13" customWidth="1"/>
    <col min="32" max="34" width="10.83203125" style="13" customWidth="1"/>
    <col min="35" max="35" width="12.5" style="13" customWidth="1"/>
    <col min="36" max="36" width="12.1640625" style="13" customWidth="1"/>
    <col min="37" max="37" width="10.83203125" style="13"/>
  </cols>
  <sheetData>
    <row r="1" spans="1:37" s="9" customFormat="1" ht="16" customHeight="1" x14ac:dyDescent="0.2">
      <c r="A1" s="15" t="s">
        <v>0</v>
      </c>
      <c r="B1" s="15" t="s">
        <v>5</v>
      </c>
      <c r="C1" s="9" t="s">
        <v>351</v>
      </c>
      <c r="D1" s="9" t="s">
        <v>1</v>
      </c>
      <c r="E1" s="8" t="s">
        <v>2</v>
      </c>
      <c r="F1" s="8" t="s">
        <v>3</v>
      </c>
      <c r="G1" s="8" t="s">
        <v>4</v>
      </c>
      <c r="H1" s="9" t="s">
        <v>6</v>
      </c>
      <c r="I1" s="15" t="s">
        <v>7</v>
      </c>
      <c r="J1" s="15" t="s">
        <v>8</v>
      </c>
      <c r="K1" s="9" t="s">
        <v>9</v>
      </c>
      <c r="L1" s="9" t="s">
        <v>10</v>
      </c>
      <c r="M1" s="9" t="s">
        <v>13</v>
      </c>
      <c r="N1" s="15" t="s">
        <v>288</v>
      </c>
      <c r="O1" s="15" t="s">
        <v>11</v>
      </c>
      <c r="P1" s="15" t="s">
        <v>12</v>
      </c>
      <c r="Q1" s="15" t="s">
        <v>14</v>
      </c>
      <c r="R1" s="15" t="s">
        <v>15</v>
      </c>
      <c r="S1" s="15" t="s">
        <v>16</v>
      </c>
      <c r="T1" s="15" t="s">
        <v>17</v>
      </c>
      <c r="U1" s="15" t="s">
        <v>18</v>
      </c>
      <c r="V1" s="15" t="s">
        <v>19</v>
      </c>
      <c r="W1" s="15" t="s">
        <v>20</v>
      </c>
      <c r="X1" s="15" t="s">
        <v>21</v>
      </c>
      <c r="Y1" s="15" t="s">
        <v>22</v>
      </c>
      <c r="Z1" s="15" t="s">
        <v>23</v>
      </c>
      <c r="AA1" s="15" t="s">
        <v>24</v>
      </c>
      <c r="AB1" s="15" t="s">
        <v>25</v>
      </c>
      <c r="AC1" s="15" t="s">
        <v>26</v>
      </c>
      <c r="AD1" s="15" t="s">
        <v>27</v>
      </c>
      <c r="AE1" s="15" t="s">
        <v>28</v>
      </c>
      <c r="AF1" s="15" t="s">
        <v>29</v>
      </c>
      <c r="AG1" s="15" t="s">
        <v>30</v>
      </c>
      <c r="AH1" s="15" t="s">
        <v>31</v>
      </c>
      <c r="AI1" s="15" t="s">
        <v>32</v>
      </c>
      <c r="AJ1" s="15" t="s">
        <v>33</v>
      </c>
      <c r="AK1" s="15" t="s">
        <v>34</v>
      </c>
    </row>
    <row r="2" spans="1:37" ht="16" customHeight="1" x14ac:dyDescent="0.2">
      <c r="A2" s="13" t="s">
        <v>369</v>
      </c>
      <c r="C2" t="str">
        <f t="shared" ref="C2" si="0">RIGHT(A2,1)</f>
        <v>9</v>
      </c>
      <c r="D2" t="str">
        <f t="shared" ref="D2" si="1">E2 &amp; IF(F2&lt;&gt;"", "_" &amp; F2, "_") &amp; IF(G2&lt;&gt;"", "_" &amp; G2, "_") &amp; IF(B2&lt;&gt;"", "_" &amp; B2, "")</f>
        <v>AvelinodeSouza_etal_2025</v>
      </c>
      <c r="E2" s="2" t="str">
        <f t="shared" ref="E2" si="2">SUBSTITUTE(SUBSTITUTE(_xlfn.TEXTBEFORE(A2,","), "-", ""), " ", "")</f>
        <v>AvelinodeSouza</v>
      </c>
      <c r="F2" s="2" t="str">
        <f t="shared" ref="F2" si="3">IF(ISNUMBER(FIND("&amp;", A2)),
    IF(LEN(A2)-LEN(SUBSTITUTE(A2, ",", ""))&gt;=6, "etal", MID(A2, SEARCH("&amp; ", A2)+2, SEARCH(",", A2, SEARCH("&amp; ", A2)+2) - SEARCH("&amp; ", A2)-2)),
    ""
)</f>
        <v>etal</v>
      </c>
      <c r="G2" s="2" t="str">
        <f t="shared" ref="G2" si="4">_xlfn.TEXTBEFORE(_xlfn.TEXTAFTER(A2, "("), ")")</f>
        <v>2025</v>
      </c>
      <c r="H2" t="str">
        <f t="shared" ref="H2" si="5">_xlfn.TEXTAFTER(A2,"https://doi.org/")</f>
        <v>10.1002/cne.70089</v>
      </c>
      <c r="J2" s="13" t="s">
        <v>152</v>
      </c>
      <c r="K2" s="1" t="str">
        <f t="shared" ref="K2" si="6">TRIM(_xlfn.TEXTJOIN("_",FALSE,D2,(SUBSTITUTE(SUBSTITUTE(J2," ",""), "_", ""))))</f>
        <v>AvelinodeSouza_etal_2025_TABLE1</v>
      </c>
      <c r="L2" s="1" t="str">
        <f t="shared" ref="L2:L38" si="7">IF(ISBLANK(I2),TRIM(SUBSTITUTE(SUBSTITUTE(SUBSTITUTE(_xlfn.TEXTJOIN("_", FALSE, H2, SUBSTITUTE(J2,"_", "")), "/", "%2F"), ":", "%3A"), " ", "")),TRIM(SUBSTITUTE(SUBSTITUTE(SUBSTITUTE(_xlfn.TEXTJOIN("_", FALSE, I2, SUBSTITUTE(J2,"_", "")), "/", "%2F"), ":", "%3A"), " ", "")))</f>
        <v>10.1002%2Fcne.70089_TABLE1</v>
      </c>
      <c r="M2" t="str">
        <f t="array" ref="M2">IFERROR(INDEX(FileList!$A$1:$A$43, MATCH(L2, _xlfn.TEXTBEFORE(FileList!$A$1:$A$43, ".tsv"), 0)), "notfound")</f>
        <v>notfound</v>
      </c>
    </row>
    <row r="3" spans="1:37" ht="16" customHeight="1" x14ac:dyDescent="0.2">
      <c r="A3" s="13" t="s">
        <v>370</v>
      </c>
      <c r="C3" t="str">
        <f t="shared" ref="C3" si="8">RIGHT(A3,1)</f>
        <v>5</v>
      </c>
      <c r="D3" t="str">
        <f t="shared" ref="D3" si="9">E3 &amp; IF(F3&lt;&gt;"", "_" &amp; F3, "_") &amp; IF(G3&lt;&gt;"", "_" &amp; G3, "_") &amp; IF(B3&lt;&gt;"", "_" &amp; B3, "")</f>
        <v>Baron_etal_1983</v>
      </c>
      <c r="E3" s="2" t="str">
        <f t="shared" ref="E3" si="10">SUBSTITUTE(SUBSTITUTE(_xlfn.TEXTBEFORE(A3,","), "-", ""), " ", "")</f>
        <v>Baron</v>
      </c>
      <c r="F3" s="2" t="str">
        <f t="shared" ref="F3" si="11">IF(ISNUMBER(FIND("&amp;", A3)),
    IF(LEN(A3)-LEN(SUBSTITUTE(A3, ",", ""))&gt;=6, "etal", MID(A3, SEARCH("&amp; ", A3)+2, SEARCH(",", A3, SEARCH("&amp; ", A3)+2) - SEARCH("&amp; ", A3)-2)),
    ""
)</f>
        <v>etal</v>
      </c>
      <c r="G3" s="2" t="str">
        <f t="shared" ref="G3" si="12">_xlfn.TEXTBEFORE(_xlfn.TEXTAFTER(A3, "("), ")")</f>
        <v>1983</v>
      </c>
      <c r="H3" t="e">
        <f t="shared" ref="H3" si="13">_xlfn.TEXTAFTER(A3,"https://doi.org/")</f>
        <v>#N/A</v>
      </c>
      <c r="I3" s="13" t="s">
        <v>371</v>
      </c>
      <c r="J3" s="13" t="s">
        <v>52</v>
      </c>
      <c r="K3" s="1" t="str">
        <f t="shared" ref="K3" si="14">TRIM(_xlfn.TEXTJOIN("_",FALSE,D3,(SUBSTITUTE(SUBSTITUTE(J3," ",""), "_", ""))))</f>
        <v>Baron_etal_1983_Table1</v>
      </c>
      <c r="L3" s="1" t="str">
        <f t="shared" ref="L3" si="15">IF(ISBLANK(I3),TRIM(SUBSTITUTE(SUBSTITUTE(SUBSTITUTE(_xlfn.TEXTJOIN("_", FALSE, H3, SUBSTITUTE(J3,"_", "")), "/", "%2F"), ":", "%3A"), " ", "")),TRIM(SUBSTITUTE(SUBSTITUTE(SUBSTITUTE(_xlfn.TEXTJOIN("_", FALSE, I3, SUBSTITUTE(J3,"_", "")), "/", "%2F"), ":", "%3A"), " ", "")))</f>
        <v>10.0000%2Fplaceholder.1_Table1</v>
      </c>
      <c r="M3" t="str">
        <f t="array" ref="M3">IFERROR(INDEX(FileList!$A$1:$A$43, MATCH(L3, _xlfn.TEXTBEFORE(FileList!$A$1:$A$43, ".tsv"), 0)), "notfound")</f>
        <v>notfound</v>
      </c>
    </row>
    <row r="4" spans="1:37" ht="16" customHeight="1" x14ac:dyDescent="0.2">
      <c r="A4" s="13" t="s">
        <v>354</v>
      </c>
      <c r="C4" t="str">
        <f t="shared" ref="C4:C38" si="16">RIGHT(A4,1)</f>
        <v>0</v>
      </c>
      <c r="D4" t="str">
        <f t="shared" ref="D4:D38" si="17">E4 &amp; IF(F4&lt;&gt;"", "_" &amp; F4, "_") &amp; IF(G4&lt;&gt;"", "_" &amp; G4, "_") &amp; IF(B4&lt;&gt;"", "_" &amp; B4, "")</f>
        <v>Brodmann__1913</v>
      </c>
      <c r="E4" s="2" t="str">
        <f t="shared" ref="E4:E38" si="18">SUBSTITUTE(SUBSTITUTE(_xlfn.TEXTBEFORE(A4,","), "-", ""), " ", "")</f>
        <v>Brodmann</v>
      </c>
      <c r="F4" s="2" t="str">
        <f t="shared" ref="F4:F38" si="19">IF(ISNUMBER(FIND("&amp;", A4)),
    IF(LEN(A4)-LEN(SUBSTITUTE(A4, ",", ""))&gt;=6, "etal", MID(A4, SEARCH("&amp; ", A4)+2, SEARCH(",", A4, SEARCH("&amp; ", A4)+2) - SEARCH("&amp; ", A4)-2)),
    ""
)</f>
        <v/>
      </c>
      <c r="G4" s="2" t="str">
        <f t="shared" ref="G4:G38" si="20">_xlfn.TEXTBEFORE(_xlfn.TEXTAFTER(A4, "("), ")")</f>
        <v>1913</v>
      </c>
      <c r="H4" t="e">
        <f t="shared" ref="H4:H38" si="21">_xlfn.TEXTAFTER(A4,"https://doi.org/")</f>
        <v>#N/A</v>
      </c>
      <c r="I4" s="13" t="s">
        <v>352</v>
      </c>
      <c r="J4" s="13" t="s">
        <v>353</v>
      </c>
      <c r="K4" s="1" t="str">
        <f t="shared" ref="K4:K38" si="22">TRIM(_xlfn.TEXTJOIN("_",FALSE,D4,(SUBSTITUTE(SUBSTITUTE(J4," ",""), "_", ""))))</f>
        <v>Brodmann__1913_Tabelle1</v>
      </c>
      <c r="L4" s="1" t="str">
        <f t="shared" si="7"/>
        <v>10.0000%2Fplaceholder_Tabelle1</v>
      </c>
      <c r="M4" t="str">
        <f t="array" ref="M4">IFERROR(INDEX(FileList!$A$1:$A$43, MATCH(L4, _xlfn.TEXTBEFORE(FileList!$A$1:$A$43, ".tsv"), 0)), "notfound")</f>
        <v>notfound</v>
      </c>
    </row>
    <row r="5" spans="1:37" ht="17" customHeight="1" x14ac:dyDescent="0.2">
      <c r="A5" s="13" t="s">
        <v>38</v>
      </c>
      <c r="C5" t="str">
        <f t="shared" si="16"/>
        <v>3</v>
      </c>
      <c r="D5" t="str">
        <f t="shared" si="17"/>
        <v>Burger_etal_2019</v>
      </c>
      <c r="E5" s="2" t="str">
        <f t="shared" si="18"/>
        <v>Burger</v>
      </c>
      <c r="F5" s="2" t="str">
        <f t="shared" si="19"/>
        <v>etal</v>
      </c>
      <c r="G5" s="2" t="str">
        <f t="shared" si="20"/>
        <v>2019</v>
      </c>
      <c r="H5" t="str">
        <f t="shared" si="21"/>
        <v>10.1093/jmammal/gyz043</v>
      </c>
      <c r="J5" s="13" t="s">
        <v>39</v>
      </c>
      <c r="K5" s="1" t="str">
        <f t="shared" si="22"/>
        <v>Burger_etal_2019_SupplementaryDataSD1</v>
      </c>
      <c r="L5" s="6" t="str">
        <f t="shared" si="7"/>
        <v>10.1093%2Fjmammal%2Fgyz043_SupplementaryDataSD1</v>
      </c>
      <c r="M5" t="str">
        <f t="array" ref="M5">IFERROR(INDEX(FileList!$A$1:$A$43, MATCH(L5, _xlfn.TEXTBEFORE(FileList!$A$1:$A$43, ".tsv"), 0)), "notfound")</f>
        <v>10.1093%2Fjmammal%2Fgyz043_SupplementaryDataSD1.tsv</v>
      </c>
      <c r="O5" s="13" t="s">
        <v>40</v>
      </c>
      <c r="P5" s="13" t="s">
        <v>41</v>
      </c>
      <c r="Q5" s="13" t="s">
        <v>42</v>
      </c>
      <c r="R5" s="13" t="s">
        <v>43</v>
      </c>
      <c r="S5" s="13" t="s">
        <v>44</v>
      </c>
      <c r="T5" s="13" t="str">
        <f>IF(S5="N", R5, "write file name")</f>
        <v>gyz043_suppl_Supplement_Data.csv</v>
      </c>
      <c r="U5" s="13" t="s">
        <v>45</v>
      </c>
      <c r="V5" s="13" t="s">
        <v>46</v>
      </c>
      <c r="W5" s="13" t="s">
        <v>47</v>
      </c>
      <c r="Y5" s="13" t="s">
        <v>48</v>
      </c>
      <c r="Z5" s="13" t="s">
        <v>49</v>
      </c>
      <c r="AD5" s="13" t="s">
        <v>50</v>
      </c>
      <c r="AE5" s="13" t="s">
        <v>37</v>
      </c>
      <c r="AI5" s="13">
        <v>17</v>
      </c>
      <c r="AK5" s="13">
        <v>23</v>
      </c>
    </row>
    <row r="6" spans="1:37" ht="17" customHeight="1" x14ac:dyDescent="0.2">
      <c r="A6" s="13" t="s">
        <v>345</v>
      </c>
      <c r="C6" t="str">
        <f t="shared" si="16"/>
        <v>9</v>
      </c>
      <c r="D6" t="str">
        <f t="shared" si="17"/>
        <v>Burish_etal_2010</v>
      </c>
      <c r="E6" s="7" t="str">
        <f t="shared" si="18"/>
        <v>Burish</v>
      </c>
      <c r="F6" s="2" t="str">
        <f t="shared" si="19"/>
        <v>etal</v>
      </c>
      <c r="G6" s="7" t="str">
        <f t="shared" si="20"/>
        <v>2010</v>
      </c>
      <c r="H6" t="str">
        <f t="shared" si="21"/>
        <v>10.1159/000319019</v>
      </c>
      <c r="J6" s="13" t="s">
        <v>276</v>
      </c>
      <c r="K6" s="3" t="str">
        <f t="shared" si="22"/>
        <v>Burish_etal_2010_SupplementaryTable1</v>
      </c>
      <c r="L6" s="3" t="str">
        <f t="shared" si="7"/>
        <v>10.1159%2F000319019_SupplementaryTable1</v>
      </c>
      <c r="M6" t="str">
        <f t="array" ref="M6">IFERROR(INDEX(FileList!$A$1:$A$43, MATCH(L6, _xlfn.TEXTBEFORE(FileList!$A$1:$A$43, ".tsv"), 0)), "notfound")</f>
        <v>10.1159%2F000319019_SupplementaryTable1.tsv</v>
      </c>
      <c r="N6" s="13" t="s">
        <v>275</v>
      </c>
      <c r="P6" s="13" t="s">
        <v>284</v>
      </c>
      <c r="R6" s="13" t="s">
        <v>286</v>
      </c>
      <c r="Z6" s="13" t="s">
        <v>278</v>
      </c>
      <c r="AC6" s="13" t="s">
        <v>281</v>
      </c>
      <c r="AE6" s="13" t="s">
        <v>279</v>
      </c>
    </row>
    <row r="7" spans="1:37" ht="16" customHeight="1" x14ac:dyDescent="0.2">
      <c r="A7" s="13" t="s">
        <v>345</v>
      </c>
      <c r="C7" t="str">
        <f t="shared" si="16"/>
        <v>9</v>
      </c>
      <c r="D7" t="str">
        <f t="shared" si="17"/>
        <v>Burish_etal_2010</v>
      </c>
      <c r="E7" s="7" t="str">
        <f t="shared" si="18"/>
        <v>Burish</v>
      </c>
      <c r="F7" s="2" t="str">
        <f t="shared" si="19"/>
        <v>etal</v>
      </c>
      <c r="G7" s="7" t="str">
        <f t="shared" si="20"/>
        <v>2010</v>
      </c>
      <c r="H7" t="str">
        <f t="shared" si="21"/>
        <v>10.1159/000319019</v>
      </c>
      <c r="J7" s="13" t="s">
        <v>52</v>
      </c>
      <c r="K7" s="3" t="str">
        <f t="shared" si="22"/>
        <v>Burish_etal_2010_Table1</v>
      </c>
      <c r="L7" s="3" t="str">
        <f t="shared" si="7"/>
        <v>10.1159%2F000319019_Table1</v>
      </c>
      <c r="M7" t="str">
        <f t="array" ref="M7">IFERROR(INDEX(FileList!$A$1:$A$43, MATCH(L7, _xlfn.TEXTBEFORE(FileList!$A$1:$A$43, ".tsv"), 0)), "notfound")</f>
        <v>10.1159%2F000319019_Table1.tsv</v>
      </c>
      <c r="N7" s="13" t="s">
        <v>274</v>
      </c>
      <c r="P7" s="13" t="s">
        <v>41</v>
      </c>
      <c r="Q7" s="13" t="s">
        <v>53</v>
      </c>
      <c r="R7" s="13" t="s">
        <v>285</v>
      </c>
      <c r="Z7" s="13" t="s">
        <v>277</v>
      </c>
      <c r="AC7" s="13" t="s">
        <v>281</v>
      </c>
      <c r="AE7" s="13" t="s">
        <v>279</v>
      </c>
    </row>
    <row r="8" spans="1:37" ht="16" customHeight="1" x14ac:dyDescent="0.2">
      <c r="A8" s="13" t="s">
        <v>51</v>
      </c>
      <c r="C8" t="str">
        <f t="shared" si="16"/>
        <v>5</v>
      </c>
      <c r="D8" t="str">
        <f t="shared" si="17"/>
        <v>Caspar_etal_2022</v>
      </c>
      <c r="E8" s="2" t="str">
        <f t="shared" si="18"/>
        <v>Caspar</v>
      </c>
      <c r="F8" s="2" t="str">
        <f t="shared" si="19"/>
        <v>etal</v>
      </c>
      <c r="G8" s="2" t="str">
        <f t="shared" si="20"/>
        <v>2022</v>
      </c>
      <c r="H8" t="str">
        <f t="shared" si="21"/>
        <v>10.7554/eLife.77875</v>
      </c>
      <c r="J8" s="13" t="s">
        <v>65</v>
      </c>
      <c r="K8" s="1" t="str">
        <f t="shared" si="22"/>
        <v>Caspar_etal_2022_Supplementaryfile3</v>
      </c>
      <c r="L8" s="1" t="str">
        <f t="shared" si="7"/>
        <v>10.7554%2FeLife.77875_Supplementaryfile3</v>
      </c>
      <c r="M8" t="str">
        <f t="array" ref="M8">IFERROR(INDEX(FileList!$A$1:$A$43, MATCH(L8, _xlfn.TEXTBEFORE(FileList!$A$1:$A$43, ".tsv"), 0)), "notfound")</f>
        <v>notfound</v>
      </c>
      <c r="N8" s="13" t="s">
        <v>70</v>
      </c>
      <c r="P8" s="13" t="s">
        <v>41</v>
      </c>
      <c r="Q8" s="13" t="s">
        <v>53</v>
      </c>
      <c r="R8" s="13" t="s">
        <v>66</v>
      </c>
      <c r="S8" s="13" t="s">
        <v>44</v>
      </c>
      <c r="T8" s="13" t="str">
        <f>IF(S8="N", R8, "write file name")</f>
        <v>elife-77875-supp3-v1.xlsx</v>
      </c>
      <c r="U8" s="13" t="s">
        <v>67</v>
      </c>
      <c r="V8" s="13" t="s">
        <v>46</v>
      </c>
      <c r="W8" s="13" t="s">
        <v>68</v>
      </c>
      <c r="X8" s="13" t="s">
        <v>69</v>
      </c>
      <c r="Y8" s="13" t="s">
        <v>71</v>
      </c>
      <c r="Z8" s="13" t="s">
        <v>49</v>
      </c>
      <c r="AE8" s="13" t="s">
        <v>64</v>
      </c>
      <c r="AI8" s="13">
        <v>5</v>
      </c>
      <c r="AK8" s="13">
        <v>12</v>
      </c>
    </row>
    <row r="9" spans="1:37" ht="16" customHeight="1" x14ac:dyDescent="0.2">
      <c r="A9" s="13" t="s">
        <v>51</v>
      </c>
      <c r="C9" t="str">
        <f t="shared" si="16"/>
        <v>5</v>
      </c>
      <c r="D9" t="str">
        <f t="shared" si="17"/>
        <v>Caspar_etal_2022</v>
      </c>
      <c r="E9" s="2" t="str">
        <f t="shared" si="18"/>
        <v>Caspar</v>
      </c>
      <c r="F9" s="2" t="str">
        <f t="shared" si="19"/>
        <v>etal</v>
      </c>
      <c r="G9" s="2" t="str">
        <f t="shared" si="20"/>
        <v>2022</v>
      </c>
      <c r="H9" t="str">
        <f t="shared" si="21"/>
        <v>10.7554/eLife.77875</v>
      </c>
      <c r="J9" s="13" t="s">
        <v>52</v>
      </c>
      <c r="K9" s="1" t="str">
        <f t="shared" si="22"/>
        <v>Caspar_etal_2022_Table1</v>
      </c>
      <c r="L9" s="1" t="str">
        <f t="shared" si="7"/>
        <v>10.7554%2FeLife.77875_Table1</v>
      </c>
      <c r="M9" t="str">
        <f t="array" ref="M9">IFERROR(INDEX(FileList!$A$1:$A$43, MATCH(L9, _xlfn.TEXTBEFORE(FileList!$A$1:$A$43, ".tsv"), 0)), "notfound")</f>
        <v>notfound</v>
      </c>
      <c r="N9" s="13" t="s">
        <v>60</v>
      </c>
      <c r="P9" s="13" t="s">
        <v>41</v>
      </c>
      <c r="Q9" s="13" t="s">
        <v>53</v>
      </c>
      <c r="R9" s="13" t="s">
        <v>54</v>
      </c>
      <c r="S9" s="13" t="s">
        <v>55</v>
      </c>
      <c r="T9" s="13" t="s">
        <v>56</v>
      </c>
      <c r="U9" s="13" t="s">
        <v>57</v>
      </c>
      <c r="V9" s="13" t="s">
        <v>46</v>
      </c>
      <c r="W9" s="13" t="s">
        <v>58</v>
      </c>
      <c r="X9" s="13" t="s">
        <v>59</v>
      </c>
      <c r="Y9" s="13" t="s">
        <v>61</v>
      </c>
      <c r="Z9" s="13" t="s">
        <v>62</v>
      </c>
      <c r="AD9" s="13" t="s">
        <v>63</v>
      </c>
      <c r="AE9" s="13" t="s">
        <v>64</v>
      </c>
      <c r="AI9" s="13">
        <v>7</v>
      </c>
      <c r="AK9" s="13">
        <v>8</v>
      </c>
    </row>
    <row r="10" spans="1:37" ht="16" customHeight="1" x14ac:dyDescent="0.2">
      <c r="A10" s="13" t="s">
        <v>72</v>
      </c>
      <c r="C10" t="str">
        <f t="shared" si="16"/>
        <v>5</v>
      </c>
      <c r="D10" t="str">
        <f t="shared" si="17"/>
        <v>Changizi__2001</v>
      </c>
      <c r="E10" s="2" t="str">
        <f t="shared" si="18"/>
        <v>Changizi</v>
      </c>
      <c r="F10" s="2" t="str">
        <f t="shared" si="19"/>
        <v/>
      </c>
      <c r="G10" s="2" t="str">
        <f t="shared" si="20"/>
        <v>2001</v>
      </c>
      <c r="H10" t="str">
        <f t="shared" si="21"/>
        <v>10.1007/s004220000205</v>
      </c>
      <c r="J10" s="13" t="s">
        <v>73</v>
      </c>
      <c r="K10" s="1" t="str">
        <f t="shared" si="22"/>
        <v>Changizi__2001_Figure3</v>
      </c>
      <c r="L10" s="1" t="str">
        <f t="shared" si="7"/>
        <v>10.1007%2Fs004220000205_Figure3</v>
      </c>
      <c r="M10" t="str">
        <f t="array" ref="M10">IFERROR(INDEX(FileList!$A$1:$A$43, MATCH(L10, _xlfn.TEXTBEFORE(FileList!$A$1:$A$43, ".tsv"), 0)), "notfound")</f>
        <v>10.1007%2Fs004220000205_Figure3.tsv</v>
      </c>
      <c r="P10" s="13" t="s">
        <v>74</v>
      </c>
      <c r="Q10" s="13" t="s">
        <v>35</v>
      </c>
      <c r="R10" s="13" t="s">
        <v>75</v>
      </c>
      <c r="S10" s="13" t="s">
        <v>55</v>
      </c>
      <c r="T10" s="13" t="s">
        <v>76</v>
      </c>
      <c r="U10" s="13" t="s">
        <v>57</v>
      </c>
      <c r="V10" s="13" t="s">
        <v>77</v>
      </c>
      <c r="W10" s="13" t="s">
        <v>78</v>
      </c>
      <c r="Y10" s="13" t="s">
        <v>79</v>
      </c>
      <c r="Z10" s="13" t="s">
        <v>36</v>
      </c>
      <c r="AD10" s="13" t="s">
        <v>80</v>
      </c>
      <c r="AI10" s="13" t="s">
        <v>81</v>
      </c>
    </row>
    <row r="11" spans="1:37" ht="16" customHeight="1" x14ac:dyDescent="0.2">
      <c r="A11" s="13" t="s">
        <v>82</v>
      </c>
      <c r="C11" t="str">
        <f t="shared" si="16"/>
        <v>3</v>
      </c>
      <c r="D11" t="str">
        <f t="shared" si="17"/>
        <v>Chen_Wiens_2020</v>
      </c>
      <c r="E11" s="2" t="str">
        <f t="shared" si="18"/>
        <v>Chen</v>
      </c>
      <c r="F11" s="2" t="str">
        <f t="shared" si="19"/>
        <v>Wiens</v>
      </c>
      <c r="G11" s="2" t="str">
        <f t="shared" si="20"/>
        <v>2020</v>
      </c>
      <c r="H11" t="str">
        <f t="shared" si="21"/>
        <v>10.1038/s41467-020-14356-3</v>
      </c>
      <c r="J11" s="13" t="s">
        <v>83</v>
      </c>
      <c r="K11" s="1" t="str">
        <f t="shared" si="22"/>
        <v>Chen_Wiens_2020_SupplementaryData3</v>
      </c>
      <c r="L11" s="1" t="str">
        <f t="shared" si="7"/>
        <v>10.1038%2Fs41467-020-14356-3_SupplementaryData3</v>
      </c>
      <c r="M11" t="str">
        <f t="array" ref="M11">IFERROR(INDEX(FileList!$A$1:$A$43, MATCH(L11, _xlfn.TEXTBEFORE(FileList!$A$1:$A$43, ".tsv"), 0)), "notfound")</f>
        <v>10.1038%2Fs41467-020-14356-3_SupplementaryData3.tsv</v>
      </c>
      <c r="P11" s="13" t="s">
        <v>41</v>
      </c>
      <c r="Q11" s="13" t="s">
        <v>53</v>
      </c>
      <c r="R11" s="13" t="s">
        <v>84</v>
      </c>
      <c r="S11" s="13" t="s">
        <v>44</v>
      </c>
      <c r="T11" s="13" t="str">
        <f>IF(S11="N", R11, "write file name")</f>
        <v>41467_2020_14356_MOESM6_ESM.xlsx</v>
      </c>
      <c r="U11" s="13" t="s">
        <v>67</v>
      </c>
      <c r="V11" s="13" t="s">
        <v>46</v>
      </c>
      <c r="W11" s="13" t="s">
        <v>68</v>
      </c>
      <c r="X11" s="13" t="s">
        <v>85</v>
      </c>
      <c r="Y11" s="13" t="s">
        <v>86</v>
      </c>
      <c r="Z11" s="13" t="s">
        <v>49</v>
      </c>
      <c r="AC11" s="13" t="s">
        <v>87</v>
      </c>
      <c r="AD11" s="13" t="s">
        <v>88</v>
      </c>
      <c r="AE11" s="13" t="s">
        <v>89</v>
      </c>
      <c r="AI11" s="13">
        <v>10</v>
      </c>
      <c r="AK11" s="13">
        <v>13</v>
      </c>
    </row>
    <row r="12" spans="1:37" ht="16" customHeight="1" x14ac:dyDescent="0.2">
      <c r="A12" s="13" t="s">
        <v>356</v>
      </c>
      <c r="C12" t="str">
        <f t="shared" si="16"/>
        <v>7</v>
      </c>
      <c r="D12" t="str">
        <f t="shared" si="17"/>
        <v>Collins_etal_2010</v>
      </c>
      <c r="E12" s="2" t="str">
        <f t="shared" si="18"/>
        <v>Collins</v>
      </c>
      <c r="F12" s="2" t="str">
        <f t="shared" si="19"/>
        <v>etal</v>
      </c>
      <c r="G12" s="2" t="str">
        <f t="shared" si="20"/>
        <v>2010</v>
      </c>
      <c r="H12" t="str">
        <f t="shared" si="21"/>
        <v>10.1073/pnas.1010356107</v>
      </c>
      <c r="J12" s="13" t="s">
        <v>357</v>
      </c>
      <c r="K12" t="str">
        <f t="shared" si="22"/>
        <v>Collins_etal_2010_DatasetS1</v>
      </c>
      <c r="L12" t="str">
        <f t="shared" si="7"/>
        <v>10.1073%2Fpnas.1010356107_DatasetS1</v>
      </c>
      <c r="M12" t="str">
        <f t="array" ref="M12">IFERROR(INDEX(FileList!$A$1:$A$43, MATCH(L12, _xlfn.TEXTBEFORE(FileList!$A$1:$A$43, ".tsv"), 0)), "notfound")</f>
        <v>notfound</v>
      </c>
      <c r="Y12" s="13" t="s">
        <v>355</v>
      </c>
      <c r="Z12" s="13" t="s">
        <v>99</v>
      </c>
    </row>
    <row r="13" spans="1:37" ht="16" customHeight="1" x14ac:dyDescent="0.2">
      <c r="A13" s="13" t="s">
        <v>90</v>
      </c>
      <c r="C13" t="str">
        <f t="shared" si="16"/>
        <v>6</v>
      </c>
      <c r="D13" t="str">
        <f t="shared" si="17"/>
        <v>DosSantos_etal_2017</v>
      </c>
      <c r="E13" s="2" t="str">
        <f t="shared" si="18"/>
        <v>DosSantos</v>
      </c>
      <c r="F13" s="2" t="str">
        <f t="shared" si="19"/>
        <v>etal</v>
      </c>
      <c r="G13" s="2" t="str">
        <f t="shared" si="20"/>
        <v>2017</v>
      </c>
      <c r="H13" t="str">
        <f t="shared" si="21"/>
        <v>10.1159/000452856</v>
      </c>
      <c r="J13" s="13" t="s">
        <v>91</v>
      </c>
      <c r="K13" s="1" t="str">
        <f t="shared" si="22"/>
        <v>DosSantos_etal_2017_TableS1</v>
      </c>
      <c r="L13" s="1" t="str">
        <f t="shared" si="7"/>
        <v>10.1159%2F000452856_TableS1</v>
      </c>
      <c r="M13" t="str">
        <f t="array" ref="M13">IFERROR(INDEX(FileList!$A$1:$A$43, MATCH(L13, _xlfn.TEXTBEFORE(FileList!$A$1:$A$43, ".tsv"), 0)), "notfound")</f>
        <v>10.1159%2F000452856_TableS1.tsv</v>
      </c>
      <c r="O13" s="13" t="s">
        <v>92</v>
      </c>
      <c r="P13" s="13" t="s">
        <v>41</v>
      </c>
      <c r="Q13" s="13" t="s">
        <v>53</v>
      </c>
      <c r="R13" s="13" t="s">
        <v>93</v>
      </c>
      <c r="S13" s="13" t="s">
        <v>55</v>
      </c>
      <c r="T13" s="13" t="s">
        <v>94</v>
      </c>
      <c r="U13" s="13" t="s">
        <v>95</v>
      </c>
      <c r="V13" s="13" t="s">
        <v>96</v>
      </c>
      <c r="W13" s="13" t="s">
        <v>68</v>
      </c>
      <c r="X13" s="13" t="s">
        <v>97</v>
      </c>
      <c r="Y13" s="13" t="s">
        <v>98</v>
      </c>
      <c r="Z13" s="13" t="s">
        <v>99</v>
      </c>
      <c r="AA13" s="13" t="s">
        <v>100</v>
      </c>
      <c r="AB13" s="13" t="s">
        <v>100</v>
      </c>
      <c r="AE13" s="13" t="s">
        <v>101</v>
      </c>
      <c r="AF13" s="13" t="s">
        <v>102</v>
      </c>
      <c r="AI13" s="13">
        <v>0</v>
      </c>
      <c r="AK13" s="13">
        <v>0</v>
      </c>
    </row>
    <row r="14" spans="1:37" ht="16" customHeight="1" x14ac:dyDescent="0.2">
      <c r="A14" s="13" t="s">
        <v>103</v>
      </c>
      <c r="C14" t="str">
        <f t="shared" si="16"/>
        <v>0</v>
      </c>
      <c r="D14" t="str">
        <f t="shared" si="17"/>
        <v>DosSantos_etal_2020</v>
      </c>
      <c r="E14" s="2" t="str">
        <f t="shared" si="18"/>
        <v>DosSantos</v>
      </c>
      <c r="F14" s="2" t="str">
        <f t="shared" si="19"/>
        <v>etal</v>
      </c>
      <c r="G14" s="2" t="str">
        <f t="shared" si="20"/>
        <v>2020</v>
      </c>
      <c r="H14" t="str">
        <f t="shared" si="21"/>
        <v>10.1523/JNEUROSCI.2339-19.2020</v>
      </c>
      <c r="J14" s="13" t="s">
        <v>52</v>
      </c>
      <c r="K14" s="1" t="str">
        <f t="shared" si="22"/>
        <v>DosSantos_etal_2020_Table1</v>
      </c>
      <c r="L14" s="1" t="str">
        <f t="shared" si="7"/>
        <v>10.1523%2FJNEUROSCI.2339-19.2020_Table1</v>
      </c>
      <c r="M14" t="str">
        <f t="array" ref="M14">IFERROR(INDEX(FileList!$A$1:$A$43, MATCH(L14, _xlfn.TEXTBEFORE(FileList!$A$1:$A$43, ".tsv"), 0)), "notfound")</f>
        <v>10.1523%2FJNEUROSCI.2339-19.2020_Table1.tsv</v>
      </c>
      <c r="P14" s="13" t="s">
        <v>41</v>
      </c>
      <c r="Q14" s="13" t="s">
        <v>53</v>
      </c>
      <c r="R14" s="14" t="s">
        <v>104</v>
      </c>
      <c r="S14" s="13" t="s">
        <v>55</v>
      </c>
      <c r="T14" s="13" t="s">
        <v>105</v>
      </c>
      <c r="U14" s="13" t="s">
        <v>106</v>
      </c>
      <c r="V14" s="13" t="s">
        <v>46</v>
      </c>
      <c r="Y14" s="13" t="s">
        <v>98</v>
      </c>
      <c r="Z14" s="13" t="s">
        <v>107</v>
      </c>
      <c r="AA14" s="13" t="s">
        <v>100</v>
      </c>
      <c r="AB14" s="13" t="s">
        <v>100</v>
      </c>
      <c r="AE14" s="13" t="s">
        <v>108</v>
      </c>
      <c r="AI14" s="13">
        <v>4</v>
      </c>
      <c r="AK14" s="13">
        <v>10</v>
      </c>
    </row>
    <row r="15" spans="1:37" ht="16" customHeight="1" x14ac:dyDescent="0.2">
      <c r="A15" s="13" t="s">
        <v>103</v>
      </c>
      <c r="C15" t="str">
        <f t="shared" ref="C15" si="23">RIGHT(A15,1)</f>
        <v>0</v>
      </c>
      <c r="D15" t="str">
        <f t="shared" ref="D15" si="24">E15 &amp; IF(F15&lt;&gt;"", "_" &amp; F15, "_") &amp; IF(G15&lt;&gt;"", "_" &amp; G15, "_") &amp; IF(B15&lt;&gt;"", "_" &amp; B15, "")</f>
        <v>DosSantos_etal_2020</v>
      </c>
      <c r="E15" s="2" t="str">
        <f t="shared" ref="E15" si="25">SUBSTITUTE(SUBSTITUTE(_xlfn.TEXTBEFORE(A15,","), "-", ""), " ", "")</f>
        <v>DosSantos</v>
      </c>
      <c r="F15" s="2" t="str">
        <f t="shared" ref="F15" si="26">IF(ISNUMBER(FIND("&amp;", A15)),
    IF(LEN(A15)-LEN(SUBSTITUTE(A15, ",", ""))&gt;=6, "etal", MID(A15, SEARCH("&amp; ", A15)+2, SEARCH(",", A15, SEARCH("&amp; ", A15)+2) - SEARCH("&amp; ", A15)-2)),
    ""
)</f>
        <v>etal</v>
      </c>
      <c r="G15" s="2" t="str">
        <f t="shared" ref="G15" si="27">_xlfn.TEXTBEFORE(_xlfn.TEXTAFTER(A15, "("), ")")</f>
        <v>2020</v>
      </c>
      <c r="H15" t="str">
        <f t="shared" ref="H15" si="28">_xlfn.TEXTAFTER(A15,"https://doi.org/")</f>
        <v>10.1523/JNEUROSCI.2339-19.2020</v>
      </c>
      <c r="J15" s="13" t="s">
        <v>372</v>
      </c>
      <c r="K15" s="1" t="str">
        <f t="shared" ref="K15" si="29">TRIM(_xlfn.TEXTJOIN("_",FALSE,D15,(SUBSTITUTE(SUBSTITUTE(J15," ",""), "_", ""))))</f>
        <v>DosSantos_etal_2020_unpublished</v>
      </c>
      <c r="L15" s="1" t="str">
        <f t="shared" ref="L15" si="30">IF(ISBLANK(I15),TRIM(SUBSTITUTE(SUBSTITUTE(SUBSTITUTE(_xlfn.TEXTJOIN("_", FALSE, H15, SUBSTITUTE(J15,"_", "")), "/", "%2F"), ":", "%3A"), " ", "")),TRIM(SUBSTITUTE(SUBSTITUTE(SUBSTITUTE(_xlfn.TEXTJOIN("_", FALSE, I15, SUBSTITUTE(J15,"_", "")), "/", "%2F"), ":", "%3A"), " ", "")))</f>
        <v>10.1523%2FJNEUROSCI.2339-19.2020_unpublished</v>
      </c>
      <c r="M15" t="str">
        <f t="array" ref="M15">IFERROR(INDEX(FileList!$A$1:$A$43, MATCH(L15, _xlfn.TEXTBEFORE(FileList!$A$1:$A$43, ".tsv"), 0)), "notfound")</f>
        <v>notfound</v>
      </c>
      <c r="P15" s="13" t="s">
        <v>41</v>
      </c>
      <c r="Q15" s="13" t="s">
        <v>53</v>
      </c>
      <c r="R15" s="14" t="s">
        <v>104</v>
      </c>
      <c r="S15" s="13" t="s">
        <v>55</v>
      </c>
      <c r="T15" s="13" t="s">
        <v>105</v>
      </c>
      <c r="U15" s="13" t="s">
        <v>106</v>
      </c>
      <c r="V15" s="13" t="s">
        <v>46</v>
      </c>
      <c r="Y15" s="13" t="s">
        <v>98</v>
      </c>
      <c r="Z15" s="13" t="s">
        <v>107</v>
      </c>
      <c r="AA15" s="13" t="s">
        <v>100</v>
      </c>
      <c r="AB15" s="13" t="s">
        <v>100</v>
      </c>
      <c r="AE15" s="13" t="s">
        <v>108</v>
      </c>
      <c r="AI15" s="13">
        <v>4</v>
      </c>
      <c r="AK15" s="13">
        <v>10</v>
      </c>
    </row>
    <row r="16" spans="1:37" ht="16" customHeight="1" x14ac:dyDescent="0.2">
      <c r="A16" s="13" t="s">
        <v>366</v>
      </c>
      <c r="C16" t="str">
        <f t="shared" si="16"/>
        <v>5</v>
      </c>
      <c r="D16" t="str">
        <f t="shared" si="17"/>
        <v>Falcone_etal_2019</v>
      </c>
      <c r="E16" s="2" t="str">
        <f t="shared" si="18"/>
        <v>Falcone</v>
      </c>
      <c r="F16" s="2" t="str">
        <f t="shared" si="19"/>
        <v>etal</v>
      </c>
      <c r="G16" s="2" t="str">
        <f t="shared" si="20"/>
        <v>2019</v>
      </c>
      <c r="H16" t="str">
        <f t="shared" si="21"/>
        <v>10.1002/cne.24605</v>
      </c>
      <c r="J16" s="13" t="s">
        <v>152</v>
      </c>
      <c r="K16" t="str">
        <f t="shared" si="22"/>
        <v>Falcone_etal_2019_TABLE1</v>
      </c>
      <c r="L16" t="str">
        <f t="shared" si="7"/>
        <v>10.1002%2Fcne.24605_TABLE1</v>
      </c>
      <c r="M16" t="str">
        <f t="array" ref="M16">IFERROR(INDEX(FileList!$A$1:$A$43, MATCH(L16, _xlfn.TEXTBEFORE(FileList!$A$1:$A$43, ".tsv"), 0)), "notfound")</f>
        <v>notfound</v>
      </c>
      <c r="N16" s="13" t="s">
        <v>367</v>
      </c>
      <c r="R16" s="14"/>
      <c r="U16" s="13" t="s">
        <v>113</v>
      </c>
    </row>
    <row r="17" spans="1:37" ht="16" customHeight="1" x14ac:dyDescent="0.2">
      <c r="A17" s="13" t="s">
        <v>366</v>
      </c>
      <c r="C17" t="str">
        <f t="shared" ref="C17" si="31">RIGHT(A17,1)</f>
        <v>5</v>
      </c>
      <c r="D17" t="str">
        <f t="shared" ref="D17" si="32">E17 &amp; IF(F17&lt;&gt;"", "_" &amp; F17, "_") &amp; IF(G17&lt;&gt;"", "_" &amp; G17, "_") &amp; IF(B17&lt;&gt;"", "_" &amp; B17, "")</f>
        <v>Falcone_etal_2019</v>
      </c>
      <c r="E17" s="2" t="str">
        <f t="shared" ref="E17" si="33">SUBSTITUTE(SUBSTITUTE(_xlfn.TEXTBEFORE(A17,","), "-", ""), " ", "")</f>
        <v>Falcone</v>
      </c>
      <c r="F17" s="2" t="str">
        <f t="shared" ref="F17" si="34">IF(ISNUMBER(FIND("&amp;", A17)),
    IF(LEN(A17)-LEN(SUBSTITUTE(A17, ",", ""))&gt;=6, "etal", MID(A17, SEARCH("&amp; ", A17)+2, SEARCH(",", A17, SEARCH("&amp; ", A17)+2) - SEARCH("&amp; ", A17)-2)),
    ""
)</f>
        <v>etal</v>
      </c>
      <c r="G17" s="2" t="str">
        <f t="shared" ref="G17" si="35">_xlfn.TEXTBEFORE(_xlfn.TEXTAFTER(A17, "("), ")")</f>
        <v>2019</v>
      </c>
      <c r="H17" t="str">
        <f t="shared" ref="H17" si="36">_xlfn.TEXTAFTER(A17,"https://doi.org/")</f>
        <v>10.1002/cne.24605</v>
      </c>
      <c r="J17" s="13" t="s">
        <v>158</v>
      </c>
      <c r="K17" t="str">
        <f t="shared" ref="K17" si="37">TRIM(_xlfn.TEXTJOIN("_",FALSE,D17,(SUBSTITUTE(SUBSTITUTE(J17," ",""), "_", ""))))</f>
        <v>Falcone_etal_2019_TABLE2</v>
      </c>
      <c r="L17" t="str">
        <f t="shared" ref="L17" si="38">IF(ISBLANK(I17),TRIM(SUBSTITUTE(SUBSTITUTE(SUBSTITUTE(_xlfn.TEXTJOIN("_", FALSE, H17, SUBSTITUTE(J17,"_", "")), "/", "%2F"), ":", "%3A"), " ", "")),TRIM(SUBSTITUTE(SUBSTITUTE(SUBSTITUTE(_xlfn.TEXTJOIN("_", FALSE, I17, SUBSTITUTE(J17,"_", "")), "/", "%2F"), ":", "%3A"), " ", "")))</f>
        <v>10.1002%2Fcne.24605_TABLE2</v>
      </c>
      <c r="M17" t="str">
        <f t="array" ref="M17">IFERROR(INDEX(FileList!$A$1:$A$43, MATCH(L17, _xlfn.TEXTBEFORE(FileList!$A$1:$A$43, ".tsv"), 0)), "notfound")</f>
        <v>notfound</v>
      </c>
      <c r="N17" s="13" t="s">
        <v>368</v>
      </c>
      <c r="R17" s="14"/>
      <c r="U17" s="13" t="s">
        <v>113</v>
      </c>
    </row>
    <row r="18" spans="1:37" ht="16" customHeight="1" x14ac:dyDescent="0.2">
      <c r="A18" s="13" t="s">
        <v>109</v>
      </c>
      <c r="C18" t="str">
        <f t="shared" si="16"/>
        <v>6</v>
      </c>
      <c r="D18" t="str">
        <f t="shared" si="17"/>
        <v>Finlay_etal_2006</v>
      </c>
      <c r="E18" s="2" t="str">
        <f t="shared" si="18"/>
        <v>Finlay</v>
      </c>
      <c r="F18" s="2" t="str">
        <f t="shared" si="19"/>
        <v>etal</v>
      </c>
      <c r="G18" s="2" t="str">
        <f t="shared" si="20"/>
        <v>2006</v>
      </c>
      <c r="H18" t="str">
        <f t="shared" si="21"/>
        <v>10.1093/oso/9780198568742.003.0006</v>
      </c>
      <c r="J18" s="13" t="s">
        <v>110</v>
      </c>
      <c r="K18" s="1" t="str">
        <f t="shared" si="22"/>
        <v>Finlay_etal_2006_Table6.1</v>
      </c>
      <c r="L18" s="1" t="str">
        <f t="shared" si="7"/>
        <v>10.1093%2Foso%2F9780198568742.003.0006_Table6.1</v>
      </c>
      <c r="M18" t="str">
        <f t="array" ref="M18">IFERROR(INDEX(FileList!$A$1:$A$43, MATCH(L18, _xlfn.TEXTBEFORE(FileList!$A$1:$A$43, ".tsv"), 0)), "notfound")</f>
        <v>10.1093%2Foso%2F9780198568742.003.0006_Table6.1.tsv</v>
      </c>
      <c r="N18" s="17"/>
      <c r="P18" s="13" t="s">
        <v>74</v>
      </c>
      <c r="Q18" s="13" t="s">
        <v>35</v>
      </c>
      <c r="R18" s="13" t="s">
        <v>111</v>
      </c>
      <c r="S18" s="13" t="s">
        <v>55</v>
      </c>
      <c r="T18" s="13" t="s">
        <v>112</v>
      </c>
      <c r="U18" s="13" t="s">
        <v>113</v>
      </c>
      <c r="V18" s="13" t="s">
        <v>46</v>
      </c>
      <c r="W18" s="13" t="s">
        <v>58</v>
      </c>
      <c r="X18" s="13" t="s">
        <v>114</v>
      </c>
      <c r="Y18" s="13" t="s">
        <v>115</v>
      </c>
      <c r="Z18" s="13" t="s">
        <v>36</v>
      </c>
      <c r="AD18" s="13" t="s">
        <v>116</v>
      </c>
      <c r="AE18" s="13" t="s">
        <v>37</v>
      </c>
      <c r="AI18" s="13">
        <v>3</v>
      </c>
      <c r="AK18" s="13">
        <v>8</v>
      </c>
    </row>
    <row r="19" spans="1:37" ht="16" customHeight="1" x14ac:dyDescent="0.2">
      <c r="A19" s="13" t="s">
        <v>346</v>
      </c>
      <c r="C19" t="str">
        <f t="shared" si="16"/>
        <v>x</v>
      </c>
      <c r="D19" t="str">
        <f t="shared" si="17"/>
        <v>Fu_etal_2013</v>
      </c>
      <c r="E19" s="7" t="str">
        <f t="shared" si="18"/>
        <v>Fu</v>
      </c>
      <c r="F19" s="2" t="str">
        <f t="shared" si="19"/>
        <v>etal</v>
      </c>
      <c r="G19" s="7" t="str">
        <f t="shared" si="20"/>
        <v>2013</v>
      </c>
      <c r="H19" t="str">
        <f t="shared" si="21"/>
        <v>10.1007/s00429-012-0462-x</v>
      </c>
      <c r="J19" s="13" t="s">
        <v>52</v>
      </c>
      <c r="K19" s="3" t="str">
        <f t="shared" si="22"/>
        <v>Fu_etal_2013_Table1</v>
      </c>
      <c r="L19" s="3" t="str">
        <f t="shared" si="7"/>
        <v>10.1007%2Fs00429-012-0462-x_Table1</v>
      </c>
      <c r="M19" t="str">
        <f t="array" ref="M19">IFERROR(INDEX(FileList!$A$1:$A$43, MATCH(L19, _xlfn.TEXTBEFORE(FileList!$A$1:$A$43, ".tsv"), 0)), "notfound")</f>
        <v>notfound</v>
      </c>
      <c r="N19" s="13" t="s">
        <v>358</v>
      </c>
      <c r="P19" s="13" t="s">
        <v>125</v>
      </c>
      <c r="Z19" s="13" t="s">
        <v>283</v>
      </c>
      <c r="AC19" s="13" t="s">
        <v>281</v>
      </c>
    </row>
    <row r="20" spans="1:37" ht="15" customHeight="1" x14ac:dyDescent="0.2">
      <c r="A20" s="13" t="s">
        <v>360</v>
      </c>
      <c r="C20" t="str">
        <f t="shared" si="16"/>
        <v>6</v>
      </c>
      <c r="D20" t="str">
        <f t="shared" si="17"/>
        <v>Garwicz_etal_2009</v>
      </c>
      <c r="E20" s="2" t="str">
        <f t="shared" si="18"/>
        <v>Garwicz</v>
      </c>
      <c r="F20" s="2" t="str">
        <f t="shared" si="19"/>
        <v>etal</v>
      </c>
      <c r="G20" s="2" t="str">
        <f t="shared" si="20"/>
        <v>2009</v>
      </c>
      <c r="H20" t="str">
        <f t="shared" si="21"/>
        <v>10.1073/pnas.0905777106</v>
      </c>
      <c r="J20" s="13" t="s">
        <v>91</v>
      </c>
      <c r="K20" t="str">
        <f t="shared" si="22"/>
        <v>Garwicz_etal_2009_TableS1</v>
      </c>
      <c r="L20" t="str">
        <f t="shared" si="7"/>
        <v>10.1073%2Fpnas.0905777106_TableS1</v>
      </c>
      <c r="M20" t="str">
        <f t="array" ref="M20">IFERROR(INDEX(FileList!$A$1:$A$43, MATCH(L20, _xlfn.TEXTBEFORE(FileList!$A$1:$A$43, ".tsv"), 0)), "notfound")</f>
        <v>notfound</v>
      </c>
      <c r="N20" s="13" t="s">
        <v>361</v>
      </c>
      <c r="U20" s="13" t="s">
        <v>57</v>
      </c>
      <c r="W20" s="13" t="s">
        <v>68</v>
      </c>
      <c r="X20" s="16" t="s">
        <v>365</v>
      </c>
    </row>
    <row r="21" spans="1:37" ht="16" customHeight="1" x14ac:dyDescent="0.2">
      <c r="A21" s="13" t="s">
        <v>360</v>
      </c>
      <c r="C21" t="str">
        <f t="shared" si="16"/>
        <v>6</v>
      </c>
      <c r="D21" t="str">
        <f t="shared" si="17"/>
        <v>Garwicz_etal_2009</v>
      </c>
      <c r="E21" s="2" t="str">
        <f t="shared" si="18"/>
        <v>Garwicz</v>
      </c>
      <c r="F21" s="2" t="str">
        <f t="shared" si="19"/>
        <v>etal</v>
      </c>
      <c r="G21" s="2" t="str">
        <f t="shared" si="20"/>
        <v>2009</v>
      </c>
      <c r="H21" t="str">
        <f t="shared" si="21"/>
        <v>10.1073/pnas.0905777106</v>
      </c>
      <c r="J21" s="13" t="s">
        <v>220</v>
      </c>
      <c r="K21" t="str">
        <f t="shared" si="22"/>
        <v>Garwicz_etal_2009_TableS2</v>
      </c>
      <c r="L21" t="str">
        <f t="shared" si="7"/>
        <v>10.1073%2Fpnas.0905777106_TableS2</v>
      </c>
      <c r="M21" t="str">
        <f t="array" ref="M21">IFERROR(INDEX(FileList!$A$1:$A$43, MATCH(L21, _xlfn.TEXTBEFORE(FileList!$A$1:$A$43, ".tsv"), 0)), "notfound")</f>
        <v>notfound</v>
      </c>
      <c r="N21" s="13" t="s">
        <v>359</v>
      </c>
      <c r="U21" s="13" t="s">
        <v>57</v>
      </c>
      <c r="W21" s="13" t="s">
        <v>68</v>
      </c>
      <c r="X21" s="16" t="s">
        <v>365</v>
      </c>
    </row>
    <row r="22" spans="1:37" ht="16" customHeight="1" x14ac:dyDescent="0.2">
      <c r="A22" s="13" t="s">
        <v>343</v>
      </c>
      <c r="C22" t="str">
        <f t="shared" si="16"/>
        <v>0</v>
      </c>
      <c r="D22" t="str">
        <f t="shared" si="17"/>
        <v>Genoud_etal_2018</v>
      </c>
      <c r="E22" s="7" t="str">
        <f t="shared" si="18"/>
        <v>Genoud</v>
      </c>
      <c r="F22" s="2" t="str">
        <f t="shared" si="19"/>
        <v>etal</v>
      </c>
      <c r="G22" s="7" t="str">
        <f t="shared" si="20"/>
        <v>2018</v>
      </c>
      <c r="H22" t="str">
        <f t="shared" si="21"/>
        <v>10.1111/brv.12350</v>
      </c>
      <c r="J22" s="13" t="s">
        <v>220</v>
      </c>
      <c r="K22" s="3" t="str">
        <f t="shared" si="22"/>
        <v>Genoud_etal_2018_TableS2</v>
      </c>
      <c r="L22" s="3" t="str">
        <f t="shared" si="7"/>
        <v>10.1111%2Fbrv.12350_TableS2</v>
      </c>
      <c r="M22" t="str">
        <f t="array" ref="M22">IFERROR(INDEX(FileList!$A$1:$A$43, MATCH(L22, _xlfn.TEXTBEFORE(FileList!$A$1:$A$43, ".tsv"), 0)), "notfound")</f>
        <v>notfound</v>
      </c>
      <c r="N22" s="13" t="s">
        <v>273</v>
      </c>
      <c r="P22" s="13" t="s">
        <v>125</v>
      </c>
      <c r="AC22" s="13" t="s">
        <v>282</v>
      </c>
    </row>
    <row r="23" spans="1:37" ht="16" customHeight="1" x14ac:dyDescent="0.2">
      <c r="A23" s="13" t="s">
        <v>349</v>
      </c>
      <c r="C23" t="str">
        <f t="shared" si="16"/>
        <v>8</v>
      </c>
      <c r="D23" t="str">
        <f t="shared" si="17"/>
        <v>Granatosky__2018</v>
      </c>
      <c r="E23" s="7" t="str">
        <f t="shared" si="18"/>
        <v>Granatosky</v>
      </c>
      <c r="F23" s="2" t="str">
        <f t="shared" si="19"/>
        <v/>
      </c>
      <c r="G23" s="7" t="str">
        <f t="shared" si="20"/>
        <v>2018</v>
      </c>
      <c r="H23" t="str">
        <f t="shared" si="21"/>
        <v>10.1111/jzo.12608</v>
      </c>
      <c r="J23" s="13" t="s">
        <v>91</v>
      </c>
      <c r="K23" s="3" t="str">
        <f t="shared" si="22"/>
        <v>Granatosky__2018_TableS1</v>
      </c>
      <c r="L23" s="3" t="str">
        <f t="shared" si="7"/>
        <v>10.1111%2Fjzo.12608_TableS1</v>
      </c>
      <c r="M23" t="str">
        <f t="array" ref="M23">IFERROR(INDEX(FileList!$A$1:$A$43, MATCH(L23, _xlfn.TEXTBEFORE(FileList!$A$1:$A$43, ".tsv"), 0)), "notfound")</f>
        <v>notfound</v>
      </c>
      <c r="N23" s="13" t="s">
        <v>336</v>
      </c>
      <c r="P23" s="13" t="s">
        <v>125</v>
      </c>
    </row>
    <row r="24" spans="1:37" ht="16" customHeight="1" x14ac:dyDescent="0.2">
      <c r="A24" s="13" t="s">
        <v>117</v>
      </c>
      <c r="C24" t="str">
        <f t="shared" si="16"/>
        <v>1</v>
      </c>
      <c r="D24" t="str">
        <f t="shared" si="17"/>
        <v>Heffner_Masterton_1975</v>
      </c>
      <c r="E24" s="2" t="str">
        <f t="shared" si="18"/>
        <v>Heffner</v>
      </c>
      <c r="F24" s="2" t="str">
        <f t="shared" si="19"/>
        <v>Masterton</v>
      </c>
      <c r="G24" s="2" t="str">
        <f t="shared" si="20"/>
        <v>1975</v>
      </c>
      <c r="H24" t="str">
        <f t="shared" si="21"/>
        <v>10.1159/000124401</v>
      </c>
      <c r="J24" s="13" t="s">
        <v>118</v>
      </c>
      <c r="K24" s="1" t="str">
        <f t="shared" si="22"/>
        <v>Heffner_Masterton_1975_TableI</v>
      </c>
      <c r="L24" s="1" t="str">
        <f t="shared" si="7"/>
        <v>10.1159%2F000124401_TableI</v>
      </c>
      <c r="M24" t="str">
        <f t="array" ref="M24">IFERROR(INDEX(FileList!$A$1:$A$43, MATCH(L24, _xlfn.TEXTBEFORE(FileList!$A$1:$A$43, ".tsv"), 0)), "notfound")</f>
        <v>10.1159%2F000124401_TableI.tsv</v>
      </c>
      <c r="P24" s="13" t="s">
        <v>41</v>
      </c>
      <c r="Q24" s="13" t="s">
        <v>53</v>
      </c>
      <c r="R24" s="13" t="s">
        <v>119</v>
      </c>
      <c r="S24" s="13" t="s">
        <v>55</v>
      </c>
      <c r="T24" s="13" t="s">
        <v>120</v>
      </c>
      <c r="U24" s="13" t="s">
        <v>57</v>
      </c>
      <c r="V24" s="13" t="s">
        <v>46</v>
      </c>
      <c r="W24" s="13" t="s">
        <v>78</v>
      </c>
      <c r="Y24" s="13" t="s">
        <v>121</v>
      </c>
      <c r="Z24" s="13" t="s">
        <v>122</v>
      </c>
      <c r="AC24" s="13" t="s">
        <v>123</v>
      </c>
      <c r="AE24" s="13" t="s">
        <v>37</v>
      </c>
      <c r="AI24" s="13">
        <v>7</v>
      </c>
      <c r="AK24" s="13">
        <v>12</v>
      </c>
    </row>
    <row r="25" spans="1:37" ht="16" customHeight="1" x14ac:dyDescent="0.2">
      <c r="A25" s="13" t="s">
        <v>124</v>
      </c>
      <c r="C25" t="str">
        <f t="shared" si="16"/>
        <v>4</v>
      </c>
      <c r="D25" t="str">
        <f t="shared" si="17"/>
        <v>Heffner_Masterton_1983</v>
      </c>
      <c r="E25" s="2" t="str">
        <f t="shared" si="18"/>
        <v>Heffner</v>
      </c>
      <c r="F25" s="2" t="str">
        <f t="shared" si="19"/>
        <v>Masterton</v>
      </c>
      <c r="G25" s="2" t="str">
        <f t="shared" si="20"/>
        <v>1983</v>
      </c>
      <c r="H25" t="str">
        <f t="shared" si="21"/>
        <v>10.1159/000121494</v>
      </c>
      <c r="J25" s="13" t="s">
        <v>118</v>
      </c>
      <c r="K25" s="1" t="str">
        <f t="shared" si="22"/>
        <v>Heffner_Masterton_1983_TableI</v>
      </c>
      <c r="L25" s="1" t="str">
        <f t="shared" si="7"/>
        <v>10.1159%2F000121494_TableI</v>
      </c>
      <c r="M25" t="str">
        <f t="array" ref="M25">IFERROR(INDEX(FileList!$A$1:$A$43, MATCH(L25, _xlfn.TEXTBEFORE(FileList!$A$1:$A$43, ".tsv"), 0)), "notfound")</f>
        <v>notfound</v>
      </c>
      <c r="P25" s="13" t="s">
        <v>125</v>
      </c>
      <c r="Q25" s="13" t="s">
        <v>35</v>
      </c>
      <c r="R25" s="14"/>
      <c r="T25" s="13" t="str">
        <f>IF(S25="N", R25, "write file name")</f>
        <v>write file name</v>
      </c>
      <c r="U25" s="13" t="s">
        <v>57</v>
      </c>
      <c r="V25" s="13" t="s">
        <v>46</v>
      </c>
      <c r="W25" s="13" t="s">
        <v>78</v>
      </c>
      <c r="Y25" s="13" t="s">
        <v>121</v>
      </c>
      <c r="AE25" s="13" t="s">
        <v>37</v>
      </c>
      <c r="AG25" s="13" t="s">
        <v>126</v>
      </c>
    </row>
    <row r="26" spans="1:37" ht="16" customHeight="1" x14ac:dyDescent="0.2">
      <c r="A26" s="13" t="s">
        <v>127</v>
      </c>
      <c r="C26" t="str">
        <f t="shared" si="16"/>
        <v>8</v>
      </c>
      <c r="D26" t="str">
        <f t="shared" si="17"/>
        <v>Heldstab_etal_2016</v>
      </c>
      <c r="E26" s="2" t="str">
        <f t="shared" si="18"/>
        <v>Heldstab</v>
      </c>
      <c r="F26" s="2" t="str">
        <f t="shared" si="19"/>
        <v>etal</v>
      </c>
      <c r="G26" s="2" t="str">
        <f t="shared" si="20"/>
        <v>2016</v>
      </c>
      <c r="H26" t="str">
        <f t="shared" si="21"/>
        <v>10.1038/srep24528</v>
      </c>
      <c r="J26" s="13" t="s">
        <v>91</v>
      </c>
      <c r="K26" s="1" t="str">
        <f t="shared" si="22"/>
        <v>Heldstab_etal_2016_TableS1</v>
      </c>
      <c r="L26" s="1" t="str">
        <f t="shared" si="7"/>
        <v>10.1038%2Fsrep24528_TableS1</v>
      </c>
      <c r="M26" t="str">
        <f t="array" ref="M26">IFERROR(INDEX(FileList!$A$1:$A$43, MATCH(L26, _xlfn.TEXTBEFORE(FileList!$A$1:$A$43, ".tsv"), 0)), "notfound")</f>
        <v>notfound</v>
      </c>
      <c r="P26" s="13" t="s">
        <v>125</v>
      </c>
      <c r="Q26" s="13" t="s">
        <v>35</v>
      </c>
      <c r="R26" s="14"/>
      <c r="T26" s="13" t="str">
        <f>IF(S26="N", R26, "write file name")</f>
        <v>write file name</v>
      </c>
      <c r="U26" s="13" t="s">
        <v>57</v>
      </c>
      <c r="V26" s="13" t="s">
        <v>46</v>
      </c>
      <c r="Y26" s="13" t="s">
        <v>128</v>
      </c>
      <c r="AE26" s="13" t="s">
        <v>64</v>
      </c>
    </row>
    <row r="27" spans="1:37" ht="16" customHeight="1" x14ac:dyDescent="0.2">
      <c r="A27" s="13" t="s">
        <v>212</v>
      </c>
      <c r="C27" t="str">
        <f t="shared" si="16"/>
        <v>5</v>
      </c>
      <c r="D27" t="str">
        <f t="shared" si="17"/>
        <v>HerculanoHouzel_etal_2013</v>
      </c>
      <c r="E27" s="2" t="str">
        <f t="shared" si="18"/>
        <v>HerculanoHouzel</v>
      </c>
      <c r="F27" s="2" t="str">
        <f t="shared" si="19"/>
        <v>etal</v>
      </c>
      <c r="G27" s="2" t="str">
        <f t="shared" si="20"/>
        <v>2013</v>
      </c>
      <c r="H27" t="str">
        <f t="shared" si="21"/>
        <v>10.3389/fnana.2013.00035</v>
      </c>
      <c r="J27" s="13" t="s">
        <v>213</v>
      </c>
      <c r="K27" s="1" t="str">
        <f t="shared" si="22"/>
        <v>HerculanoHouzel_etal_2013_Figure2TopLeft</v>
      </c>
      <c r="L27" s="1" t="str">
        <f t="shared" si="7"/>
        <v>10.3389%2Ffnana.2013.00035_Figure2TopLeft</v>
      </c>
      <c r="M27" t="str">
        <f t="array" ref="M27">IFERROR(INDEX(FileList!$A$1:$A$43, MATCH(L27, _xlfn.TEXTBEFORE(FileList!$A$1:$A$43, ".tsv"), 0)), "notfound")</f>
        <v>10.3389%2Ffnana.2013.00035_Figure2TopLeft.tsv</v>
      </c>
      <c r="Q27" s="13" t="s">
        <v>42</v>
      </c>
      <c r="AI27" s="13" t="s">
        <v>214</v>
      </c>
    </row>
    <row r="28" spans="1:37" ht="19" customHeight="1" x14ac:dyDescent="0.2">
      <c r="A28" s="13" t="s">
        <v>212</v>
      </c>
      <c r="C28" t="str">
        <f t="shared" si="16"/>
        <v>5</v>
      </c>
      <c r="D28" t="str">
        <f t="shared" si="17"/>
        <v>HerculanoHouzel_etal_2013</v>
      </c>
      <c r="E28" s="2" t="str">
        <f t="shared" si="18"/>
        <v>HerculanoHouzel</v>
      </c>
      <c r="F28" s="2" t="str">
        <f t="shared" si="19"/>
        <v>etal</v>
      </c>
      <c r="G28" s="2" t="str">
        <f t="shared" si="20"/>
        <v>2013</v>
      </c>
      <c r="H28" t="str">
        <f t="shared" si="21"/>
        <v>10.3389/fnana.2013.00035</v>
      </c>
      <c r="J28" s="13" t="s">
        <v>215</v>
      </c>
      <c r="K28" s="1" t="str">
        <f t="shared" si="22"/>
        <v>HerculanoHouzel_etal_2013_Table1-a</v>
      </c>
      <c r="L28" s="1" t="str">
        <f t="shared" si="7"/>
        <v>10.3389%2Ffnana.2013.00035_Table1-a</v>
      </c>
      <c r="M28" t="str">
        <f t="array" ref="M28">IFERROR(INDEX(FileList!$A$1:$A$43, MATCH(L28, _xlfn.TEXTBEFORE(FileList!$A$1:$A$43, ".tsv"), 0)), "notfound")</f>
        <v>10.3389%2Ffnana.2013.00035_Table1-a.tsv</v>
      </c>
      <c r="Q28" s="13" t="s">
        <v>42</v>
      </c>
      <c r="AI28" s="13" t="s">
        <v>214</v>
      </c>
    </row>
    <row r="29" spans="1:37" ht="17" customHeight="1" x14ac:dyDescent="0.2">
      <c r="A29" s="13" t="s">
        <v>212</v>
      </c>
      <c r="C29" t="str">
        <f t="shared" si="16"/>
        <v>5</v>
      </c>
      <c r="D29" t="str">
        <f t="shared" si="17"/>
        <v>HerculanoHouzel_etal_2013</v>
      </c>
      <c r="E29" s="2" t="str">
        <f t="shared" si="18"/>
        <v>HerculanoHouzel</v>
      </c>
      <c r="F29" s="2" t="str">
        <f t="shared" si="19"/>
        <v>etal</v>
      </c>
      <c r="G29" s="2" t="str">
        <f t="shared" si="20"/>
        <v>2013</v>
      </c>
      <c r="H29" t="str">
        <f t="shared" si="21"/>
        <v>10.3389/fnana.2013.00035</v>
      </c>
      <c r="J29" s="13" t="s">
        <v>216</v>
      </c>
      <c r="K29" s="1" t="str">
        <f t="shared" si="22"/>
        <v>HerculanoHouzel_etal_2013_Table1-b</v>
      </c>
      <c r="L29" s="1" t="str">
        <f t="shared" si="7"/>
        <v>10.3389%2Ffnana.2013.00035_Table1-b</v>
      </c>
      <c r="M29" t="str">
        <f t="array" ref="M29">IFERROR(INDEX(FileList!$A$1:$A$43, MATCH(L29, _xlfn.TEXTBEFORE(FileList!$A$1:$A$43, ".tsv"), 0)), "notfound")</f>
        <v>10.3389%2Ffnana.2013.00035_Table1-b.tsv</v>
      </c>
      <c r="Q29" s="13" t="s">
        <v>42</v>
      </c>
      <c r="AI29" s="13" t="s">
        <v>214</v>
      </c>
    </row>
    <row r="30" spans="1:37" ht="17" customHeight="1" x14ac:dyDescent="0.2">
      <c r="A30" s="13" t="s">
        <v>129</v>
      </c>
      <c r="C30" t="str">
        <f t="shared" si="16"/>
        <v>3</v>
      </c>
      <c r="D30" t="str">
        <f t="shared" si="17"/>
        <v>HerculanoHouzel_etal_2015</v>
      </c>
      <c r="E30" s="2" t="str">
        <f t="shared" si="18"/>
        <v>HerculanoHouzel</v>
      </c>
      <c r="F30" s="2" t="str">
        <f t="shared" si="19"/>
        <v>etal</v>
      </c>
      <c r="G30" s="2" t="str">
        <f t="shared" si="20"/>
        <v>2015</v>
      </c>
      <c r="H30" t="str">
        <f t="shared" si="21"/>
        <v>10.1159/000437413</v>
      </c>
      <c r="J30" s="13" t="s">
        <v>52</v>
      </c>
      <c r="K30" s="1" t="str">
        <f t="shared" si="22"/>
        <v>HerculanoHouzel_etal_2015_Table1</v>
      </c>
      <c r="L30" s="1" t="str">
        <f t="shared" si="7"/>
        <v>10.1159%2F000437413_Table1</v>
      </c>
      <c r="M30" t="str">
        <f t="array" ref="M30">IFERROR(INDEX(FileList!$A$1:$A$43, MATCH(L30, _xlfn.TEXTBEFORE(FileList!$A$1:$A$43, ".tsv"), 0)), "notfound")</f>
        <v>10.1159%2F000437413_Table1.tsv</v>
      </c>
      <c r="N30" s="13" t="s">
        <v>133</v>
      </c>
      <c r="P30" s="13" t="s">
        <v>41</v>
      </c>
      <c r="Q30" s="13" t="s">
        <v>53</v>
      </c>
      <c r="R30" s="14" t="s">
        <v>130</v>
      </c>
      <c r="S30" s="13" t="s">
        <v>55</v>
      </c>
      <c r="T30" s="13" t="s">
        <v>131</v>
      </c>
      <c r="U30" s="13" t="s">
        <v>57</v>
      </c>
      <c r="V30" s="13" t="s">
        <v>46</v>
      </c>
      <c r="W30" s="13" t="s">
        <v>58</v>
      </c>
      <c r="X30" s="13" t="s">
        <v>132</v>
      </c>
      <c r="Y30" s="13" t="s">
        <v>98</v>
      </c>
      <c r="AA30" s="13" t="s">
        <v>100</v>
      </c>
      <c r="AB30" s="13" t="s">
        <v>100</v>
      </c>
      <c r="AE30" s="13" t="s">
        <v>134</v>
      </c>
      <c r="AI30" s="13">
        <v>9</v>
      </c>
      <c r="AK30" s="13">
        <v>15</v>
      </c>
    </row>
    <row r="31" spans="1:37" ht="17" customHeight="1" x14ac:dyDescent="0.2">
      <c r="A31" s="13" t="s">
        <v>129</v>
      </c>
      <c r="C31" t="str">
        <f t="shared" si="16"/>
        <v>3</v>
      </c>
      <c r="D31" t="str">
        <f t="shared" si="17"/>
        <v>HerculanoHouzel_etal_2015</v>
      </c>
      <c r="E31" s="2" t="str">
        <f t="shared" si="18"/>
        <v>HerculanoHouzel</v>
      </c>
      <c r="F31" s="2" t="str">
        <f t="shared" si="19"/>
        <v>etal</v>
      </c>
      <c r="G31" s="2" t="str">
        <f t="shared" si="20"/>
        <v>2015</v>
      </c>
      <c r="H31" t="str">
        <f t="shared" si="21"/>
        <v>10.1159/000437413</v>
      </c>
      <c r="J31" s="13" t="s">
        <v>135</v>
      </c>
      <c r="K31" s="1" t="str">
        <f t="shared" si="22"/>
        <v>HerculanoHouzel_etal_2015_Table2</v>
      </c>
      <c r="L31" s="1" t="str">
        <f t="shared" si="7"/>
        <v>10.1159%2F000437413_Table2</v>
      </c>
      <c r="M31" t="str">
        <f t="array" ref="M31">IFERROR(INDEX(FileList!$A$1:$A$43, MATCH(L31, _xlfn.TEXTBEFORE(FileList!$A$1:$A$43, ".tsv"), 0)), "notfound")</f>
        <v>10.1159%2F000437413_Table2.tsv</v>
      </c>
      <c r="N31" s="13" t="s">
        <v>138</v>
      </c>
      <c r="P31" s="13" t="s">
        <v>41</v>
      </c>
      <c r="Q31" s="13" t="s">
        <v>53</v>
      </c>
      <c r="R31" s="14" t="s">
        <v>136</v>
      </c>
      <c r="S31" s="13" t="s">
        <v>55</v>
      </c>
      <c r="T31" s="13" t="s">
        <v>137</v>
      </c>
      <c r="U31" s="13" t="s">
        <v>57</v>
      </c>
      <c r="V31" s="13" t="s">
        <v>46</v>
      </c>
      <c r="W31" s="13" t="s">
        <v>58</v>
      </c>
      <c r="X31" s="13" t="s">
        <v>132</v>
      </c>
      <c r="Y31" s="13" t="s">
        <v>98</v>
      </c>
      <c r="AA31" s="13" t="s">
        <v>100</v>
      </c>
      <c r="AB31" s="13" t="s">
        <v>100</v>
      </c>
      <c r="AE31" s="13" t="s">
        <v>134</v>
      </c>
      <c r="AI31" s="13">
        <v>9</v>
      </c>
      <c r="AK31" s="13">
        <v>16</v>
      </c>
    </row>
    <row r="32" spans="1:37" ht="17" customHeight="1" x14ac:dyDescent="0.2">
      <c r="A32" s="13" t="s">
        <v>129</v>
      </c>
      <c r="C32" t="str">
        <f t="shared" si="16"/>
        <v>3</v>
      </c>
      <c r="D32" t="str">
        <f t="shared" si="17"/>
        <v>HerculanoHouzel_etal_2015</v>
      </c>
      <c r="E32" s="2" t="str">
        <f t="shared" si="18"/>
        <v>HerculanoHouzel</v>
      </c>
      <c r="F32" s="2" t="str">
        <f t="shared" si="19"/>
        <v>etal</v>
      </c>
      <c r="G32" s="2" t="str">
        <f t="shared" si="20"/>
        <v>2015</v>
      </c>
      <c r="H32" t="str">
        <f t="shared" si="21"/>
        <v>10.1159/000437413</v>
      </c>
      <c r="J32" s="13" t="s">
        <v>139</v>
      </c>
      <c r="K32" s="1" t="str">
        <f t="shared" si="22"/>
        <v>HerculanoHouzel_etal_2015_Table3</v>
      </c>
      <c r="L32" s="1" t="str">
        <f t="shared" si="7"/>
        <v>10.1159%2F000437413_Table3</v>
      </c>
      <c r="M32" t="str">
        <f t="array" ref="M32">IFERROR(INDEX(FileList!$A$1:$A$43, MATCH(L32, _xlfn.TEXTBEFORE(FileList!$A$1:$A$43, ".tsv"), 0)), "notfound")</f>
        <v>10.1159%2F000437413_Table3.tsv</v>
      </c>
      <c r="N32" s="13" t="s">
        <v>142</v>
      </c>
      <c r="P32" s="13" t="s">
        <v>41</v>
      </c>
      <c r="Q32" s="13" t="s">
        <v>53</v>
      </c>
      <c r="R32" s="14" t="s">
        <v>140</v>
      </c>
      <c r="S32" s="13" t="s">
        <v>55</v>
      </c>
      <c r="T32" s="13" t="s">
        <v>141</v>
      </c>
      <c r="U32" s="13" t="s">
        <v>57</v>
      </c>
      <c r="V32" s="13" t="s">
        <v>46</v>
      </c>
      <c r="W32" s="13" t="s">
        <v>58</v>
      </c>
      <c r="X32" s="13" t="s">
        <v>132</v>
      </c>
      <c r="Y32" s="13" t="s">
        <v>98</v>
      </c>
      <c r="AA32" s="13" t="s">
        <v>100</v>
      </c>
      <c r="AB32" s="13" t="s">
        <v>100</v>
      </c>
      <c r="AE32" s="13" t="s">
        <v>134</v>
      </c>
      <c r="AI32" s="13">
        <v>9</v>
      </c>
      <c r="AK32" s="13">
        <v>15</v>
      </c>
    </row>
    <row r="33" spans="1:37" ht="16" customHeight="1" x14ac:dyDescent="0.2">
      <c r="A33" s="13" t="s">
        <v>129</v>
      </c>
      <c r="C33" t="str">
        <f t="shared" si="16"/>
        <v>3</v>
      </c>
      <c r="D33" t="str">
        <f t="shared" si="17"/>
        <v>HerculanoHouzel_etal_2015</v>
      </c>
      <c r="E33" s="2" t="str">
        <f t="shared" si="18"/>
        <v>HerculanoHouzel</v>
      </c>
      <c r="F33" s="2" t="str">
        <f t="shared" si="19"/>
        <v>etal</v>
      </c>
      <c r="G33" s="2" t="str">
        <f t="shared" si="20"/>
        <v>2015</v>
      </c>
      <c r="H33" t="str">
        <f t="shared" si="21"/>
        <v>10.1159/000437413</v>
      </c>
      <c r="J33" s="13" t="s">
        <v>143</v>
      </c>
      <c r="K33" s="1" t="str">
        <f t="shared" si="22"/>
        <v>HerculanoHouzel_etal_2015_Table4</v>
      </c>
      <c r="L33" s="1" t="str">
        <f t="shared" si="7"/>
        <v>10.1159%2F000437413_Table4</v>
      </c>
      <c r="M33" t="str">
        <f t="array" ref="M33">IFERROR(INDEX(FileList!$A$1:$A$43, MATCH(L33, _xlfn.TEXTBEFORE(FileList!$A$1:$A$43, ".tsv"), 0)), "notfound")</f>
        <v>10.1159%2F000437413_Table4.tsv</v>
      </c>
      <c r="N33" s="13" t="s">
        <v>146</v>
      </c>
      <c r="P33" s="13" t="s">
        <v>41</v>
      </c>
      <c r="Q33" s="13" t="s">
        <v>53</v>
      </c>
      <c r="R33" s="14" t="s">
        <v>144</v>
      </c>
      <c r="S33" s="13" t="s">
        <v>55</v>
      </c>
      <c r="T33" s="13" t="s">
        <v>145</v>
      </c>
      <c r="U33" s="13" t="s">
        <v>57</v>
      </c>
      <c r="V33" s="13" t="s">
        <v>46</v>
      </c>
      <c r="W33" s="13" t="s">
        <v>58</v>
      </c>
      <c r="X33" s="13" t="s">
        <v>132</v>
      </c>
      <c r="Y33" s="13" t="s">
        <v>98</v>
      </c>
      <c r="AA33" s="13" t="s">
        <v>100</v>
      </c>
      <c r="AB33" s="13" t="s">
        <v>100</v>
      </c>
      <c r="AE33" s="13" t="s">
        <v>134</v>
      </c>
      <c r="AI33" s="13">
        <v>8</v>
      </c>
      <c r="AK33" s="13">
        <v>12</v>
      </c>
    </row>
    <row r="34" spans="1:37" ht="16" customHeight="1" x14ac:dyDescent="0.2">
      <c r="A34" s="13" t="s">
        <v>129</v>
      </c>
      <c r="C34" t="str">
        <f t="shared" si="16"/>
        <v>3</v>
      </c>
      <c r="D34" t="str">
        <f t="shared" si="17"/>
        <v>HerculanoHouzel_etal_2015</v>
      </c>
      <c r="E34" s="2" t="str">
        <f t="shared" si="18"/>
        <v>HerculanoHouzel</v>
      </c>
      <c r="F34" s="2" t="str">
        <f t="shared" si="19"/>
        <v>etal</v>
      </c>
      <c r="G34" s="2" t="str">
        <f t="shared" si="20"/>
        <v>2015</v>
      </c>
      <c r="H34" t="str">
        <f t="shared" si="21"/>
        <v>10.1159/000437413</v>
      </c>
      <c r="J34" s="13" t="s">
        <v>147</v>
      </c>
      <c r="K34" s="1" t="str">
        <f t="shared" si="22"/>
        <v>HerculanoHouzel_etal_2015_Table5</v>
      </c>
      <c r="L34" s="1" t="str">
        <f t="shared" si="7"/>
        <v>10.1159%2F000437413_Table5</v>
      </c>
      <c r="M34" t="str">
        <f t="array" ref="M34">IFERROR(INDEX(FileList!$A$1:$A$43, MATCH(L34, _xlfn.TEXTBEFORE(FileList!$A$1:$A$43, ".tsv"), 0)), "notfound")</f>
        <v>10.1159%2F000437413_Table5.tsv</v>
      </c>
      <c r="N34" s="13" t="s">
        <v>150</v>
      </c>
      <c r="P34" s="13" t="s">
        <v>41</v>
      </c>
      <c r="Q34" s="13" t="s">
        <v>53</v>
      </c>
      <c r="R34" s="14" t="s">
        <v>148</v>
      </c>
      <c r="S34" s="13" t="s">
        <v>55</v>
      </c>
      <c r="T34" s="13" t="s">
        <v>149</v>
      </c>
      <c r="U34" s="13" t="s">
        <v>57</v>
      </c>
      <c r="V34" s="13" t="s">
        <v>46</v>
      </c>
      <c r="W34" s="13" t="s">
        <v>58</v>
      </c>
      <c r="X34" s="13" t="s">
        <v>132</v>
      </c>
      <c r="Y34" s="13" t="s">
        <v>98</v>
      </c>
      <c r="AA34" s="13" t="s">
        <v>100</v>
      </c>
      <c r="AB34" s="13" t="s">
        <v>100</v>
      </c>
      <c r="AE34" s="13" t="s">
        <v>134</v>
      </c>
      <c r="AI34" s="13">
        <v>9</v>
      </c>
      <c r="AK34" s="13">
        <v>15</v>
      </c>
    </row>
    <row r="35" spans="1:37" ht="16" customHeight="1" x14ac:dyDescent="0.2">
      <c r="A35" s="13" t="s">
        <v>151</v>
      </c>
      <c r="C35" t="str">
        <f t="shared" si="16"/>
        <v>5</v>
      </c>
      <c r="D35" t="str">
        <f t="shared" si="17"/>
        <v>HerculanoHouzel_etal_2020</v>
      </c>
      <c r="E35" s="2" t="str">
        <f t="shared" si="18"/>
        <v>HerculanoHouzel</v>
      </c>
      <c r="F35" s="2" t="str">
        <f t="shared" si="19"/>
        <v>etal</v>
      </c>
      <c r="G35" s="2" t="str">
        <f t="shared" si="20"/>
        <v>2020</v>
      </c>
      <c r="H35" t="str">
        <f t="shared" si="21"/>
        <v>10.1002/cne.24985</v>
      </c>
      <c r="J35" s="13" t="s">
        <v>152</v>
      </c>
      <c r="K35" s="1" t="str">
        <f t="shared" si="22"/>
        <v>HerculanoHouzel_etal_2020_TABLE1</v>
      </c>
      <c r="L35" s="1" t="str">
        <f t="shared" si="7"/>
        <v>10.1002%2Fcne.24985_TABLE1</v>
      </c>
      <c r="M35" t="str">
        <f t="array" ref="M35">IFERROR(INDEX(FileList!$A$1:$A$43, MATCH(L35, _xlfn.TEXTBEFORE(FileList!$A$1:$A$43, ".tsv"), 0)), "notfound")</f>
        <v>10.1002%2Fcne.24985_TABLE1.tsv</v>
      </c>
      <c r="N35" s="13" t="s">
        <v>155</v>
      </c>
      <c r="P35" s="13" t="s">
        <v>41</v>
      </c>
      <c r="Q35" s="13" t="s">
        <v>53</v>
      </c>
      <c r="R35" s="14" t="s">
        <v>153</v>
      </c>
      <c r="S35" s="13" t="s">
        <v>55</v>
      </c>
      <c r="T35" s="13" t="s">
        <v>154</v>
      </c>
      <c r="U35" s="13" t="s">
        <v>57</v>
      </c>
      <c r="V35" s="13" t="s">
        <v>46</v>
      </c>
      <c r="W35" s="13" t="s">
        <v>78</v>
      </c>
      <c r="Y35" s="13" t="s">
        <v>156</v>
      </c>
      <c r="AA35" s="13" t="s">
        <v>100</v>
      </c>
      <c r="AB35" s="13" t="s">
        <v>100</v>
      </c>
      <c r="AE35" s="13" t="s">
        <v>157</v>
      </c>
      <c r="AI35" s="13">
        <v>0</v>
      </c>
      <c r="AJ35" s="13">
        <v>0</v>
      </c>
      <c r="AK35" s="13">
        <v>0</v>
      </c>
    </row>
    <row r="36" spans="1:37" ht="16" customHeight="1" x14ac:dyDescent="0.2">
      <c r="A36" s="13" t="s">
        <v>151</v>
      </c>
      <c r="C36" t="str">
        <f t="shared" si="16"/>
        <v>5</v>
      </c>
      <c r="D36" t="str">
        <f t="shared" si="17"/>
        <v>HerculanoHouzel_etal_2020</v>
      </c>
      <c r="E36" s="2" t="str">
        <f t="shared" si="18"/>
        <v>HerculanoHouzel</v>
      </c>
      <c r="F36" s="2" t="str">
        <f t="shared" si="19"/>
        <v>etal</v>
      </c>
      <c r="G36" s="2" t="str">
        <f t="shared" si="20"/>
        <v>2020</v>
      </c>
      <c r="H36" t="str">
        <f t="shared" si="21"/>
        <v>10.1002/cne.24985</v>
      </c>
      <c r="J36" s="13" t="s">
        <v>158</v>
      </c>
      <c r="K36" s="1" t="str">
        <f t="shared" si="22"/>
        <v>HerculanoHouzel_etal_2020_TABLE2</v>
      </c>
      <c r="L36" s="1" t="str">
        <f t="shared" si="7"/>
        <v>10.1002%2Fcne.24985_TABLE2</v>
      </c>
      <c r="M36" t="str">
        <f t="array" ref="M36">IFERROR(INDEX(FileList!$A$1:$A$43, MATCH(L36, _xlfn.TEXTBEFORE(FileList!$A$1:$A$43, ".tsv"), 0)), "notfound")</f>
        <v>10.1002%2Fcne.24985_TABLE2.tsv</v>
      </c>
      <c r="N36" s="13" t="s">
        <v>161</v>
      </c>
      <c r="P36" s="13" t="s">
        <v>41</v>
      </c>
      <c r="Q36" s="13" t="s">
        <v>53</v>
      </c>
      <c r="R36" s="14" t="s">
        <v>159</v>
      </c>
      <c r="S36" s="13" t="s">
        <v>55</v>
      </c>
      <c r="T36" s="13" t="s">
        <v>160</v>
      </c>
      <c r="U36" s="13" t="s">
        <v>57</v>
      </c>
      <c r="V36" s="13" t="s">
        <v>46</v>
      </c>
      <c r="W36" s="13" t="s">
        <v>78</v>
      </c>
      <c r="Y36" s="13" t="s">
        <v>162</v>
      </c>
      <c r="AA36" s="13" t="s">
        <v>100</v>
      </c>
      <c r="AB36" s="13" t="s">
        <v>100</v>
      </c>
      <c r="AE36" s="13" t="s">
        <v>157</v>
      </c>
      <c r="AI36" s="13">
        <v>0</v>
      </c>
      <c r="AJ36" s="13">
        <v>0</v>
      </c>
      <c r="AK36" s="13">
        <v>0</v>
      </c>
    </row>
    <row r="37" spans="1:37" ht="16" customHeight="1" x14ac:dyDescent="0.2">
      <c r="A37" s="13" t="s">
        <v>217</v>
      </c>
      <c r="C37" t="str">
        <f t="shared" si="16"/>
        <v>4</v>
      </c>
      <c r="D37" t="str">
        <f t="shared" si="17"/>
        <v>Isler_etal_2008</v>
      </c>
      <c r="E37" s="2" t="str">
        <f t="shared" si="18"/>
        <v>Isler</v>
      </c>
      <c r="F37" s="2" t="str">
        <f t="shared" si="19"/>
        <v>etal</v>
      </c>
      <c r="G37" s="2" t="str">
        <f t="shared" si="20"/>
        <v>2008</v>
      </c>
      <c r="H37" t="str">
        <f t="shared" si="21"/>
        <v>10.1016/j.jhevol.2008.08.004</v>
      </c>
      <c r="J37" s="13" t="s">
        <v>135</v>
      </c>
      <c r="K37" s="1" t="str">
        <f t="shared" si="22"/>
        <v>Isler_etal_2008_Table2</v>
      </c>
      <c r="L37" s="1" t="str">
        <f t="shared" si="7"/>
        <v>10.1016%2Fj.jhevol.2008.08.004_Table2</v>
      </c>
      <c r="M37" t="str">
        <f t="array" ref="M37">IFERROR(INDEX(FileList!$A$1:$A$43, MATCH(L37, _xlfn.TEXTBEFORE(FileList!$A$1:$A$43, ".tsv"), 0)), "notfound")</f>
        <v>10.1016%2Fj.jhevol.2008.08.004_Table2.tsv</v>
      </c>
      <c r="Q37" s="13" t="s">
        <v>42</v>
      </c>
      <c r="AI37" s="13">
        <v>6</v>
      </c>
      <c r="AK37" s="13">
        <v>7</v>
      </c>
    </row>
    <row r="38" spans="1:37" ht="16" customHeight="1" x14ac:dyDescent="0.2">
      <c r="A38" s="13" t="s">
        <v>217</v>
      </c>
      <c r="C38" t="str">
        <f t="shared" si="16"/>
        <v>4</v>
      </c>
      <c r="D38" t="str">
        <f t="shared" si="17"/>
        <v>Isler_etal_2008</v>
      </c>
      <c r="E38" s="2" t="str">
        <f t="shared" si="18"/>
        <v>Isler</v>
      </c>
      <c r="F38" s="2" t="str">
        <f t="shared" si="19"/>
        <v>etal</v>
      </c>
      <c r="G38" s="2" t="str">
        <f t="shared" si="20"/>
        <v>2008</v>
      </c>
      <c r="H38" t="str">
        <f t="shared" si="21"/>
        <v>10.1016/j.jhevol.2008.08.004</v>
      </c>
      <c r="J38" s="13" t="s">
        <v>218</v>
      </c>
      <c r="K38" s="1" t="str">
        <f t="shared" si="22"/>
        <v>Isler_etal_2008_Table7</v>
      </c>
      <c r="L38" s="1" t="str">
        <f t="shared" si="7"/>
        <v>10.1016%2Fj.jhevol.2008.08.004_Table7</v>
      </c>
      <c r="M38" t="str">
        <f t="array" ref="M38">IFERROR(INDEX(FileList!$A$1:$A$43, MATCH(L38, _xlfn.TEXTBEFORE(FileList!$A$1:$A$43, ".tsv"), 0)), "notfound")</f>
        <v>10.1016%2Fj.jhevol.2008.08.004_Table7.tsv</v>
      </c>
      <c r="Q38" s="13" t="s">
        <v>42</v>
      </c>
      <c r="AI38" s="13">
        <v>3</v>
      </c>
      <c r="AK38" s="13">
        <v>6</v>
      </c>
    </row>
    <row r="39" spans="1:37" ht="16" customHeight="1" x14ac:dyDescent="0.2">
      <c r="A39" s="13" t="s">
        <v>217</v>
      </c>
      <c r="C39" t="str">
        <f t="shared" ref="C39:C69" si="39">RIGHT(A39,1)</f>
        <v>4</v>
      </c>
      <c r="D39" t="str">
        <f t="shared" ref="D39:D69" si="40">E39 &amp; IF(F39&lt;&gt;"", "_" &amp; F39, "_") &amp; IF(G39&lt;&gt;"", "_" &amp; G39, "_") &amp; IF(B39&lt;&gt;"", "_" &amp; B39, "")</f>
        <v>Isler_etal_2008</v>
      </c>
      <c r="E39" s="2" t="str">
        <f t="shared" ref="E39:E69" si="41">SUBSTITUTE(SUBSTITUTE(_xlfn.TEXTBEFORE(A39,","), "-", ""), " ", "")</f>
        <v>Isler</v>
      </c>
      <c r="F39" s="2" t="str">
        <f t="shared" ref="F39:F69" si="42">IF(ISNUMBER(FIND("&amp;", A39)),
    IF(LEN(A39)-LEN(SUBSTITUTE(A39, ",", ""))&gt;=6, "etal", MID(A39, SEARCH("&amp; ", A39)+2, SEARCH(",", A39, SEARCH("&amp; ", A39)+2) - SEARCH("&amp; ", A39)-2)),
    ""
)</f>
        <v>etal</v>
      </c>
      <c r="G39" s="2" t="str">
        <f t="shared" ref="G39:G69" si="43">_xlfn.TEXTBEFORE(_xlfn.TEXTAFTER(A39, "("), ")")</f>
        <v>2008</v>
      </c>
      <c r="H39" t="str">
        <f t="shared" ref="H39:H69" si="44">_xlfn.TEXTAFTER(A39,"https://doi.org/")</f>
        <v>10.1016/j.jhevol.2008.08.004</v>
      </c>
      <c r="J39" s="13" t="s">
        <v>91</v>
      </c>
      <c r="K39" s="1" t="str">
        <f t="shared" ref="K39:K69" si="45">TRIM(_xlfn.TEXTJOIN("_",FALSE,D39,(SUBSTITUTE(SUBSTITUTE(J39," ",""), "_", ""))))</f>
        <v>Isler_etal_2008_TableS1</v>
      </c>
      <c r="L39" s="1" t="str">
        <f t="shared" ref="L39:L69" si="46">IF(ISBLANK(I39),TRIM(SUBSTITUTE(SUBSTITUTE(SUBSTITUTE(_xlfn.TEXTJOIN("_", FALSE, H39, SUBSTITUTE(J39,"_", "")), "/", "%2F"), ":", "%3A"), " ", "")),TRIM(SUBSTITUTE(SUBSTITUTE(SUBSTITUTE(_xlfn.TEXTJOIN("_", FALSE, I39, SUBSTITUTE(J39,"_", "")), "/", "%2F"), ":", "%3A"), " ", "")))</f>
        <v>10.1016%2Fj.jhevol.2008.08.004_TableS1</v>
      </c>
      <c r="M39" t="str">
        <f t="array" ref="M39">IFERROR(INDEX(FileList!$A$1:$A$43, MATCH(L39, _xlfn.TEXTBEFORE(FileList!$A$1:$A$43, ".tsv"), 0)), "notfound")</f>
        <v>10.1016%2Fj.jhevol.2008.08.004_TableS1.tsv</v>
      </c>
      <c r="Q39" s="13" t="s">
        <v>42</v>
      </c>
      <c r="AI39" s="13" t="s">
        <v>219</v>
      </c>
    </row>
    <row r="40" spans="1:37" ht="16" customHeight="1" x14ac:dyDescent="0.2">
      <c r="A40" s="13" t="s">
        <v>217</v>
      </c>
      <c r="C40" t="str">
        <f t="shared" si="39"/>
        <v>4</v>
      </c>
      <c r="D40" t="str">
        <f t="shared" si="40"/>
        <v>Isler_etal_2008</v>
      </c>
      <c r="E40" s="2" t="str">
        <f t="shared" si="41"/>
        <v>Isler</v>
      </c>
      <c r="F40" s="2" t="str">
        <f t="shared" si="42"/>
        <v>etal</v>
      </c>
      <c r="G40" s="2" t="str">
        <f t="shared" si="43"/>
        <v>2008</v>
      </c>
      <c r="H40" t="str">
        <f t="shared" si="44"/>
        <v>10.1016/j.jhevol.2008.08.004</v>
      </c>
      <c r="J40" s="13" t="s">
        <v>220</v>
      </c>
      <c r="K40" s="1" t="str">
        <f t="shared" si="45"/>
        <v>Isler_etal_2008_TableS2</v>
      </c>
      <c r="L40" s="1" t="str">
        <f t="shared" si="46"/>
        <v>10.1016%2Fj.jhevol.2008.08.004_TableS2</v>
      </c>
      <c r="M40" t="str">
        <f t="array" ref="M40">IFERROR(INDEX(FileList!$A$1:$A$43, MATCH(L40, _xlfn.TEXTBEFORE(FileList!$A$1:$A$43, ".tsv"), 0)), "notfound")</f>
        <v>10.1016%2Fj.jhevol.2008.08.004_TableS2.tsv</v>
      </c>
      <c r="Q40" s="13" t="s">
        <v>42</v>
      </c>
      <c r="AI40" s="13">
        <v>8</v>
      </c>
      <c r="AK40" s="13">
        <v>11</v>
      </c>
    </row>
    <row r="41" spans="1:37" ht="16" customHeight="1" x14ac:dyDescent="0.2">
      <c r="A41" s="13" t="s">
        <v>217</v>
      </c>
      <c r="C41" t="str">
        <f t="shared" si="39"/>
        <v>4</v>
      </c>
      <c r="D41" t="str">
        <f t="shared" si="40"/>
        <v>Isler_etal_2008</v>
      </c>
      <c r="E41" s="2" t="str">
        <f t="shared" si="41"/>
        <v>Isler</v>
      </c>
      <c r="F41" s="2" t="str">
        <f t="shared" si="42"/>
        <v>etal</v>
      </c>
      <c r="G41" s="2" t="str">
        <f t="shared" si="43"/>
        <v>2008</v>
      </c>
      <c r="H41" t="str">
        <f t="shared" si="44"/>
        <v>10.1016/j.jhevol.2008.08.004</v>
      </c>
      <c r="J41" s="13" t="s">
        <v>221</v>
      </c>
      <c r="K41" s="1" t="str">
        <f t="shared" si="45"/>
        <v>Isler_etal_2008_TableS3</v>
      </c>
      <c r="L41" s="1" t="str">
        <f t="shared" si="46"/>
        <v>10.1016%2Fj.jhevol.2008.08.004_TableS3</v>
      </c>
      <c r="M41" t="str">
        <f t="array" ref="M41">IFERROR(INDEX(FileList!$A$1:$A$43, MATCH(L41, _xlfn.TEXTBEFORE(FileList!$A$1:$A$43, ".tsv"), 0)), "notfound")</f>
        <v>10.1016%2Fj.jhevol.2008.08.004_TableS3.tsv</v>
      </c>
      <c r="Q41" s="13" t="s">
        <v>42</v>
      </c>
      <c r="AI41" s="13">
        <v>7</v>
      </c>
      <c r="AK41" s="13">
        <v>10</v>
      </c>
    </row>
    <row r="42" spans="1:37" ht="16" customHeight="1" x14ac:dyDescent="0.2">
      <c r="A42" s="13" t="s">
        <v>217</v>
      </c>
      <c r="C42" t="str">
        <f t="shared" si="39"/>
        <v>4</v>
      </c>
      <c r="D42" t="str">
        <f t="shared" si="40"/>
        <v>Isler_etal_2008</v>
      </c>
      <c r="E42" s="5" t="str">
        <f t="shared" si="41"/>
        <v>Isler</v>
      </c>
      <c r="F42" s="2" t="str">
        <f t="shared" si="42"/>
        <v>etal</v>
      </c>
      <c r="G42" s="5" t="str">
        <f t="shared" si="43"/>
        <v>2008</v>
      </c>
      <c r="H42" s="4" t="str">
        <f t="shared" si="44"/>
        <v>10.1016/j.jhevol.2008.08.004</v>
      </c>
      <c r="J42" s="13" t="s">
        <v>222</v>
      </c>
      <c r="K42" s="4" t="str">
        <f t="shared" si="45"/>
        <v>Isler_etal_2008_Tree.nex</v>
      </c>
      <c r="L42" s="6" t="str">
        <f t="shared" si="46"/>
        <v>10.1016%2Fj.jhevol.2008.08.004_Tree.nex</v>
      </c>
      <c r="M42" t="str">
        <f t="array" ref="M42">IFERROR(INDEX(FileList!$A$1:$A$43, MATCH(L42, _xlfn.TEXTBEFORE(FileList!$A$1:$A$43, ".tsv"), 0)), "notfound")</f>
        <v>notfound</v>
      </c>
      <c r="Q42" s="13" t="s">
        <v>42</v>
      </c>
    </row>
    <row r="43" spans="1:37" ht="16" customHeight="1" x14ac:dyDescent="0.2">
      <c r="A43" s="13" t="s">
        <v>342</v>
      </c>
      <c r="C43" t="str">
        <f t="shared" si="39"/>
        <v>x</v>
      </c>
      <c r="D43" t="str">
        <f t="shared" si="40"/>
        <v>Iwaniuk_etal_1999</v>
      </c>
      <c r="E43" s="7" t="str">
        <f t="shared" si="41"/>
        <v>Iwaniuk</v>
      </c>
      <c r="F43" s="2" t="str">
        <f t="shared" si="42"/>
        <v>etal</v>
      </c>
      <c r="G43" s="7" t="str">
        <f t="shared" si="43"/>
        <v>1999</v>
      </c>
      <c r="H43" t="str">
        <f t="shared" si="44"/>
        <v>10.1016/s0166-4328(98)00151-x</v>
      </c>
      <c r="J43" s="13" t="s">
        <v>339</v>
      </c>
      <c r="K43" s="3" t="str">
        <f t="shared" si="45"/>
        <v>Iwaniuk_etal_1999_References</v>
      </c>
      <c r="L43" s="3" t="str">
        <f t="shared" si="46"/>
        <v>10.1016%2Fs0166-4328(98)00151-x_References</v>
      </c>
      <c r="M43" t="str">
        <f t="array" ref="M43">IFERROR(INDEX(FileList!$A$1:$A$43, MATCH(L43, _xlfn.TEXTBEFORE(FileList!$A$1:$A$43, ".tsv"), 0)), "notfound")</f>
        <v>notfound</v>
      </c>
      <c r="N43" s="13" t="s">
        <v>339</v>
      </c>
      <c r="P43" s="13" t="s">
        <v>125</v>
      </c>
      <c r="V43" s="13" t="s">
        <v>341</v>
      </c>
      <c r="W43" s="13" t="s">
        <v>78</v>
      </c>
    </row>
    <row r="44" spans="1:37" ht="16" customHeight="1" x14ac:dyDescent="0.2">
      <c r="A44" s="13" t="s">
        <v>342</v>
      </c>
      <c r="C44" t="str">
        <f t="shared" si="39"/>
        <v>x</v>
      </c>
      <c r="D44" t="str">
        <f t="shared" si="40"/>
        <v>Iwaniuk_etal_1999</v>
      </c>
      <c r="E44" s="7" t="str">
        <f t="shared" si="41"/>
        <v>Iwaniuk</v>
      </c>
      <c r="F44" s="2" t="str">
        <f t="shared" si="42"/>
        <v>etal</v>
      </c>
      <c r="G44" s="7" t="str">
        <f t="shared" si="43"/>
        <v>1999</v>
      </c>
      <c r="H44" t="str">
        <f t="shared" si="44"/>
        <v>10.1016/s0166-4328(98)00151-x</v>
      </c>
      <c r="J44" s="13" t="s">
        <v>52</v>
      </c>
      <c r="K44" s="3" t="str">
        <f t="shared" si="45"/>
        <v>Iwaniuk_etal_1999_Table1</v>
      </c>
      <c r="L44" s="3" t="str">
        <f t="shared" si="46"/>
        <v>10.1016%2Fs0166-4328(98)00151-x_Table1</v>
      </c>
      <c r="M44" t="str">
        <f t="array" ref="M44">IFERROR(INDEX(FileList!$A$1:$A$43, MATCH(L44, _xlfn.TEXTBEFORE(FileList!$A$1:$A$43, ".tsv"), 0)), "notfound")</f>
        <v>notfound</v>
      </c>
      <c r="N44" s="13" t="s">
        <v>340</v>
      </c>
      <c r="P44" s="13" t="s">
        <v>125</v>
      </c>
      <c r="V44" s="13" t="s">
        <v>46</v>
      </c>
      <c r="W44" s="13" t="s">
        <v>78</v>
      </c>
    </row>
    <row r="45" spans="1:37" ht="16" customHeight="1" x14ac:dyDescent="0.2">
      <c r="A45" s="13" t="s">
        <v>163</v>
      </c>
      <c r="C45" t="str">
        <f t="shared" si="39"/>
        <v>9</v>
      </c>
      <c r="D45" t="str">
        <f t="shared" si="40"/>
        <v>Iwaniuk_etal_2001</v>
      </c>
      <c r="E45" s="2" t="str">
        <f t="shared" si="41"/>
        <v>Iwaniuk</v>
      </c>
      <c r="F45" s="2" t="str">
        <f t="shared" si="42"/>
        <v>etal</v>
      </c>
      <c r="G45" s="2" t="str">
        <f t="shared" si="43"/>
        <v>2001</v>
      </c>
      <c r="H45" t="str">
        <f t="shared" si="44"/>
        <v>10.1037/0735-7036.115.1.29</v>
      </c>
      <c r="J45" s="13" t="s">
        <v>52</v>
      </c>
      <c r="K45" s="1" t="str">
        <f t="shared" si="45"/>
        <v>Iwaniuk_etal_2001_Table1</v>
      </c>
      <c r="L45" s="1" t="str">
        <f t="shared" si="46"/>
        <v>10.1037%2F0735-7036.115.1.29_Table1</v>
      </c>
      <c r="M45" t="str">
        <f t="array" ref="M45">IFERROR(INDEX(FileList!$A$1:$A$43, MATCH(L45, _xlfn.TEXTBEFORE(FileList!$A$1:$A$43, ".tsv"), 0)), "notfound")</f>
        <v>notfound</v>
      </c>
      <c r="N45" s="13" t="s">
        <v>165</v>
      </c>
      <c r="P45" s="13" t="s">
        <v>164</v>
      </c>
      <c r="Q45" s="13" t="s">
        <v>35</v>
      </c>
      <c r="R45" s="14"/>
      <c r="T45" s="13" t="str">
        <f>IF(S45="N", R45, "write file name")</f>
        <v>write file name</v>
      </c>
      <c r="U45" s="13" t="s">
        <v>57</v>
      </c>
      <c r="V45" s="13" t="s">
        <v>46</v>
      </c>
      <c r="Y45" s="13" t="s">
        <v>166</v>
      </c>
      <c r="AE45" s="13" t="s">
        <v>167</v>
      </c>
    </row>
    <row r="46" spans="1:37" ht="16" customHeight="1" x14ac:dyDescent="0.2">
      <c r="A46" s="13" t="s">
        <v>163</v>
      </c>
      <c r="C46" t="str">
        <f t="shared" si="39"/>
        <v>9</v>
      </c>
      <c r="D46" t="str">
        <f t="shared" si="40"/>
        <v>Iwaniuk_etal_2001</v>
      </c>
      <c r="E46" s="2" t="str">
        <f t="shared" si="41"/>
        <v>Iwaniuk</v>
      </c>
      <c r="F46" s="2" t="str">
        <f t="shared" si="42"/>
        <v>etal</v>
      </c>
      <c r="G46" s="2" t="str">
        <f t="shared" si="43"/>
        <v>2001</v>
      </c>
      <c r="H46" t="str">
        <f t="shared" si="44"/>
        <v>10.1037/0735-7036.115.1.29</v>
      </c>
      <c r="J46" s="13" t="s">
        <v>135</v>
      </c>
      <c r="K46" s="1" t="str">
        <f t="shared" si="45"/>
        <v>Iwaniuk_etal_2001_Table2</v>
      </c>
      <c r="L46" s="1" t="str">
        <f t="shared" si="46"/>
        <v>10.1037%2F0735-7036.115.1.29_Table2</v>
      </c>
      <c r="M46" t="str">
        <f t="array" ref="M46">IFERROR(INDEX(FileList!$A$1:$A$43, MATCH(L46, _xlfn.TEXTBEFORE(FileList!$A$1:$A$43, ".tsv"), 0)), "notfound")</f>
        <v>notfound</v>
      </c>
      <c r="N46" s="13" t="s">
        <v>168</v>
      </c>
      <c r="P46" s="13" t="s">
        <v>164</v>
      </c>
      <c r="Q46" s="13" t="s">
        <v>35</v>
      </c>
      <c r="R46" s="14"/>
      <c r="T46" s="13" t="str">
        <f>IF(S46="N", R46, "write file name")</f>
        <v>write file name</v>
      </c>
      <c r="U46" s="13" t="s">
        <v>57</v>
      </c>
      <c r="V46" s="13" t="s">
        <v>46</v>
      </c>
      <c r="Y46" s="13" t="s">
        <v>166</v>
      </c>
      <c r="AE46" s="13" t="s">
        <v>167</v>
      </c>
    </row>
    <row r="47" spans="1:37" ht="16" customHeight="1" x14ac:dyDescent="0.2">
      <c r="A47" s="13" t="s">
        <v>163</v>
      </c>
      <c r="C47" t="str">
        <f t="shared" si="39"/>
        <v>9</v>
      </c>
      <c r="D47" t="str">
        <f t="shared" si="40"/>
        <v>Iwaniuk_etal_2001</v>
      </c>
      <c r="E47" s="2" t="str">
        <f t="shared" si="41"/>
        <v>Iwaniuk</v>
      </c>
      <c r="F47" s="2" t="str">
        <f t="shared" si="42"/>
        <v>etal</v>
      </c>
      <c r="G47" s="2" t="str">
        <f t="shared" si="43"/>
        <v>2001</v>
      </c>
      <c r="H47" t="str">
        <f t="shared" si="44"/>
        <v>10.1037/0735-7036.115.1.29</v>
      </c>
      <c r="J47" s="13" t="s">
        <v>139</v>
      </c>
      <c r="K47" s="1" t="str">
        <f t="shared" si="45"/>
        <v>Iwaniuk_etal_2001_Table3</v>
      </c>
      <c r="L47" s="1" t="str">
        <f t="shared" si="46"/>
        <v>10.1037%2F0735-7036.115.1.29_Table3</v>
      </c>
      <c r="M47" t="str">
        <f t="array" ref="M47">IFERROR(INDEX(FileList!$A$1:$A$43, MATCH(L47, _xlfn.TEXTBEFORE(FileList!$A$1:$A$43, ".tsv"), 0)), "notfound")</f>
        <v>notfound</v>
      </c>
      <c r="N47" s="13" t="s">
        <v>169</v>
      </c>
      <c r="P47" s="13" t="s">
        <v>164</v>
      </c>
      <c r="Q47" s="13" t="s">
        <v>35</v>
      </c>
      <c r="R47" s="14"/>
      <c r="T47" s="13" t="str">
        <f>IF(S47="N", R47, "write file name")</f>
        <v>write file name</v>
      </c>
      <c r="U47" s="13" t="s">
        <v>57</v>
      </c>
      <c r="V47" s="13" t="s">
        <v>46</v>
      </c>
      <c r="Y47" s="13" t="s">
        <v>166</v>
      </c>
      <c r="AE47" s="13" t="s">
        <v>167</v>
      </c>
    </row>
    <row r="48" spans="1:37" ht="16" customHeight="1" x14ac:dyDescent="0.2">
      <c r="A48" s="13" t="s">
        <v>163</v>
      </c>
      <c r="C48" t="str">
        <f t="shared" si="39"/>
        <v>9</v>
      </c>
      <c r="D48" t="str">
        <f t="shared" si="40"/>
        <v>Iwaniuk_etal_2001</v>
      </c>
      <c r="E48" s="2" t="str">
        <f t="shared" si="41"/>
        <v>Iwaniuk</v>
      </c>
      <c r="F48" s="2" t="str">
        <f t="shared" si="42"/>
        <v>etal</v>
      </c>
      <c r="G48" s="2" t="str">
        <f t="shared" si="43"/>
        <v>2001</v>
      </c>
      <c r="H48" t="str">
        <f t="shared" si="44"/>
        <v>10.1037/0735-7036.115.1.29</v>
      </c>
      <c r="J48" s="13" t="s">
        <v>143</v>
      </c>
      <c r="K48" s="1" t="str">
        <f t="shared" si="45"/>
        <v>Iwaniuk_etal_2001_Table4</v>
      </c>
      <c r="L48" s="1" t="str">
        <f t="shared" si="46"/>
        <v>10.1037%2F0735-7036.115.1.29_Table4</v>
      </c>
      <c r="M48" t="str">
        <f t="array" ref="M48">IFERROR(INDEX(FileList!$A$1:$A$43, MATCH(L48, _xlfn.TEXTBEFORE(FileList!$A$1:$A$43, ".tsv"), 0)), "notfound")</f>
        <v>notfound</v>
      </c>
      <c r="N48" s="13" t="s">
        <v>170</v>
      </c>
      <c r="P48" s="13" t="s">
        <v>164</v>
      </c>
      <c r="Q48" s="13" t="s">
        <v>35</v>
      </c>
      <c r="R48" s="14"/>
      <c r="T48" s="13" t="str">
        <f>IF(S48="N", R48, "write file name")</f>
        <v>write file name</v>
      </c>
      <c r="U48" s="13" t="s">
        <v>57</v>
      </c>
      <c r="V48" s="13" t="s">
        <v>46</v>
      </c>
      <c r="Y48" s="13" t="s">
        <v>166</v>
      </c>
      <c r="AE48" s="13" t="s">
        <v>167</v>
      </c>
    </row>
    <row r="49" spans="1:37" ht="16" customHeight="1" x14ac:dyDescent="0.2">
      <c r="A49" s="13" t="s">
        <v>171</v>
      </c>
      <c r="C49" t="str">
        <f t="shared" si="39"/>
        <v>8</v>
      </c>
      <c r="D49" t="str">
        <f t="shared" si="40"/>
        <v>JardimMesseder_etal_2017</v>
      </c>
      <c r="E49" s="2" t="str">
        <f t="shared" si="41"/>
        <v>JardimMesseder</v>
      </c>
      <c r="F49" s="2" t="str">
        <f t="shared" si="42"/>
        <v>etal</v>
      </c>
      <c r="G49" s="2" t="str">
        <f t="shared" si="43"/>
        <v>2017</v>
      </c>
      <c r="H49" t="str">
        <f t="shared" si="44"/>
        <v>10.3389/fnana.2017.00118</v>
      </c>
      <c r="J49" s="13" t="s">
        <v>52</v>
      </c>
      <c r="K49" s="1" t="str">
        <f t="shared" si="45"/>
        <v>JardimMesseder_etal_2017_Table1</v>
      </c>
      <c r="L49" s="1" t="str">
        <f t="shared" si="46"/>
        <v>10.3389%2Ffnana.2017.00118_Table1</v>
      </c>
      <c r="M49" t="str">
        <f t="array" ref="M49">IFERROR(INDEX(FileList!$A$1:$A$43, MATCH(L49, _xlfn.TEXTBEFORE(FileList!$A$1:$A$43, ".tsv"), 0)), "notfound")</f>
        <v>10.3389%2Ffnana.2017.00118_Table1.tsv</v>
      </c>
      <c r="N49" s="13" t="s">
        <v>175</v>
      </c>
      <c r="P49" s="13" t="s">
        <v>41</v>
      </c>
      <c r="Q49" s="13" t="s">
        <v>53</v>
      </c>
      <c r="R49" s="14" t="s">
        <v>172</v>
      </c>
      <c r="S49" s="13" t="s">
        <v>55</v>
      </c>
      <c r="T49" s="13" t="s">
        <v>173</v>
      </c>
      <c r="U49" s="13" t="s">
        <v>57</v>
      </c>
      <c r="V49" s="13" t="s">
        <v>46</v>
      </c>
      <c r="W49" s="13" t="s">
        <v>58</v>
      </c>
      <c r="X49" s="13" t="s">
        <v>174</v>
      </c>
      <c r="Y49" s="13" t="s">
        <v>98</v>
      </c>
      <c r="Z49" s="13" t="s">
        <v>99</v>
      </c>
      <c r="AA49" s="13" t="s">
        <v>100</v>
      </c>
      <c r="AB49" s="13" t="s">
        <v>100</v>
      </c>
      <c r="AE49" s="13" t="s">
        <v>176</v>
      </c>
      <c r="AI49" s="13">
        <v>2</v>
      </c>
      <c r="AK49" s="13">
        <v>3</v>
      </c>
    </row>
    <row r="50" spans="1:37" ht="16" customHeight="1" x14ac:dyDescent="0.2">
      <c r="A50" s="13" t="s">
        <v>177</v>
      </c>
      <c r="C50" t="str">
        <f t="shared" si="39"/>
        <v>8</v>
      </c>
      <c r="D50" t="str">
        <f t="shared" si="40"/>
        <v>Kverkova_etal_2018</v>
      </c>
      <c r="E50" s="2" t="str">
        <f t="shared" si="41"/>
        <v>Kverkova</v>
      </c>
      <c r="F50" s="2" t="str">
        <f t="shared" si="42"/>
        <v>etal</v>
      </c>
      <c r="G50" s="2" t="str">
        <f t="shared" si="43"/>
        <v>2018</v>
      </c>
      <c r="H50" t="str">
        <f t="shared" si="44"/>
        <v>10.1038/s41598-018-26062-8</v>
      </c>
      <c r="J50" s="13" t="s">
        <v>52</v>
      </c>
      <c r="K50" s="1" t="str">
        <f t="shared" si="45"/>
        <v>Kverkova_etal_2018_Table1</v>
      </c>
      <c r="L50" s="1" t="str">
        <f t="shared" si="46"/>
        <v>10.1038%2Fs41598-018-26062-8_Table1</v>
      </c>
      <c r="M50" t="str">
        <f t="array" ref="M50">IFERROR(INDEX(FileList!$A$1:$A$43, MATCH(L50, _xlfn.TEXTBEFORE(FileList!$A$1:$A$43, ".tsv"), 0)), "notfound")</f>
        <v>10.1038%2Fs41598-018-26062-8_Table1.tsv</v>
      </c>
      <c r="N50" s="13" t="s">
        <v>264</v>
      </c>
      <c r="P50" s="13" t="s">
        <v>41</v>
      </c>
      <c r="Q50" s="13" t="s">
        <v>53</v>
      </c>
      <c r="R50" s="14" t="s">
        <v>266</v>
      </c>
      <c r="S50" s="13" t="s">
        <v>55</v>
      </c>
      <c r="T50" s="13" t="s">
        <v>178</v>
      </c>
      <c r="U50" s="13" t="s">
        <v>179</v>
      </c>
      <c r="V50" s="13" t="s">
        <v>46</v>
      </c>
      <c r="Y50" s="13" t="s">
        <v>265</v>
      </c>
      <c r="Z50" s="13" t="s">
        <v>99</v>
      </c>
      <c r="AB50" s="13" t="s">
        <v>100</v>
      </c>
      <c r="AE50" s="13" t="s">
        <v>183</v>
      </c>
      <c r="AI50" s="13">
        <v>1</v>
      </c>
      <c r="AK50" s="13">
        <v>1</v>
      </c>
    </row>
    <row r="51" spans="1:37" ht="16" customHeight="1" x14ac:dyDescent="0.2">
      <c r="A51" s="13" t="s">
        <v>177</v>
      </c>
      <c r="C51" t="str">
        <f t="shared" si="39"/>
        <v>8</v>
      </c>
      <c r="D51" t="str">
        <f t="shared" si="40"/>
        <v>Kverkova_etal_2018</v>
      </c>
      <c r="E51" s="2" t="str">
        <f t="shared" si="41"/>
        <v>Kverkova</v>
      </c>
      <c r="F51" s="2" t="str">
        <f t="shared" si="42"/>
        <v>etal</v>
      </c>
      <c r="G51" s="2" t="str">
        <f t="shared" si="43"/>
        <v>2018</v>
      </c>
      <c r="H51" t="str">
        <f t="shared" si="44"/>
        <v>10.1038/s41598-018-26062-8</v>
      </c>
      <c r="J51" s="13" t="s">
        <v>91</v>
      </c>
      <c r="K51" s="1" t="str">
        <f t="shared" si="45"/>
        <v>Kverkova_etal_2018_TableS1</v>
      </c>
      <c r="L51" s="1" t="str">
        <f t="shared" si="46"/>
        <v>10.1038%2Fs41598-018-26062-8_TableS1</v>
      </c>
      <c r="M51" t="str">
        <f t="array" ref="M51">IFERROR(INDEX(FileList!$A$1:$A$43, MATCH(L51, _xlfn.TEXTBEFORE(FileList!$A$1:$A$43, ".tsv"), 0)), "notfound")</f>
        <v>10.1038%2Fs41598-018-26062-8_TableS1.tsv</v>
      </c>
      <c r="N51" s="13" t="s">
        <v>181</v>
      </c>
      <c r="P51" s="13" t="s">
        <v>41</v>
      </c>
      <c r="Q51" s="13" t="s">
        <v>53</v>
      </c>
      <c r="R51" s="14" t="s">
        <v>267</v>
      </c>
      <c r="S51" s="13" t="s">
        <v>55</v>
      </c>
      <c r="T51" s="13" t="s">
        <v>178</v>
      </c>
      <c r="U51" s="13" t="s">
        <v>179</v>
      </c>
      <c r="V51" s="13" t="s">
        <v>46</v>
      </c>
      <c r="W51" s="13" t="s">
        <v>58</v>
      </c>
      <c r="X51" s="13" t="s">
        <v>180</v>
      </c>
      <c r="Y51" s="13" t="s">
        <v>156</v>
      </c>
      <c r="Z51" s="13" t="s">
        <v>182</v>
      </c>
      <c r="AB51" s="13" t="s">
        <v>100</v>
      </c>
      <c r="AE51" s="13" t="s">
        <v>183</v>
      </c>
      <c r="AI51" s="13">
        <v>1</v>
      </c>
      <c r="AK51" s="13">
        <v>1</v>
      </c>
    </row>
    <row r="52" spans="1:37" ht="16" customHeight="1" x14ac:dyDescent="0.2">
      <c r="A52" s="13" t="s">
        <v>177</v>
      </c>
      <c r="C52" t="str">
        <f t="shared" si="39"/>
        <v>8</v>
      </c>
      <c r="D52" t="str">
        <f t="shared" si="40"/>
        <v>Kverkova_etal_2018</v>
      </c>
      <c r="E52" s="2" t="str">
        <f t="shared" si="41"/>
        <v>Kverkova</v>
      </c>
      <c r="F52" s="2" t="str">
        <f t="shared" si="42"/>
        <v>etal</v>
      </c>
      <c r="G52" s="2" t="str">
        <f t="shared" si="43"/>
        <v>2018</v>
      </c>
      <c r="H52" t="str">
        <f t="shared" si="44"/>
        <v>10.1038/s41598-018-26062-8</v>
      </c>
      <c r="J52" s="13" t="s">
        <v>184</v>
      </c>
      <c r="K52" s="1" t="str">
        <f t="shared" si="45"/>
        <v>Kverkova_etal_2018_TableS5</v>
      </c>
      <c r="L52" s="1" t="str">
        <f t="shared" si="46"/>
        <v>10.1038%2Fs41598-018-26062-8_TableS5</v>
      </c>
      <c r="M52" t="str">
        <f t="array" ref="M52">IFERROR(INDEX(FileList!$A$1:$A$43, MATCH(L52, _xlfn.TEXTBEFORE(FileList!$A$1:$A$43, ".tsv"), 0)), "notfound")</f>
        <v>10.1038%2Fs41598-018-26062-8_TableS5.tsv</v>
      </c>
      <c r="N52" s="13" t="s">
        <v>187</v>
      </c>
      <c r="P52" s="13" t="s">
        <v>41</v>
      </c>
      <c r="Q52" s="13" t="s">
        <v>53</v>
      </c>
      <c r="R52" s="14" t="s">
        <v>268</v>
      </c>
      <c r="S52" s="13" t="s">
        <v>55</v>
      </c>
      <c r="T52" s="13" t="s">
        <v>185</v>
      </c>
      <c r="U52" s="13" t="s">
        <v>186</v>
      </c>
      <c r="V52" s="13" t="s">
        <v>46</v>
      </c>
      <c r="W52" s="13" t="s">
        <v>58</v>
      </c>
      <c r="X52" s="13" t="s">
        <v>180</v>
      </c>
      <c r="Y52" s="13" t="s">
        <v>162</v>
      </c>
      <c r="Z52" s="13" t="s">
        <v>99</v>
      </c>
      <c r="AB52" s="13" t="s">
        <v>100</v>
      </c>
      <c r="AE52" s="13" t="s">
        <v>183</v>
      </c>
      <c r="AI52" s="13">
        <v>1</v>
      </c>
      <c r="AK52" s="13">
        <v>1</v>
      </c>
    </row>
    <row r="53" spans="1:37" ht="16" customHeight="1" x14ac:dyDescent="0.2">
      <c r="A53" s="13" t="s">
        <v>226</v>
      </c>
      <c r="C53" t="str">
        <f t="shared" si="39"/>
        <v>4</v>
      </c>
      <c r="D53" t="str">
        <f t="shared" si="40"/>
        <v>Lewitus_etal_2013</v>
      </c>
      <c r="E53" s="5" t="str">
        <f t="shared" si="41"/>
        <v>Lewitus</v>
      </c>
      <c r="F53" s="2" t="str">
        <f t="shared" si="42"/>
        <v>etal</v>
      </c>
      <c r="G53" s="5" t="str">
        <f t="shared" si="43"/>
        <v>2013</v>
      </c>
      <c r="H53" s="4" t="str">
        <f t="shared" si="44"/>
        <v>10.3389/fnhum.2013.00424</v>
      </c>
      <c r="J53" s="13" t="s">
        <v>227</v>
      </c>
      <c r="K53" s="4" t="str">
        <f t="shared" si="45"/>
        <v>Lewitus_etal_2013_TableS2partial</v>
      </c>
      <c r="L53" s="6" t="str">
        <f t="shared" si="46"/>
        <v>10.3389%2Ffnhum.2013.00424_TableS2partial</v>
      </c>
      <c r="M53" t="str">
        <f t="array" ref="M53">IFERROR(INDEX(FileList!$A$1:$A$43, MATCH(L53, _xlfn.TEXTBEFORE(FileList!$A$1:$A$43, ".tsv"), 0)), "notfound")</f>
        <v>10.3389%2Ffnhum.2013.00424_TableS2partial.tsv</v>
      </c>
      <c r="Q53" s="13" t="s">
        <v>42</v>
      </c>
      <c r="AA53" s="13" t="s">
        <v>270</v>
      </c>
      <c r="AI53" s="13">
        <v>7</v>
      </c>
      <c r="AK53" s="13">
        <v>14</v>
      </c>
    </row>
    <row r="54" spans="1:37" ht="16" customHeight="1" x14ac:dyDescent="0.2">
      <c r="A54" s="13" t="s">
        <v>223</v>
      </c>
      <c r="C54" t="str">
        <f t="shared" si="39"/>
        <v>0</v>
      </c>
      <c r="D54" t="str">
        <f t="shared" si="40"/>
        <v>Lewitus_etal_2014</v>
      </c>
      <c r="E54" s="2" t="str">
        <f t="shared" si="41"/>
        <v>Lewitus</v>
      </c>
      <c r="F54" s="2" t="str">
        <f t="shared" si="42"/>
        <v>etal</v>
      </c>
      <c r="G54" s="2" t="str">
        <f t="shared" si="43"/>
        <v>2014</v>
      </c>
      <c r="H54" t="str">
        <f t="shared" si="44"/>
        <v>10.1371/journal.pbio.1002000</v>
      </c>
      <c r="J54" s="13" t="s">
        <v>91</v>
      </c>
      <c r="K54" s="1" t="str">
        <f t="shared" si="45"/>
        <v>Lewitus_etal_2014_TableS1</v>
      </c>
      <c r="L54" s="1" t="str">
        <f t="shared" si="46"/>
        <v>10.1371%2Fjournal.pbio.1002000_TableS1</v>
      </c>
      <c r="M54" t="str">
        <f t="array" ref="M54">IFERROR(INDEX(FileList!$A$1:$A$43, MATCH(L54, _xlfn.TEXTBEFORE(FileList!$A$1:$A$43, ".tsv"), 0)), "notfound")</f>
        <v>10.1371%2Fjournal.pbio.1002000_TableS1.tsv</v>
      </c>
      <c r="N54" s="13" t="s">
        <v>269</v>
      </c>
      <c r="Q54" s="13" t="s">
        <v>42</v>
      </c>
      <c r="AA54" s="13" t="s">
        <v>270</v>
      </c>
      <c r="AI54" s="13">
        <v>9</v>
      </c>
      <c r="AK54" s="13">
        <v>20</v>
      </c>
    </row>
    <row r="55" spans="1:37" ht="16" customHeight="1" x14ac:dyDescent="0.2">
      <c r="A55" s="13" t="s">
        <v>223</v>
      </c>
      <c r="C55" t="str">
        <f t="shared" si="39"/>
        <v>0</v>
      </c>
      <c r="D55" t="str">
        <f t="shared" si="40"/>
        <v>Lewitus_etal_2014</v>
      </c>
      <c r="E55" s="2" t="str">
        <f t="shared" si="41"/>
        <v>Lewitus</v>
      </c>
      <c r="F55" s="2" t="str">
        <f t="shared" si="42"/>
        <v>etal</v>
      </c>
      <c r="G55" s="2" t="str">
        <f t="shared" si="43"/>
        <v>2014</v>
      </c>
      <c r="H55" t="str">
        <f t="shared" si="44"/>
        <v>10.1371/journal.pbio.1002000</v>
      </c>
      <c r="J55" s="13" t="s">
        <v>224</v>
      </c>
      <c r="K55" s="1" t="str">
        <f t="shared" si="45"/>
        <v>Lewitus_etal_2014_TableS8</v>
      </c>
      <c r="L55" s="1" t="str">
        <f t="shared" si="46"/>
        <v>10.1371%2Fjournal.pbio.1002000_TableS8</v>
      </c>
      <c r="M55" t="str">
        <f t="array" ref="M55">IFERROR(INDEX(FileList!$A$1:$A$43, MATCH(L55, _xlfn.TEXTBEFORE(FileList!$A$1:$A$43, ".tsv"), 0)), "notfound")</f>
        <v>10.1371%2Fjournal.pbio.1002000_TableS8.tsv</v>
      </c>
      <c r="N55" s="13" t="s">
        <v>225</v>
      </c>
      <c r="Q55" s="13" t="s">
        <v>42</v>
      </c>
      <c r="AA55" s="13" t="s">
        <v>270</v>
      </c>
      <c r="AI55" s="13">
        <v>6</v>
      </c>
      <c r="AK55" s="13">
        <v>13</v>
      </c>
    </row>
    <row r="56" spans="1:37" ht="15.75" customHeight="1" x14ac:dyDescent="0.2">
      <c r="A56" s="13" t="s">
        <v>347</v>
      </c>
      <c r="C56" t="str">
        <f t="shared" si="39"/>
        <v>5</v>
      </c>
      <c r="D56" t="str">
        <f t="shared" si="40"/>
        <v>MacLarnon__1996</v>
      </c>
      <c r="E56" s="7" t="str">
        <f t="shared" si="41"/>
        <v>MacLarnon</v>
      </c>
      <c r="F56" s="2" t="str">
        <f t="shared" si="42"/>
        <v/>
      </c>
      <c r="G56" s="7" t="str">
        <f t="shared" si="43"/>
        <v>1996</v>
      </c>
      <c r="H56" t="str">
        <f t="shared" si="44"/>
        <v>10.1006/jhev.1996.0005</v>
      </c>
      <c r="J56" s="13" t="s">
        <v>52</v>
      </c>
      <c r="K56" s="3" t="str">
        <f t="shared" si="45"/>
        <v>MacLarnon__1996_Table1</v>
      </c>
      <c r="L56" s="3" t="str">
        <f t="shared" si="46"/>
        <v>10.1006%2Fjhev.1996.0005_Table1</v>
      </c>
      <c r="M56" t="str">
        <f t="array" ref="M56">IFERROR(INDEX(FileList!$A$1:$A$43, MATCH(L56, _xlfn.TEXTBEFORE(FileList!$A$1:$A$43, ".tsv"), 0)), "notfound")</f>
        <v>notfound</v>
      </c>
      <c r="N56" s="13" t="s">
        <v>287</v>
      </c>
      <c r="P56" s="13" t="s">
        <v>125</v>
      </c>
    </row>
    <row r="57" spans="1:37" ht="15.75" customHeight="1" x14ac:dyDescent="0.2">
      <c r="A57" s="13" t="s">
        <v>188</v>
      </c>
      <c r="C57" t="str">
        <f t="shared" si="39"/>
        <v>2</v>
      </c>
      <c r="D57" t="str">
        <f t="shared" si="40"/>
        <v>ManyPrimates__2022</v>
      </c>
      <c r="E57" s="2" t="str">
        <f t="shared" si="41"/>
        <v>ManyPrimates</v>
      </c>
      <c r="F57" s="2" t="str">
        <f t="shared" si="42"/>
        <v/>
      </c>
      <c r="G57" s="2" t="str">
        <f t="shared" si="43"/>
        <v>2022</v>
      </c>
      <c r="H57" t="str">
        <f t="shared" si="44"/>
        <v>10.26451/abc.09.04.06.2022</v>
      </c>
      <c r="J57" s="13" t="s">
        <v>189</v>
      </c>
      <c r="K57" s="1" t="str">
        <f t="shared" si="45"/>
        <v>ManyPrimates__2022_data/speciespredictors.xlsx</v>
      </c>
      <c r="L57" s="1" t="str">
        <f t="shared" si="46"/>
        <v>10.26451%2Fabc.09.04.06.2022_data%2Fspeciespredictors.xlsx</v>
      </c>
      <c r="M57" t="str">
        <f t="array" ref="M57">IFERROR(INDEX(FileList!$A$1:$A$43, MATCH(L57, _xlfn.TEXTBEFORE(FileList!$A$1:$A$43, ".tsv"), 0)), "notfound")</f>
        <v>notfound</v>
      </c>
      <c r="P57" s="13" t="s">
        <v>190</v>
      </c>
      <c r="Q57" s="13" t="s">
        <v>35</v>
      </c>
      <c r="R57" s="14"/>
      <c r="T57" s="13" t="str">
        <f>IF(S57="N", R57, "write file name")</f>
        <v>write file name</v>
      </c>
      <c r="U57" s="13" t="s">
        <v>67</v>
      </c>
      <c r="V57" s="13" t="s">
        <v>46</v>
      </c>
      <c r="W57" s="13" t="s">
        <v>68</v>
      </c>
      <c r="X57" s="13" t="s">
        <v>191</v>
      </c>
      <c r="Y57" s="13" t="s">
        <v>192</v>
      </c>
      <c r="Z57" s="13" t="s">
        <v>49</v>
      </c>
      <c r="AC57" s="13" t="s">
        <v>193</v>
      </c>
      <c r="AE57" s="13" t="s">
        <v>64</v>
      </c>
    </row>
    <row r="58" spans="1:37" ht="15.75" customHeight="1" x14ac:dyDescent="0.2">
      <c r="A58" s="13" t="s">
        <v>211</v>
      </c>
      <c r="C58" t="str">
        <f t="shared" si="39"/>
        <v>1</v>
      </c>
      <c r="D58" t="str">
        <f t="shared" si="40"/>
        <v>Mota_etal_2015</v>
      </c>
      <c r="E58" s="2" t="str">
        <f t="shared" si="41"/>
        <v>Mota</v>
      </c>
      <c r="F58" s="2" t="str">
        <f t="shared" si="42"/>
        <v>etal</v>
      </c>
      <c r="G58" s="2" t="str">
        <f t="shared" si="43"/>
        <v>2015</v>
      </c>
      <c r="H58" t="str">
        <f t="shared" si="44"/>
        <v>10.1126/science.aaa9101</v>
      </c>
      <c r="J58" s="13" t="s">
        <v>91</v>
      </c>
      <c r="K58" s="1" t="str">
        <f t="shared" si="45"/>
        <v>Mota_etal_2015_TableS1</v>
      </c>
      <c r="L58" s="1" t="str">
        <f t="shared" si="46"/>
        <v>10.1126%2Fscience.aaa9101_TableS1</v>
      </c>
      <c r="M58" t="str">
        <f t="array" ref="M58">IFERROR(INDEX(FileList!$A$1:$A$43, MATCH(L58, _xlfn.TEXTBEFORE(FileList!$A$1:$A$43, ".tsv"), 0)), "notfound")</f>
        <v>10.1126%2Fscience.aaa9101_TableS1.tsv</v>
      </c>
      <c r="Q58" s="13" t="s">
        <v>42</v>
      </c>
      <c r="AI58" s="13">
        <v>10</v>
      </c>
      <c r="AK58" s="13">
        <v>15</v>
      </c>
    </row>
    <row r="59" spans="1:37" ht="15.75" customHeight="1" x14ac:dyDescent="0.2">
      <c r="A59" s="13" t="s">
        <v>344</v>
      </c>
      <c r="C59" t="str">
        <f t="shared" si="39"/>
        <v>6</v>
      </c>
      <c r="D59" t="str">
        <f t="shared" si="40"/>
        <v>Mota_etal_2019</v>
      </c>
      <c r="E59" s="7" t="str">
        <f t="shared" si="41"/>
        <v>Mota</v>
      </c>
      <c r="F59" s="2" t="str">
        <f t="shared" si="42"/>
        <v>etal</v>
      </c>
      <c r="G59" s="7" t="str">
        <f t="shared" si="43"/>
        <v>2019</v>
      </c>
      <c r="H59" t="str">
        <f t="shared" si="44"/>
        <v>10.1073/pnas.1716956116</v>
      </c>
      <c r="J59" s="13" t="s">
        <v>272</v>
      </c>
      <c r="K59" s="3" t="str">
        <f t="shared" si="45"/>
        <v>Mota_etal_2019_SupplementaryTableS1</v>
      </c>
      <c r="L59" s="3" t="str">
        <f t="shared" si="46"/>
        <v>10.1073%2Fpnas.1716956116_SupplementaryTableS1</v>
      </c>
      <c r="M59" t="str">
        <f t="array" ref="M59">IFERROR(INDEX(FileList!$A$1:$A$43, MATCH(L59, _xlfn.TEXTBEFORE(FileList!$A$1:$A$43, ".tsv"), 0)), "notfound")</f>
        <v>notfound</v>
      </c>
      <c r="N59" s="13" t="s">
        <v>271</v>
      </c>
      <c r="P59" s="13" t="s">
        <v>125</v>
      </c>
      <c r="AC59" s="13" t="s">
        <v>280</v>
      </c>
    </row>
    <row r="60" spans="1:37" ht="15.75" customHeight="1" x14ac:dyDescent="0.2">
      <c r="A60" s="13" t="s">
        <v>194</v>
      </c>
      <c r="C60" t="str">
        <f t="shared" si="39"/>
        <v>5</v>
      </c>
      <c r="D60" t="str">
        <f t="shared" si="40"/>
        <v>Powell_etal_2017</v>
      </c>
      <c r="E60" s="2" t="str">
        <f t="shared" si="41"/>
        <v>Powell</v>
      </c>
      <c r="F60" s="2" t="str">
        <f t="shared" si="42"/>
        <v>etal</v>
      </c>
      <c r="G60" s="2" t="str">
        <f t="shared" si="43"/>
        <v>2017</v>
      </c>
      <c r="H60" t="str">
        <f t="shared" si="44"/>
        <v>10.1098/rspb.2017.1765</v>
      </c>
      <c r="I60" s="13" t="s">
        <v>195</v>
      </c>
      <c r="J60" s="13" t="s">
        <v>196</v>
      </c>
      <c r="K60" s="1" t="str">
        <f t="shared" si="45"/>
        <v>Powell_etal_2017_Dataset1</v>
      </c>
      <c r="L60" s="1" t="str">
        <f t="shared" si="46"/>
        <v>10.6084%2Fm9.figshare.c.3899422.v1_Dataset1</v>
      </c>
      <c r="M60" t="str">
        <f t="array" ref="M60">IFERROR(INDEX(FileList!$A$1:$A$43, MATCH(L60, _xlfn.TEXTBEFORE(FileList!$A$1:$A$43, ".tsv"), 0)), "notfound")</f>
        <v>notfound</v>
      </c>
      <c r="P60" s="13" t="s">
        <v>125</v>
      </c>
      <c r="Q60" s="13" t="s">
        <v>35</v>
      </c>
      <c r="R60" s="14"/>
      <c r="T60" s="13" t="str">
        <f>IF(S60="N", R60, "write file name")</f>
        <v>write file name</v>
      </c>
      <c r="U60" s="13" t="s">
        <v>67</v>
      </c>
      <c r="V60" s="13" t="s">
        <v>46</v>
      </c>
      <c r="W60" s="13" t="s">
        <v>68</v>
      </c>
      <c r="X60" s="13" t="s">
        <v>197</v>
      </c>
      <c r="Y60" s="13" t="s">
        <v>198</v>
      </c>
      <c r="Z60" s="13" t="s">
        <v>49</v>
      </c>
      <c r="AC60" s="13" t="s">
        <v>48</v>
      </c>
      <c r="AE60" s="13" t="s">
        <v>64</v>
      </c>
    </row>
    <row r="61" spans="1:37" ht="15.75" customHeight="1" x14ac:dyDescent="0.2">
      <c r="A61" s="13" t="s">
        <v>199</v>
      </c>
      <c r="B61" s="13" t="s">
        <v>200</v>
      </c>
      <c r="C61" t="str">
        <f t="shared" si="39"/>
        <v>2</v>
      </c>
      <c r="D61" t="str">
        <f t="shared" si="40"/>
        <v>Sherwood_etal_2004_I</v>
      </c>
      <c r="E61" s="2" t="str">
        <f t="shared" si="41"/>
        <v>Sherwood</v>
      </c>
      <c r="F61" s="2" t="str">
        <f t="shared" si="42"/>
        <v>etal</v>
      </c>
      <c r="G61" s="2" t="str">
        <f t="shared" si="43"/>
        <v>2004</v>
      </c>
      <c r="H61" t="str">
        <f t="shared" si="44"/>
        <v>10.1159/000075672</v>
      </c>
      <c r="J61" s="13" t="s">
        <v>143</v>
      </c>
      <c r="K61" s="1" t="str">
        <f t="shared" si="45"/>
        <v>Sherwood_etal_2004_I_Table4</v>
      </c>
      <c r="L61" s="1" t="str">
        <f t="shared" si="46"/>
        <v>10.1159%2F000075672_Table4</v>
      </c>
      <c r="M61" t="str">
        <f t="array" ref="M61">IFERROR(INDEX(FileList!$A$1:$A$43, MATCH(L61, _xlfn.TEXTBEFORE(FileList!$A$1:$A$43, ".tsv"), 0)), "notfound")</f>
        <v>notfound</v>
      </c>
      <c r="N61" s="13" t="s">
        <v>202</v>
      </c>
      <c r="P61" s="13" t="s">
        <v>190</v>
      </c>
      <c r="Q61" s="13" t="s">
        <v>35</v>
      </c>
      <c r="R61" s="14"/>
      <c r="T61" s="13" t="str">
        <f>IF(S61="N", R61, "write file name")</f>
        <v>write file name</v>
      </c>
      <c r="U61" s="13" t="s">
        <v>57</v>
      </c>
      <c r="V61" s="13" t="s">
        <v>201</v>
      </c>
      <c r="Y61" s="13" t="s">
        <v>203</v>
      </c>
      <c r="Z61" s="13" t="s">
        <v>99</v>
      </c>
      <c r="AE61" s="13" t="s">
        <v>64</v>
      </c>
    </row>
    <row r="62" spans="1:37" ht="15.75" customHeight="1" x14ac:dyDescent="0.2">
      <c r="A62" s="13" t="s">
        <v>199</v>
      </c>
      <c r="B62" s="13" t="s">
        <v>200</v>
      </c>
      <c r="C62" t="str">
        <f t="shared" si="39"/>
        <v>2</v>
      </c>
      <c r="D62" t="str">
        <f t="shared" si="40"/>
        <v>Sherwood_etal_2004_I</v>
      </c>
      <c r="E62" s="2" t="str">
        <f t="shared" si="41"/>
        <v>Sherwood</v>
      </c>
      <c r="F62" s="2" t="str">
        <f t="shared" si="42"/>
        <v>etal</v>
      </c>
      <c r="G62" s="2" t="str">
        <f t="shared" si="43"/>
        <v>2004</v>
      </c>
      <c r="H62" t="str">
        <f t="shared" si="44"/>
        <v>10.1159/000075672</v>
      </c>
      <c r="J62" s="13" t="s">
        <v>147</v>
      </c>
      <c r="K62" s="1" t="str">
        <f t="shared" si="45"/>
        <v>Sherwood_etal_2004_I_Table5</v>
      </c>
      <c r="L62" s="1" t="str">
        <f t="shared" si="46"/>
        <v>10.1159%2F000075672_Table5</v>
      </c>
      <c r="M62" t="str">
        <f t="array" ref="M62">IFERROR(INDEX(FileList!$A$1:$A$43, MATCH(L62, _xlfn.TEXTBEFORE(FileList!$A$1:$A$43, ".tsv"), 0)), "notfound")</f>
        <v>notfound</v>
      </c>
      <c r="N62" s="13" t="s">
        <v>204</v>
      </c>
      <c r="P62" s="13" t="s">
        <v>190</v>
      </c>
      <c r="Q62" s="13" t="s">
        <v>35</v>
      </c>
      <c r="R62" s="14"/>
      <c r="T62" s="13" t="str">
        <f>IF(S62="N", R62, "write file name")</f>
        <v>write file name</v>
      </c>
      <c r="U62" s="13" t="s">
        <v>57</v>
      </c>
      <c r="V62" s="13" t="s">
        <v>201</v>
      </c>
      <c r="Y62" s="13" t="s">
        <v>203</v>
      </c>
      <c r="Z62" s="13" t="s">
        <v>99</v>
      </c>
      <c r="AE62" s="13" t="s">
        <v>64</v>
      </c>
    </row>
    <row r="63" spans="1:37" ht="15.75" customHeight="1" x14ac:dyDescent="0.2">
      <c r="A63" s="13" t="s">
        <v>228</v>
      </c>
      <c r="C63" t="str">
        <f t="shared" si="39"/>
        <v>1</v>
      </c>
      <c r="D63" t="str">
        <f t="shared" si="40"/>
        <v>Smaers_etal_2011</v>
      </c>
      <c r="E63" s="7" t="str">
        <f t="shared" si="41"/>
        <v>Smaers</v>
      </c>
      <c r="F63" s="2" t="str">
        <f t="shared" si="42"/>
        <v>etal</v>
      </c>
      <c r="G63" s="7" t="str">
        <f t="shared" si="43"/>
        <v>2011</v>
      </c>
      <c r="H63" t="str">
        <f t="shared" si="44"/>
        <v>10.1159/000323671</v>
      </c>
      <c r="J63" s="13" t="s">
        <v>229</v>
      </c>
      <c r="K63" s="3" t="str">
        <f t="shared" si="45"/>
        <v>Smaers_etal_2011_SupplementaryTable1</v>
      </c>
      <c r="L63" s="3" t="str">
        <f t="shared" si="46"/>
        <v>10.1159%2F000323671_SupplementaryTable1</v>
      </c>
      <c r="M63" t="str">
        <f t="array" ref="M63">IFERROR(INDEX(FileList!$A$1:$A$43, MATCH(L63, _xlfn.TEXTBEFORE(FileList!$A$1:$A$43, ".tsv"), 0)), "notfound")</f>
        <v>10.1159%2F000323671_SupplementaryTable1.tsv</v>
      </c>
      <c r="Q63" s="13" t="s">
        <v>42</v>
      </c>
      <c r="AI63" s="13" t="s">
        <v>230</v>
      </c>
    </row>
    <row r="64" spans="1:37" ht="15.75" customHeight="1" x14ac:dyDescent="0.2">
      <c r="A64" s="13" t="s">
        <v>228</v>
      </c>
      <c r="C64" t="str">
        <f t="shared" si="39"/>
        <v>1</v>
      </c>
      <c r="D64" t="str">
        <f t="shared" si="40"/>
        <v>Smaers_etal_2011</v>
      </c>
      <c r="E64" s="7" t="str">
        <f t="shared" si="41"/>
        <v>Smaers</v>
      </c>
      <c r="F64" s="2" t="str">
        <f t="shared" si="42"/>
        <v>etal</v>
      </c>
      <c r="G64" s="7" t="str">
        <f t="shared" si="43"/>
        <v>2011</v>
      </c>
      <c r="H64" t="str">
        <f t="shared" si="44"/>
        <v>10.1159/000323671</v>
      </c>
      <c r="J64" s="13" t="s">
        <v>231</v>
      </c>
      <c r="K64" s="3" t="str">
        <f t="shared" si="45"/>
        <v>Smaers_etal_2011_SupplementaryTable2</v>
      </c>
      <c r="L64" s="3" t="str">
        <f t="shared" si="46"/>
        <v>10.1159%2F000323671_SupplementaryTable2</v>
      </c>
      <c r="M64" t="str">
        <f t="array" ref="M64">IFERROR(INDEX(FileList!$A$1:$A$43, MATCH(L64, _xlfn.TEXTBEFORE(FileList!$A$1:$A$43, ".tsv"), 0)), "notfound")</f>
        <v>10.1159%2F000323671_SupplementaryTable2.tsv</v>
      </c>
      <c r="Q64" s="13" t="s">
        <v>42</v>
      </c>
      <c r="AI64" s="13" t="s">
        <v>230</v>
      </c>
    </row>
    <row r="65" spans="1:31" ht="15.75" customHeight="1" x14ac:dyDescent="0.2">
      <c r="A65" s="13" t="s">
        <v>364</v>
      </c>
      <c r="C65" t="str">
        <f t="shared" si="39"/>
        <v>2</v>
      </c>
      <c r="D65" t="str">
        <f t="shared" si="40"/>
        <v>Turner_etal_2016</v>
      </c>
      <c r="E65" s="7" t="str">
        <f t="shared" si="41"/>
        <v>Turner</v>
      </c>
      <c r="F65" s="2" t="str">
        <f t="shared" si="42"/>
        <v>etal</v>
      </c>
      <c r="G65" s="7" t="str">
        <f t="shared" si="43"/>
        <v>2016</v>
      </c>
      <c r="H65" t="str">
        <f t="shared" si="44"/>
        <v>10.1159/000446762</v>
      </c>
      <c r="J65" s="13" t="s">
        <v>52</v>
      </c>
      <c r="K65" s="3" t="str">
        <f t="shared" si="45"/>
        <v>Turner_etal_2016_Table1</v>
      </c>
      <c r="L65" s="3" t="str">
        <f t="shared" si="46"/>
        <v>10.1159%2F000446762_Table1</v>
      </c>
      <c r="M65" t="str">
        <f t="array" ref="M65">IFERROR(INDEX(FileList!$A$1:$A$43, MATCH(L65, _xlfn.TEXTBEFORE(FileList!$A$1:$A$43, ".tsv"), 0)), "notfound")</f>
        <v>notfound</v>
      </c>
      <c r="N65" s="13" t="s">
        <v>362</v>
      </c>
      <c r="Y65" s="13" t="s">
        <v>363</v>
      </c>
    </row>
    <row r="66" spans="1:31" ht="15.75" customHeight="1" x14ac:dyDescent="0.2">
      <c r="A66" s="13" t="s">
        <v>350</v>
      </c>
      <c r="C66" t="str">
        <f t="shared" si="39"/>
        <v>1</v>
      </c>
      <c r="D66" t="str">
        <f t="shared" si="40"/>
        <v>Wilman_etal_2014</v>
      </c>
      <c r="E66" s="7" t="str">
        <f t="shared" si="41"/>
        <v>Wilman</v>
      </c>
      <c r="F66" s="2" t="str">
        <f t="shared" si="42"/>
        <v>etal</v>
      </c>
      <c r="G66" s="7" t="str">
        <f t="shared" si="43"/>
        <v>2014</v>
      </c>
      <c r="H66" t="str">
        <f t="shared" si="44"/>
        <v>10.1890/13-1917.1</v>
      </c>
      <c r="J66" s="13" t="s">
        <v>338</v>
      </c>
      <c r="K66" s="3" t="str">
        <f t="shared" si="45"/>
        <v>Wilman_etal_2014_MamFuncDat.txt</v>
      </c>
      <c r="L66" s="3" t="str">
        <f t="shared" si="46"/>
        <v>10.1890%2F13-1917.1_MamFuncDat.txt</v>
      </c>
      <c r="M66" t="str">
        <f t="array" ref="M66">IFERROR(INDEX(FileList!$A$1:$A$43, MATCH(L66, _xlfn.TEXTBEFORE(FileList!$A$1:$A$43, ".tsv"), 0)), "notfound")</f>
        <v>notfound</v>
      </c>
    </row>
    <row r="67" spans="1:31" ht="15.75" customHeight="1" x14ac:dyDescent="0.2">
      <c r="A67" s="13" t="s">
        <v>348</v>
      </c>
      <c r="C67" t="str">
        <f t="shared" si="39"/>
        <v>7</v>
      </c>
      <c r="D67" t="str">
        <f t="shared" si="40"/>
        <v>Wimberly_etal_2021</v>
      </c>
      <c r="E67" s="7" t="str">
        <f t="shared" si="41"/>
        <v>Wimberly</v>
      </c>
      <c r="F67" s="2" t="str">
        <f t="shared" si="42"/>
        <v>etal</v>
      </c>
      <c r="G67" s="7" t="str">
        <f t="shared" si="43"/>
        <v>2021</v>
      </c>
      <c r="H67" t="str">
        <f t="shared" si="44"/>
        <v>10.1098/rspb.2021.0937</v>
      </c>
      <c r="J67" s="13" t="s">
        <v>337</v>
      </c>
      <c r="K67" s="3" t="str">
        <f t="shared" si="45"/>
        <v>Wimberly_etal_2021_mammalgait.txt</v>
      </c>
      <c r="L67" s="3" t="str">
        <f t="shared" si="46"/>
        <v>10.1098%2Frspb.2021.0937_mammalgait.txt</v>
      </c>
      <c r="M67" t="str">
        <f t="array" ref="M67">IFERROR(INDEX(FileList!$A$1:$A$43, MATCH(L67, _xlfn.TEXTBEFORE(FileList!$A$1:$A$43, ".tsv"), 0)), "notfound")</f>
        <v>notfound</v>
      </c>
      <c r="P67" s="13" t="s">
        <v>125</v>
      </c>
    </row>
    <row r="68" spans="1:31" x14ac:dyDescent="0.2">
      <c r="A68" s="13" t="s">
        <v>205</v>
      </c>
      <c r="C68" t="str">
        <f t="shared" si="39"/>
        <v>5</v>
      </c>
      <c r="D68" t="str">
        <f t="shared" si="40"/>
        <v>Winkler_Bryant_2021</v>
      </c>
      <c r="E68" s="2" t="str">
        <f t="shared" si="41"/>
        <v>Winkler</v>
      </c>
      <c r="F68" s="2" t="str">
        <f t="shared" si="42"/>
        <v>Bryant</v>
      </c>
      <c r="G68" s="2" t="str">
        <f t="shared" si="43"/>
        <v>2021</v>
      </c>
      <c r="H68" t="str">
        <f t="shared" si="44"/>
        <v>10.1080/09524622.2021.1905065</v>
      </c>
      <c r="J68" s="13" t="s">
        <v>206</v>
      </c>
      <c r="K68" s="1" t="str">
        <f t="shared" si="45"/>
        <v>Winkler_Bryant_2021_Figure1</v>
      </c>
      <c r="L68" s="1" t="str">
        <f t="shared" si="46"/>
        <v>10.1080%2F09524622.2021.1905065_Figure1</v>
      </c>
      <c r="M68" t="str">
        <f t="array" ref="M68">IFERROR(INDEX(FileList!$A$1:$A$43, MATCH(L68, _xlfn.TEXTBEFORE(FileList!$A$1:$A$43, ".tsv"), 0)), "notfound")</f>
        <v>notfound</v>
      </c>
      <c r="P68" s="13" t="s">
        <v>125</v>
      </c>
      <c r="Q68" s="13" t="s">
        <v>35</v>
      </c>
      <c r="R68" s="14"/>
      <c r="T68" s="13" t="str">
        <f>IF(S68="N", R68, "write file name")</f>
        <v>write file name</v>
      </c>
      <c r="U68" s="13" t="s">
        <v>57</v>
      </c>
      <c r="V68" s="13" t="s">
        <v>207</v>
      </c>
      <c r="Y68" s="13" t="s">
        <v>208</v>
      </c>
      <c r="AE68" s="13" t="s">
        <v>37</v>
      </c>
    </row>
    <row r="69" spans="1:31" x14ac:dyDescent="0.2">
      <c r="A69" s="13" t="s">
        <v>209</v>
      </c>
      <c r="C69" t="str">
        <f t="shared" si="39"/>
        <v>0</v>
      </c>
      <c r="D69" t="str">
        <f t="shared" si="40"/>
        <v>Young_etal_2013</v>
      </c>
      <c r="E69" s="2" t="str">
        <f t="shared" si="41"/>
        <v>Young</v>
      </c>
      <c r="F69" s="2" t="str">
        <f t="shared" si="42"/>
        <v>etal</v>
      </c>
      <c r="G69" s="2" t="str">
        <f t="shared" si="43"/>
        <v>2013</v>
      </c>
      <c r="H69" t="str">
        <f t="shared" si="44"/>
        <v>10.3389/fncir.2013.00030</v>
      </c>
      <c r="J69" s="13" t="s">
        <v>52</v>
      </c>
      <c r="K69" s="1" t="str">
        <f t="shared" si="45"/>
        <v>Young_etal_2013_Table1</v>
      </c>
      <c r="L69" s="1" t="str">
        <f t="shared" si="46"/>
        <v>10.3389%2Ffncir.2013.00030_Table1</v>
      </c>
      <c r="M69" t="str">
        <f t="array" ref="M69">IFERROR(INDEX(FileList!$A$1:$A$43, MATCH(L69, _xlfn.TEXTBEFORE(FileList!$A$1:$A$43, ".tsv"), 0)), "notfound")</f>
        <v>notfound</v>
      </c>
      <c r="P69" s="13" t="s">
        <v>190</v>
      </c>
      <c r="Q69" s="13" t="s">
        <v>35</v>
      </c>
      <c r="R69" s="14"/>
      <c r="T69" s="13" t="str">
        <f>IF(S69="N", R69, "write file name")</f>
        <v>write file name</v>
      </c>
      <c r="U69" s="13" t="s">
        <v>113</v>
      </c>
      <c r="V69" s="13" t="s">
        <v>46</v>
      </c>
      <c r="Y69" s="13" t="s">
        <v>210</v>
      </c>
      <c r="AE69" s="13" t="s">
        <v>64</v>
      </c>
    </row>
  </sheetData>
  <sortState xmlns:xlrd2="http://schemas.microsoft.com/office/spreadsheetml/2017/richdata2" ref="A4:AK69">
    <sortCondition ref="K4:K69"/>
  </sortState>
  <hyperlinks>
    <hyperlink ref="X9" r:id="rId1" display="https://elifesciences.org/download/aHR0cHM6Ly9jZG4uZWxpZmVzY2llbmNlcy5vcmcvYXJ0aWNsZXMvNzc4NzUvZWxpZmUtNzc4NzUtdjEucGRmP2Nhbm9uaWNhbFVyaT1odHRwczovL2VsaWZlc2NpZW5jZXMub3JnL2FydGljbGVzLzc3ODc1/elife-77875-v1.pdf?_hash=NStjcL9fTlmy3AQDwSiM0YgMVB3UYjO8nDg0UbwN5gM%3D" xr:uid="{00000000-0004-0000-0000-000000000000}"/>
    <hyperlink ref="X8" r:id="rId2" xr:uid="{00000000-0004-0000-0000-000001000000}"/>
    <hyperlink ref="X11" r:id="rId3" xr:uid="{00000000-0004-0000-0000-000002000000}"/>
    <hyperlink ref="X13" r:id="rId4" xr:uid="{00000000-0004-0000-0000-000003000000}"/>
    <hyperlink ref="X18" r:id="rId5" xr:uid="{00000000-0004-0000-0000-000004000000}"/>
    <hyperlink ref="X57" r:id="rId6" xr:uid="{00000000-0004-0000-0000-000005000000}"/>
    <hyperlink ref="X60" r:id="rId7" xr:uid="{00000000-0004-0000-0000-000006000000}"/>
    <hyperlink ref="X30" r:id="rId8" xr:uid="{00000000-0004-0000-0000-000007000000}"/>
    <hyperlink ref="X23:X26" r:id="rId9" display="https://karger.com/bbe/article-pdf/86/3-4/145/2264694/000437413.pdf" xr:uid="{00000000-0004-0000-0000-000008000000}"/>
    <hyperlink ref="X52" r:id="rId10" xr:uid="{00000000-0004-0000-0000-000009000000}"/>
    <hyperlink ref="X51" r:id="rId11" xr:uid="{00000000-0004-0000-0000-00000A000000}"/>
    <hyperlink ref="X49" r:id="rId12" xr:uid="{00000000-0004-0000-0000-00000B000000}"/>
    <hyperlink ref="X20" r:id="rId13" xr:uid="{C1F957F4-0EDC-0E49-A387-57F382261715}"/>
    <hyperlink ref="X21" r:id="rId14" xr:uid="{9C2C9343-3842-7E45-A05C-5DD83A0C30F9}"/>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3"/>
  <sheetViews>
    <sheetView workbookViewId="0">
      <selection activeCell="B8" sqref="B8"/>
    </sheetView>
  </sheetViews>
  <sheetFormatPr baseColWidth="10" defaultRowHeight="16" x14ac:dyDescent="0.2"/>
  <cols>
    <col min="1" max="1" width="26.1640625" customWidth="1"/>
  </cols>
  <sheetData>
    <row r="1" spans="1:2" x14ac:dyDescent="0.2">
      <c r="A1" t="s">
        <v>232</v>
      </c>
    </row>
    <row r="2" spans="1:2" x14ac:dyDescent="0.2">
      <c r="A2" t="s">
        <v>233</v>
      </c>
    </row>
    <row r="3" spans="1:2" x14ac:dyDescent="0.2">
      <c r="A3" s="10" t="s">
        <v>234</v>
      </c>
      <c r="B3" t="s">
        <v>235</v>
      </c>
    </row>
    <row r="4" spans="1:2" x14ac:dyDescent="0.2">
      <c r="A4" s="10" t="s">
        <v>236</v>
      </c>
      <c r="B4" t="s">
        <v>237</v>
      </c>
    </row>
    <row r="5" spans="1:2" x14ac:dyDescent="0.2">
      <c r="A5" s="10" t="s">
        <v>238</v>
      </c>
      <c r="B5" t="s">
        <v>239</v>
      </c>
    </row>
    <row r="6" spans="1:2" x14ac:dyDescent="0.2">
      <c r="A6" s="10" t="s">
        <v>240</v>
      </c>
      <c r="B6" t="s">
        <v>241</v>
      </c>
    </row>
    <row r="7" spans="1:2" x14ac:dyDescent="0.2">
      <c r="A7" s="10" t="s">
        <v>242</v>
      </c>
      <c r="B7" t="s">
        <v>289</v>
      </c>
    </row>
    <row r="8" spans="1:2" x14ac:dyDescent="0.2">
      <c r="A8" s="10" t="s">
        <v>243</v>
      </c>
      <c r="B8" t="s">
        <v>244</v>
      </c>
    </row>
    <row r="9" spans="1:2" x14ac:dyDescent="0.2">
      <c r="A9" s="10" t="s">
        <v>245</v>
      </c>
      <c r="B9" t="s">
        <v>263</v>
      </c>
    </row>
    <row r="10" spans="1:2" x14ac:dyDescent="0.2">
      <c r="A10" s="10" t="s">
        <v>246</v>
      </c>
      <c r="B10" t="s">
        <v>247</v>
      </c>
    </row>
    <row r="11" spans="1:2" x14ac:dyDescent="0.2">
      <c r="A11" s="10" t="s">
        <v>248</v>
      </c>
      <c r="B11" t="s">
        <v>249</v>
      </c>
    </row>
    <row r="12" spans="1:2" ht="17" customHeight="1" x14ac:dyDescent="0.2">
      <c r="A12" s="11" t="s">
        <v>250</v>
      </c>
      <c r="B12" t="s">
        <v>251</v>
      </c>
    </row>
    <row r="13" spans="1:2" x14ac:dyDescent="0.2">
      <c r="A13" s="12" t="s">
        <v>252</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
  <sheetViews>
    <sheetView workbookViewId="0">
      <selection activeCell="G35" sqref="G35"/>
    </sheetView>
  </sheetViews>
  <sheetFormatPr baseColWidth="10" defaultRowHeight="16" x14ac:dyDescent="0.2"/>
  <cols>
    <col min="1" max="1" width="1.83203125" customWidth="1"/>
    <col min="2" max="2" width="126" customWidth="1"/>
  </cols>
  <sheetData>
    <row r="1" spans="1:3" x14ac:dyDescent="0.2">
      <c r="A1" t="s">
        <v>253</v>
      </c>
    </row>
    <row r="2" spans="1:3" x14ac:dyDescent="0.2">
      <c r="C2" t="s">
        <v>254</v>
      </c>
    </row>
    <row r="3" spans="1:3" x14ac:dyDescent="0.2">
      <c r="A3">
        <v>1</v>
      </c>
      <c r="B3" t="s">
        <v>255</v>
      </c>
      <c r="C3" t="s">
        <v>256</v>
      </c>
    </row>
    <row r="4" spans="1:3" x14ac:dyDescent="0.2">
      <c r="A4">
        <v>2</v>
      </c>
      <c r="B4" t="s">
        <v>257</v>
      </c>
      <c r="C4" t="s">
        <v>258</v>
      </c>
    </row>
    <row r="5" spans="1:3" x14ac:dyDescent="0.2">
      <c r="A5">
        <v>3</v>
      </c>
      <c r="B5" t="s">
        <v>259</v>
      </c>
      <c r="C5" t="s">
        <v>260</v>
      </c>
    </row>
    <row r="6" spans="1:3" x14ac:dyDescent="0.2">
      <c r="A6">
        <v>4</v>
      </c>
      <c r="B6" t="s">
        <v>261</v>
      </c>
      <c r="C6" t="s">
        <v>262</v>
      </c>
    </row>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46"/>
  <sheetViews>
    <sheetView workbookViewId="0"/>
  </sheetViews>
  <sheetFormatPr baseColWidth="10" defaultRowHeight="16" x14ac:dyDescent="0.2"/>
  <sheetData>
    <row r="1" spans="1:1" x14ac:dyDescent="0.2">
      <c r="A1" t="s">
        <v>290</v>
      </c>
    </row>
    <row r="2" spans="1:1" x14ac:dyDescent="0.2">
      <c r="A2" t="s">
        <v>291</v>
      </c>
    </row>
    <row r="3" spans="1:1" x14ac:dyDescent="0.2">
      <c r="A3" t="s">
        <v>292</v>
      </c>
    </row>
    <row r="4" spans="1:1" x14ac:dyDescent="0.2">
      <c r="A4" t="s">
        <v>293</v>
      </c>
    </row>
    <row r="5" spans="1:1" x14ac:dyDescent="0.2">
      <c r="A5" t="s">
        <v>294</v>
      </c>
    </row>
    <row r="6" spans="1:1" x14ac:dyDescent="0.2">
      <c r="A6" t="s">
        <v>295</v>
      </c>
    </row>
    <row r="7" spans="1:1" x14ac:dyDescent="0.2">
      <c r="A7" t="s">
        <v>296</v>
      </c>
    </row>
    <row r="8" spans="1:1" x14ac:dyDescent="0.2">
      <c r="A8" t="s">
        <v>297</v>
      </c>
    </row>
    <row r="9" spans="1:1" x14ac:dyDescent="0.2">
      <c r="A9" t="s">
        <v>298</v>
      </c>
    </row>
    <row r="10" spans="1:1" x14ac:dyDescent="0.2">
      <c r="A10" t="s">
        <v>299</v>
      </c>
    </row>
    <row r="11" spans="1:1" x14ac:dyDescent="0.2">
      <c r="A11" t="s">
        <v>300</v>
      </c>
    </row>
    <row r="12" spans="1:1" x14ac:dyDescent="0.2">
      <c r="A12" t="s">
        <v>301</v>
      </c>
    </row>
    <row r="13" spans="1:1" x14ac:dyDescent="0.2">
      <c r="A13" t="s">
        <v>302</v>
      </c>
    </row>
    <row r="14" spans="1:1" x14ac:dyDescent="0.2">
      <c r="A14" t="s">
        <v>303</v>
      </c>
    </row>
    <row r="15" spans="1:1" x14ac:dyDescent="0.2">
      <c r="A15" t="s">
        <v>304</v>
      </c>
    </row>
    <row r="16" spans="1:1" x14ac:dyDescent="0.2">
      <c r="A16" t="s">
        <v>305</v>
      </c>
    </row>
    <row r="17" spans="1:1" x14ac:dyDescent="0.2">
      <c r="A17" t="s">
        <v>306</v>
      </c>
    </row>
    <row r="18" spans="1:1" x14ac:dyDescent="0.2">
      <c r="A18" t="s">
        <v>307</v>
      </c>
    </row>
    <row r="19" spans="1:1" x14ac:dyDescent="0.2">
      <c r="A19" t="s">
        <v>308</v>
      </c>
    </row>
    <row r="20" spans="1:1" x14ac:dyDescent="0.2">
      <c r="A20" t="s">
        <v>309</v>
      </c>
    </row>
    <row r="21" spans="1:1" x14ac:dyDescent="0.2">
      <c r="A21" t="s">
        <v>310</v>
      </c>
    </row>
    <row r="22" spans="1:1" x14ac:dyDescent="0.2">
      <c r="A22" t="s">
        <v>311</v>
      </c>
    </row>
    <row r="23" spans="1:1" x14ac:dyDescent="0.2">
      <c r="A23" t="s">
        <v>312</v>
      </c>
    </row>
    <row r="24" spans="1:1" x14ac:dyDescent="0.2">
      <c r="A24" t="s">
        <v>313</v>
      </c>
    </row>
    <row r="25" spans="1:1" x14ac:dyDescent="0.2">
      <c r="A25" t="s">
        <v>314</v>
      </c>
    </row>
    <row r="26" spans="1:1" x14ac:dyDescent="0.2">
      <c r="A26" t="s">
        <v>315</v>
      </c>
    </row>
    <row r="27" spans="1:1" x14ac:dyDescent="0.2">
      <c r="A27" t="s">
        <v>316</v>
      </c>
    </row>
    <row r="28" spans="1:1" x14ac:dyDescent="0.2">
      <c r="A28" t="s">
        <v>317</v>
      </c>
    </row>
    <row r="29" spans="1:1" x14ac:dyDescent="0.2">
      <c r="A29" t="s">
        <v>318</v>
      </c>
    </row>
    <row r="30" spans="1:1" x14ac:dyDescent="0.2">
      <c r="A30" t="s">
        <v>319</v>
      </c>
    </row>
    <row r="31" spans="1:1" x14ac:dyDescent="0.2">
      <c r="A31" t="s">
        <v>320</v>
      </c>
    </row>
    <row r="32" spans="1:1" x14ac:dyDescent="0.2">
      <c r="A32" t="s">
        <v>321</v>
      </c>
    </row>
    <row r="33" spans="1:1" x14ac:dyDescent="0.2">
      <c r="A33" t="s">
        <v>322</v>
      </c>
    </row>
    <row r="34" spans="1:1" x14ac:dyDescent="0.2">
      <c r="A34" t="s">
        <v>323</v>
      </c>
    </row>
    <row r="35" spans="1:1" x14ac:dyDescent="0.2">
      <c r="A35" t="s">
        <v>324</v>
      </c>
    </row>
    <row r="36" spans="1:1" x14ac:dyDescent="0.2">
      <c r="A36" t="s">
        <v>325</v>
      </c>
    </row>
    <row r="37" spans="1:1" x14ac:dyDescent="0.2">
      <c r="A37" t="s">
        <v>326</v>
      </c>
    </row>
    <row r="38" spans="1:1" x14ac:dyDescent="0.2">
      <c r="A38" t="s">
        <v>327</v>
      </c>
    </row>
    <row r="39" spans="1:1" x14ac:dyDescent="0.2">
      <c r="A39" t="s">
        <v>328</v>
      </c>
    </row>
    <row r="40" spans="1:1" x14ac:dyDescent="0.2">
      <c r="A40" t="s">
        <v>329</v>
      </c>
    </row>
    <row r="41" spans="1:1" x14ac:dyDescent="0.2">
      <c r="A41" t="s">
        <v>330</v>
      </c>
    </row>
    <row r="42" spans="1:1" x14ac:dyDescent="0.2">
      <c r="A42" t="s">
        <v>331</v>
      </c>
    </row>
    <row r="43" spans="1:1" x14ac:dyDescent="0.2">
      <c r="A43" t="s">
        <v>332</v>
      </c>
    </row>
    <row r="44" spans="1:1" x14ac:dyDescent="0.2">
      <c r="A44" t="s">
        <v>333</v>
      </c>
    </row>
    <row r="45" spans="1:1" x14ac:dyDescent="0.2">
      <c r="A45" t="s">
        <v>334</v>
      </c>
    </row>
    <row r="46" spans="1:1" x14ac:dyDescent="0.2">
      <c r="A46" t="s">
        <v>335</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ca9bcfe5a103c514723d0bd46d8b738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6b0efe988aa2f142173325409561b0e5"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5E6C6718-1083-4BA4-895F-4D544A70F5E5}">
  <ds:schemaRefs>
    <ds:schemaRef ds:uri="http://schemas.microsoft.com/sharepoint/v3/contenttype/forms"/>
  </ds:schemaRefs>
</ds:datastoreItem>
</file>

<file path=customXml/itemProps2.xml><?xml version="1.0" encoding="utf-8"?>
<ds:datastoreItem xmlns:ds="http://schemas.openxmlformats.org/officeDocument/2006/customXml" ds:itemID="{196EEE13-1E58-4887-9EDC-D5AC20223AD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D7313F8-A05E-4214-AA83-B148B6D9FF29}">
  <ds:schemaRefs>
    <ds:schemaRef ds:uri="http://schemas.microsoft.com/office/2006/metadata/properties"/>
    <ds:schemaRef ds:uri="http://schemas.microsoft.com/office/2006/documentManagement/types"/>
    <ds:schemaRef ds:uri="http://purl.org/dc/dcmitype/"/>
    <ds:schemaRef ds:uri="http://purl.org/dc/elements/1.1/"/>
    <ds:schemaRef ds:uri="http://schemas.openxmlformats.org/package/2006/metadata/core-properties"/>
    <ds:schemaRef ds:uri="3bad6c6a-329d-45e9-b8b0-1ebecc8a8764"/>
    <ds:schemaRef ds:uri="http://purl.org/dc/terms/"/>
    <ds:schemaRef ds:uri="http://schemas.microsoft.com/office/infopath/2007/PartnerControls"/>
    <ds:schemaRef ds:uri="8e1efd23-f4ba-42d2-85fd-6a510437bae6"/>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Pipeline</vt:lpstr>
      <vt:lpstr>Conflicts</vt:lpstr>
      <vt:lpstr>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2026-01-17T02:26:04Z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