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560" yWindow="-580" windowWidth="51200" windowHeight="1996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<sst xmlns="http://schemas.openxmlformats.org/spreadsheetml/2006/main" count="906" uniqueCount="906">
  <si>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</si>
  <si>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</si>
  <si>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</si>
  <si>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</si>
  <si>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</si>
  <si>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</si>
  <si>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</si>
  <si>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</si>
  <si>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</si>
  <si>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</si>
  <si>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</si>
  <si>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</si>
  <si>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</si>
  <si>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</si>
  <si>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</si>
  <si>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</si>
  <si>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</si>
  <si>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</si>
  <si>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</si>
  <si>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</si>
  <si>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</si>
  <si>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</si>
  <si>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</si>
  <si>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</si>
  <si>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</si>
  <si>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</si>
  <si>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</si>
  <si>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</si>
  <si>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</si>
  <si>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</si>
  <si>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</si>
  <si>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</si>
  <si>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</si>
  <si>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</si>
  <si>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</si>
  <si>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</si>
  <si>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</si>
  <si>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</si>
  <si>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</si>
  <si>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</si>
  <si>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</si>
  <si>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</si>
  <si>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</si>
  <si>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</si>
  <si>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</si>
  <si>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</si>
  <si>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</si>
  <si>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</si>
  <si>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</si>
  <si>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</si>
  <si>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</si>
  <si>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</si>
  <si>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</si>
  <si>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</si>
  <si>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</si>
  <si>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</si>
  <si>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</si>
  <si>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</si>
  <si>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</si>
  <si>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</si>
  <si>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</si>
  <si>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</si>
  <si>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</si>
  <si>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</si>
  <si>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</si>
  <si>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</si>
  <si>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</si>
  <si>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</si>
  <si>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</si>
  <si>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</si>
  <si>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</si>
  <si>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</si>
  <si>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</si>
  <si>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</si>
  <si>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</si>
  <si>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</si>
  <si>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</si>
  <si>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</si>
  <si>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</si>
  <si>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</si>
  <si>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</si>
  <si>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</si>
  <si>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</si>
  <si>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</si>
  <si>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</si>
  <si>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</si>
  <si>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</si>
  <si>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</si>
  <si>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</si>
  <si>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</si>
  <si>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</si>
  <si>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</si>
  <si>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</si>
  <si>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</si>
  <si>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</si>
  <si>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</si>
  <si>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</si>
  <si>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</si>
  <si>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</si>
  <si>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</si>
  <si>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</si>
  <si>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</si>
  <si>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</si>
  <si>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</si>
  <si>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</si>
  <si>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</si>
  <si>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</si>
  <si>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</si>
  <si>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</si>
  <si>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</si>
  <si>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</si>
  <si>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</si>
  <si>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</si>
  <si>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</si>
  <si>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</si>
  <si>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</si>
  <si>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</si>
  <si>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</si>
  <si>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</si>
  <si>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</si>
  <si>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</si>
  <si>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</si>
  <si>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</si>
  <si>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</si>
  <si>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</si>
  <si>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</si>
  <si>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</si>
  <si>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</si>
  <si>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</si>
  <si>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</si>
  <si>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</si>
  <si>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</si>
  <si>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</si>
  <si>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</si>
  <si>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</si>
  <si>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</si>
  <si>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</si>
  <si>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</si>
  <si>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</si>
  <si>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</si>
  <si>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</si>
  <si>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</si>
  <si>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</si>
  <si>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</si>
  <si>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</si>
  <si>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</si>
  <si>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</si>
  <si>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</si>
  <si>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</si>
  <si>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</si>
  <si>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</si>
  <si>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</si>
  <si>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</si>
  <si>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</si>
  <si>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</si>
  <si>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</si>
  <si>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</si>
  <si>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</si>
  <si>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</si>
  <si>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</si>
  <si>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</si>
  <si>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</si>
  <si>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</si>
  <si>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</si>
  <si>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</si>
  <si>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</si>
  <si>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</si>
  <si>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</si>
  <si>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</si>
  <si>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</si>
  <si>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</si>
  <si>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</si>
  <si>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</si>
  <si>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</si>
  <si>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</si>
  <si>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</si>
  <si>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</si>
  <si>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</si>
  <si>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</si>
  <si>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</si>
  <si>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</si>
  <si>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</si>
  <si>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</si>
  <si>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</si>
  <si>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</si>
  <si>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</si>
  <si>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</si>
  <si>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</si>
  <si>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</si>
  <si>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</si>
  <si>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</si>
  <si>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</si>
  <si>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</si>
  <si>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</si>
  <si>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</si>
  <si>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</si>
  <si>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</si>
  <si>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</si>
  <si>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</si>
  <si>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</si>
  <si>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</si>
  <si>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</si>
  <si>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</si>
  <si>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</si>
  <si>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</si>
  <si>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</si>
  <si>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</si>
  <si>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</si>
  <si>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</si>
  <si>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</si>
  <si>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</si>
  <si>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</si>
  <si>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</si>
  <si>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</si>
  <si>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</si>
  <si>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</si>
  <si>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</si>
  <si>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</si>
  <si>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</si>
  <si>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</si>
  <si>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</si>
  <si>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</si>
  <si>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</si>
  <si>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</si>
  <si>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</si>
  <si>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</si>
  <si>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</si>
  <si>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</si>
  <si>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</si>
  <si>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</si>
  <si>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</si>
  <si>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</si>
  <si>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</si>
  <si>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</si>
  <si>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</si>
  <si>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</si>
  <si>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</si>
  <si>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</si>
  <si>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</si>
  <si>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</si>
  <si>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</si>
  <si>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</si>
  <si>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</si>
  <si>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</si>
  <si>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</si>
  <si>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</si>
  <si>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</si>
  <si>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</si>
  <si>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</si>
  <si>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</si>
  <si>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</si>
  <si>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</si>
  <si>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</si>
  <si>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</si>
  <si>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</si>
  <si>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</si>
  <si>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</si>
  <si>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</si>
  <si>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</si>
  <si>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</si>
  <si>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</si>
  <si>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</si>
  <si>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</si>
  <si>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</si>
  <si>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</si>
  <si>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</si>
  <si>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</si>
  <si>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</si>
  <si>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</si>
  <si>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</si>
  <si>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</si>
  <si>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</si>
  <si>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</si>
  <si>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</si>
  <si>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</si>
  <si>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</si>
  <si>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</si>
  <si>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</si>
  <si>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</si>
  <si>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</si>
  <si>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</si>
  <si>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</si>
  <si>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</si>
  <si>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</si>
  <si>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</si>
  <si>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</si>
  <si>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</si>
  <si>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</si>
  <si>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</si>
  <si>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</si>
  <si>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</si>
  <si>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</si>
  <si>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</si>
  <si>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</si>
  <si>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</si>
  <si>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</si>
  <si>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</si>
  <si>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</si>
  <si>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</si>
  <si>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</si>
  <si>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</si>
  <si>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</si>
  <si>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</si>
  <si>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</si>
  <si>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</si>
  <si>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</si>
  <si>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</si>
  <si>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</si>
  <si>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</si>
  <si>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</si>
  <si>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</si>
  <si>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</si>
  <si>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</si>
  <si>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</si>
  <si>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</si>
  <si>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</si>
  <si>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</si>
  <si>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</si>
  <si>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</si>
  <si>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</si>
  <si>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</si>
  <si>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</si>
  <si>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</si>
  <si>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</si>
  <si>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</si>
  <si>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</si>
  <si>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</si>
  <si>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</si>
  <si>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</si>
  <si>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</si>
  <si>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</si>
  <si>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</si>
  <si>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</si>
  <si>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</si>
  <si>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</si>
  <si>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</si>
  <si>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</si>
  <si>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</si>
  <si>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</si>
  <si>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</si>
  <si>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</si>
  <si>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</si>
  <si>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</si>
  <si>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</si>
  <si>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</si>
  <si>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</si>
  <si>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</si>
  <si>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</si>
  <si>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</si>
  <si>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</si>
  <si>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</si>
  <si>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</si>
  <si>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</si>
  <si>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</si>
  <si>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</si>
  <si>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</si>
  <si>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</si>
  <si>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</si>
  <si>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</si>
  <si>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</si>
  <si>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</si>
  <si>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</si>
  <si>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</si>
  <si>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</si>
  <si>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</si>
  <si>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</si>
  <si>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</si>
  <si>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</si>
  <si>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</si>
  <si>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</si>
  <si>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</si>
  <si>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</si>
  <si>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</si>
  <si>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</si>
  <si>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</si>
  <si>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</si>
  <si>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</si>
  <si>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</si>
  <si>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</si>
  <si>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</si>
  <si>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</si>
  <si>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</si>
  <si>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</si>
  <si>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</si>
  <si>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</si>
  <si>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</si>
  <si>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</si>
  <si>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</si>
  <si>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</si>
  <si>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</si>
  <si>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</si>
  <si>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</si>
  <si>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</si>
  <si>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</si>
  <si>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</si>
  <si>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</si>
  <si>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</si>
  <si>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</si>
  <si>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</si>
  <si>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</si>
  <si>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</si>
  <si>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</si>
  <si>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</si>
  <si>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</si>
  <si>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</si>
  <si>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</si>
  <si>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</si>
  <si>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</si>
  <si>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</si>
  <si>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</si>
  <si>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</si>
  <si>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</si>
  <si>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</si>
  <si>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</si>
  <si>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</si>
  <si>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</si>
  <si>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</si>
  <si>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</si>
  <si>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</si>
  <si>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</si>
  <si>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</si>
  <si>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</si>
  <si>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</si>
  <si>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</si>
  <si>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</si>
  <si>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</si>
  <si>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</si>
  <si>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</si>
  <si>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</si>
  <si>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</si>
  <si>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</si>
  <si>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</si>
  <si>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</si>
  <si>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</si>
  <si>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</si>
  <si>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</si>
  <si>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</si>
  <si>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</si>
  <si>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</si>
  <si>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</si>
  <si>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</si>
  <si>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</si>
  <si>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</si>
  <si>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</si>
  <si>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</si>
  <si>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</si>
  <si>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</si>
  <si>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</si>
  <si>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</si>
  <si>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</si>
  <si>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</si>
  <si>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</si>
  <si>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</si>
  <si>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</si>
  <si>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</si>
  <si>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</si>
  <si>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</si>
  <si>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</si>
  <si>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</si>
  <si>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</si>
  <si>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</si>
  <si>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</si>
  <si>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</si>
  <si>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</si>
  <si>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</si>
  <si>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</si>
  <si>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</si>
  <si>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</si>
  <si>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</si>
  <si>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</si>
  <si>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</si>
  <si>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</si>
  <si>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</si>
  <si>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</si>
  <si>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</si>
  <si>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</si>
  <si>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</si>
  <si>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</si>
  <si>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</si>
  <si>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</si>
  <si>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</si>
  <si>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</si>
  <si>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</si>
  <si>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</si>
  <si>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</si>
  <si>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</si>
  <si>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</si>
  <si>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</si>
  <si>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</si>
  <si>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</si>
  <si>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</si>
  <si>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</si>
  <si>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</si>
  <si>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</si>
  <si>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</si>
  <si>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</si>
  <si>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</si>
  <si>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</si>
  <si>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</si>
  <si>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</si>
  <si>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</si>
  <si>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</si>
  <si>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</si>
  <si>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</si>
  <si>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</si>
  <si>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</si>
  <si>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</si>
  <si>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</si>
  <si>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</si>
  <si>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</si>
  <si>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</si>
  <si>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</si>
  <si>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</si>
  <si>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</si>
  <si>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</si>
  <si>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</si>
  <si>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</si>
  <si>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</si>
  <si>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</si>
  <si>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</si>
  <si>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</si>
  <si>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</si>
  <si>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</si>
  <si>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</si>
  <si>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</si>
  <si>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</si>
  <si>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</si>
  <si>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</si>
  <si>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</si>
  <si>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</si>
  <si>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</si>
  <si>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</si>
  <si>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</si>
  <si>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</si>
  <si>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</si>
  <si>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</si>
  <si>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</si>
  <si>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</si>
  <si>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</si>
  <si>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</si>
  <si>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</si>
  <si>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</si>
  <si>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</si>
  <si>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</si>
  <si>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</si>
  <si>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</si>
  <si>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</si>
  <si>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</si>
  <si>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</si>
  <si>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</si>
  <si>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</si>
  <si>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</si>
  <si>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</si>
  <si>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</si>
  <si>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</si>
  <si>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</si>
  <si>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</si>
  <si>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</si>
  <si>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</si>
  <si>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</si>
  <si>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</si>
  <si>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</si>
  <si>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</si>
  <si>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</si>
  <si>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</si>
  <si>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</si>
  <si>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</si>
  <si>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</si>
  <si>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</si>
  <si>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</si>
  <si>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</si>
  <si>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</si>
  <si>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</si>
  <si>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</si>
  <si>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</si>
  <si>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</si>
  <si>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</si>
  <si>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</si>
  <si>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</si>
  <si>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</si>
  <si>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</si>
  <si>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</si>
  <si>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</si>
  <si>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</si>
  <si>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</si>
  <si>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</si>
  <si>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</si>
  <si>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</si>
  <si>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</si>
  <si>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</si>
  <si>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</si>
  <si>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</si>
  <si>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</si>
  <si>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</si>
  <si>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</si>
  <si>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</si>
  <si>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</si>
  <si>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</si>
  <si>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</si>
  <si>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</si>
  <si>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</si>
  <si>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</si>
  <si>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</si>
  <si>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</si>
  <si>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</si>
  <si>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</si>
  <si>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</si>
  <si>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</si>
  <si>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</si>
  <si>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</si>
  <si>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</si>
  <si>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</si>
  <si>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</si>
  <si>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</si>
  <si>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</si>
  <si>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</si>
  <si>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</si>
  <si>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</si>
  <si>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</si>
  <si>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</si>
  <si>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</si>
  <si>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</si>
  <si>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</si>
  <si>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</si>
  <si>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</si>
  <si>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</si>
  <si>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</si>
  <si>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</si>
  <si>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</si>
  <si>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</si>
  <si>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</si>
  <si>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</si>
  <si>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</si>
  <si>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</si>
  <si>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</si>
  <si>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</si>
  <si>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</si>
  <si>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</si>
  <si>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</si>
  <si>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</si>
  <si>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</si>
  <si>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</si>
  <si>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</si>
  <si>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</si>
  <si>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</si>
  <si>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</si>
  <si>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</si>
  <si>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</si>
  <si>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</si>
  <si>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</si>
  <si>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</si>
  <si>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</si>
  <si>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</si>
  <si>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</si>
  <si>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</si>
  <si>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</si>
  <si>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</si>
  <si>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</si>
  <si>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</si>
  <si>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</si>
  <si>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</si>
  <si>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</si>
  <si>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</si>
  <si>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</si>
  <si>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</si>
  <si>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</si>
  <si>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</si>
  <si>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</si>
  <si>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</si>
  <si>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</si>
  <si>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</si>
  <si>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</si>
  <si>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</si>
  <si>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</si>
  <si>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</si>
  <si>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</si>
  <si>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</si>
  <si>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</si>
  <si>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</si>
  <si>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</si>
  <si>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</si>
  <si>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</si>
  <si>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</si>
  <si>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</si>
  <si>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</si>
  <si>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</si>
  <si>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</si>
  <si>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</si>
  <si>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</si>
  <si>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</si>
  <si>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</si>
  <si>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</si>
  <si>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</si>
  <si>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</si>
  <si>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</si>
  <si>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</si>
  <si>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</si>
  <si>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</si>
  <si>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</si>
  <si>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</si>
  <si>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</si>
  <si>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</si>
  <si>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</si>
  <si>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</si>
  <si>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</si>
  <si>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</si>
  <si>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</si>
  <si>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</si>
  <si>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</si>
  <si>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</si>
  <si>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</si>
  <si>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</si>
  <si>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</si>
  <si>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</si>
  <si>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</si>
  <si>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</si>
  <si>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</si>
  <si>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</si>
  <si>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</si>
  <si>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</si>
  <si>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</si>
  <si>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</si>
  <si>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</si>
  <si>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</si>
  <si>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</si>
  <si>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</si>
  <si>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</si>
  <si>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</si>
  <si>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</si>
  <si>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</si>
  <si>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</si>
  <si>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</si>
  <si>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</si>
  <si>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</si>
  <si>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</si>
  <si>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</si>
  <si>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</si>
  <si>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</si>
  <si>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</si>
  <si>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</si>
  <si>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</si>
  <si>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</si>
  <si>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</si>
  <si>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</si>
  <si>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</si>
  <si>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</si>
  <si>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</si>
  <si>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</si>
  <si>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</si>
  <si>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</si>
  <si>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</si>
  <si>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</si>
  <si>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</si>
  <si>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</si>
  <si>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</si>
  <si>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</si>
  <si>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</si>
  <si>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</si>
  <si>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</si>
  <si>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</si>
  <si>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</si>
  <si>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</si>
  <si>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</si>
  <si>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</si>
  <si>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</si>
  <si>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</si>
  <si>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</si>
  <si>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</si>
  <si>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</si>
  <si>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</si>
  <si>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</si>
  <si>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</si>
  <si>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</si>
  <si>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</si>
  <si>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</si>
  <si>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</si>
  <si>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</si>
  <si>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</si>
  <si>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</si>
  <si>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</si>
  <si>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</si>
  <si>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</si>
  <si>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</si>
  <si>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</si>
  <si>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</si>
  <si>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</si>
  <si>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</si>
  <si>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</si>
  <si>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</si>
  <si>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</si>
  <si>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</si>
  <si>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</si>
  <si>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</si>
  <si>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</si>
  <si>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</si>
  <si>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</si>
  <si>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</si>
  <si>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</si>
  <si>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</si>
  <si>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</si>
  <si>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</si>
  <si>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</si>
  <si>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</si>
  <si>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</si>
  <si>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</si>
  <si>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</si>
  <si>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</si>
  <si>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</si>
  <si>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</si>
  <si>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</si>
  <si>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</si>
  <si>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</si>
  <si>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</si>
  <si>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</si>
  <si>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</si>
  <si>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</si>
  <si>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</si>
  <si>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</si>
  <si>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</si>
  <si>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</si>
  <si>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</si>
  <si>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</si>
  <si>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</si>
  <si>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</si>
  <si>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</si>
  <si>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</si>
  <si>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</si>
  <si>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</si>
  <si>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</si>
  <si>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</si>
  <si>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</si>
  <si>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</si>
  <si>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</si>
  <si>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</si>
  <si>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</si>
  <si>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10.1038%2Fs41598-018-24331-0_Figure3.tsv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</si>
  <si>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</si>
  <si>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</si>
  <si>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</si>
  <si>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</si>
  <si>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</si>
  <si>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</si>
  <si>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</si>
  <si>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</si>
  <si>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</si>
  <si>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</si>
  <si>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</si>
  <si>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</si>
  <si>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</si>
  <si>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</si>
  <si>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</si>
  <si>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</si>
  <si>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</si>
  <si>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</si>
  <si>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</si>
  <si>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</si>
  <si>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</si>
  <si>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</si>
  <si>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</si>
  <si>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</si>
  <si>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</si>
  <si>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</si>
  <si>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</si>
  <si>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</si>
  <si>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</si>
  <si>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</si>
  <si>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</si>
  <si>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</si>
  <si>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</si>
  <si>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</si>
  <si>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</si>
  <si>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</si>
  <si>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</si>
  <si>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</si>
  <si>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</si>
  <si>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</si>
  <si>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</si>
  <si>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</si>
  <si>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</si>
  <si>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</si>
  <si>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</si>
  <si>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</si>
  <si>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</si>
  <si>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</si>
  <si>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</si>
  <si>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</si>
  <si>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</si>
  <si>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</si>
  <si>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</si>
  <si>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</si>
  <si>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</si>
  <si>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</si>
  <si>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</si>
  <si>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</si>
  <si>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</si>
  <si>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</si>
  <si>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</si>
  <si>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</si>
  <si>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</si>
  <si>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</si>
  <si>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</si>
  <si>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</si>
  <si>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10.1038%2Fs41598-018-24331-0_ExtendedDataFigure4.tsv</t>
  </si>
  <si>
    <t xml:space="preserve">10.1038%2Fs41598-018-24331-0_ExtendedDataTable1.tsv</t>
  </si>
  <si>
    <t xml:space="preserve">10.1038%2Fs41598-018-24331-0_ExtendedDataTable3.tsv</t>
  </si>
  <si>
    <t xml:space="preserve">10.1038%2Fs41598-018-24331-0_Figure3legend.tsv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</si>
</sst>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D84" activePane="bottomRight" state="frozen"/>
      <selection pane="topRight" activeCell="B1" sqref="B1"/>
      <selection pane="bottomLeft" activeCell="A2" sqref="A2"/>
      <selection pane="bottomRight" activeCell="D97" sqref="D97:D101"/>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769</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notfound</v>
      </c>
      <c r="N5" s="3" t="s">
        <v>770</v>
      </c>
      <c r="P5" s="3"/>
      <c r="Q5" s="3"/>
      <c r="R5" s="3"/>
      <c r="S5" s="3"/>
      <c r="T5" s="3"/>
      <c r="U5" s="3"/>
      <c r="V5" s="3"/>
      <c r="W5" s="3"/>
      <c r="X5" s="3"/>
      <c r="Y5" s="3"/>
      <c r="AG5" s="2"/>
      <c r="AH5" s="3"/>
      <c r="AI5" s="3"/>
      <c r="AJ5" s="2"/>
      <c r="AK5" s="3"/>
      <c r="AL5" s="2"/>
      <c r="AM5" s="2"/>
    </row>
    <row r="6" ht="16" customHeight="1">
      <c r="A6" s="2" t="s">
        <v>769</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notfound</v>
      </c>
      <c r="N6" s="3" t="s">
        <v>771</v>
      </c>
      <c r="P6" s="3"/>
      <c r="Q6" s="3"/>
      <c r="R6" s="3"/>
      <c r="S6" s="3"/>
      <c r="T6" s="3"/>
      <c r="U6" s="3"/>
      <c r="V6" s="3"/>
      <c r="W6" s="3"/>
      <c r="X6" s="3"/>
      <c r="Y6" s="3"/>
      <c r="AG6" s="2"/>
      <c r="AH6" s="3"/>
      <c r="AI6" s="3"/>
      <c r="AJ6" s="2"/>
      <c r="AK6" s="3"/>
      <c r="AL6" s="2"/>
      <c r="AM6" s="2"/>
    </row>
    <row r="7" ht="16" customHeight="1">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ht="16" customHeight="1">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ht="16" customHeight="1">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ht="16" customHeight="1">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ht="16" customHeight="1">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ht="16" customHeight="1">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ht="16" customHeight="1">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ht="16" customHeight="1">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ht="16" customHeight="1">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ht="16" customHeight="1">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ht="16" customHeight="1">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PMID%3A3216099_Table1.tsv</v>
      </c>
      <c r="N17" s="2" t="s">
        <v>79</v>
      </c>
      <c r="P17" s="2" t="s">
        <v>48</v>
      </c>
      <c r="Y17" s="2" t="s">
        <v>80</v>
      </c>
      <c r="Z17" s="2" t="s">
        <v>80</v>
      </c>
      <c r="AF17" s="2" t="s">
        <v>70</v>
      </c>
      <c r="AG17" s="2" t="s">
        <v>80</v>
      </c>
      <c r="AI17" s="2" t="s">
        <v>81</v>
      </c>
      <c r="AJ17" s="2" t="s">
        <v>82</v>
      </c>
      <c r="AL17" s="2" t="s">
        <v>61</v>
      </c>
      <c r="AM17" s="2" t="s">
        <v>73</v>
      </c>
    </row>
    <row r="18" ht="17" customHeight="1">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PMID%3A6663055_Table1.tsv</v>
      </c>
      <c r="P18" s="2" t="s">
        <v>48</v>
      </c>
      <c r="V18" s="2" t="s">
        <v>40</v>
      </c>
      <c r="W18" s="2" t="s">
        <v>85</v>
      </c>
      <c r="Y18" s="2" t="s">
        <v>80</v>
      </c>
      <c r="Z18" s="2" t="s">
        <v>80</v>
      </c>
      <c r="AF18" s="2" t="s">
        <v>70</v>
      </c>
      <c r="AG18" s="2" t="s">
        <v>80</v>
      </c>
      <c r="AI18" s="2" t="s">
        <v>86</v>
      </c>
      <c r="AJ18" s="2" t="s">
        <v>82</v>
      </c>
      <c r="AK18" s="2" t="s">
        <v>61</v>
      </c>
      <c r="AL18" s="2" t="s">
        <v>61</v>
      </c>
      <c r="AM18" s="2" t="s">
        <v>73</v>
      </c>
    </row>
    <row r="19" ht="17" customHeight="1">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PMID%3A3116076_Table1.tsv</v>
      </c>
      <c r="P19" s="2" t="s">
        <v>48</v>
      </c>
      <c r="V19" s="2" t="s">
        <v>40</v>
      </c>
      <c r="W19" s="2" t="s">
        <v>85</v>
      </c>
      <c r="Y19" s="2" t="s">
        <v>80</v>
      </c>
      <c r="Z19" s="2" t="s">
        <v>80</v>
      </c>
      <c r="AF19" s="2" t="s">
        <v>70</v>
      </c>
      <c r="AG19" s="2" t="s">
        <v>80</v>
      </c>
      <c r="AI19" s="2" t="s">
        <v>89</v>
      </c>
      <c r="AJ19" s="2" t="s">
        <v>82</v>
      </c>
      <c r="AK19" s="2" t="s">
        <v>61</v>
      </c>
      <c r="AL19" s="2" t="s">
        <v>61</v>
      </c>
      <c r="AM19" s="2" t="s">
        <v>73</v>
      </c>
    </row>
    <row r="20" ht="16" customHeight="1">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PMID%3A2358663_Table1.tsv</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ht="16" customHeight="1">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ht="16" customHeight="1">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ht="16" customHeight="1">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ht="16" customHeight="1">
      <c r="A24" s="2" t="s">
        <v>102</v>
      </c>
      <c r="C24" s="2" t="s">
        <v>103</v>
      </c>
      <c r="D24" s="2" t="s">
        <v>104</v>
      </c>
      <c r="E24" t="str">
        <f t="shared" si="0"/>
        <v>0</v>
      </c>
      <c r="F24" t="str">
        <f t="shared" si="1"/>
        <v>Brodmann__1913</v>
      </c>
      <c r="G24" t="str">
        <f t="shared" si="2"/>
        <v>Brodmann</v>
      </c>
      <c r="H24" t="str">
        <f t="shared" si="7"/>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ht="16" customHeight="1">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ht="16" customHeight="1">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ht="16" customHeight="1">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ht="16" customHeight="1">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ht="16" customHeight="1">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ht="16" customHeight="1">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ht="16" customHeight="1">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ht="16" customHeight="1">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ht="16" customHeight="1">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ht="16" customHeight="1">
      <c r="A34" s="2" t="s">
        <v>175</v>
      </c>
      <c r="D34" s="2" t="s">
        <v>176</v>
      </c>
      <c r="E34" t="str">
        <f t="shared" si="0"/>
        <v>5</v>
      </c>
      <c r="F34" t="str">
        <f t="shared" si="1"/>
        <v>Changizi__2001</v>
      </c>
      <c r="G34" t="str">
        <f t="shared" si="2"/>
        <v>Changizi</v>
      </c>
      <c r="H34" t="str">
        <f t="shared" si="7"/>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ht="16" customHeight="1">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ht="16" customHeight="1">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ht="16" customHeight="1">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ht="16" customHeight="1">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ht="16" customHeight="1">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ht="16" customHeight="1">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ht="16" customHeight="1">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ht="16" customHeight="1">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ht="15" customHeight="1">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ht="16" customHeight="1">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ht="16" customHeight="1">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ht="16" customHeight="1">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ht="16" customHeight="1">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ht="16" customHeight="1">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ht="16" customHeight="1">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ht="16" customHeight="1">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ht="16" customHeight="1">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ht="16" customHeight="1">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ht="16" customHeight="1">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ht="16" customHeight="1">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ht="19" customHeight="1">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PMID%3A6501869_Table1.tsv</v>
      </c>
      <c r="N55" s="2" t="s">
        <v>300</v>
      </c>
      <c r="V55" s="2" t="s">
        <v>40</v>
      </c>
      <c r="W55" s="2" t="s">
        <v>85</v>
      </c>
      <c r="Y55" s="2" t="s">
        <v>80</v>
      </c>
      <c r="Z55" s="2" t="s">
        <v>80</v>
      </c>
      <c r="AF55" s="2" t="s">
        <v>70</v>
      </c>
      <c r="AG55" s="2" t="s">
        <v>93</v>
      </c>
      <c r="AI55" s="2" t="s">
        <v>301</v>
      </c>
      <c r="AJ55" s="2" t="s">
        <v>82</v>
      </c>
      <c r="AK55" s="2" t="s">
        <v>61</v>
      </c>
      <c r="AL55" s="2" t="s">
        <v>61</v>
      </c>
      <c r="AM55" s="2" t="s">
        <v>73</v>
      </c>
    </row>
    <row r="56" ht="17" customHeight="1">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ht="17" customHeight="1">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ht="17" customHeight="1">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ht="17" customHeight="1">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ht="17" customHeight="1">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ht="16" customHeight="1">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ht="16" customHeight="1">
      <c r="A62" s="2" t="s">
        <v>323</v>
      </c>
      <c r="D62" s="2" t="s">
        <v>262</v>
      </c>
      <c r="E62" t="str">
        <f t="shared" si="83"/>
        <v>8</v>
      </c>
      <c r="F62" t="str">
        <f t="shared" si="1"/>
        <v>Granatosky__2018</v>
      </c>
      <c r="G62" t="str">
        <f t="shared" si="84"/>
        <v>Granatosky</v>
      </c>
      <c r="H62" t="str">
        <f t="shared" si="7"/>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ht="16" customHeight="1">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ht="16" customHeight="1">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ht="16" customHeight="1">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ht="16" customHeight="1">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PMID%3A15534048_TABLE1.tsv</v>
      </c>
      <c r="N66" s="2" t="s">
        <v>343</v>
      </c>
      <c r="X66" s="2" t="s">
        <v>325</v>
      </c>
      <c r="AI66" s="2" t="s">
        <v>344</v>
      </c>
      <c r="AJ66" s="2" t="s">
        <v>345</v>
      </c>
      <c r="AL66" s="2" t="s">
        <v>61</v>
      </c>
      <c r="AM66" s="2" t="s">
        <v>346</v>
      </c>
    </row>
    <row r="67" ht="16" customHeight="1">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ht="16" customHeight="1">
      <c r="A68" s="2" t="s">
        <v>350</v>
      </c>
      <c r="D68" s="2" t="s">
        <v>78</v>
      </c>
      <c r="E68" t="str">
        <f t="shared" si="83"/>
        <v>3</v>
      </c>
      <c r="F68" t="str">
        <f t="shared" si="1"/>
        <v>HerculanoHouzel__2015</v>
      </c>
      <c r="G68" t="str">
        <f t="shared" si="84"/>
        <v>HerculanoHouzel</v>
      </c>
      <c r="H68" t="str">
        <f t="shared" si="7"/>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ht="16" customHeight="1">
      <c r="A69" s="2" t="s">
        <v>350</v>
      </c>
      <c r="D69" s="2" t="s">
        <v>100</v>
      </c>
      <c r="E69" t="str">
        <f t="shared" si="83"/>
        <v>3</v>
      </c>
      <c r="F69" t="str">
        <f t="shared" si="1"/>
        <v>HerculanoHouzel__2015</v>
      </c>
      <c r="G69" t="str">
        <f t="shared" si="84"/>
        <v>HerculanoHouzel</v>
      </c>
      <c r="H69" t="str">
        <f t="shared" si="7"/>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ht="16" customHeight="1">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ht="16" customHeight="1">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356</v>
      </c>
      <c r="D73" s="2" t="s">
        <v>39</v>
      </c>
      <c r="E73" t="str">
        <f t="shared" si="83"/>
        <v>3</v>
      </c>
      <c r="F73" t="str">
        <f t="shared" ref="F73:F148"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ht="16" customHeight="1">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ht="16" customHeight="1">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8" si="92">_xlfn.LET(
_xlpm.doi,IF(C75&lt;&gt;"",C75,_xlfn.TEXTAFTER(A75,"https://doi.org/")),
SUBSTITUTE(
SUBSTITUTE(
SUBSTITUTE(
SUBSTITUTE(
_xlpm.doi,
"/","%2F"),
":","%3A"),
"&lt;","%3C"),
"&gt;","%3E")
)</f>
        <v>10.1002%2Fcne.24985</v>
      </c>
      <c r="K75" t="str">
        <f t="shared" si="86"/>
        <v>HerculanoHouzel_etal_2020_TABLE1</v>
      </c>
      <c r="L75" t="str">
        <f t="shared" ref="L75:L147"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ht="16" customHeight="1">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ht="16" customHeight="1">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ht="16" customHeight="1">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ht="16" customHeight="1">
      <c r="A79" s="2" t="s">
        <v>388</v>
      </c>
      <c r="D79" s="2" t="s">
        <v>392</v>
      </c>
      <c r="E79" t="str">
        <f t="shared" ref="E79:E119" si="94">RIGHT(A79,1)</f>
        <v>5</v>
      </c>
      <c r="F79" t="str">
        <f t="shared" si="90"/>
        <v>HerculanoHouzel_etal_2013</v>
      </c>
      <c r="G79" t="str">
        <f t="shared" ref="G79:G119" si="95">SUBSTITUTE(SUBSTITUTE(_xlfn.TEXTBEFORE(A79,","), "-", ""), " ", "")</f>
        <v>HerculanoHouzel</v>
      </c>
      <c r="H79" t="str">
        <f t="shared" si="91"/>
        <v>etal</v>
      </c>
      <c r="I79" t="str">
        <f t="shared" ref="I79:I119"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ht="16" customHeight="1">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ht="16" customHeight="1">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ht="16" customHeight="1">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ht="16" customHeight="1">
      <c r="A83" s="2" t="s">
        <v>393</v>
      </c>
      <c r="D83" s="2" t="s">
        <v>318</v>
      </c>
      <c r="E83" t="str">
        <f t="shared" si="94"/>
        <v>4</v>
      </c>
      <c r="F83" t="str">
        <f t="shared" si="90"/>
        <v>Isler_etal_2008</v>
      </c>
      <c r="G83" t="str">
        <f t="shared" si="95"/>
        <v>Isler</v>
      </c>
      <c r="H83" t="str">
        <f t="shared" ref="H83:H166"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ht="16" customHeight="1">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ht="16" customHeight="1">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19"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ht="15.75" customHeight="1">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ht="15.75" customHeight="1">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ht="15.75" customHeight="1">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ht="15.75" customHeight="1">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ht="15.75" customHeight="1">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ht="15.75" customHeight="1">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ht="15.75" customHeight="1">
      <c r="A94" s="2" t="s">
        <v>429</v>
      </c>
      <c r="D94" s="2" t="s">
        <v>78</v>
      </c>
      <c r="E94" t="str">
        <f t="shared" si="94"/>
        <v>8</v>
      </c>
      <c r="F94" t="str">
        <f t="shared" si="90"/>
        <v>Karbowski__2007</v>
      </c>
      <c r="G94" t="str">
        <f t="shared" si="95"/>
        <v>Karbowski</v>
      </c>
      <c r="H94" t="str">
        <f t="shared" si="97"/>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ht="15.75" customHeight="1">
      <c r="A96" s="2" t="s">
        <v>437</v>
      </c>
      <c r="C96" s="2" t="s">
        <v>438</v>
      </c>
      <c r="D96" s="2" t="s">
        <v>78</v>
      </c>
      <c r="E96" t="str">
        <f t="shared" ref="E96" si="99">RIGHT(A96,1)</f>
        <v>.</v>
      </c>
      <c r="F96" t="str">
        <f t="shared" si="90"/>
        <v>Kaufman__2004</v>
      </c>
      <c r="G96" t="str">
        <f t="shared" ref="G96" si="100">SUBSTITUTE(SUBSTITUTE(_xlfn.TEXTBEFORE(A96,","), "-", ""), " ", "")</f>
        <v>Kaufman</v>
      </c>
      <c r="H96" t="str">
        <f t="shared" si="97"/>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ht="15.75" customHeight="1">
      <c r="A97" s="2" t="s">
        <v>772</v>
      </c>
      <c r="C97" s="3"/>
      <c r="D97" s="2" t="s">
        <v>779</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Kochiyama_etal_2018_Figure3legend</v>
      </c>
      <c r="L97" t="str">
        <f t="shared" ref="L97" si="110">J97 &amp; "_" &amp; SUBSTITUTE(SUBSTITUTE(SUBSTITUTE(D97,CHAR(160),"")," ",""),"_","")</f>
        <v>10.1038%2Fs41598-018-24331-0_Figure3legend</v>
      </c>
      <c r="M97" t="str">
        <f t="array" ref="M97">IFERROR(INDEX(FileList!$A$1:$A$100,MATCH(TRUE,EXACT(L97,_xlfn.TEXTBEFORE(FileList!$A$1:$A$100,".tsv")),0)),"notfound")</f>
        <v>notfound</v>
      </c>
      <c r="N97" s="3" t="s">
        <v>773</v>
      </c>
      <c r="O97" t="s">
        <v>780</v>
      </c>
      <c r="V97" s="2" t="s">
        <v>784</v>
      </c>
      <c r="AB97" s="3"/>
      <c r="AI97" s="2"/>
      <c r="AJ97" s="2"/>
      <c r="AK97" s="2"/>
      <c r="AL97" s="2"/>
      <c r="AM97" s="2"/>
    </row>
    <row r="98" ht="15.75" customHeight="1">
      <c r="A98" s="2" t="s">
        <v>772</v>
      </c>
      <c r="C98" s="3"/>
      <c r="D98" s="2" t="s">
        <v>176</v>
      </c>
      <c r="E98" t="str">
        <f t="shared" ref="E98" si="111">RIGHT(A98,1)</f>
        <v>0</v>
      </c>
      <c r="F98" t="str">
        <f t="shared" ref="F98" si="112">G98 &amp; IF(H98&lt;&gt;"", "_" &amp; H98, "_") &amp; IF(I98&lt;&gt;"", "_" &amp; I98, "_") &amp; IF(B98&lt;&gt;"", "_" &amp; B98, "")</f>
        <v>Kochiyama_etal_2018</v>
      </c>
      <c r="G98" t="str">
        <f t="shared" ref="G98" si="113">SUBSTITUTE(SUBSTITUTE(_xlfn.TEXTBEFORE(A98,","), "-", ""), " ", "")</f>
        <v>Kochiyama</v>
      </c>
      <c r="H98" t="str">
        <f t="shared" ref="H98" si="114">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 t="shared" ref="I98" si="115">_xlfn.TEXTBEFORE(_xlfn.TEXTAFTER(A98, "("), ")")</f>
        <v>2018</v>
      </c>
      <c r="J98" t="str">
        <f t="shared" ref="J98" si="116">_xlfn.LET(
_xlpm.doi,IF(C98&lt;&gt;"",C98,_xlfn.TEXTAFTER(A98,"https://doi.org/")),
SUBSTITUTE(
SUBSTITUTE(
SUBSTITUTE(
SUBSTITUTE(
_xlpm.doi,
"/","%2F"),
":","%3A"),
"&lt;","%3C"),
"&gt;","%3E")
)</f>
        <v>10.1038%2Fs41598-018-24331-0</v>
      </c>
      <c r="K98" t="str">
        <f t="shared" ref="K98" si="117">TRIM(_xlfn.TEXTJOIN("_",FALSE,F98,(SUBSTITUTE(SUBSTITUTE(D98," ",""), "_", ""))))</f>
        <v>Kochiyama_etal_2018_Figure3</v>
      </c>
      <c r="L98" t="str">
        <f t="shared" ref="L98" si="118">J98 &amp; "_" &amp; SUBSTITUTE(SUBSTITUTE(SUBSTITUTE(D98,CHAR(160),"")," ",""),"_","")</f>
        <v>10.1038%2Fs41598-018-24331-0_Figure3</v>
      </c>
      <c r="M98" t="str">
        <f t="array" ref="M98">IFERROR(INDEX(FileList!$A$1:$A$100,MATCH(TRUE,EXACT(L98,_xlfn.TEXTBEFORE(FileList!$A$1:$A$100,".tsv")),0)),"notfound")</f>
        <v>notfound</v>
      </c>
      <c r="N98" s="3" t="s">
        <v>773</v>
      </c>
      <c r="O98" t="s">
        <v>781</v>
      </c>
      <c r="V98" s="2" t="s">
        <v>785</v>
      </c>
      <c r="AB98" s="3"/>
      <c r="AI98" s="2"/>
      <c r="AJ98" s="2"/>
      <c r="AK98" s="2"/>
      <c r="AL98" s="2"/>
      <c r="AM98" s="2"/>
    </row>
    <row r="99" ht="15.75" customHeight="1">
      <c r="A99" s="2" t="s">
        <v>772</v>
      </c>
      <c r="C99" s="3"/>
      <c r="D99" s="2" t="s">
        <v>783</v>
      </c>
      <c r="E99" t="str">
        <f t="shared" ref="E99" si="119">RIGHT(A99,1)</f>
        <v>0</v>
      </c>
      <c r="F99" t="str">
        <f t="shared" ref="F99" si="120">G99 &amp; IF(H99&lt;&gt;"", "_" &amp; H99, "_") &amp; IF(I99&lt;&gt;"", "_" &amp; I99, "_") &amp; IF(B99&lt;&gt;"", "_" &amp; B99, "")</f>
        <v>Kochiyama_etal_2018</v>
      </c>
      <c r="G99" t="str">
        <f t="shared" ref="G99" si="121">SUBSTITUTE(SUBSTITUTE(_xlfn.TEXTBEFORE(A99,","), "-", ""), " ", "")</f>
        <v>Kochiyama</v>
      </c>
      <c r="H99" t="str">
        <f t="shared" ref="H99" si="122">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23">_xlfn.TEXTBEFORE(_xlfn.TEXTAFTER(A99, "("), ")")</f>
        <v>2018</v>
      </c>
      <c r="J99" t="str">
        <f t="shared" ref="J99" si="124">_xlfn.LET(
_xlpm.doi,IF(C99&lt;&gt;"",C99,_xlfn.TEXTAFTER(A99,"https://doi.org/")),
SUBSTITUTE(
SUBSTITUTE(
SUBSTITUTE(
SUBSTITUTE(
_xlpm.doi,
"/","%2F"),
":","%3A"),
"&lt;","%3C"),
"&gt;","%3E")
)</f>
        <v>10.1038%2Fs41598-018-24331-0</v>
      </c>
      <c r="K99" t="str">
        <f t="shared" ref="K99" si="125">TRIM(_xlfn.TEXTJOIN("_",FALSE,F99,(SUBSTITUTE(SUBSTITUTE(D99," ",""), "_", ""))))</f>
        <v>Kochiyama_etal_2018_ExtendedDataFigure4</v>
      </c>
      <c r="L99" t="str">
        <f t="shared" ref="L99" si="126">J99 &amp; "_" &amp; SUBSTITUTE(SUBSTITUTE(SUBSTITUTE(D99,CHAR(160),"")," ",""),"_","")</f>
        <v>10.1038%2Fs41598-018-24331-0_ExtendedDataFigure4</v>
      </c>
      <c r="M99" t="str">
        <f t="array" ref="M99">IFERROR(INDEX(FileList!$A$1:$A$100,MATCH(TRUE,EXACT(L99,_xlfn.TEXTBEFORE(FileList!$A$1:$A$100,".tsv")),0)),"notfound")</f>
        <v>notfound</v>
      </c>
      <c r="N99" s="3" t="s">
        <v>782</v>
      </c>
      <c r="O99" t="s">
        <v>781</v>
      </c>
      <c r="V99" s="2" t="s">
        <v>785</v>
      </c>
      <c r="AB99" s="3"/>
      <c r="AI99" s="2"/>
      <c r="AJ99" s="2"/>
      <c r="AK99" s="2"/>
      <c r="AL99" s="2"/>
      <c r="AM99" s="2"/>
    </row>
    <row r="100" ht="15.75" customHeight="1">
      <c r="A100" s="2" t="s">
        <v>772</v>
      </c>
      <c r="C100" s="3"/>
      <c r="D100" s="2" t="s">
        <v>787</v>
      </c>
      <c r="E100" t="str">
        <f t="shared" ref="E100:E101" si="127">RIGHT(A100,1)</f>
        <v>0</v>
      </c>
      <c r="F100" t="str">
        <f t="shared" ref="F100:F101" si="128">G100 &amp; IF(H100&lt;&gt;"", "_" &amp; H100, "_") &amp; IF(I100&lt;&gt;"", "_" &amp; I100, "_") &amp; IF(B100&lt;&gt;"", "_" &amp; B100, "")</f>
        <v>Kochiyama_etal_2018</v>
      </c>
      <c r="G100" t="str">
        <f t="shared" ref="G100:G101" si="129">SUBSTITUTE(SUBSTITUTE(_xlfn.TEXTBEFORE(A100,","), "-", ""), " ", "")</f>
        <v>Kochiyama</v>
      </c>
      <c r="H100" t="str">
        <f t="shared" ref="H100:H101" si="130">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I101" si="131">_xlfn.TEXTBEFORE(_xlfn.TEXTAFTER(A100, "("), ")")</f>
        <v>2018</v>
      </c>
      <c r="J100" t="str">
        <f t="shared" ref="J100:J101" si="132">_xlfn.LET(
_xlpm.doi,IF(C100&lt;&gt;"",C100,_xlfn.TEXTAFTER(A100,"https://doi.org/")),
SUBSTITUTE(
SUBSTITUTE(
SUBSTITUTE(
SUBSTITUTE(
_xlpm.doi,
"/","%2F"),
":","%3A"),
"&lt;","%3C"),
"&gt;","%3E")
)</f>
        <v>10.1038%2Fs41598-018-24331-0</v>
      </c>
      <c r="K100" t="str">
        <f t="shared" ref="K100:K101" si="133">TRIM(_xlfn.TEXTJOIN("_",FALSE,F100,(SUBSTITUTE(SUBSTITUTE(D100," ",""), "_", ""))))</f>
        <v>Kochiyama_etal_2018_ExtendedDataTable1</v>
      </c>
      <c r="L100" t="str">
        <f t="shared" ref="L100:L101" si="134">J100 &amp; "_" &amp; SUBSTITUTE(SUBSTITUTE(SUBSTITUTE(D100,CHAR(160),"")," ",""),"_","")</f>
        <v>10.1038%2Fs41598-018-24331-0_ExtendedDataTable1</v>
      </c>
      <c r="M100" t="str">
        <f t="array" ref="M100">IFERROR(INDEX(FileList!$A$1:$A$100,MATCH(TRUE,EXACT(L100,_xlfn.TEXTBEFORE(FileList!$A$1:$A$100,".tsv")),0)),"notfound")</f>
        <v>notfound</v>
      </c>
      <c r="N100" s="3" t="s">
        <v>786</v>
      </c>
      <c r="V100" s="2" t="s">
        <v>40</v>
      </c>
      <c r="AB100" s="3"/>
      <c r="AI100" s="2"/>
      <c r="AJ100" s="2"/>
      <c r="AK100" s="2"/>
      <c r="AL100" s="2"/>
      <c r="AM100" s="2"/>
    </row>
    <row r="101" ht="15.75" customHeight="1">
      <c r="A101" s="2" t="s">
        <v>772</v>
      </c>
      <c r="C101" s="3"/>
      <c r="D101" s="2" t="s">
        <v>789</v>
      </c>
      <c r="E101" t="str">
        <f t="shared" si="127"/>
        <v>0</v>
      </c>
      <c r="F101" t="str">
        <f t="shared" si="128"/>
        <v>Kochiyama_etal_2018</v>
      </c>
      <c r="G101" t="str">
        <f t="shared" si="129"/>
        <v>Kochiyama</v>
      </c>
      <c r="H101" t="str">
        <f t="shared" si="130"/>
        <v>etal</v>
      </c>
      <c r="I101" t="str">
        <f t="shared" si="131"/>
        <v>2018</v>
      </c>
      <c r="J101" t="str">
        <f t="shared" si="132"/>
        <v>10.1038%2Fs41598-018-24331-0</v>
      </c>
      <c r="K101" t="str">
        <f t="shared" si="133"/>
        <v>Kochiyama_etal_2018_ExtendedDataTable3</v>
      </c>
      <c r="L101" t="str">
        <f t="shared" si="134"/>
        <v>10.1038%2Fs41598-018-24331-0_ExtendedDataTable3</v>
      </c>
      <c r="M101" t="str">
        <f t="array" ref="M101">IFERROR(INDEX(FileList!$A$1:$A$100,MATCH(TRUE,EXACT(L101,_xlfn.TEXTBEFORE(FileList!$A$1:$A$100,".tsv")),0)),"notfound")</f>
        <v>notfound</v>
      </c>
      <c r="N101" s="3" t="s">
        <v>788</v>
      </c>
      <c r="V101" s="2" t="s">
        <v>40</v>
      </c>
      <c r="AB101" s="3"/>
      <c r="AI101" s="2"/>
      <c r="AJ101" s="2"/>
      <c r="AK101" s="2"/>
      <c r="AL101" s="2"/>
      <c r="AM101" s="2"/>
    </row>
    <row r="102" ht="15.75" customHeight="1">
      <c r="A102" s="2" t="s">
        <v>442</v>
      </c>
      <c r="D102" s="2" t="s">
        <v>78</v>
      </c>
      <c r="E102" t="str">
        <f t="shared" si="94"/>
        <v>8</v>
      </c>
      <c r="F102" t="str">
        <f t="shared" si="90"/>
        <v>Kverkova_etal_2018</v>
      </c>
      <c r="G102" t="str">
        <f t="shared" si="95"/>
        <v>Kverkova</v>
      </c>
      <c r="H102" t="str">
        <f t="shared" si="97"/>
        <v>etal</v>
      </c>
      <c r="I102" t="str">
        <f t="shared" si="96"/>
        <v>2018</v>
      </c>
      <c r="J102" t="str">
        <f t="shared" si="92"/>
        <v>10.1038%2Fs41598-018-26062-8</v>
      </c>
      <c r="K102" t="str">
        <f t="shared" si="98"/>
        <v>Kverkova_etal_2018_Table1</v>
      </c>
      <c r="L102" t="str">
        <f t="shared" si="93"/>
        <v>10.1038%2Fs41598-018-26062-8_Table1</v>
      </c>
      <c r="M102" t="str">
        <f t="array" ref="M102">IFERROR(INDEX(FileList!$A$1:$A$100,MATCH(TRUE,EXACT(L102,_xlfn.TEXTBEFORE(FileList!$A$1:$A$100,".tsv")),0)),"notfound")</f>
        <v>10.1038%2Fs41598-018-26062-8_Table1.tsv</v>
      </c>
      <c r="N102" s="2" t="s">
        <v>443</v>
      </c>
      <c r="P102" s="2" t="s">
        <v>48</v>
      </c>
      <c r="Q102" s="2" t="s">
        <v>49</v>
      </c>
      <c r="R102" s="2" t="s">
        <v>444</v>
      </c>
      <c r="S102" s="2" t="s">
        <v>51</v>
      </c>
      <c r="T102" s="2" t="s">
        <v>445</v>
      </c>
      <c r="U102" s="2" t="s">
        <v>446</v>
      </c>
      <c r="V102" s="2" t="s">
        <v>40</v>
      </c>
      <c r="Y102" s="2" t="s">
        <v>447</v>
      </c>
      <c r="Z102" s="2" t="s">
        <v>447</v>
      </c>
      <c r="AH102" s="2" t="s">
        <v>448</v>
      </c>
      <c r="AI102" s="2" t="s">
        <v>449</v>
      </c>
      <c r="AJ102" s="2" t="s">
        <v>450</v>
      </c>
      <c r="AK102" s="2" t="s">
        <v>61</v>
      </c>
      <c r="AL102" s="2" t="s">
        <v>61</v>
      </c>
      <c r="AM102" s="2" t="s">
        <v>451</v>
      </c>
    </row>
    <row r="103">
      <c r="A103" s="2" t="s">
        <v>442</v>
      </c>
      <c r="D103" s="2" t="s">
        <v>262</v>
      </c>
      <c r="E103" t="str">
        <f t="shared" si="94"/>
        <v>8</v>
      </c>
      <c r="F103" t="str">
        <f t="shared" si="90"/>
        <v>Kverkova_etal_2018</v>
      </c>
      <c r="G103" t="str">
        <f t="shared" si="95"/>
        <v>Kverkova</v>
      </c>
      <c r="H103" t="str">
        <f t="shared" si="97"/>
        <v>etal</v>
      </c>
      <c r="I103" t="str">
        <f t="shared" si="96"/>
        <v>2018</v>
      </c>
      <c r="J103" t="str">
        <f t="shared" si="92"/>
        <v>10.1038%2Fs41598-018-26062-8</v>
      </c>
      <c r="K103" t="str">
        <f t="shared" si="98"/>
        <v>Kverkova_etal_2018_TableS1</v>
      </c>
      <c r="L103" t="str">
        <f t="shared" si="93"/>
        <v>10.1038%2Fs41598-018-26062-8_TableS1</v>
      </c>
      <c r="M103" t="str">
        <f t="array" ref="M103">IFERROR(INDEX(FileList!$A$1:$A$100,MATCH(TRUE,EXACT(L103,_xlfn.TEXTBEFORE(FileList!$A$1:$A$100,".tsv")),0)),"notfound")</f>
        <v>10.1038%2Fs41598-018-26062-8_TableS1.tsv</v>
      </c>
      <c r="N103" s="2" t="s">
        <v>452</v>
      </c>
      <c r="P103" s="2" t="s">
        <v>48</v>
      </c>
      <c r="Q103" s="2" t="s">
        <v>49</v>
      </c>
      <c r="R103" s="2" t="s">
        <v>453</v>
      </c>
      <c r="S103" s="2" t="s">
        <v>51</v>
      </c>
      <c r="T103" s="2" t="s">
        <v>445</v>
      </c>
      <c r="U103" s="2" t="s">
        <v>446</v>
      </c>
      <c r="V103" s="2" t="s">
        <v>40</v>
      </c>
      <c r="W103" s="2" t="s">
        <v>169</v>
      </c>
      <c r="X103" s="2" t="s">
        <v>454</v>
      </c>
      <c r="Y103" s="2" t="s">
        <v>447</v>
      </c>
      <c r="Z103" s="2" t="s">
        <v>447</v>
      </c>
      <c r="AH103" s="2" t="s">
        <v>448</v>
      </c>
      <c r="AI103" s="2" t="s">
        <v>381</v>
      </c>
      <c r="AJ103" s="2" t="s">
        <v>450</v>
      </c>
      <c r="AK103" s="2" t="s">
        <v>455</v>
      </c>
      <c r="AL103" s="2" t="s">
        <v>61</v>
      </c>
      <c r="AM103" s="2" t="s">
        <v>383</v>
      </c>
    </row>
    <row r="104">
      <c r="A104" s="2" t="s">
        <v>442</v>
      </c>
      <c r="D104" s="2" t="s">
        <v>456</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Kverkova_etal_2018_TableS5</v>
      </c>
      <c r="L104" t="str">
        <f t="shared" si="93"/>
        <v>10.1038%2Fs41598-018-26062-8_TableS5</v>
      </c>
      <c r="M104" t="str">
        <f t="array" ref="M104">IFERROR(INDEX(FileList!$A$1:$A$100,MATCH(TRUE,EXACT(L104,_xlfn.TEXTBEFORE(FileList!$A$1:$A$100,".tsv")),0)),"notfound")</f>
        <v>10.1038%2Fs41598-018-26062-8_TableS5.tsv</v>
      </c>
      <c r="N104" s="2" t="s">
        <v>457</v>
      </c>
      <c r="P104" s="2" t="s">
        <v>48</v>
      </c>
      <c r="Q104" s="2" t="s">
        <v>49</v>
      </c>
      <c r="R104" s="2" t="s">
        <v>458</v>
      </c>
      <c r="S104" s="2" t="s">
        <v>51</v>
      </c>
      <c r="T104" s="2" t="s">
        <v>459</v>
      </c>
      <c r="U104" s="2" t="s">
        <v>460</v>
      </c>
      <c r="V104" s="2" t="s">
        <v>40</v>
      </c>
      <c r="W104" s="2" t="s">
        <v>169</v>
      </c>
      <c r="X104" s="2" t="s">
        <v>454</v>
      </c>
      <c r="Y104" s="2" t="s">
        <v>447</v>
      </c>
      <c r="Z104" s="2" t="s">
        <v>447</v>
      </c>
      <c r="AG104" s="2" t="s">
        <v>57</v>
      </c>
      <c r="AH104" s="2" t="s">
        <v>448</v>
      </c>
      <c r="AI104" s="2" t="s">
        <v>387</v>
      </c>
      <c r="AJ104" s="2" t="s">
        <v>450</v>
      </c>
      <c r="AK104" s="2" t="s">
        <v>61</v>
      </c>
      <c r="AL104" s="2" t="s">
        <v>61</v>
      </c>
      <c r="AM104" s="2" t="s">
        <v>62</v>
      </c>
    </row>
    <row r="105">
      <c r="A105" s="2" t="s">
        <v>461</v>
      </c>
      <c r="D105" s="2" t="s">
        <v>462</v>
      </c>
      <c r="E105" t="str">
        <f t="shared" si="94"/>
        <v>4</v>
      </c>
      <c r="F105" t="str">
        <f t="shared" si="90"/>
        <v>Lewitus_etal_2013</v>
      </c>
      <c r="G105" t="str">
        <f t="shared" si="95"/>
        <v>Lewitus</v>
      </c>
      <c r="H105" t="str">
        <f t="shared" si="97"/>
        <v>etal</v>
      </c>
      <c r="I105" t="str">
        <f t="shared" si="96"/>
        <v>2013</v>
      </c>
      <c r="J105" t="str">
        <f t="shared" si="92"/>
        <v>10.3389%2Ffnhum.2013.00424</v>
      </c>
      <c r="K105" t="str">
        <f t="shared" si="98"/>
        <v>Lewitus_etal_2013_TableS2partial</v>
      </c>
      <c r="L105" t="str">
        <f t="shared" si="93"/>
        <v>10.3389%2Ffnhum.2013.00424_TableS2partial</v>
      </c>
      <c r="M105" t="str">
        <f t="array" ref="M105">IFERROR(INDEX(FileList!$A$1:$A$100,MATCH(TRUE,EXACT(L105,_xlfn.TEXTBEFORE(FileList!$A$1:$A$100,".tsv")),0)),"notfound")</f>
        <v>10.3389%2Ffnhum.2013.00424_TableS2partial.tsv</v>
      </c>
      <c r="Q105" s="2" t="s">
        <v>110</v>
      </c>
      <c r="AI105" s="2" t="s">
        <v>463</v>
      </c>
      <c r="AJ105" s="2" t="s">
        <v>118</v>
      </c>
      <c r="AL105" s="2" t="s">
        <v>61</v>
      </c>
      <c r="AM105" s="2" t="s">
        <v>464</v>
      </c>
    </row>
    <row r="106">
      <c r="A106" s="2" t="s">
        <v>465</v>
      </c>
      <c r="D106" s="2" t="s">
        <v>262</v>
      </c>
      <c r="E106" t="str">
        <f t="shared" si="94"/>
        <v>0</v>
      </c>
      <c r="F106" t="str">
        <f t="shared" si="90"/>
        <v>Lewitus_etal_2014</v>
      </c>
      <c r="G106" t="str">
        <f t="shared" si="95"/>
        <v>Lewitus</v>
      </c>
      <c r="H106" t="str">
        <f t="shared" si="97"/>
        <v>etal</v>
      </c>
      <c r="I106" t="str">
        <f t="shared" si="96"/>
        <v>2014</v>
      </c>
      <c r="J106" t="str">
        <f t="shared" si="92"/>
        <v>10.1371%2Fjournal.pbio.1002000</v>
      </c>
      <c r="K106" t="str">
        <f t="shared" si="98"/>
        <v>Lewitus_etal_2014_TableS1</v>
      </c>
      <c r="L106" t="str">
        <f t="shared" si="93"/>
        <v>10.1371%2Fjournal.pbio.1002000_TableS1</v>
      </c>
      <c r="M106" t="str">
        <f t="array" ref="M106">IFERROR(INDEX(FileList!$A$1:$A$100,MATCH(TRUE,EXACT(L106,_xlfn.TEXTBEFORE(FileList!$A$1:$A$100,".tsv")),0)),"notfound")</f>
        <v>10.1371%2Fjournal.pbio.1002000_TableS1.tsv</v>
      </c>
      <c r="N106" s="2" t="s">
        <v>466</v>
      </c>
      <c r="Q106" s="2" t="s">
        <v>110</v>
      </c>
      <c r="AI106" s="2" t="s">
        <v>467</v>
      </c>
      <c r="AJ106" s="2" t="s">
        <v>118</v>
      </c>
      <c r="AL106" s="2" t="s">
        <v>119</v>
      </c>
      <c r="AM106" s="2" t="s">
        <v>468</v>
      </c>
    </row>
    <row r="107">
      <c r="A107" s="2" t="s">
        <v>465</v>
      </c>
      <c r="D107" s="2" t="s">
        <v>469</v>
      </c>
      <c r="E107" t="str">
        <f t="shared" si="94"/>
        <v>0</v>
      </c>
      <c r="F107" t="str">
        <f t="shared" si="90"/>
        <v>Lewitus_etal_2014</v>
      </c>
      <c r="G107" t="str">
        <f t="shared" si="95"/>
        <v>Lewitus</v>
      </c>
      <c r="H107" t="str">
        <f t="shared" si="97"/>
        <v>etal</v>
      </c>
      <c r="I107" t="str">
        <f t="shared" si="96"/>
        <v>2014</v>
      </c>
      <c r="J107" t="str">
        <f t="shared" si="92"/>
        <v>10.1371%2Fjournal.pbio.1002000</v>
      </c>
      <c r="K107" t="str">
        <f t="shared" si="98"/>
        <v>Lewitus_etal_2014_TableS8</v>
      </c>
      <c r="L107" t="str">
        <f t="shared" si="93"/>
        <v>10.1371%2Fjournal.pbio.1002000_TableS8</v>
      </c>
      <c r="M107" t="str">
        <f t="array" ref="M107">IFERROR(INDEX(FileList!$A$1:$A$100,MATCH(TRUE,EXACT(L107,_xlfn.TEXTBEFORE(FileList!$A$1:$A$100,".tsv")),0)),"notfound")</f>
        <v>10.1371%2Fjournal.pbio.1002000_TableS8.tsv</v>
      </c>
      <c r="N107" s="2" t="s">
        <v>470</v>
      </c>
      <c r="Q107" s="2" t="s">
        <v>110</v>
      </c>
      <c r="AI107" s="2" t="s">
        <v>467</v>
      </c>
      <c r="AJ107" s="2" t="s">
        <v>118</v>
      </c>
      <c r="AL107" s="2" t="s">
        <v>119</v>
      </c>
      <c r="AM107" s="2" t="s">
        <v>468</v>
      </c>
    </row>
    <row r="108">
      <c r="A108" s="2" t="s">
        <v>471</v>
      </c>
      <c r="D108" s="2" t="s">
        <v>78</v>
      </c>
      <c r="E108" t="str">
        <f t="shared" si="94"/>
        <v>5</v>
      </c>
      <c r="F108" t="str">
        <f t="shared" si="90"/>
        <v>MacLarnon__1996</v>
      </c>
      <c r="G108" t="str">
        <f t="shared" si="95"/>
        <v>MacLarnon</v>
      </c>
      <c r="H108" t="str">
        <f t="shared" si="97"/>
      </c>
      <c r="I108" t="str">
        <f t="shared" si="96"/>
        <v>1996</v>
      </c>
      <c r="J108" t="str">
        <f t="shared" si="92"/>
        <v>10.1006%2Fjhev.1996.0005</v>
      </c>
      <c r="K108" t="str">
        <f t="shared" si="98"/>
        <v>MacLarnon__1996_Table1</v>
      </c>
      <c r="L108" t="str">
        <f t="shared" si="93"/>
        <v>10.1006%2Fjhev.1996.0005_Table1</v>
      </c>
      <c r="M108" t="str">
        <f t="array" ref="M108">IFERROR(INDEX(FileList!$A$1:$A$100,MATCH(TRUE,EXACT(L108,_xlfn.TEXTBEFORE(FileList!$A$1:$A$100,".tsv")),0)),"notfound")</f>
        <v>10.1006%2Fjhev.1996.0005_Table1.tsv</v>
      </c>
      <c r="N108" s="2" t="s">
        <v>472</v>
      </c>
      <c r="P108" s="2" t="s">
        <v>48</v>
      </c>
      <c r="AI108" s="2" t="s">
        <v>473</v>
      </c>
      <c r="AJ108" s="2" t="s">
        <v>99</v>
      </c>
      <c r="AL108" s="2" t="s">
        <v>61</v>
      </c>
      <c r="AM108" s="2" t="s">
        <v>474</v>
      </c>
    </row>
    <row r="109">
      <c r="A109" s="2" t="s">
        <v>659</v>
      </c>
      <c r="C109" t="s">
        <v>660</v>
      </c>
      <c r="D109" s="2" t="s">
        <v>661</v>
      </c>
      <c r="E109" t="str">
        <f t="shared" ref="E109" si="135">RIGHT(A109,1)</f>
        <v>.</v>
      </c>
      <c r="F109" t="str">
        <f t="shared" ref="F109" si="136">G109 &amp; IF(H109&lt;&gt;"", "_" &amp; H109, "_") &amp; IF(I109&lt;&gt;"", "_" &amp; I109, "_") &amp; IF(B109&lt;&gt;"", "_" &amp; B109, "")</f>
        <v>MacLeod__2000</v>
      </c>
      <c r="G109" t="str">
        <f t="shared" ref="G109" si="137">SUBSTITUTE(SUBSTITUTE(_xlfn.TEXTBEFORE(A109,","), "-", ""), " ", "")</f>
        <v>MacLeod</v>
      </c>
      <c r="H109" t="str">
        <f t="shared" ref="H109" si="138">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c>
      <c r="I109" t="str">
        <f t="shared" ref="I109" si="139">_xlfn.TEXTBEFORE(_xlfn.TEXTAFTER(A109, "("), ")")</f>
        <v>2000</v>
      </c>
      <c r="J109" t="str">
        <f t="shared" ref="J109" si="140">_xlfn.LET(
_xlpm.doi,IF(C109&lt;&gt;"",C109,_xlfn.TEXTAFTER(A109,"https://doi.org/")),
SUBSTITUTE(
SUBSTITUTE(
SUBSTITUTE(
SUBSTITUTE(
_xlpm.doi,
"/","%2F"),
":","%3A"),
"&lt;","%3C"),
"&gt;","%3E")
)</f>
        <v>NQ%3A61662</v>
      </c>
      <c r="K109" t="str">
        <f t="shared" ref="K109" si="141">TRIM(_xlfn.TEXTJOIN("_",FALSE,F109,(SUBSTITUTE(SUBSTITUTE(D109," ",""), "_", ""))))</f>
        <v>MacLeod__2000_APPENDIXI</v>
      </c>
      <c r="L109" t="str">
        <f t="shared" ref="L109" si="142">J109 &amp; "_" &amp; SUBSTITUTE(SUBSTITUTE(SUBSTITUTE(D109,CHAR(160),"")," ",""),"_","")</f>
        <v>NQ%3A61662_APPENDIXI</v>
      </c>
      <c r="M109" t="str">
        <f t="array" ref="M109">IFERROR(INDEX(FileList!$A$1:$A$100,MATCH(TRUE,EXACT(L109,_xlfn.TEXTBEFORE(FileList!$A$1:$A$100,".tsv")),0)),"notfound")</f>
        <v>NQ%3A61662_APPENDIXI.tsv</v>
      </c>
      <c r="N109" s="2" t="s">
        <v>662</v>
      </c>
      <c r="P109" s="3"/>
      <c r="AI109" s="2"/>
      <c r="AJ109" s="2"/>
      <c r="AL109" s="2"/>
      <c r="AM109" s="2"/>
    </row>
    <row r="110">
      <c r="A110" s="2" t="s">
        <v>475</v>
      </c>
      <c r="D110" s="2" t="s">
        <v>78</v>
      </c>
      <c r="E110" t="str">
        <f t="shared" si="94"/>
        <v>9</v>
      </c>
      <c r="F110" t="str">
        <f t="shared" si="90"/>
        <v>MacLeod_etal_2003</v>
      </c>
      <c r="G110" t="str">
        <f t="shared" si="95"/>
        <v>MacLeod</v>
      </c>
      <c r="H110" t="str">
        <f t="shared" si="97"/>
        <v>etal</v>
      </c>
      <c r="I110" t="str">
        <f t="shared" si="96"/>
        <v>2003</v>
      </c>
      <c r="J110" t="str">
        <f t="shared" si="92"/>
        <v>10.1016%2Fs0047-2484(03)00028-9</v>
      </c>
      <c r="K110" t="str">
        <f t="shared" si="98"/>
        <v>MacLeod_etal_2003_Table1</v>
      </c>
      <c r="L110" t="str">
        <f t="shared" si="93"/>
        <v>10.1016%2Fs0047-2484(03)00028-9_Table1</v>
      </c>
      <c r="M110" t="str">
        <f t="array" ref="M110">IFERROR(INDEX(FileList!$A$1:$A$100,MATCH(TRUE,EXACT(L110,_xlfn.TEXTBEFORE(FileList!$A$1:$A$100,".tsv")),0)),"notfound")</f>
        <v>10.1016%2Fs0047-2484(03)00028-9_Table1.tsv</v>
      </c>
      <c r="N110" s="2" t="s">
        <v>476</v>
      </c>
      <c r="Y110" s="2" t="s">
        <v>477</v>
      </c>
      <c r="Z110" s="2" t="s">
        <v>477</v>
      </c>
      <c r="AF110" s="2" t="s">
        <v>478</v>
      </c>
      <c r="AG110" s="2" t="s">
        <v>93</v>
      </c>
      <c r="AI110" s="2" t="s">
        <v>479</v>
      </c>
      <c r="AJ110" s="2" t="s">
        <v>99</v>
      </c>
      <c r="AK110" s="2" t="s">
        <v>61</v>
      </c>
      <c r="AL110" s="2" t="s">
        <v>61</v>
      </c>
      <c r="AM110" s="2" t="s">
        <v>73</v>
      </c>
    </row>
    <row r="111">
      <c r="A111" s="2" t="s">
        <v>475</v>
      </c>
      <c r="D111" s="2" t="s">
        <v>100</v>
      </c>
      <c r="E111" t="str">
        <f t="shared" ref="E111:E112" si="143">RIGHT(A111,1)</f>
        <v>9</v>
      </c>
      <c r="F111" t="str">
        <f t="shared" si="90"/>
        <v>MacLeod_etal_2003</v>
      </c>
      <c r="G111" t="str">
        <f t="shared" ref="G111:G112" si="144">SUBSTITUTE(SUBSTITUTE(_xlfn.TEXTBEFORE(A111,","), "-", ""), " ", "")</f>
        <v>MacLeod</v>
      </c>
      <c r="H111" t="str">
        <f t="shared" si="97"/>
        <v>etal</v>
      </c>
      <c r="I111" t="str">
        <f t="shared" ref="I111:I112" si="145">_xlfn.TEXTBEFORE(_xlfn.TEXTAFTER(A111, "("), ")")</f>
        <v>2003</v>
      </c>
      <c r="J111" t="str">
        <f t="shared" si="92"/>
        <v>10.1016%2Fs0047-2484(03)00028-9</v>
      </c>
      <c r="K111" t="str">
        <f t="shared" ref="K111:K112" si="146">TRIM(_xlfn.TEXTJOIN("_",FALSE,F111,(SUBSTITUTE(SUBSTITUTE(D111," ",""), "_", ""))))</f>
        <v>MacLeod_etal_2003_Table2</v>
      </c>
      <c r="L111" t="str">
        <f t="shared" si="93"/>
        <v>10.1016%2Fs0047-2484(03)00028-9_Table2</v>
      </c>
      <c r="M111" t="str">
        <f t="array" ref="M111">IFERROR(INDEX(FileList!$A$1:$A$100,MATCH(TRUE,EXACT(L111,_xlfn.TEXTBEFORE(FileList!$A$1:$A$100,".tsv")),0)),"notfound")</f>
        <v>10.1016%2Fs0047-2484(03)00028-9_Table2.tsv</v>
      </c>
      <c r="N111" s="2" t="s">
        <v>480</v>
      </c>
      <c r="Y111" s="2" t="s">
        <v>481</v>
      </c>
      <c r="Z111" s="2" t="s">
        <v>481</v>
      </c>
      <c r="AF111" s="2" t="s">
        <v>70</v>
      </c>
      <c r="AG111" s="2" t="s">
        <v>93</v>
      </c>
      <c r="AI111" s="2" t="s">
        <v>479</v>
      </c>
      <c r="AJ111" s="2" t="s">
        <v>99</v>
      </c>
      <c r="AK111" s="2" t="s">
        <v>61</v>
      </c>
      <c r="AL111" s="2" t="s">
        <v>61</v>
      </c>
      <c r="AM111" s="2" t="s">
        <v>73</v>
      </c>
    </row>
    <row r="112">
      <c r="A112" s="2" t="s">
        <v>482</v>
      </c>
      <c r="D112" s="4"/>
      <c r="E112" t="str">
        <f t="shared" si="143"/>
        <v>2</v>
      </c>
      <c r="F112" t="str">
        <f t="shared" ref="F112" si="147">G112 &amp; IF(H112&lt;&gt;"", "_" &amp; H112, "_") &amp; IF(I112&lt;&gt;"", "_" &amp; I112, "_") &amp; IF(B112&lt;&gt;"", "_" &amp; B112, "")</f>
        <v>ManyPrimates__2022</v>
      </c>
      <c r="G112" t="str">
        <f t="shared" si="144"/>
        <v>ManyPrimates</v>
      </c>
      <c r="H112" t="str">
        <f t="shared" ref="H112" si="148">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c>
      <c r="I112" t="str">
        <f t="shared" si="145"/>
        <v>2022</v>
      </c>
      <c r="J112" t="str">
        <f>_xlfn.LET(
_xlpm.doi,IF(C109&lt;&gt;"",C109,_xlfn.TEXTAFTER(A112,"https://doi.org/")),
SUBSTITUTE(
SUBSTITUTE(
SUBSTITUTE(
SUBSTITUTE(
_xlpm.doi,
"/","%2F"),
":","%3A"),
"&lt;","%3C"),
"&gt;","%3E")
)</f>
        <v>NQ%3A61662</v>
      </c>
      <c r="K112" t="str">
        <f t="shared" si="146"/>
        <v>ManyPrimates__2022_</v>
      </c>
      <c r="L112" t="str">
        <f t="shared" si="93"/>
        <v>NQ%3A61662_</v>
      </c>
      <c r="M112" t="str">
        <f t="array" ref="M112">IFERROR(INDEX(FileList!$A$1:$A$100,MATCH(TRUE,EXACT(L112,_xlfn.TEXTBEFORE(FileList!$A$1:$A$100,".tsv")),0)),"notfound")</f>
        <v>notfound</v>
      </c>
      <c r="P112" s="2" t="s">
        <v>312</v>
      </c>
      <c r="Q112" s="2"/>
      <c r="T112" s="2"/>
      <c r="U112" s="2"/>
      <c r="V112" s="2"/>
      <c r="W112" s="2"/>
      <c r="X112" s="2"/>
      <c r="AA112" s="2"/>
      <c r="AH112" s="2"/>
      <c r="AI112" s="2"/>
      <c r="AJ112" s="2" t="s">
        <v>99</v>
      </c>
      <c r="AK112" s="2"/>
      <c r="AL112" s="2" t="s">
        <v>61</v>
      </c>
      <c r="AM112" s="2" t="s">
        <v>483</v>
      </c>
    </row>
    <row r="113">
      <c r="A113" s="2" t="s">
        <v>482</v>
      </c>
      <c r="D113" s="2" t="s">
        <v>484</v>
      </c>
      <c r="E113" t="str">
        <f t="shared" si="94"/>
        <v>2</v>
      </c>
      <c r="F113" t="str">
        <f t="shared" si="90"/>
        <v>ManyPrimates__2022</v>
      </c>
      <c r="G113" t="str">
        <f t="shared" si="95"/>
        <v>ManyPrimates</v>
      </c>
      <c r="H113" t="str">
        <f t="shared" si="97"/>
      </c>
      <c r="I113" t="str">
        <f t="shared" si="96"/>
        <v>2022</v>
      </c>
      <c r="J113" t="str">
        <f t="shared" si="92"/>
        <v>10.26451%2Fabc.09.04.06.2022</v>
      </c>
      <c r="K113" t="str">
        <f t="shared" si="98"/>
        <v>ManyPrimates__2022_data/speciespredictors.xlsx</v>
      </c>
      <c r="L113" t="str">
        <f t="shared" si="93"/>
        <v>10.26451%2Fabc.09.04.06.2022_data/speciespredictors.xlsx</v>
      </c>
      <c r="M113" t="str">
        <f t="array" ref="M113">IFERROR(INDEX(FileList!$A$1:$A$100,MATCH(TRUE,EXACT(L113,_xlfn.TEXTBEFORE(FileList!$A$1:$A$100,".tsv")),0)),"notfound")</f>
        <v>notfound</v>
      </c>
      <c r="P113" s="2" t="s">
        <v>485</v>
      </c>
      <c r="Q113" s="2" t="s">
        <v>178</v>
      </c>
      <c r="T113" s="2" t="str">
        <f>IF(S113="N", R113, "write file name")</f>
        <v>write file name</v>
      </c>
      <c r="U113" s="2" t="s">
        <v>161</v>
      </c>
      <c r="V113" s="2" t="s">
        <v>40</v>
      </c>
      <c r="W113" s="2" t="s">
        <v>162</v>
      </c>
      <c r="X113" s="2" t="s">
        <v>486</v>
      </c>
      <c r="AA113" s="2" t="s">
        <v>487</v>
      </c>
      <c r="AH113" s="2" t="s">
        <v>155</v>
      </c>
      <c r="AI113" s="2" t="s">
        <v>488</v>
      </c>
      <c r="AJ113" s="2" t="s">
        <v>99</v>
      </c>
      <c r="AK113" s="2" t="s">
        <v>119</v>
      </c>
      <c r="AL113" s="2"/>
      <c r="AM113" s="2" t="s">
        <v>483</v>
      </c>
    </row>
    <row r="114">
      <c r="A114" s="2" t="s">
        <v>489</v>
      </c>
      <c r="B114" s="2" t="s">
        <v>140</v>
      </c>
      <c r="D114" s="2" t="s">
        <v>78</v>
      </c>
      <c r="E114" t="str">
        <f t="shared" si="94"/>
        <v>2</v>
      </c>
      <c r="F114" t="str">
        <f t="shared" si="90"/>
        <v>Matano_etal_1985_a</v>
      </c>
      <c r="G114" t="str">
        <f t="shared" si="95"/>
        <v>Matano</v>
      </c>
      <c r="H114" t="str">
        <f t="shared" si="97"/>
        <v>etal</v>
      </c>
      <c r="I114" t="str">
        <f t="shared" si="96"/>
        <v>1985</v>
      </c>
      <c r="J114" t="str">
        <f t="shared" si="92"/>
        <v>10.1159%2F000156212</v>
      </c>
      <c r="K114" t="str">
        <f t="shared" si="98"/>
        <v>Matano_etal_1985_a_Table1</v>
      </c>
      <c r="L114" t="str">
        <f t="shared" si="93"/>
        <v>10.1159%2F000156212_Table1</v>
      </c>
      <c r="M114" t="str">
        <f t="array" ref="M114">IFERROR(INDEX(FileList!$A$1:$A$100,MATCH(TRUE,EXACT(L114,_xlfn.TEXTBEFORE(FileList!$A$1:$A$100,".tsv")),0)),"notfound")</f>
        <v>10.1159%2F000156212_Table1.tsv</v>
      </c>
      <c r="N114" s="2" t="s">
        <v>490</v>
      </c>
      <c r="P114" s="2" t="s">
        <v>48</v>
      </c>
      <c r="V114" s="2" t="s">
        <v>40</v>
      </c>
      <c r="Y114" s="2" t="s">
        <v>80</v>
      </c>
      <c r="Z114" s="2" t="s">
        <v>80</v>
      </c>
      <c r="AF114" s="2" t="s">
        <v>70</v>
      </c>
      <c r="AG114" s="2" t="s">
        <v>93</v>
      </c>
      <c r="AI114" s="2" t="s">
        <v>491</v>
      </c>
      <c r="AJ114" s="2" t="s">
        <v>82</v>
      </c>
      <c r="AK114" s="2" t="s">
        <v>61</v>
      </c>
      <c r="AL114" s="2" t="s">
        <v>61</v>
      </c>
      <c r="AM114" s="2" t="s">
        <v>73</v>
      </c>
    </row>
    <row r="115">
      <c r="A115" s="2" t="s">
        <v>492</v>
      </c>
      <c r="B115" s="2" t="s">
        <v>150</v>
      </c>
      <c r="D115" s="2" t="s">
        <v>78</v>
      </c>
      <c r="E115" t="str">
        <f t="shared" si="94"/>
        <v>1</v>
      </c>
      <c r="F115" t="str">
        <f t="shared" si="90"/>
        <v>Matano_etal_1985_b</v>
      </c>
      <c r="G115" t="str">
        <f t="shared" si="95"/>
        <v>Matano</v>
      </c>
      <c r="H115" t="str">
        <f t="shared" si="97"/>
        <v>etal</v>
      </c>
      <c r="I115" t="str">
        <f t="shared" si="96"/>
        <v>1985</v>
      </c>
      <c r="J115" t="str">
        <f t="shared" si="92"/>
        <v>10.1159%2F000156211</v>
      </c>
      <c r="K115" t="str">
        <f t="shared" si="98"/>
        <v>Matano_etal_1985_b_Table1</v>
      </c>
      <c r="L115" t="str">
        <f t="shared" si="93"/>
        <v>10.1159%2F000156211_Table1</v>
      </c>
      <c r="M115" t="str">
        <f t="array" ref="M115">IFERROR(INDEX(FileList!$A$1:$A$100,MATCH(TRUE,EXACT(L115,_xlfn.TEXTBEFORE(FileList!$A$1:$A$100,".tsv")),0)),"notfound")</f>
        <v>10.1159%2F000156211_Table1.tsv</v>
      </c>
      <c r="P115" s="2" t="s">
        <v>48</v>
      </c>
      <c r="Y115" s="2" t="s">
        <v>80</v>
      </c>
      <c r="Z115" s="2" t="s">
        <v>80</v>
      </c>
      <c r="AF115" s="2" t="s">
        <v>70</v>
      </c>
    </row>
    <row r="116">
      <c r="A116" s="2" t="s">
        <v>493</v>
      </c>
      <c r="D116" s="2" t="s">
        <v>281</v>
      </c>
      <c r="E116" t="str">
        <f t="shared" ref="E116" si="149">RIGHT(A116,1)</f>
        <v>F</v>
      </c>
      <c r="F116" t="str">
        <f t="shared" si="90"/>
        <v>Matano__2001</v>
      </c>
      <c r="G116" t="str">
        <f t="shared" ref="G116" si="150">SUBSTITUTE(SUBSTITUTE(_xlfn.TEXTBEFORE(A116,","), "-", ""), " ", "")</f>
        <v>Matano</v>
      </c>
      <c r="H116" t="str">
        <f t="shared" si="97"/>
      </c>
      <c r="I116" t="str">
        <f t="shared" ref="I116" si="151">_xlfn.TEXTBEFORE(_xlfn.TEXTAFTER(A116, "("), ")")</f>
        <v>2001</v>
      </c>
      <c r="J116" t="str">
        <f t="shared" si="92"/>
        <v>10.1002%2F1096-8644(200102)114%3A2%3C163%3A%3AAID-AJPA1016%3E3.0.CO;2-F</v>
      </c>
      <c r="K116" t="str">
        <f t="shared" ref="K116" si="152">TRIM(_xlfn.TEXTJOIN("_",FALSE,F116,(SUBSTITUTE(SUBSTITUTE(D116," ",""), "_", ""))))</f>
        <v>Matano__2001_TABLE2</v>
      </c>
      <c r="L116" t="str">
        <f t="shared" si="93"/>
        <v>10.1002%2F1096-8644(200102)114%3A2%3C163%3A%3AAID-AJPA1016%3E3.0.CO;2-F_TABLE2</v>
      </c>
      <c r="M116" t="str">
        <f t="array" ref="M116">IFERROR(INDEX(FileList!$A$1:$A$100,MATCH(TRUE,EXACT(L116,_xlfn.TEXTBEFORE(FileList!$A$1:$A$100,".tsv")),0)),"notfound")</f>
        <v>10.1002%2F1096-8644(200102)114%3A2%3C163%3A%3AAID-AJPA1016%3E3.0.CO;2-F_TABLE2.tsv</v>
      </c>
      <c r="N116" s="3" t="s">
        <v>494</v>
      </c>
      <c r="Y116" s="3"/>
      <c r="Z116" s="3"/>
      <c r="AF116" s="3"/>
    </row>
    <row r="117">
      <c r="A117" s="2" t="s">
        <v>495</v>
      </c>
      <c r="D117" s="2" t="s">
        <v>262</v>
      </c>
      <c r="E117" t="str">
        <f t="shared" si="94"/>
        <v>1</v>
      </c>
      <c r="F117" t="str">
        <f t="shared" si="90"/>
        <v>Mota_Herculano-Houzel_2015</v>
      </c>
      <c r="G117" t="str">
        <f t="shared" si="95"/>
        <v>Mota</v>
      </c>
      <c r="H117" t="str">
        <f t="shared" si="97"/>
        <v>Herculano-Houzel</v>
      </c>
      <c r="I117" t="str">
        <f t="shared" si="96"/>
        <v>2015</v>
      </c>
      <c r="J117" t="str">
        <f t="shared" si="92"/>
        <v>10.1126%2Fscience.aaa9101</v>
      </c>
      <c r="K117" t="str">
        <f t="shared" si="98"/>
        <v>Mota_Herculano-Houzel_2015_TableS1</v>
      </c>
      <c r="L117" t="str">
        <f t="shared" si="93"/>
        <v>10.1126%2Fscience.aaa9101_TableS1</v>
      </c>
      <c r="M117" t="str">
        <f t="array" ref="M117">IFERROR(INDEX(FileList!$A$1:$A$100,MATCH(TRUE,EXACT(L117,_xlfn.TEXTBEFORE(FileList!$A$1:$A$100,".tsv")),0)),"notfound")</f>
        <v>10.1126%2Fscience.aaa9101_TableS1.tsv</v>
      </c>
      <c r="P117" s="2"/>
      <c r="Q117" s="2" t="s">
        <v>110</v>
      </c>
      <c r="AI117" s="2" t="s">
        <v>496</v>
      </c>
      <c r="AJ117" s="2" t="s">
        <v>118</v>
      </c>
      <c r="AL117" s="2" t="s">
        <v>339</v>
      </c>
      <c r="AM117" s="2" t="s">
        <v>496</v>
      </c>
    </row>
    <row r="118">
      <c r="A118" s="2" t="s">
        <v>497</v>
      </c>
      <c r="D118" s="2" t="s">
        <v>498</v>
      </c>
      <c r="E118" t="str">
        <f t="shared" si="94"/>
        <v>6</v>
      </c>
      <c r="F118" t="str">
        <f t="shared" si="90"/>
        <v>Mota_etal_2019</v>
      </c>
      <c r="G118" t="str">
        <f t="shared" si="95"/>
        <v>Mota</v>
      </c>
      <c r="H118" t="str">
        <f t="shared" si="97"/>
        <v>etal</v>
      </c>
      <c r="I118" t="str">
        <f t="shared" si="96"/>
        <v>2019</v>
      </c>
      <c r="J118" t="str">
        <f t="shared" si="92"/>
        <v>10.1073%2Fpnas.1716956116</v>
      </c>
      <c r="K118" t="str">
        <f t="shared" si="98"/>
        <v>Mota_etal_2019_SupplementaryTableS1</v>
      </c>
      <c r="L118" t="str">
        <f t="shared" si="93"/>
        <v>10.1073%2Fpnas.1716956116_SupplementaryTableS1</v>
      </c>
      <c r="M118" t="str">
        <f t="array" ref="M118">IFERROR(INDEX(FileList!$A$1:$A$100,MATCH(TRUE,EXACT(L118,_xlfn.TEXTBEFORE(FileList!$A$1:$A$100,".tsv")),0)),"notfound")</f>
        <v>10.1073%2Fpnas.1716956116_SupplementaryTableS1.tsv</v>
      </c>
      <c r="N118" s="2" t="s">
        <v>499</v>
      </c>
      <c r="P118" s="2" t="s">
        <v>312</v>
      </c>
      <c r="AA118" s="2" t="s">
        <v>500</v>
      </c>
      <c r="AI118" s="2" t="s">
        <v>501</v>
      </c>
      <c r="AJ118" s="2" t="s">
        <v>118</v>
      </c>
      <c r="AL118" s="2" t="s">
        <v>339</v>
      </c>
      <c r="AM118" s="2" t="s">
        <v>502</v>
      </c>
    </row>
    <row r="119">
      <c r="A119" s="2" t="s">
        <v>503</v>
      </c>
      <c r="C119" s="2" t="s">
        <v>504</v>
      </c>
      <c r="D119" s="2" t="s">
        <v>505</v>
      </c>
      <c r="E119" t="str">
        <f t="shared" si="94"/>
        <v>5</v>
      </c>
      <c r="F119" t="str">
        <f t="shared" si="90"/>
        <v>Powell_etal_2017</v>
      </c>
      <c r="G119" t="str">
        <f t="shared" si="95"/>
        <v>Powell</v>
      </c>
      <c r="H119" t="str">
        <f t="shared" si="97"/>
        <v>etal</v>
      </c>
      <c r="I119" t="str">
        <f t="shared" si="96"/>
        <v>2017</v>
      </c>
      <c r="J119" t="str">
        <f t="shared" si="92"/>
        <v>10.6084%2Fm9.figshare.c.3899422.v1</v>
      </c>
      <c r="K119" t="str">
        <f t="shared" si="98"/>
        <v>Powell_etal_2017_Dataset1</v>
      </c>
      <c r="L119" t="str">
        <f t="shared" si="93"/>
        <v>10.6084%2Fm9.figshare.c.3899422.v1_Dataset1</v>
      </c>
      <c r="M119" t="str">
        <f t="array" ref="M119">IFERROR(INDEX(FileList!$A$1:$A$100,MATCH(TRUE,EXACT(L119,_xlfn.TEXTBEFORE(FileList!$A$1:$A$100,".tsv")),0)),"notfound")</f>
        <v>10.6084%2Fm9.figshare.c.3899422.v1_Dataset1.tsv</v>
      </c>
      <c r="P119" s="2" t="s">
        <v>312</v>
      </c>
      <c r="Q119" s="2" t="s">
        <v>178</v>
      </c>
      <c r="T119" s="2" t="str">
        <f>IF(S119="N", R119, "write file name")</f>
        <v>write file name</v>
      </c>
      <c r="U119" s="2" t="s">
        <v>161</v>
      </c>
      <c r="V119" s="2" t="s">
        <v>40</v>
      </c>
      <c r="W119" s="2" t="s">
        <v>162</v>
      </c>
      <c r="X119" s="2" t="s">
        <v>506</v>
      </c>
      <c r="AA119" s="2" t="s">
        <v>117</v>
      </c>
      <c r="AH119" s="2" t="s">
        <v>155</v>
      </c>
      <c r="AI119" s="2" t="s">
        <v>507</v>
      </c>
      <c r="AJ119" s="2" t="s">
        <v>99</v>
      </c>
      <c r="AK119" s="2" t="s">
        <v>119</v>
      </c>
      <c r="AL119" s="2" t="s">
        <v>119</v>
      </c>
      <c r="AM119" s="2" t="s">
        <v>507</v>
      </c>
    </row>
    <row r="120">
      <c r="A120" s="2" t="s">
        <v>508</v>
      </c>
      <c r="D120" s="2" t="s">
        <v>78</v>
      </c>
      <c r="E120" t="str">
        <f t="shared" ref="E120" si="153">RIGHT(A120,1)</f>
        <v>5</v>
      </c>
      <c r="F120" t="str">
        <f t="shared" si="90"/>
        <v>Rilling_Insel_1998</v>
      </c>
      <c r="G120" t="str">
        <f t="shared" ref="G120" si="154">SUBSTITUTE(SUBSTITUTE(_xlfn.TEXTBEFORE(A120,","), "-", ""), " ", "")</f>
        <v>Rilling</v>
      </c>
      <c r="H120" t="str">
        <f t="shared" si="97"/>
        <v>Insel</v>
      </c>
      <c r="I120" t="str">
        <f t="shared" ref="I120" si="155">_xlfn.TEXTBEFORE(_xlfn.TEXTAFTER(A120, "("), ")")</f>
        <v>1998</v>
      </c>
      <c r="J120" t="str">
        <f t="shared" si="92"/>
        <v>10.1159%2F000006575</v>
      </c>
      <c r="K120" t="str">
        <f t="shared" ref="K120" si="156">TRIM(_xlfn.TEXTJOIN("_",FALSE,F120,(SUBSTITUTE(SUBSTITUTE(D120," ",""), "_", ""))))</f>
        <v>Rilling_Insel_1998_Table1</v>
      </c>
      <c r="L120" t="str">
        <f t="shared" si="93"/>
        <v>10.1159%2F000006575_Table1</v>
      </c>
      <c r="M120" t="str">
        <f t="array" ref="M120">IFERROR(INDEX(FileList!$A$1:$A$100,MATCH(TRUE,EXACT(L120,_xlfn.TEXTBEFORE(FileList!$A$1:$A$100,".tsv")),0)),"notfound")</f>
        <v>10.1159%2F000006575_Table1.tsv</v>
      </c>
      <c r="N120" s="2" t="s">
        <v>509</v>
      </c>
      <c r="Y120" s="2" t="s">
        <v>477</v>
      </c>
      <c r="Z120" s="2" t="s">
        <v>477</v>
      </c>
      <c r="AF120" s="2" t="s">
        <v>478</v>
      </c>
      <c r="AG120" s="2" t="s">
        <v>93</v>
      </c>
    </row>
    <row r="121">
      <c r="A121" s="2" t="s">
        <v>627</v>
      </c>
      <c r="D121" s="2" t="s">
        <v>78</v>
      </c>
      <c r="E121" t="str">
        <f t="shared" ref="E121" si="157">RIGHT(A121,1)</f>
        <v>3</v>
      </c>
      <c r="F121" t="str">
        <f t="shared" ref="F121" si="158">G121 &amp; IF(H121&lt;&gt;"", "_" &amp; H121, "_") &amp; IF(I121&lt;&gt;"", "_" &amp; I121, "_") &amp; IF(B121&lt;&gt;"", "_" &amp; B121, "")</f>
        <v>Rilling_Insel_1999</v>
      </c>
      <c r="G121" t="str">
        <f t="shared" ref="G121" si="159">SUBSTITUTE(SUBSTITUTE(_xlfn.TEXTBEFORE(A121,","), "-", ""), " ", "")</f>
        <v>Rilling</v>
      </c>
      <c r="H121" t="str">
        <f t="shared" ref="H121" si="160">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Insel</v>
      </c>
      <c r="I121" t="str">
        <f t="shared" ref="I121" si="161">_xlfn.TEXTBEFORE(_xlfn.TEXTAFTER(A121, "("), ")")</f>
        <v>1999</v>
      </c>
      <c r="J121" t="str">
        <f t="shared" ref="J121" si="162">_xlfn.LET(
_xlpm.doi,IF(C121&lt;&gt;"",C121,_xlfn.TEXTAFTER(A121,"https://doi.org/")),
SUBSTITUTE(
SUBSTITUTE(
SUBSTITUTE(
SUBSTITUTE(
_xlpm.doi,
"/","%2F"),
":","%3A"),
"&lt;","%3C"),
"&gt;","%3E")
)</f>
        <v>10.1006%2Fjhev.1999.0313</v>
      </c>
      <c r="K121" t="str">
        <f t="shared" ref="K121" si="163">TRIM(_xlfn.TEXTJOIN("_",FALSE,F121,(SUBSTITUTE(SUBSTITUTE(D121," ",""), "_", ""))))</f>
        <v>Rilling_Insel_1999_Table1</v>
      </c>
      <c r="L121" t="str">
        <f t="shared" ref="L121" si="164">J121 &amp; "_" &amp; SUBSTITUTE(SUBSTITUTE(SUBSTITUTE(D121,CHAR(160),"")," ",""),"_","")</f>
        <v>10.1006%2Fjhev.1999.0313_Table1</v>
      </c>
      <c r="M121" t="str">
        <f t="array" ref="M121">IFERROR(INDEX(FileList!$A$1:$A$100,MATCH(TRUE,EXACT(L121,_xlfn.TEXTBEFORE(FileList!$A$1:$A$100,".tsv")),0)),"notfound")</f>
        <v>10.1006%2Fjhev.1999.0313_Table1.tsv</v>
      </c>
      <c r="N121" s="2" t="s">
        <v>628</v>
      </c>
      <c r="Y121" s="2" t="s">
        <v>477</v>
      </c>
      <c r="Z121" s="3" t="s">
        <v>477</v>
      </c>
      <c r="AF121" s="2"/>
      <c r="AG121" s="2"/>
    </row>
    <row r="122">
      <c r="A122" s="2" t="s">
        <v>510</v>
      </c>
      <c r="D122" s="2" t="s">
        <v>511</v>
      </c>
      <c r="E122" t="str">
        <f t="shared" ref="E122" si="165">RIGHT(A122,1)</f>
        <v>2</v>
      </c>
      <c r="F122" t="str">
        <f t="shared" ref="F122" si="166">G122 &amp; IF(H122&lt;&gt;"", "_" &amp; H122, "_") &amp; IF(I122&lt;&gt;"", "_" &amp; I122, "_") &amp; IF(B122&lt;&gt;"", "_" &amp; B122, "")</f>
        <v>Schniter_Penaherrera-Aguirre_2026</v>
      </c>
      <c r="G122" t="str">
        <f t="shared" ref="G122" si="167">SUBSTITUTE(SUBSTITUTE(_xlfn.TEXTBEFORE(A122,","), "-", ""), " ", "")</f>
        <v>Schniter</v>
      </c>
      <c r="H122" t="str">
        <f t="shared" ref="H122" si="168">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2" t="str">
        <f t="shared" ref="I122" si="169">_xlfn.TEXTBEFORE(_xlfn.TEXTAFTER(A122, "("), ")")</f>
        <v>2026</v>
      </c>
      <c r="J122" t="str">
        <f t="shared" si="92"/>
        <v>10.1007%2Fs10329-026-01271-2</v>
      </c>
      <c r="K122" t="str">
        <f t="shared" ref="K122" si="170">TRIM(_xlfn.TEXTJOIN("_",FALSE,F122,(SUBSTITUTE(SUBSTITUTE(D122," ",""), "_", ""))))</f>
        <v>Schniter_Penaherrera-Aguirre_2026_data</v>
      </c>
      <c r="L122" t="str">
        <f t="shared" si="93"/>
        <v>10.1007%2Fs10329-026-01271-2_data</v>
      </c>
      <c r="M122" t="str">
        <f t="array" ref="M122">IFERROR(INDEX(FileList!$A$1:$A$100,MATCH(TRUE,EXACT(L122,_xlfn.TEXTBEFORE(FileList!$A$1:$A$100,".tsv")),0)),"notfound")</f>
        <v>notfound</v>
      </c>
      <c r="N122" s="2" t="s">
        <v>511</v>
      </c>
      <c r="Z122" s="3"/>
      <c r="AF122" s="2"/>
      <c r="AG122" s="2"/>
    </row>
    <row r="123">
      <c r="A123" s="2" t="s">
        <v>512</v>
      </c>
      <c r="D123" s="2" t="s">
        <v>281</v>
      </c>
      <c r="E123" t="str">
        <f t="shared" ref="E123:E167" si="171">RIGHT(A123,1)</f>
        <v>L</v>
      </c>
      <c r="F123" t="str">
        <f t="shared" si="90"/>
        <v>Semendeferi_etal_1998</v>
      </c>
      <c r="G123" t="str">
        <f t="shared" ref="G123:G166" si="172">SUBSTITUTE(SUBSTITUTE(_xlfn.TEXTBEFORE(A123,","), "-", ""), " ", "")</f>
        <v>Semendeferi</v>
      </c>
      <c r="H123"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t="str">
        <f t="shared" ref="I123:I166" si="173">_xlfn.TEXTBEFORE(_xlfn.TEXTAFTER(A123, "("), ")")</f>
        <v>1998</v>
      </c>
      <c r="J123" t="str">
        <f t="shared" si="92"/>
        <v>10.1002%2F(SICI)1096-8644(199806)106%3A2%3C129%3A%3AAID-AJPA3%3E3.0.CO;2-L</v>
      </c>
      <c r="K123" t="str">
        <f t="shared" ref="K123:K166" si="174">TRIM(_xlfn.TEXTJOIN("_",FALSE,F123,(SUBSTITUTE(SUBSTITUTE(D123," ",""), "_", ""))))</f>
        <v>Semendeferi_etal_1998_TABLE2</v>
      </c>
      <c r="L123" t="str">
        <f t="shared" si="93"/>
        <v>10.1002%2F(SICI)1096-8644(199806)106%3A2%3C129%3A%3AAID-AJPA3%3E3.0.CO;2-L_TABLE2</v>
      </c>
      <c r="M123" t="str">
        <f t="array" ref="M123">IFERROR(INDEX(FileList!$A$1:$A$100,MATCH(TRUE,EXACT(L123,_xlfn.TEXTBEFORE(FileList!$A$1:$A$100,".tsv")),0)),"notfound")</f>
        <v>10.1002%2F(SICI)1096-8644(199806)106%3A2%3C129%3A%3AAID-AJPA3%3E3.0.CO;2-L_TABLE2.tsv</v>
      </c>
      <c r="N123" s="2" t="s">
        <v>513</v>
      </c>
      <c r="P123" s="2" t="s">
        <v>48</v>
      </c>
      <c r="Y123" s="2" t="s">
        <v>69</v>
      </c>
      <c r="AF123" s="2" t="s">
        <v>70</v>
      </c>
      <c r="AG123" s="2" t="s">
        <v>93</v>
      </c>
      <c r="AI123" s="2" t="s">
        <v>514</v>
      </c>
      <c r="AJ123" s="2" t="s">
        <v>72</v>
      </c>
      <c r="AK123" s="2" t="s">
        <v>61</v>
      </c>
      <c r="AL123" s="2" t="s">
        <v>61</v>
      </c>
      <c r="AM123" s="2" t="s">
        <v>73</v>
      </c>
    </row>
    <row r="124">
      <c r="A124" s="2" t="s">
        <v>515</v>
      </c>
      <c r="D124" s="2" t="s">
        <v>281</v>
      </c>
      <c r="E124" t="str">
        <f t="shared" si="171"/>
        <v>I</v>
      </c>
      <c r="F124" t="str">
        <f t="shared" si="90"/>
        <v>Semendeferi_etal_2001</v>
      </c>
      <c r="G124" t="str">
        <f t="shared" si="172"/>
        <v>Semendeferi</v>
      </c>
      <c r="H124" t="str">
        <f t="shared" si="97"/>
        <v>etal</v>
      </c>
      <c r="I124" t="str">
        <f t="shared" si="173"/>
        <v>2001</v>
      </c>
      <c r="J124" t="str">
        <f t="shared" si="92"/>
        <v>10.1002%2F1096-8644(200103)114%3A3%3C224%3A%3AAID-AJPA1022%3E3.0.CO;2-I</v>
      </c>
      <c r="K124" t="str">
        <f t="shared" si="174"/>
        <v>Semendeferi_etal_2001_TABLE2</v>
      </c>
      <c r="L124" t="str">
        <f t="shared" si="93"/>
        <v>10.1002%2F1096-8644(200103)114%3A3%3C224%3A%3AAID-AJPA1022%3E3.0.CO;2-I_TABLE2</v>
      </c>
      <c r="M124" t="str">
        <f t="array" ref="M124">IFERROR(INDEX(FileList!$A$1:$A$100,MATCH(TRUE,EXACT(L124,_xlfn.TEXTBEFORE(FileList!$A$1:$A$100,".tsv")),0)),"notfound")</f>
        <v>10.1002%2F1096-8644(200103)114%3A3%3C224%3A%3AAID-AJPA1022%3E3.0.CO;2-I_TABLE2.tsv</v>
      </c>
      <c r="N124" s="2" t="s">
        <v>516</v>
      </c>
      <c r="P124" s="2" t="s">
        <v>48</v>
      </c>
      <c r="Y124" s="2" t="s">
        <v>69</v>
      </c>
      <c r="AF124" s="2" t="s">
        <v>70</v>
      </c>
      <c r="AG124" s="2" t="s">
        <v>93</v>
      </c>
      <c r="AI124" s="2" t="s">
        <v>517</v>
      </c>
      <c r="AJ124" s="2" t="s">
        <v>72</v>
      </c>
      <c r="AK124" s="2" t="s">
        <v>61</v>
      </c>
      <c r="AL124" s="2" t="s">
        <v>61</v>
      </c>
      <c r="AM124" s="2" t="s">
        <v>73</v>
      </c>
    </row>
    <row r="125">
      <c r="A125" s="2" t="s">
        <v>518</v>
      </c>
      <c r="D125" s="2" t="s">
        <v>78</v>
      </c>
      <c r="E125" t="str">
        <f t="shared" si="171"/>
        <v>4</v>
      </c>
      <c r="F125" t="str">
        <f t="shared" si="90"/>
        <v>Semendeferi_etal_2002</v>
      </c>
      <c r="G125" t="str">
        <f t="shared" si="172"/>
        <v>Semendeferi</v>
      </c>
      <c r="H125" t="str">
        <f t="shared" si="97"/>
        <v>etal</v>
      </c>
      <c r="I125" t="str">
        <f t="shared" si="173"/>
        <v>2002</v>
      </c>
      <c r="J125" t="str">
        <f t="shared" si="92"/>
        <v>10.1038%2Fnn814</v>
      </c>
      <c r="K125" t="str">
        <f t="shared" si="174"/>
        <v>Semendeferi_etal_2002_Table1</v>
      </c>
      <c r="L125" t="str">
        <f t="shared" si="93"/>
        <v>10.1038%2Fnn814_Table1</v>
      </c>
      <c r="M125" t="str">
        <f t="array" ref="M125">IFERROR(INDEX(FileList!$A$1:$A$100,MATCH(TRUE,EXACT(L125,_xlfn.TEXTBEFORE(FileList!$A$1:$A$100,".tsv")),0)),"notfound")</f>
        <v>notfound</v>
      </c>
      <c r="N125" s="2" t="s">
        <v>519</v>
      </c>
      <c r="Y125" s="2" t="s">
        <v>69</v>
      </c>
      <c r="AF125" s="2" t="s">
        <v>70</v>
      </c>
      <c r="AG125" s="2" t="s">
        <v>93</v>
      </c>
      <c r="AI125" s="2" t="s">
        <v>520</v>
      </c>
      <c r="AJ125" s="2" t="s">
        <v>72</v>
      </c>
      <c r="AK125" s="2" t="s">
        <v>61</v>
      </c>
      <c r="AL125" s="2" t="s">
        <v>61</v>
      </c>
      <c r="AM125" s="2" t="s">
        <v>73</v>
      </c>
    </row>
    <row r="126">
      <c r="A126" s="2" t="s">
        <v>768</v>
      </c>
      <c r="D126" s="2"/>
      <c r="E126" t="str">
        <f t="shared" ref="E126" si="175">RIGHT(A126,1)</f>
        <v>1</v>
      </c>
      <c r="F126" t="str">
        <f t="shared" ref="F126" si="176">G126 &amp; IF(H126&lt;&gt;"", "_" &amp; H126, "_") &amp; IF(I126&lt;&gt;"", "_" &amp; I126, "_") &amp; IF(B126&lt;&gt;"", "_" &amp; B126, "")</f>
        <v>Semendeferi_Damasio_2000</v>
      </c>
      <c r="G126" t="str">
        <f t="shared" ref="G126" si="177">SUBSTITUTE(SUBSTITUTE(_xlfn.TEXTBEFORE(A126,","), "-", ""), " ", "")</f>
        <v>Semendeferi</v>
      </c>
      <c r="H126" t="str">
        <f t="shared" ref="H126" si="178">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Damasio</v>
      </c>
      <c r="I126" t="str">
        <f t="shared" ref="I126" si="179">_xlfn.TEXTBEFORE(_xlfn.TEXTAFTER(A126, "("), ")")</f>
        <v>2000</v>
      </c>
      <c r="J126" t="str">
        <f t="shared" ref="J126" si="180">_xlfn.LET(
_xlpm.doi,IF(C126&lt;&gt;"",C126,_xlfn.TEXTAFTER(A126,"https://doi.org/")),
SUBSTITUTE(
SUBSTITUTE(
SUBSTITUTE(
SUBSTITUTE(
_xlpm.doi,
"/","%2F"),
":","%3A"),
"&lt;","%3C"),
"&gt;","%3E")
)</f>
        <v>10.1006%2Fjhev.1999.0381</v>
      </c>
      <c r="K126" t="str">
        <f t="shared" ref="K126" si="181">TRIM(_xlfn.TEXTJOIN("_",FALSE,F126,(SUBSTITUTE(SUBSTITUTE(D126," ",""), "_", ""))))</f>
        <v>Semendeferi_Damasio_2000_</v>
      </c>
      <c r="L126" t="str">
        <f t="shared" ref="L126" si="182">J126 &amp; "_" &amp; SUBSTITUTE(SUBSTITUTE(SUBSTITUTE(D126,CHAR(160),"")," ",""),"_","")</f>
        <v>10.1006%2Fjhev.1999.0381_</v>
      </c>
      <c r="M126" t="str">
        <f t="array" ref="M126">IFERROR(INDEX(FileList!$A$1:$A$100,MATCH(TRUE,EXACT(L126,_xlfn.TEXTBEFORE(FileList!$A$1:$A$100,".tsv")),0)),"notfound")</f>
        <v>notfound</v>
      </c>
      <c r="N126" s="2"/>
      <c r="Y126" s="2"/>
      <c r="AF126" s="2"/>
      <c r="AG126" s="2"/>
      <c r="AI126" s="2"/>
      <c r="AJ126" s="2"/>
      <c r="AK126" s="2"/>
      <c r="AL126" s="2"/>
      <c r="AM126" s="2"/>
    </row>
    <row r="127">
      <c r="A127" s="2" t="s">
        <v>521</v>
      </c>
      <c r="D127" s="2" t="s">
        <v>78</v>
      </c>
      <c r="E127" t="str">
        <f t="shared" si="171"/>
        <v>3</v>
      </c>
      <c r="F127" t="str">
        <f t="shared" si="90"/>
        <v>Sherwood_etal_2005</v>
      </c>
      <c r="G127" t="str">
        <f t="shared" si="172"/>
        <v>Sherwood</v>
      </c>
      <c r="H127" t="str">
        <f t="shared" si="97"/>
        <v>etal</v>
      </c>
      <c r="I127" t="str">
        <f t="shared" si="173"/>
        <v>2005</v>
      </c>
      <c r="J127" t="str">
        <f t="shared" si="92"/>
        <v>10.1016%2Fj.jhevol.2004.10.003</v>
      </c>
      <c r="K127" t="str">
        <f t="shared" si="174"/>
        <v>Sherwood_etal_2005_Table1</v>
      </c>
      <c r="L127" t="str">
        <f t="shared" si="93"/>
        <v>10.1016%2Fj.jhevol.2004.10.003_Table1</v>
      </c>
      <c r="M127" t="str">
        <f t="array" ref="M127">IFERROR(INDEX(FileList!$A$1:$A$100,MATCH(TRUE,EXACT(L127,_xlfn.TEXTBEFORE(FileList!$A$1:$A$100,".tsv")),0)),"notfound")</f>
        <v>10.1016%2Fj.jhevol.2004.10.003_Table1.tsv</v>
      </c>
      <c r="N127" s="2" t="s">
        <v>522</v>
      </c>
      <c r="V127" s="2" t="s">
        <v>40</v>
      </c>
      <c r="Y127" s="2" t="s">
        <v>80</v>
      </c>
      <c r="Z127" s="2" t="s">
        <v>481</v>
      </c>
      <c r="AF127" s="2" t="s">
        <v>70</v>
      </c>
      <c r="AG127" s="2" t="s">
        <v>93</v>
      </c>
      <c r="AI127" s="2" t="s">
        <v>523</v>
      </c>
      <c r="AJ127" s="2" t="s">
        <v>128</v>
      </c>
      <c r="AK127" s="2" t="s">
        <v>61</v>
      </c>
      <c r="AL127" s="2" t="s">
        <v>61</v>
      </c>
      <c r="AM127" s="2" t="s">
        <v>73</v>
      </c>
    </row>
    <row r="128">
      <c r="A128" s="2" t="s">
        <v>524</v>
      </c>
      <c r="B128" s="2" t="s">
        <v>525</v>
      </c>
      <c r="D128" s="2" t="s">
        <v>39</v>
      </c>
      <c r="E128" t="str">
        <f t="shared" si="171"/>
        <v>2</v>
      </c>
      <c r="F128" t="str">
        <f t="shared" si="90"/>
        <v>Sherwood_etal_2004_I</v>
      </c>
      <c r="G128" t="str">
        <f t="shared" si="172"/>
        <v>Sherwood</v>
      </c>
      <c r="H128" t="str">
        <f t="shared" si="97"/>
        <v>etal</v>
      </c>
      <c r="I128" t="str">
        <f t="shared" si="173"/>
        <v>2004</v>
      </c>
      <c r="J128" t="str">
        <f t="shared" si="92"/>
        <v>10.1159%2F000075672</v>
      </c>
      <c r="K128" t="str">
        <f t="shared" si="174"/>
        <v>Sherwood_etal_2004_I_Table4</v>
      </c>
      <c r="L128" t="str">
        <f t="shared" si="93"/>
        <v>10.1159%2F000075672_Table4</v>
      </c>
      <c r="M128" t="str">
        <f t="array" ref="M128">IFERROR(INDEX(FileList!$A$1:$A$100,MATCH(TRUE,EXACT(L128,_xlfn.TEXTBEFORE(FileList!$A$1:$A$100,".tsv")),0)),"notfound")</f>
        <v>notfound</v>
      </c>
      <c r="N128" s="2" t="s">
        <v>526</v>
      </c>
      <c r="P128" s="2" t="s">
        <v>485</v>
      </c>
      <c r="Q128" s="2" t="s">
        <v>178</v>
      </c>
      <c r="T128" s="2" t="str">
        <f>IF(S128="N", R128, "write file name")</f>
        <v>write file name</v>
      </c>
      <c r="U128" s="2" t="s">
        <v>53</v>
      </c>
      <c r="V128" s="2" t="s">
        <v>527</v>
      </c>
      <c r="Z128" s="2" t="s">
        <v>69</v>
      </c>
      <c r="AF128" s="2" t="s">
        <v>70</v>
      </c>
      <c r="AH128" s="2" t="s">
        <v>155</v>
      </c>
      <c r="AI128" s="2" t="s">
        <v>528</v>
      </c>
      <c r="AJ128" s="2" t="s">
        <v>99</v>
      </c>
      <c r="AK128" s="2" t="s">
        <v>61</v>
      </c>
      <c r="AL128" s="2" t="s">
        <v>61</v>
      </c>
      <c r="AM128" s="2" t="s">
        <v>529</v>
      </c>
    </row>
    <row r="129">
      <c r="A129" s="2" t="s">
        <v>524</v>
      </c>
      <c r="B129" s="2" t="s">
        <v>525</v>
      </c>
      <c r="D129" s="2" t="s">
        <v>371</v>
      </c>
      <c r="E129" t="str">
        <f>RIGHT(A129,1)</f>
        <v>2</v>
      </c>
      <c r="F129" t="str">
        <f>G129 &amp; IF(H129&lt;&gt;"", "_" &amp; H129, "_") &amp; IF(I129&lt;&gt;"", "_" &amp; I129, "_") &amp; IF(B129&lt;&gt;"", "_" &amp; B129, "")</f>
        <v>Sherwood_etal_2004_I</v>
      </c>
      <c r="G129" t="str">
        <f>SUBSTITUTE(SUBSTITUTE(_xlfn.TEXTBEFORE(A129,","), "-", ""), " ", "")</f>
        <v>Sherwood</v>
      </c>
      <c r="H129"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t="str">
        <f>_xlfn.TEXTBEFORE(_xlfn.TEXTAFTER(A129, "("), ")")</f>
        <v>2004</v>
      </c>
      <c r="J129" t="str">
        <f>_xlfn.LET(
_xlpm.doi,IF(C129&lt;&gt;"",C129,_xlfn.TEXTAFTER(A129,"https://doi.org/")),
SUBSTITUTE(
SUBSTITUTE(
SUBSTITUTE(
SUBSTITUTE(
_xlpm.doi,
"/","%2F"),
":","%3A"),
"&lt;","%3C"),
"&gt;","%3E")
)</f>
        <v>10.1159%2F000075672</v>
      </c>
      <c r="K129" t="str">
        <f>TRIM(_xlfn.TEXTJOIN("_",FALSE,F129,(SUBSTITUTE(SUBSTITUTE(D129," ",""), "_", ""))))</f>
        <v>Sherwood_etal_2004_I_Table5</v>
      </c>
      <c r="L129" t="str">
        <f>J129 &amp; "_" &amp; SUBSTITUTE(SUBSTITUTE(SUBSTITUTE(D129,CHAR(160),"")," ",""),"_","")</f>
        <v>10.1159%2F000075672_Table5</v>
      </c>
      <c r="M129" t="str">
        <f t="array" ref="M129">IFERROR(INDEX(FileList!$A$1:$A$100,MATCH(TRUE,EXACT(L129,_xlfn.TEXTBEFORE(FileList!$A$1:$A$100,".tsv")),0)),"notfound")</f>
        <v>notfound</v>
      </c>
      <c r="N129" s="2" t="s">
        <v>534</v>
      </c>
      <c r="P129" s="2" t="s">
        <v>485</v>
      </c>
      <c r="Q129" s="2" t="s">
        <v>178</v>
      </c>
      <c r="T129" s="2" t="str">
        <f>IF(S129="N", R129, "write file name")</f>
        <v>write file name</v>
      </c>
      <c r="U129" s="2" t="s">
        <v>53</v>
      </c>
      <c r="V129" s="2" t="s">
        <v>527</v>
      </c>
      <c r="Z129" s="2" t="s">
        <v>481</v>
      </c>
      <c r="AF129" s="2" t="s">
        <v>70</v>
      </c>
      <c r="AG129" s="2" t="s">
        <v>93</v>
      </c>
      <c r="AH129" s="2" t="s">
        <v>155</v>
      </c>
      <c r="AI129" s="2" t="s">
        <v>528</v>
      </c>
      <c r="AJ129" s="2" t="s">
        <v>99</v>
      </c>
      <c r="AK129" s="2" t="s">
        <v>61</v>
      </c>
      <c r="AL129" s="2" t="s">
        <v>61</v>
      </c>
      <c r="AM129" s="2" t="s">
        <v>529</v>
      </c>
    </row>
    <row r="130">
      <c r="A130" s="2" t="s">
        <v>530</v>
      </c>
      <c r="D130" s="2" t="s">
        <v>531</v>
      </c>
      <c r="E130" t="str">
        <f t="shared" ref="E130" si="183">RIGHT(A130,1)</f>
        <v>8</v>
      </c>
      <c r="F130" t="str">
        <f t="shared" ref="F130" si="184">G130 &amp; IF(H130&lt;&gt;"", "_" &amp; H130, "_") &amp; IF(I130&lt;&gt;"", "_" &amp; I130, "_") &amp; IF(B130&lt;&gt;"", "_" &amp; B130, "")</f>
        <v>Sherwood_etal_2004</v>
      </c>
      <c r="G130" t="str">
        <f t="shared" ref="G130" si="185">SUBSTITUTE(SUBSTITUTE(_xlfn.TEXTBEFORE(A130,","), "-", ""), " ", "")</f>
        <v>Sherwood</v>
      </c>
      <c r="H130" t="str">
        <f t="shared" ref="H130" si="186">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 t="shared" ref="I130" si="187">_xlfn.TEXTBEFORE(_xlfn.TEXTAFTER(A130, "("), ")")</f>
        <v>2004</v>
      </c>
      <c r="J130" t="str">
        <f t="shared" ref="J130" si="188">_xlfn.LET(
_xlpm.doi,IF(C130&lt;&gt;"",C130,_xlfn.TEXTAFTER(A130,"https://doi.org/")),
SUBSTITUTE(
SUBSTITUTE(
SUBSTITUTE(
SUBSTITUTE(
_xlpm.doi,
"/","%2F"),
":","%3A"),
"&lt;","%3C"),
"&gt;","%3E")
)</f>
        <v>10.1002%2Fajp.20048</v>
      </c>
      <c r="K130" t="str">
        <f t="shared" ref="K130" si="189">TRIM(_xlfn.TEXTJOIN("_",FALSE,F130,(SUBSTITUTE(SUBSTITUTE(D130," ",""), "_", ""))))</f>
        <v>Sherwood_etal_2004_TABLEI</v>
      </c>
      <c r="L130" t="str">
        <f t="shared" ref="L130" si="190">J130 &amp; "_" &amp; SUBSTITUTE(SUBSTITUTE(SUBSTITUTE(D130,CHAR(160),"")," ",""),"_","")</f>
        <v>10.1002%2Fajp.20048_TABLEI</v>
      </c>
      <c r="M130" t="str">
        <f t="array" ref="M130">IFERROR(INDEX(FileList!$A$1:$A$100,MATCH(TRUE,EXACT(L130,_xlfn.TEXTBEFORE(FileList!$A$1:$A$100,".tsv")),0)),"notfound")</f>
        <v>10.1002%2Fajp.20048_TABLEI.tsv</v>
      </c>
      <c r="N130" s="2" t="s">
        <v>532</v>
      </c>
      <c r="Y130" s="2" t="s">
        <v>588</v>
      </c>
      <c r="Z130" s="2" t="s">
        <v>533</v>
      </c>
      <c r="AF130" s="2" t="s">
        <v>478</v>
      </c>
      <c r="AG130" s="2" t="s">
        <v>93</v>
      </c>
      <c r="AK130" s="2" t="s">
        <v>61</v>
      </c>
    </row>
    <row r="131">
      <c r="A131" s="2" t="s">
        <v>530</v>
      </c>
      <c r="D131" s="2" t="s">
        <v>657</v>
      </c>
      <c r="E131" t="str">
        <f t="shared" ref="E131" si="191">RIGHT(A131,1)</f>
        <v>8</v>
      </c>
      <c r="F131" t="str">
        <f t="shared" si="90"/>
        <v>Sherwood_etal_2004</v>
      </c>
      <c r="G131" t="str">
        <f t="shared" si="172"/>
        <v>Sherwood</v>
      </c>
      <c r="H131" t="str">
        <f t="shared" si="97"/>
        <v>etal</v>
      </c>
      <c r="I131" t="str">
        <f t="shared" si="173"/>
        <v>2004</v>
      </c>
      <c r="J131" t="str">
        <f t="shared" si="92"/>
        <v>10.1002%2Fajp.20048</v>
      </c>
      <c r="K131" t="str">
        <f t="shared" si="174"/>
        <v>Sherwood_etal_2004_unpublishedviaDeCasien</v>
      </c>
      <c r="L131" t="str">
        <f t="shared" si="93"/>
        <v>10.1002%2Fajp.20048_unpublishedviaDeCasien</v>
      </c>
      <c r="M131" t="str">
        <f t="array" ref="M131">IFERROR(INDEX(FileList!$A$1:$A$100,MATCH(TRUE,EXACT(L131,_xlfn.TEXTBEFORE(FileList!$A$1:$A$100,".tsv")),0)),"notfound")</f>
        <v>10.1002%2Fajp.20048_unpublishedviaDeCasien.tsv</v>
      </c>
      <c r="N131" s="2"/>
      <c r="O131" t="s">
        <v>658</v>
      </c>
      <c r="Y131" s="2" t="s">
        <v>588</v>
      </c>
      <c r="Z131" s="2" t="s">
        <v>533</v>
      </c>
      <c r="AF131" s="2" t="s">
        <v>478</v>
      </c>
      <c r="AG131" s="2" t="s">
        <v>93</v>
      </c>
      <c r="AK131" s="2" t="s">
        <v>61</v>
      </c>
    </row>
    <row r="132">
      <c r="A132" s="2" t="s">
        <v>535</v>
      </c>
      <c r="C132" s="2" t="s">
        <v>536</v>
      </c>
      <c r="D132" s="2" t="s">
        <v>537</v>
      </c>
      <c r="E132" t="str">
        <f t="shared" si="171"/>
        <v>9</v>
      </c>
      <c r="F132" t="str">
        <f t="shared" si="90"/>
        <v>Smaers_Soligo_2013</v>
      </c>
      <c r="G132" t="str">
        <f t="shared" si="172"/>
        <v>Smaers</v>
      </c>
      <c r="H132" t="str">
        <f t="shared" si="97"/>
        <v>Soligo</v>
      </c>
      <c r="I132" t="str">
        <f t="shared" si="173"/>
        <v>2013</v>
      </c>
      <c r="J132" t="str">
        <f t="shared" si="92"/>
        <v>10.1098%2Frspb.2013.0269</v>
      </c>
      <c r="K132" t="str">
        <f t="shared" si="174"/>
        <v>Smaers_Soligo_2013_Supplement</v>
      </c>
      <c r="L132" t="str">
        <f t="shared" si="93"/>
        <v>10.1098%2Frspb.2013.0269_Supplement</v>
      </c>
      <c r="M132" t="str">
        <f t="array" ref="M132">IFERROR(INDEX(FileList!$A$1:$A$100,MATCH(TRUE,EXACT(L132,_xlfn.TEXTBEFORE(FileList!$A$1:$A$100,".tsv")),0)),"notfound")</f>
        <v>notfound</v>
      </c>
      <c r="N132" s="2" t="s">
        <v>538</v>
      </c>
      <c r="AF132" s="2" t="s">
        <v>70</v>
      </c>
      <c r="AG132" s="2" t="s">
        <v>93</v>
      </c>
      <c r="AI132" s="2" t="s">
        <v>539</v>
      </c>
      <c r="AJ132" s="2" t="s">
        <v>540</v>
      </c>
      <c r="AL132" s="2" t="s">
        <v>339</v>
      </c>
      <c r="AM132" s="2" t="s">
        <v>73</v>
      </c>
    </row>
    <row r="133">
      <c r="A133" s="2" t="s">
        <v>541</v>
      </c>
      <c r="D133" s="2" t="s">
        <v>542</v>
      </c>
      <c r="E133" t="str">
        <f t="shared" si="171"/>
        <v>0</v>
      </c>
      <c r="F133" t="str">
        <f t="shared" si="90"/>
        <v>Smaers_etal_2017</v>
      </c>
      <c r="G133" t="str">
        <f t="shared" si="172"/>
        <v>Smaers</v>
      </c>
      <c r="H133" t="str">
        <f t="shared" si="97"/>
        <v>etal</v>
      </c>
      <c r="I133" t="str">
        <f t="shared" si="173"/>
        <v>2017</v>
      </c>
      <c r="J133" t="str">
        <f t="shared" si="92"/>
        <v>10.1016%2Fj.cub.2017.01.020</v>
      </c>
      <c r="K133" t="str">
        <f t="shared" si="174"/>
        <v>Smaers_etal_2017_TableS1part1</v>
      </c>
      <c r="L133" t="str">
        <f t="shared" si="93"/>
        <v>10.1016%2Fj.cub.2017.01.020_TableS1part1</v>
      </c>
      <c r="M133" t="str">
        <f t="array" ref="M133">IFERROR(INDEX(FileList!$A$1:$A$100,MATCH(TRUE,EXACT(L133,_xlfn.TEXTBEFORE(FileList!$A$1:$A$100,".tsv")),0)),"notfound")</f>
        <v>10.1016%2Fj.cub.2017.01.020_TableS1part1.tsv</v>
      </c>
      <c r="N133" s="2" t="s">
        <v>543</v>
      </c>
      <c r="O133" t="s">
        <v>544</v>
      </c>
      <c r="P133" s="2" t="s">
        <v>48</v>
      </c>
      <c r="V133" s="2" t="s">
        <v>40</v>
      </c>
      <c r="Y133" s="2" t="s">
        <v>545</v>
      </c>
      <c r="Z133" s="2" t="s">
        <v>481</v>
      </c>
      <c r="AC133" s="2" t="s">
        <v>546</v>
      </c>
      <c r="AF133" s="2" t="s">
        <v>70</v>
      </c>
      <c r="AG133" s="2" t="s">
        <v>93</v>
      </c>
      <c r="AI133" s="2" t="s">
        <v>547</v>
      </c>
      <c r="AJ133" s="2" t="s">
        <v>99</v>
      </c>
      <c r="AK133" s="2" t="s">
        <v>548</v>
      </c>
      <c r="AL133" s="2" t="s">
        <v>339</v>
      </c>
      <c r="AM133" s="2" t="s">
        <v>73</v>
      </c>
    </row>
    <row r="134">
      <c r="A134" s="2" t="s">
        <v>541</v>
      </c>
      <c r="D134" s="2" t="s">
        <v>549</v>
      </c>
      <c r="E134" t="str">
        <f t="shared" ref="E134" si="192">RIGHT(A134,1)</f>
        <v>0</v>
      </c>
      <c r="F134" t="str">
        <f t="shared" ref="F134" si="193">G134 &amp; IF(H134&lt;&gt;"", "_" &amp; H134, "_") &amp; IF(I134&lt;&gt;"", "_" &amp; I134, "_") &amp; IF(B134&lt;&gt;"", "_" &amp; B134, "")</f>
        <v>Smaers_etal_2017</v>
      </c>
      <c r="G134" t="str">
        <f t="shared" ref="G134" si="194">SUBSTITUTE(SUBSTITUTE(_xlfn.TEXTBEFORE(A134,","), "-", ""), " ", "")</f>
        <v>Smaers</v>
      </c>
      <c r="H134" t="str">
        <f t="shared" ref="H134" si="195">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t="str">
        <f t="shared" ref="I134" si="196">_xlfn.TEXTBEFORE(_xlfn.TEXTAFTER(A134, "("), ")")</f>
        <v>2017</v>
      </c>
      <c r="J134" t="str">
        <f t="shared" si="92"/>
        <v>10.1016%2Fj.cub.2017.01.020</v>
      </c>
      <c r="K134" t="str">
        <f t="shared" ref="K134" si="197">TRIM(_xlfn.TEXTJOIN("_",FALSE,F134,(SUBSTITUTE(SUBSTITUTE(D134," ",""), "_", ""))))</f>
        <v>Smaers_etal_2017_TableS1part2</v>
      </c>
      <c r="L134" t="str">
        <f t="shared" si="93"/>
        <v>10.1016%2Fj.cub.2017.01.020_TableS1part2</v>
      </c>
      <c r="M134" t="str">
        <f t="array" ref="M134">IFERROR(INDEX(FileList!$A$1:$A$100,MATCH(TRUE,EXACT(L134,_xlfn.TEXTBEFORE(FileList!$A$1:$A$100,".tsv")),0)),"notfound")</f>
        <v>10.1016%2Fj.cub.2017.01.020_TableS1part2.tsv</v>
      </c>
      <c r="N134" s="2" t="s">
        <v>543</v>
      </c>
      <c r="O134" t="s">
        <v>550</v>
      </c>
      <c r="P134" s="2" t="s">
        <v>48</v>
      </c>
      <c r="V134" s="2" t="s">
        <v>40</v>
      </c>
      <c r="Y134" s="2" t="s">
        <v>545</v>
      </c>
      <c r="Z134" s="2" t="s">
        <v>481</v>
      </c>
      <c r="AC134" s="2" t="s">
        <v>546</v>
      </c>
      <c r="AF134" s="2" t="s">
        <v>70</v>
      </c>
      <c r="AG134" s="2" t="s">
        <v>93</v>
      </c>
      <c r="AI134" s="2" t="s">
        <v>547</v>
      </c>
      <c r="AJ134" s="2" t="s">
        <v>99</v>
      </c>
      <c r="AK134" s="2" t="s">
        <v>548</v>
      </c>
      <c r="AL134" s="2" t="s">
        <v>339</v>
      </c>
      <c r="AM134" s="2" t="s">
        <v>73</v>
      </c>
    </row>
    <row r="135">
      <c r="A135" s="2" t="s">
        <v>551</v>
      </c>
      <c r="D135" s="2" t="s">
        <v>552</v>
      </c>
      <c r="E135" t="str">
        <f t="shared" si="171"/>
        <v>1</v>
      </c>
      <c r="F135" t="str">
        <f t="shared" si="90"/>
        <v>Smaers_etal_2011</v>
      </c>
      <c r="G135" t="str">
        <f t="shared" si="172"/>
        <v>Smaers</v>
      </c>
      <c r="H135" t="str">
        <f t="shared" si="97"/>
        <v>etal</v>
      </c>
      <c r="I135" t="str">
        <f t="shared" si="173"/>
        <v>2011</v>
      </c>
      <c r="J135" t="str">
        <f t="shared" si="92"/>
        <v>10.1159%2F000323671</v>
      </c>
      <c r="K135" t="str">
        <f t="shared" si="174"/>
        <v>Smaers_etal_2011_SupplementaryTable1</v>
      </c>
      <c r="L135" t="str">
        <f t="shared" si="93"/>
        <v>10.1159%2F000323671_SupplementaryTable1</v>
      </c>
      <c r="M135" t="str">
        <f t="array" ref="M135">IFERROR(INDEX(FileList!$A$1:$A$100,MATCH(TRUE,EXACT(L135,_xlfn.TEXTBEFORE(FileList!$A$1:$A$100,".tsv")),0)),"notfound")</f>
        <v>10.1159%2F000323671_SupplementaryTable1.tsv</v>
      </c>
      <c r="P135" s="2"/>
      <c r="Q135" s="2" t="s">
        <v>110</v>
      </c>
      <c r="V135" s="2" t="s">
        <v>40</v>
      </c>
      <c r="Z135" s="2" t="s">
        <v>481</v>
      </c>
      <c r="AF135" s="2" t="s">
        <v>70</v>
      </c>
      <c r="AG135" s="2" t="s">
        <v>93</v>
      </c>
      <c r="AI135" s="2" t="s">
        <v>553</v>
      </c>
      <c r="AJ135" s="2" t="s">
        <v>99</v>
      </c>
      <c r="AL135" s="2" t="s">
        <v>339</v>
      </c>
      <c r="AM135" s="2" t="s">
        <v>73</v>
      </c>
    </row>
    <row r="136">
      <c r="A136" s="2" t="s">
        <v>551</v>
      </c>
      <c r="D136" s="2" t="s">
        <v>554</v>
      </c>
      <c r="E136" t="str">
        <f t="shared" si="171"/>
        <v>1</v>
      </c>
      <c r="F136" t="str">
        <f t="shared" si="90"/>
        <v>Smaers_etal_2011</v>
      </c>
      <c r="G136" t="str">
        <f t="shared" si="172"/>
        <v>Smaers</v>
      </c>
      <c r="H136" t="str">
        <f t="shared" si="97"/>
        <v>etal</v>
      </c>
      <c r="I136" t="str">
        <f t="shared" si="173"/>
        <v>2011</v>
      </c>
      <c r="J136" t="str">
        <f t="shared" si="92"/>
        <v>10.1159%2F000323671</v>
      </c>
      <c r="K136" t="str">
        <f t="shared" si="174"/>
        <v>Smaers_etal_2011_SupplementaryTable2</v>
      </c>
      <c r="L136" t="str">
        <f t="shared" si="93"/>
        <v>10.1159%2F000323671_SupplementaryTable2</v>
      </c>
      <c r="M136" t="str">
        <f t="array" ref="M136">IFERROR(INDEX(FileList!$A$1:$A$100,MATCH(TRUE,EXACT(L136,_xlfn.TEXTBEFORE(FileList!$A$1:$A$100,".tsv")),0)),"notfound")</f>
        <v>10.1159%2F000323671_SupplementaryTable2.tsv</v>
      </c>
      <c r="P136" s="2"/>
      <c r="Q136" s="2" t="s">
        <v>110</v>
      </c>
      <c r="V136" s="2" t="s">
        <v>40</v>
      </c>
      <c r="Z136" s="2" t="s">
        <v>481</v>
      </c>
      <c r="AF136" s="2" t="s">
        <v>70</v>
      </c>
      <c r="AG136" s="2" t="s">
        <v>93</v>
      </c>
      <c r="AI136" s="2" t="s">
        <v>553</v>
      </c>
      <c r="AJ136" s="2" t="s">
        <v>99</v>
      </c>
      <c r="AL136" s="2" t="s">
        <v>339</v>
      </c>
      <c r="AM136" s="2" t="s">
        <v>73</v>
      </c>
    </row>
    <row r="137">
      <c r="A137" s="2" t="s">
        <v>555</v>
      </c>
      <c r="C137" s="2" t="s">
        <v>556</v>
      </c>
      <c r="D137" s="2" t="s">
        <v>557</v>
      </c>
      <c r="E137" t="str">
        <f t="shared" si="171"/>
        <v>6</v>
      </c>
      <c r="F137" t="str">
        <f t="shared" si="90"/>
        <v>Smaers_etal_2018</v>
      </c>
      <c r="G137" t="str">
        <f t="shared" si="172"/>
        <v>Smaers</v>
      </c>
      <c r="H137" t="str">
        <f t="shared" si="97"/>
        <v>etal</v>
      </c>
      <c r="I137" t="str">
        <f t="shared" si="173"/>
        <v>2018</v>
      </c>
      <c r="J137" t="str">
        <f t="shared" si="92"/>
        <v>10.7554%2FeLife.35696</v>
      </c>
      <c r="K137" t="str">
        <f t="shared" si="174"/>
        <v>Smaers_etal_2018_Figure2-data1</v>
      </c>
      <c r="L137" t="str">
        <f t="shared" si="93"/>
        <v>10.7554%2FeLife.35696_Figure2-data1</v>
      </c>
      <c r="M137" t="str">
        <f t="array" ref="M137">IFERROR(INDEX(FileList!$A$1:$A$100,MATCH(TRUE,EXACT(L137,_xlfn.TEXTBEFORE(FileList!$A$1:$A$100,".tsv")),0)),"notfound")</f>
        <v>notfound</v>
      </c>
      <c r="N137" s="2" t="s">
        <v>558</v>
      </c>
      <c r="Z137" s="2" t="s">
        <v>481</v>
      </c>
      <c r="AF137" s="2" t="s">
        <v>70</v>
      </c>
      <c r="AG137" s="2" t="s">
        <v>93</v>
      </c>
      <c r="AI137" s="2" t="s">
        <v>559</v>
      </c>
      <c r="AJ137" s="2" t="s">
        <v>118</v>
      </c>
      <c r="AL137" s="2" t="s">
        <v>339</v>
      </c>
      <c r="AM137" s="2" t="s">
        <v>73</v>
      </c>
    </row>
    <row r="138">
      <c r="A138" s="2" t="s">
        <v>560</v>
      </c>
      <c r="C138" s="2" t="s">
        <v>624</v>
      </c>
      <c r="D138" s="2" t="s">
        <v>46</v>
      </c>
      <c r="E138" t="str">
        <f t="shared" si="171"/>
        <v>s</v>
      </c>
      <c r="F138" t="str">
        <f t="shared" si="90"/>
        <v>Stephan_etal_1970</v>
      </c>
      <c r="G138" t="str">
        <f t="shared" si="172"/>
        <v>Stephan</v>
      </c>
      <c r="H138" t="str">
        <f t="shared" si="97"/>
        <v>etal</v>
      </c>
      <c r="I138" t="str">
        <f t="shared" si="173"/>
        <v>1970</v>
      </c>
      <c r="J138" t="str">
        <f t="shared" si="92"/>
        <v>ISBN%3A0390672505</v>
      </c>
      <c r="K138" t="str">
        <f t="shared" si="174"/>
        <v>Stephan_etal_1970_TABLE1</v>
      </c>
      <c r="L138" t="str">
        <f t="shared" si="93"/>
        <v>ISBN%3A0390672505_TABLE1</v>
      </c>
      <c r="M138" t="str">
        <f t="array" ref="M138">IFERROR(INDEX(FileList!$A$1:$A$100,MATCH(TRUE,EXACT(L138,_xlfn.TEXTBEFORE(FileList!$A$1:$A$100,".tsv")),0)),"notfound")</f>
        <v>notfound</v>
      </c>
      <c r="N138" s="2" t="s">
        <v>561</v>
      </c>
      <c r="V138" t="s">
        <v>40</v>
      </c>
      <c r="Z138" s="2" t="s">
        <v>80</v>
      </c>
      <c r="AF138" s="2" t="s">
        <v>70</v>
      </c>
      <c r="AG138" s="2" t="s">
        <v>93</v>
      </c>
      <c r="AJ138" s="2" t="s">
        <v>625</v>
      </c>
      <c r="AL138" s="2" t="s">
        <v>61</v>
      </c>
      <c r="AM138" s="2" t="s">
        <v>73</v>
      </c>
    </row>
    <row r="139">
      <c r="A139" s="2" t="s">
        <v>560</v>
      </c>
      <c r="C139" s="2" t="s">
        <v>624</v>
      </c>
      <c r="D139" s="2" t="s">
        <v>281</v>
      </c>
      <c r="E139" t="str">
        <f t="shared" si="171"/>
        <v>s</v>
      </c>
      <c r="F139" t="str">
        <f t="shared" si="90"/>
        <v>Stephan_etal_1970</v>
      </c>
      <c r="G139" t="str">
        <f t="shared" si="172"/>
        <v>Stephan</v>
      </c>
      <c r="H139" t="str">
        <f t="shared" si="97"/>
        <v>etal</v>
      </c>
      <c r="I139" t="str">
        <f t="shared" si="173"/>
        <v>1970</v>
      </c>
      <c r="J139" t="str">
        <f t="shared" ref="J139:J167" si="198">_xlfn.LET(
_xlpm.doi,IF(C139&lt;&gt;"",C139,_xlfn.TEXTAFTER(A139,"https://doi.org/")),
SUBSTITUTE(
SUBSTITUTE(
SUBSTITUTE(
SUBSTITUTE(
_xlpm.doi,
"/","%2F"),
":","%3A"),
"&lt;","%3C"),
"&gt;","%3E")
)</f>
        <v>ISBN%3A0390672505</v>
      </c>
      <c r="K139" t="str">
        <f t="shared" si="174"/>
        <v>Stephan_etal_1970_TABLE2</v>
      </c>
      <c r="L139" t="str">
        <f t="shared" si="93"/>
        <v>ISBN%3A0390672505_TABLE2</v>
      </c>
      <c r="M139" t="str">
        <f t="array" ref="M139">IFERROR(INDEX(FileList!$A$1:$A$100,MATCH(TRUE,EXACT(L139,_xlfn.TEXTBEFORE(FileList!$A$1:$A$100,".tsv")),0)),"notfound")</f>
        <v>notfound</v>
      </c>
      <c r="N139" s="2" t="s">
        <v>562</v>
      </c>
      <c r="V139" t="s">
        <v>40</v>
      </c>
      <c r="Z139" s="2" t="s">
        <v>80</v>
      </c>
      <c r="AF139" s="2" t="s">
        <v>70</v>
      </c>
      <c r="AG139" s="2" t="s">
        <v>93</v>
      </c>
      <c r="AJ139" s="2" t="s">
        <v>99</v>
      </c>
      <c r="AL139" s="2" t="s">
        <v>61</v>
      </c>
      <c r="AM139" s="2" t="s">
        <v>73</v>
      </c>
    </row>
    <row r="140">
      <c r="A140" s="2" t="s">
        <v>560</v>
      </c>
      <c r="C140" s="2" t="s">
        <v>624</v>
      </c>
      <c r="D140" s="2" t="s">
        <v>563</v>
      </c>
      <c r="E140" t="str">
        <f t="shared" si="171"/>
        <v>s</v>
      </c>
      <c r="F140" t="str">
        <f t="shared" si="90"/>
        <v>Stephan_etal_1970</v>
      </c>
      <c r="G140" t="str">
        <f t="shared" si="172"/>
        <v>Stephan</v>
      </c>
      <c r="H140" t="str">
        <f t="shared" si="97"/>
        <v>etal</v>
      </c>
      <c r="I140" t="str">
        <f t="shared" si="173"/>
        <v>1970</v>
      </c>
      <c r="J140" t="str">
        <f t="shared" si="198"/>
        <v>ISBN%3A0390672505</v>
      </c>
      <c r="K140" t="str">
        <f t="shared" si="174"/>
        <v>Stephan_etal_1970_TABLE3</v>
      </c>
      <c r="L140" t="str">
        <f t="shared" si="93"/>
        <v>ISBN%3A0390672505_TABLE3</v>
      </c>
      <c r="M140" t="str">
        <f t="array" ref="M140">IFERROR(INDEX(FileList!$A$1:$A$100,MATCH(TRUE,EXACT(L140,_xlfn.TEXTBEFORE(FileList!$A$1:$A$100,".tsv")),0)),"notfound")</f>
        <v>notfound</v>
      </c>
      <c r="N140" s="2" t="s">
        <v>564</v>
      </c>
      <c r="V140" t="s">
        <v>40</v>
      </c>
      <c r="Z140" s="2" t="s">
        <v>80</v>
      </c>
      <c r="AF140" s="2" t="s">
        <v>70</v>
      </c>
      <c r="AG140" s="2" t="s">
        <v>93</v>
      </c>
      <c r="AJ140" s="2" t="s">
        <v>99</v>
      </c>
      <c r="AL140" s="2" t="s">
        <v>61</v>
      </c>
      <c r="AM140" s="2" t="s">
        <v>73</v>
      </c>
    </row>
    <row r="141">
      <c r="A141" s="2" t="s">
        <v>560</v>
      </c>
      <c r="C141" s="2" t="s">
        <v>624</v>
      </c>
      <c r="D141" s="2" t="s">
        <v>565</v>
      </c>
      <c r="E141" t="str">
        <f t="shared" si="171"/>
        <v>s</v>
      </c>
      <c r="F141" t="str">
        <f t="shared" si="90"/>
        <v>Stephan_etal_1970</v>
      </c>
      <c r="G141" t="str">
        <f t="shared" si="172"/>
        <v>Stephan</v>
      </c>
      <c r="H141" t="str">
        <f t="shared" si="97"/>
        <v>etal</v>
      </c>
      <c r="I141" t="str">
        <f t="shared" si="173"/>
        <v>1970</v>
      </c>
      <c r="J141" t="str">
        <f t="shared" si="198"/>
        <v>ISBN%3A0390672505</v>
      </c>
      <c r="K141" t="str">
        <f t="shared" si="174"/>
        <v>Stephan_etal_1970_TABLE4</v>
      </c>
      <c r="L141" t="str">
        <f t="shared" si="93"/>
        <v>ISBN%3A0390672505_TABLE4</v>
      </c>
      <c r="M141" t="str">
        <f t="array" ref="M141">IFERROR(INDEX(FileList!$A$1:$A$100,MATCH(TRUE,EXACT(L141,_xlfn.TEXTBEFORE(FileList!$A$1:$A$100,".tsv")),0)),"notfound")</f>
        <v>notfound</v>
      </c>
      <c r="N141" s="2" t="s">
        <v>566</v>
      </c>
      <c r="V141" t="s">
        <v>40</v>
      </c>
      <c r="Z141" s="2" t="s">
        <v>80</v>
      </c>
      <c r="AF141" s="2" t="s">
        <v>70</v>
      </c>
      <c r="AG141" s="2" t="s">
        <v>93</v>
      </c>
      <c r="AJ141" s="2" t="s">
        <v>625</v>
      </c>
      <c r="AL141" s="2" t="s">
        <v>61</v>
      </c>
      <c r="AM141" s="2" t="s">
        <v>73</v>
      </c>
    </row>
    <row r="142">
      <c r="A142" s="2" t="s">
        <v>560</v>
      </c>
      <c r="C142" s="2" t="s">
        <v>624</v>
      </c>
      <c r="D142" s="2" t="s">
        <v>567</v>
      </c>
      <c r="E142" t="str">
        <f t="shared" si="171"/>
        <v>s</v>
      </c>
      <c r="F142" t="str">
        <f t="shared" si="90"/>
        <v>Stephan_etal_1970</v>
      </c>
      <c r="G142" t="str">
        <f t="shared" si="172"/>
        <v>Stephan</v>
      </c>
      <c r="H142" t="str">
        <f t="shared" si="97"/>
        <v>etal</v>
      </c>
      <c r="I142" t="str">
        <f t="shared" si="173"/>
        <v>1970</v>
      </c>
      <c r="J142" t="str">
        <f t="shared" si="198"/>
        <v>ISBN%3A0390672505</v>
      </c>
      <c r="K142" t="str">
        <f t="shared" si="174"/>
        <v>Stephan_etal_1970_TABLE5</v>
      </c>
      <c r="L142" t="str">
        <f t="shared" si="93"/>
        <v>ISBN%3A0390672505_TABLE5</v>
      </c>
      <c r="M142" t="str">
        <f t="array" ref="M142">IFERROR(INDEX(FileList!$A$1:$A$100,MATCH(TRUE,EXACT(L142,_xlfn.TEXTBEFORE(FileList!$A$1:$A$100,".tsv")),0)),"notfound")</f>
        <v>notfound</v>
      </c>
      <c r="N142" s="2" t="s">
        <v>568</v>
      </c>
      <c r="V142" t="s">
        <v>40</v>
      </c>
      <c r="Z142" s="2" t="s">
        <v>80</v>
      </c>
      <c r="AF142" s="2" t="s">
        <v>70</v>
      </c>
      <c r="AG142" s="2" t="s">
        <v>93</v>
      </c>
      <c r="AJ142" s="2" t="s">
        <v>99</v>
      </c>
      <c r="AL142" s="2" t="s">
        <v>61</v>
      </c>
      <c r="AM142" s="2" t="s">
        <v>73</v>
      </c>
    </row>
    <row r="143">
      <c r="A143" s="2" t="s">
        <v>560</v>
      </c>
      <c r="C143" s="2" t="s">
        <v>624</v>
      </c>
      <c r="D143" s="2" t="s">
        <v>569</v>
      </c>
      <c r="E143" t="str">
        <f t="shared" ref="E143" si="199">RIGHT(A143,1)</f>
        <v>s</v>
      </c>
      <c r="F143" t="str">
        <f t="shared" si="90"/>
        <v>Stephan_etal_1970</v>
      </c>
      <c r="G143" t="str">
        <f t="shared" si="172"/>
        <v>Stephan</v>
      </c>
      <c r="H143" t="str">
        <f t="shared" si="97"/>
        <v>etal</v>
      </c>
      <c r="I143" t="str">
        <f t="shared" si="173"/>
        <v>1970</v>
      </c>
      <c r="J143" t="str">
        <f t="shared" si="198"/>
        <v>ISBN%3A0390672505</v>
      </c>
      <c r="K143" t="str">
        <f t="shared" si="174"/>
        <v>Stephan_etal_1970_TABLE6</v>
      </c>
      <c r="L143" t="str">
        <f t="shared" si="93"/>
        <v>ISBN%3A0390672505_TABLE6</v>
      </c>
      <c r="M143" t="str">
        <f t="array" ref="M143">IFERROR(INDEX(FileList!$A$1:$A$100,MATCH(TRUE,EXACT(L143,_xlfn.TEXTBEFORE(FileList!$A$1:$A$100,".tsv")),0)),"notfound")</f>
        <v>notfound</v>
      </c>
      <c r="N143" s="2" t="s">
        <v>570</v>
      </c>
      <c r="V143" t="s">
        <v>40</v>
      </c>
      <c r="Z143" s="2" t="s">
        <v>80</v>
      </c>
      <c r="AF143" s="2" t="s">
        <v>70</v>
      </c>
      <c r="AG143" s="2" t="s">
        <v>93</v>
      </c>
      <c r="AJ143" s="2" t="s">
        <v>99</v>
      </c>
      <c r="AL143" s="2" t="s">
        <v>61</v>
      </c>
      <c r="AM143" s="2" t="s">
        <v>73</v>
      </c>
    </row>
    <row r="144">
      <c r="A144" s="2" t="s">
        <v>560</v>
      </c>
      <c r="C144" s="2" t="s">
        <v>624</v>
      </c>
      <c r="D144" s="2" t="s">
        <v>571</v>
      </c>
      <c r="E144" t="str">
        <f t="shared" ref="E144" si="200">RIGHT(A144,1)</f>
        <v>s</v>
      </c>
      <c r="F144" t="str">
        <f t="shared" si="90"/>
        <v>Stephan_etal_1970</v>
      </c>
      <c r="G144" t="str">
        <f t="shared" si="172"/>
        <v>Stephan</v>
      </c>
      <c r="H144" t="str">
        <f t="shared" si="97"/>
        <v>etal</v>
      </c>
      <c r="I144" t="str">
        <f t="shared" si="173"/>
        <v>1970</v>
      </c>
      <c r="J144" t="str">
        <f t="shared" si="198"/>
        <v>ISBN%3A0390672505</v>
      </c>
      <c r="K144" t="str">
        <f t="shared" si="174"/>
        <v>Stephan_etal_1970_Tables1-6</v>
      </c>
      <c r="L144" t="str">
        <f t="shared" si="93"/>
        <v>ISBN%3A0390672505_Tables1-6</v>
      </c>
      <c r="M144" t="str">
        <f t="array" ref="M144">IFERROR(INDEX(FileList!$A$1:$A$100,MATCH(TRUE,EXACT(L144,_xlfn.TEXTBEFORE(FileList!$A$1:$A$100,".tsv")),0)),"notfound")</f>
        <v>ISBN%3A0390672505_Tables1-6.tsv</v>
      </c>
      <c r="N144" s="2"/>
      <c r="O144" t="s">
        <v>645</v>
      </c>
      <c r="P144" s="2" t="s">
        <v>48</v>
      </c>
      <c r="V144" t="s">
        <v>527</v>
      </c>
      <c r="Y144" s="2" t="s">
        <v>80</v>
      </c>
      <c r="Z144" s="2" t="s">
        <v>80</v>
      </c>
      <c r="AF144" s="2" t="s">
        <v>70</v>
      </c>
      <c r="AG144" s="2" t="s">
        <v>93</v>
      </c>
      <c r="AJ144" s="2" t="s">
        <v>82</v>
      </c>
      <c r="AL144" s="2" t="s">
        <v>61</v>
      </c>
      <c r="AM144" s="2" t="s">
        <v>73</v>
      </c>
    </row>
    <row r="145">
      <c r="A145" s="2" t="s">
        <v>572</v>
      </c>
      <c r="C145" s="2" t="s">
        <v>573</v>
      </c>
      <c r="D145" s="2" t="s">
        <v>78</v>
      </c>
      <c r="E145" t="str">
        <f t="shared" si="171"/>
        <v>3</v>
      </c>
      <c r="F145" t="str">
        <f t="shared" si="90"/>
        <v>Stephan_etal_1982</v>
      </c>
      <c r="G145" t="str">
        <f t="shared" si="172"/>
        <v>Stephan</v>
      </c>
      <c r="H145" t="str">
        <f t="shared" si="97"/>
        <v>etal</v>
      </c>
      <c r="I145" t="str">
        <f t="shared" si="173"/>
        <v>1982</v>
      </c>
      <c r="J145" t="str">
        <f t="shared" si="198"/>
        <v>PMID%3A7161483</v>
      </c>
      <c r="K145" t="str">
        <f t="shared" si="174"/>
        <v>Stephan_etal_1982_Table1</v>
      </c>
      <c r="L145" t="str">
        <f t="shared" si="93"/>
        <v>PMID%3A7161483_Table1</v>
      </c>
      <c r="M145" t="str">
        <f t="array" ref="M145">IFERROR(INDEX(FileList!$A$1:$A$100,MATCH(TRUE,EXACT(L145,_xlfn.TEXTBEFORE(FileList!$A$1:$A$100,".tsv")),0)),"notfound")</f>
        <v>notfound</v>
      </c>
      <c r="N145" s="2" t="s">
        <v>574</v>
      </c>
      <c r="P145" s="2" t="s">
        <v>48</v>
      </c>
      <c r="V145" s="2" t="s">
        <v>40</v>
      </c>
      <c r="W145" s="2" t="s">
        <v>85</v>
      </c>
      <c r="Y145" s="2" t="s">
        <v>80</v>
      </c>
      <c r="Z145" s="2" t="s">
        <v>80</v>
      </c>
      <c r="AF145" s="2" t="s">
        <v>70</v>
      </c>
      <c r="AG145" s="2" t="s">
        <v>93</v>
      </c>
      <c r="AI145" s="2" t="s">
        <v>575</v>
      </c>
      <c r="AJ145" s="2" t="s">
        <v>82</v>
      </c>
      <c r="AK145" s="2" t="s">
        <v>61</v>
      </c>
      <c r="AL145" s="2" t="s">
        <v>61</v>
      </c>
      <c r="AM145" s="2" t="s">
        <v>73</v>
      </c>
    </row>
    <row r="146">
      <c r="A146" s="2" t="s">
        <v>576</v>
      </c>
      <c r="C146" s="2" t="s">
        <v>577</v>
      </c>
      <c r="D146" s="2" t="s">
        <v>78</v>
      </c>
      <c r="E146" t="str">
        <f t="shared" si="171"/>
        <v>4</v>
      </c>
      <c r="F146" t="str">
        <f t="shared" si="90"/>
        <v>Stephan_etal_1984</v>
      </c>
      <c r="G146" t="str">
        <f t="shared" si="172"/>
        <v>Stephan</v>
      </c>
      <c r="H146"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si="173"/>
        <v>1984</v>
      </c>
      <c r="J146" t="str">
        <f t="shared" si="198"/>
        <v>PMID%3A6481154</v>
      </c>
      <c r="K146" t="str">
        <f t="shared" si="174"/>
        <v>Stephan_etal_1984_Table1</v>
      </c>
      <c r="L146" t="str">
        <f t="shared" si="93"/>
        <v>PMID%3A6481154_Table1</v>
      </c>
      <c r="M146" t="str">
        <f t="array" ref="M146">IFERROR(INDEX(FileList!$A$1:$A$100,MATCH(TRUE,EXACT(L146,_xlfn.TEXTBEFORE(FileList!$A$1:$A$100,".tsv")),0)),"notfound")</f>
        <v>PMID%3A6481154_Table1.tsv</v>
      </c>
      <c r="N146" s="2" t="s">
        <v>578</v>
      </c>
      <c r="P146" s="2" t="s">
        <v>48</v>
      </c>
      <c r="V146" s="2" t="s">
        <v>40</v>
      </c>
      <c r="W146" s="2" t="s">
        <v>85</v>
      </c>
      <c r="Y146" s="2" t="s">
        <v>80</v>
      </c>
      <c r="Z146" s="2" t="s">
        <v>80</v>
      </c>
      <c r="AF146" s="2" t="s">
        <v>70</v>
      </c>
      <c r="AG146" s="2" t="s">
        <v>93</v>
      </c>
      <c r="AI146" s="2" t="s">
        <v>579</v>
      </c>
      <c r="AJ146" s="2" t="s">
        <v>82</v>
      </c>
      <c r="AK146" s="2" t="s">
        <v>61</v>
      </c>
      <c r="AL146" s="2" t="s">
        <v>61</v>
      </c>
      <c r="AM146" s="2" t="s">
        <v>73</v>
      </c>
    </row>
    <row r="147">
      <c r="A147" s="2" t="s">
        <v>580</v>
      </c>
      <c r="C147" s="2" t="s">
        <v>581</v>
      </c>
      <c r="D147" s="2" t="s">
        <v>78</v>
      </c>
      <c r="E147" t="str">
        <f t="shared" si="171"/>
        <v>5</v>
      </c>
      <c r="F147" t="str">
        <f t="shared" si="90"/>
        <v>Stephan_etal_1987</v>
      </c>
      <c r="G147" t="str">
        <f t="shared" si="172"/>
        <v>Stephan</v>
      </c>
      <c r="H147" t="str">
        <f t="shared" si="97"/>
        <v>etal</v>
      </c>
      <c r="I147" t="str">
        <f t="shared" si="173"/>
        <v>1987</v>
      </c>
      <c r="J147" t="str">
        <f t="shared" si="198"/>
        <v>PMID%3A3693895</v>
      </c>
      <c r="K147" t="str">
        <f t="shared" si="174"/>
        <v>Stephan_etal_1987_Table1</v>
      </c>
      <c r="L147" t="str">
        <f t="shared" si="93"/>
        <v>PMID%3A3693895_Table1</v>
      </c>
      <c r="M147" t="str">
        <f t="array" ref="M147">IFERROR(INDEX(FileList!$A$1:$A$100,MATCH(TRUE,EXACT(L147,_xlfn.TEXTBEFORE(FileList!$A$1:$A$100,".tsv")),0)),"notfound")</f>
        <v>PMID%3A3693895_Table1.tsv</v>
      </c>
      <c r="N147" s="2" t="s">
        <v>582</v>
      </c>
      <c r="P147" s="2" t="s">
        <v>48</v>
      </c>
      <c r="V147" s="2" t="s">
        <v>40</v>
      </c>
      <c r="W147" s="2" t="s">
        <v>85</v>
      </c>
      <c r="Y147" s="2" t="s">
        <v>80</v>
      </c>
      <c r="Z147" s="2" t="s">
        <v>80</v>
      </c>
      <c r="AF147" s="2" t="s">
        <v>70</v>
      </c>
      <c r="AG147" s="2" t="s">
        <v>93</v>
      </c>
      <c r="AI147" s="2" t="s">
        <v>583</v>
      </c>
      <c r="AJ147" s="2" t="s">
        <v>82</v>
      </c>
      <c r="AK147" s="2" t="s">
        <v>61</v>
      </c>
      <c r="AL147" s="2" t="s">
        <v>61</v>
      </c>
      <c r="AM147" s="2" t="s">
        <v>73</v>
      </c>
    </row>
    <row r="148">
      <c r="A148" s="2" t="s">
        <v>584</v>
      </c>
      <c r="D148" s="2" t="s">
        <v>330</v>
      </c>
      <c r="E148" t="str">
        <f t="shared" si="171"/>
        <v>3</v>
      </c>
      <c r="F148" t="str">
        <f t="shared" si="90"/>
        <v>Stephan_etal_1981</v>
      </c>
      <c r="G148" t="str">
        <f t="shared" si="172"/>
        <v>Stephan</v>
      </c>
      <c r="H148" t="str">
        <f t="shared" si="97"/>
        <v>etal</v>
      </c>
      <c r="I148" t="str">
        <f t="shared" si="173"/>
        <v>1981</v>
      </c>
      <c r="J148" t="str">
        <f t="shared" si="198"/>
        <v>10.1159%2F000155963</v>
      </c>
      <c r="K148" t="str">
        <f t="shared" si="174"/>
        <v>Stephan_etal_1981_TableI</v>
      </c>
      <c r="L148" t="str">
        <f t="shared" ref="L148:L167" si="201">J148 &amp; "_" &amp; SUBSTITUTE(SUBSTITUTE(SUBSTITUTE(D148,CHAR(160),"")," ",""),"_","")</f>
        <v>10.1159%2F000155963_TableI</v>
      </c>
      <c r="M148" t="str">
        <f t="array" ref="M148">IFERROR(INDEX(FileList!$A$1:$A$100,MATCH(TRUE,EXACT(L148,_xlfn.TEXTBEFORE(FileList!$A$1:$A$100,".tsv")),0)),"notfound")</f>
        <v>notfound</v>
      </c>
      <c r="N148" s="2" t="s">
        <v>635</v>
      </c>
      <c r="P148" s="2"/>
      <c r="V148" s="2" t="s">
        <v>40</v>
      </c>
      <c r="Y148" s="2" t="s">
        <v>80</v>
      </c>
      <c r="Z148" s="2" t="s">
        <v>80</v>
      </c>
      <c r="AF148" s="2" t="s">
        <v>70</v>
      </c>
      <c r="AG148" s="2" t="s">
        <v>93</v>
      </c>
      <c r="AI148" s="2" t="s">
        <v>585</v>
      </c>
      <c r="AJ148" s="2" t="s">
        <v>82</v>
      </c>
      <c r="AK148" s="2" t="s">
        <v>61</v>
      </c>
      <c r="AL148" s="2" t="s">
        <v>61</v>
      </c>
      <c r="AM148" s="2" t="s">
        <v>73</v>
      </c>
    </row>
    <row r="149">
      <c r="A149" s="2" t="s">
        <v>584</v>
      </c>
      <c r="D149" s="2" t="s">
        <v>637</v>
      </c>
      <c r="E149" t="str">
        <f t="shared" ref="E149" si="202">RIGHT(A149,1)</f>
        <v>3</v>
      </c>
      <c r="F149" t="str">
        <f t="shared" ref="F149" si="203">G149 &amp; IF(H149&lt;&gt;"", "_" &amp; H149, "_") &amp; IF(I149&lt;&gt;"", "_" &amp; I149, "_") &amp; IF(B149&lt;&gt;"", "_" &amp; B149, "")</f>
        <v>Stephan_etal_1981</v>
      </c>
      <c r="G149" t="str">
        <f t="shared" ref="G149" si="204">SUBSTITUTE(SUBSTITUTE(_xlfn.TEXTBEFORE(A149,","), "-", ""), " ", "")</f>
        <v>Stephan</v>
      </c>
      <c r="H149" t="str">
        <f t="shared" ref="H149" si="205">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t="str">
        <f t="shared" ref="I149" si="206">_xlfn.TEXTBEFORE(_xlfn.TEXTAFTER(A149, "("), ")")</f>
        <v>1981</v>
      </c>
      <c r="J149" t="str">
        <f t="shared" ref="J149" si="207">_xlfn.LET(
_xlpm.doi,IF(C149&lt;&gt;"",C149,_xlfn.TEXTAFTER(A149,"https://doi.org/")),
SUBSTITUTE(
SUBSTITUTE(
SUBSTITUTE(
SUBSTITUTE(
_xlpm.doi,
"/","%2F"),
":","%3A"),
"&lt;","%3C"),
"&gt;","%3E")
)</f>
        <v>10.1159%2F000155963</v>
      </c>
      <c r="K149" t="str">
        <f t="shared" ref="K149" si="208">TRIM(_xlfn.TEXTJOIN("_",FALSE,F149,(SUBSTITUTE(SUBSTITUTE(D149," ",""), "_", ""))))</f>
        <v>Stephan_etal_1981_TableII</v>
      </c>
      <c r="L149" t="str">
        <f t="shared" ref="L149" si="209">J149 &amp; "_" &amp; SUBSTITUTE(SUBSTITUTE(SUBSTITUTE(D149,CHAR(160),"")," ",""),"_","")</f>
        <v>10.1159%2F000155963_TableII</v>
      </c>
      <c r="M149" t="str">
        <f t="array" ref="M149">IFERROR(INDEX(FileList!$A$1:$A$100,MATCH(TRUE,EXACT(L149,_xlfn.TEXTBEFORE(FileList!$A$1:$A$100,".tsv")),0)),"notfound")</f>
        <v>notfound</v>
      </c>
      <c r="N149" s="2" t="s">
        <v>636</v>
      </c>
      <c r="P149" s="2"/>
      <c r="V149" s="2" t="s">
        <v>40</v>
      </c>
      <c r="Y149" s="2" t="s">
        <v>80</v>
      </c>
      <c r="Z149" s="2" t="s">
        <v>80</v>
      </c>
      <c r="AF149" s="2" t="s">
        <v>70</v>
      </c>
      <c r="AG149" s="2" t="s">
        <v>93</v>
      </c>
      <c r="AI149" s="2" t="s">
        <v>585</v>
      </c>
      <c r="AJ149" s="2" t="s">
        <v>82</v>
      </c>
      <c r="AK149" s="2" t="s">
        <v>61</v>
      </c>
      <c r="AL149" s="2" t="s">
        <v>61</v>
      </c>
      <c r="AM149" s="2" t="s">
        <v>73</v>
      </c>
    </row>
    <row r="150">
      <c r="A150" s="2" t="s">
        <v>584</v>
      </c>
      <c r="D150" s="2" t="s">
        <v>638</v>
      </c>
      <c r="E150" t="str">
        <f t="shared" ref="E150" si="210">RIGHT(A150,1)</f>
        <v>3</v>
      </c>
      <c r="F150" t="str">
        <f t="shared" ref="F150" si="211">G150 &amp; IF(H150&lt;&gt;"", "_" &amp; H150, "_") &amp; IF(I150&lt;&gt;"", "_" &amp; I150, "_") &amp; IF(B150&lt;&gt;"", "_" &amp; B150, "")</f>
        <v>Stephan_etal_1981</v>
      </c>
      <c r="G150" t="str">
        <f t="shared" ref="G150" si="212">SUBSTITUTE(SUBSTITUTE(_xlfn.TEXTBEFORE(A150,","), "-", ""), " ", "")</f>
        <v>Stephan</v>
      </c>
      <c r="H150" t="str">
        <f t="shared" ref="H150" si="213">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14">_xlfn.TEXTBEFORE(_xlfn.TEXTAFTER(A150, "("), ")")</f>
        <v>1981</v>
      </c>
      <c r="J150" t="str">
        <f t="shared" ref="J150" si="215">_xlfn.LET(
_xlpm.doi,IF(C150&lt;&gt;"",C150,_xlfn.TEXTAFTER(A150,"https://doi.org/")),
SUBSTITUTE(
SUBSTITUTE(
SUBSTITUTE(
SUBSTITUTE(
_xlpm.doi,
"/","%2F"),
":","%3A"),
"&lt;","%3C"),
"&gt;","%3E")
)</f>
        <v>10.1159%2F000155963</v>
      </c>
      <c r="K150" t="str">
        <f t="shared" ref="K150" si="216">TRIM(_xlfn.TEXTJOIN("_",FALSE,F150,(SUBSTITUTE(SUBSTITUTE(D150," ",""), "_", ""))))</f>
        <v>Stephan_etal_1981_TableIII</v>
      </c>
      <c r="L150" t="str">
        <f t="shared" ref="L150" si="217">J150 &amp; "_" &amp; SUBSTITUTE(SUBSTITUTE(SUBSTITUTE(D150,CHAR(160),"")," ",""),"_","")</f>
        <v>10.1159%2F000155963_TableIII</v>
      </c>
      <c r="M150" t="str">
        <f t="array" ref="M150">IFERROR(INDEX(FileList!$A$1:$A$100,MATCH(TRUE,EXACT(L150,_xlfn.TEXTBEFORE(FileList!$A$1:$A$100,".tsv")),0)),"notfound")</f>
        <v>notfound</v>
      </c>
      <c r="N150" s="2" t="s">
        <v>642</v>
      </c>
      <c r="P150" s="2"/>
      <c r="V150" s="2" t="s">
        <v>40</v>
      </c>
      <c r="Y150" s="2" t="s">
        <v>80</v>
      </c>
      <c r="Z150" s="2" t="s">
        <v>80</v>
      </c>
      <c r="AF150" s="2" t="s">
        <v>70</v>
      </c>
      <c r="AG150" s="2" t="s">
        <v>93</v>
      </c>
      <c r="AI150" s="2" t="s">
        <v>585</v>
      </c>
      <c r="AJ150" s="2" t="s">
        <v>82</v>
      </c>
      <c r="AK150" s="2" t="s">
        <v>61</v>
      </c>
      <c r="AL150" s="2" t="s">
        <v>61</v>
      </c>
      <c r="AM150" s="2" t="s">
        <v>73</v>
      </c>
    </row>
    <row r="151">
      <c r="A151" s="2" t="s">
        <v>584</v>
      </c>
      <c r="D151" s="2" t="s">
        <v>639</v>
      </c>
      <c r="E151" t="str">
        <f t="shared" ref="E151:E153" si="218">RIGHT(A151,1)</f>
        <v>3</v>
      </c>
      <c r="F151" t="str">
        <f t="shared" ref="F151:F153" si="219">G151 &amp; IF(H151&lt;&gt;"", "_" &amp; H151, "_") &amp; IF(I151&lt;&gt;"", "_" &amp; I151, "_") &amp; IF(B151&lt;&gt;"", "_" &amp; B151, "")</f>
        <v>Stephan_etal_1981</v>
      </c>
      <c r="G151" t="str">
        <f t="shared" ref="G151:G153" si="220">SUBSTITUTE(SUBSTITUTE(_xlfn.TEXTBEFORE(A151,","), "-", ""), " ", "")</f>
        <v>Stephan</v>
      </c>
      <c r="H151" t="str">
        <f t="shared" ref="H151:H153" si="221">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I153" si="222">_xlfn.TEXTBEFORE(_xlfn.TEXTAFTER(A151, "("), ")")</f>
        <v>1981</v>
      </c>
      <c r="J151" t="str">
        <f t="shared" ref="J151:J153" si="223">_xlfn.LET(
_xlpm.doi,IF(C151&lt;&gt;"",C151,_xlfn.TEXTAFTER(A151,"https://doi.org/")),
SUBSTITUTE(
SUBSTITUTE(
SUBSTITUTE(
SUBSTITUTE(
_xlpm.doi,
"/","%2F"),
":","%3A"),
"&lt;","%3C"),
"&gt;","%3E")
)</f>
        <v>10.1159%2F000155963</v>
      </c>
      <c r="K151" t="str">
        <f t="shared" ref="K151:K153" si="224">TRIM(_xlfn.TEXTJOIN("_",FALSE,F151,(SUBSTITUTE(SUBSTITUTE(D151," ",""), "_", ""))))</f>
        <v>Stephan_etal_1981_TableIV</v>
      </c>
      <c r="L151" t="str">
        <f t="shared" ref="L151:L153" si="225">J151 &amp; "_" &amp; SUBSTITUTE(SUBSTITUTE(SUBSTITUTE(D151,CHAR(160),"")," ",""),"_","")</f>
        <v>10.1159%2F000155963_TableIV</v>
      </c>
      <c r="M151" t="str">
        <f t="array" ref="M151">IFERROR(INDEX(FileList!$A$1:$A$100,MATCH(TRUE,EXACT(L151,_xlfn.TEXTBEFORE(FileList!$A$1:$A$100,".tsv")),0)),"notfound")</f>
        <v>notfound</v>
      </c>
      <c r="N151" s="2" t="s">
        <v>644</v>
      </c>
      <c r="P151" s="2"/>
      <c r="V151" s="2" t="s">
        <v>40</v>
      </c>
      <c r="Y151" s="2" t="s">
        <v>80</v>
      </c>
      <c r="Z151" s="2" t="s">
        <v>80</v>
      </c>
      <c r="AF151" s="2" t="s">
        <v>70</v>
      </c>
      <c r="AG151" s="2" t="s">
        <v>93</v>
      </c>
      <c r="AI151" s="2" t="s">
        <v>585</v>
      </c>
      <c r="AJ151" s="2" t="s">
        <v>82</v>
      </c>
      <c r="AK151" s="2" t="s">
        <v>61</v>
      </c>
      <c r="AL151" s="2" t="s">
        <v>61</v>
      </c>
      <c r="AM151" s="2" t="s">
        <v>73</v>
      </c>
    </row>
    <row r="152">
      <c r="A152" s="2" t="s">
        <v>584</v>
      </c>
      <c r="D152" s="2" t="s">
        <v>640</v>
      </c>
      <c r="E152" t="str">
        <f t="shared" si="218"/>
        <v>3</v>
      </c>
      <c r="F152" t="str">
        <f t="shared" si="219"/>
        <v>Stephan_etal_1981</v>
      </c>
      <c r="G152" t="str">
        <f t="shared" si="220"/>
        <v>Stephan</v>
      </c>
      <c r="H152" t="str">
        <f t="shared" si="221"/>
        <v>etal</v>
      </c>
      <c r="I152" t="str">
        <f t="shared" si="222"/>
        <v>1981</v>
      </c>
      <c r="J152" t="str">
        <f t="shared" si="223"/>
        <v>10.1159%2F000155963</v>
      </c>
      <c r="K152" t="str">
        <f t="shared" si="224"/>
        <v>Stephan_etal_1981_TableV</v>
      </c>
      <c r="L152" t="str">
        <f t="shared" si="225"/>
        <v>10.1159%2F000155963_TableV</v>
      </c>
      <c r="M152" t="str">
        <f t="array" ref="M152">IFERROR(INDEX(FileList!$A$1:$A$100,MATCH(TRUE,EXACT(L152,_xlfn.TEXTBEFORE(FileList!$A$1:$A$100,".tsv")),0)),"notfound")</f>
        <v>notfound</v>
      </c>
      <c r="N152" s="2" t="s">
        <v>643</v>
      </c>
      <c r="P152" s="2"/>
      <c r="V152" s="2" t="s">
        <v>40</v>
      </c>
      <c r="Y152" s="2" t="s">
        <v>80</v>
      </c>
      <c r="Z152" s="2" t="s">
        <v>80</v>
      </c>
      <c r="AF152" s="2" t="s">
        <v>70</v>
      </c>
      <c r="AG152" s="2" t="s">
        <v>93</v>
      </c>
      <c r="AI152" s="2" t="s">
        <v>585</v>
      </c>
      <c r="AJ152" s="2" t="s">
        <v>82</v>
      </c>
      <c r="AK152" s="2" t="s">
        <v>61</v>
      </c>
      <c r="AL152" s="2" t="s">
        <v>61</v>
      </c>
      <c r="AM152" s="2" t="s">
        <v>73</v>
      </c>
    </row>
    <row r="153">
      <c r="A153" s="2" t="s">
        <v>584</v>
      </c>
      <c r="D153" s="2" t="s">
        <v>641</v>
      </c>
      <c r="E153" t="str">
        <f t="shared" si="218"/>
        <v>3</v>
      </c>
      <c r="F153" t="str">
        <f t="shared" si="219"/>
        <v>Stephan_etal_1981</v>
      </c>
      <c r="G153" t="str">
        <f t="shared" si="220"/>
        <v>Stephan</v>
      </c>
      <c r="H153" t="str">
        <f t="shared" si="221"/>
        <v>etal</v>
      </c>
      <c r="I153" t="str">
        <f t="shared" si="222"/>
        <v>1981</v>
      </c>
      <c r="J153" t="str">
        <f t="shared" si="223"/>
        <v>10.1159%2F000155963</v>
      </c>
      <c r="K153" t="str">
        <f t="shared" si="224"/>
        <v>Stephan_etal_1981_TableVI</v>
      </c>
      <c r="L153" t="str">
        <f t="shared" si="225"/>
        <v>10.1159%2F000155963_TableVI</v>
      </c>
      <c r="M153" t="str">
        <f t="array" ref="M153">IFERROR(INDEX(FileList!$A$1:$A$100,MATCH(TRUE,EXACT(L153,_xlfn.TEXTBEFORE(FileList!$A$1:$A$100,".tsv")),0)),"notfound")</f>
        <v>notfound</v>
      </c>
      <c r="N153" s="2" t="s">
        <v>648</v>
      </c>
      <c r="P153" s="2"/>
      <c r="V153" s="2" t="s">
        <v>40</v>
      </c>
      <c r="Y153" s="2" t="s">
        <v>80</v>
      </c>
      <c r="Z153" s="2" t="s">
        <v>80</v>
      </c>
      <c r="AF153" s="2" t="s">
        <v>70</v>
      </c>
      <c r="AG153" s="2" t="s">
        <v>93</v>
      </c>
      <c r="AI153" s="2" t="s">
        <v>585</v>
      </c>
      <c r="AJ153" s="2" t="s">
        <v>82</v>
      </c>
      <c r="AK153" s="2" t="s">
        <v>61</v>
      </c>
      <c r="AL153" s="2" t="s">
        <v>61</v>
      </c>
      <c r="AM153" s="2" t="s">
        <v>73</v>
      </c>
    </row>
    <row r="154">
      <c r="A154" s="2" t="s">
        <v>584</v>
      </c>
      <c r="D154" s="2" t="s">
        <v>649</v>
      </c>
      <c r="E154" t="str">
        <f t="shared" ref="E154" si="226">RIGHT(A154,1)</f>
        <v>3</v>
      </c>
      <c r="F154" t="str">
        <f t="shared" ref="F154" si="227">G154 &amp; IF(H154&lt;&gt;"", "_" &amp; H154, "_") &amp; IF(I154&lt;&gt;"", "_" &amp; I154, "_") &amp; IF(B154&lt;&gt;"", "_" &amp; B154, "")</f>
        <v>Stephan_etal_1981</v>
      </c>
      <c r="G154" t="str">
        <f t="shared" ref="G154" si="228">SUBSTITUTE(SUBSTITUTE(_xlfn.TEXTBEFORE(A154,","), "-", ""), " ", "")</f>
        <v>Stephan</v>
      </c>
      <c r="H154" t="str">
        <f t="shared" ref="H154" si="229">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t="str">
        <f t="shared" ref="I154" si="230">_xlfn.TEXTBEFORE(_xlfn.TEXTAFTER(A154, "("), ")")</f>
        <v>1981</v>
      </c>
      <c r="J154" t="str">
        <f t="shared" ref="J154" si="231">_xlfn.LET(
_xlpm.doi,IF(C154&lt;&gt;"",C154,_xlfn.TEXTAFTER(A154,"https://doi.org/")),
SUBSTITUTE(
SUBSTITUTE(
SUBSTITUTE(
SUBSTITUTE(
_xlpm.doi,
"/","%2F"),
":","%3A"),
"&lt;","%3C"),
"&gt;","%3E")
)</f>
        <v>10.1159%2F000155963</v>
      </c>
      <c r="K154" t="str">
        <f t="shared" ref="K154" si="232">TRIM(_xlfn.TEXTJOIN("_",FALSE,F154,(SUBSTITUTE(SUBSTITUTE(D154," ",""), "_", ""))))</f>
        <v>Stephan_etal_1981_TablesI-VI</v>
      </c>
      <c r="L154" t="str">
        <f t="shared" ref="L154" si="233">J154 &amp; "_" &amp; SUBSTITUTE(SUBSTITUTE(SUBSTITUTE(D154,CHAR(160),"")," ",""),"_","")</f>
        <v>10.1159%2F000155963_TablesI-VI</v>
      </c>
      <c r="M154" t="str">
        <f t="array" ref="M154">IFERROR(INDEX(FileList!$A$1:$A$100,MATCH(TRUE,EXACT(L154,_xlfn.TEXTBEFORE(FileList!$A$1:$A$100,".tsv")),0)),"notfound")</f>
        <v>10.1159%2F000155963_TablesI-VI.tsv</v>
      </c>
      <c r="N154" s="2"/>
      <c r="O154" t="s">
        <v>647</v>
      </c>
      <c r="P154" s="2" t="s">
        <v>48</v>
      </c>
      <c r="V154" s="2" t="s">
        <v>40</v>
      </c>
      <c r="Y154" s="2" t="s">
        <v>80</v>
      </c>
      <c r="Z154" s="2" t="s">
        <v>80</v>
      </c>
      <c r="AF154" s="2" t="s">
        <v>70</v>
      </c>
      <c r="AG154" s="2" t="s">
        <v>93</v>
      </c>
      <c r="AI154" s="2" t="s">
        <v>585</v>
      </c>
      <c r="AJ154" s="2" t="s">
        <v>82</v>
      </c>
      <c r="AK154" s="2" t="s">
        <v>61</v>
      </c>
      <c r="AL154" s="2" t="s">
        <v>61</v>
      </c>
      <c r="AM154" s="2" t="s">
        <v>73</v>
      </c>
    </row>
    <row r="155">
      <c r="A155" s="2" t="s">
        <v>629</v>
      </c>
      <c r="C155" s="6" t="s">
        <v>630</v>
      </c>
      <c r="D155" s="2" t="s">
        <v>46</v>
      </c>
      <c r="E155" t="str">
        <f t="shared" ref="E155" si="234">RIGHT(A155,1)</f>
        <v>.</v>
      </c>
      <c r="F155" t="str">
        <f t="shared" ref="F155" si="235">G155 &amp; IF(H155&lt;&gt;"", "_" &amp; H155, "_") &amp; IF(I155&lt;&gt;"", "_" &amp; I155, "_") &amp; IF(B155&lt;&gt;"", "_" &amp; B155, "")</f>
        <v>Stephan_etal_1988</v>
      </c>
      <c r="G155" t="str">
        <f t="shared" ref="G155" si="236">SUBSTITUTE(SUBSTITUTE(_xlfn.TEXTBEFORE(A155,","), "-", ""), " ", "")</f>
        <v>Stephan</v>
      </c>
      <c r="H155" t="str">
        <f t="shared" ref="H155" si="237">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 t="shared" ref="I155" si="238">_xlfn.TEXTBEFORE(_xlfn.TEXTAFTER(A155, "("), ")")</f>
        <v>1988</v>
      </c>
      <c r="J155" t="str">
        <f t="shared" ref="J155" si="239">_xlfn.LET(
_xlpm.doi,IF(C155&lt;&gt;"",C155,_xlfn.TEXTAFTER(A155,"https://doi.org/")),
SUBSTITUTE(
SUBSTITUTE(
SUBSTITUTE(
SUBSTITUTE(
_xlpm.doi,
"/","%2F"),
":","%3A"),
"&lt;","%3C"),
"&gt;","%3E")
)</f>
        <v>ISBN%3A0845140000</v>
      </c>
      <c r="K155" t="str">
        <f t="shared" ref="K155" si="240">TRIM(_xlfn.TEXTJOIN("_",FALSE,F155,(SUBSTITUTE(SUBSTITUTE(D155," ",""), "_", ""))))</f>
        <v>Stephan_etal_1988_TABLE1</v>
      </c>
      <c r="L155" t="str">
        <f t="shared" ref="L155" si="241">J155 &amp; "_" &amp; SUBSTITUTE(SUBSTITUTE(SUBSTITUTE(D155,CHAR(160),"")," ",""),"_","")</f>
        <v>ISBN%3A0845140000_TABLE1</v>
      </c>
      <c r="M155" t="str">
        <f t="array" ref="M155">IFERROR(INDEX(FileList!$A$1:$A$100,MATCH(TRUE,EXACT(L155,_xlfn.TEXTBEFORE(FileList!$A$1:$A$100,".tsv")),0)),"notfound")</f>
        <v>ISBN%3A0845140000_TABLE1.tsv</v>
      </c>
      <c r="N155" s="2" t="s">
        <v>631</v>
      </c>
      <c r="P155" s="2"/>
      <c r="V155" s="2"/>
      <c r="Y155" s="2"/>
      <c r="Z155" s="2"/>
      <c r="AF155" s="2"/>
      <c r="AG155" s="2"/>
      <c r="AI155" s="3"/>
      <c r="AJ155" s="3"/>
      <c r="AK155" s="3"/>
      <c r="AL155" s="2"/>
      <c r="AM155" s="2"/>
    </row>
    <row r="156">
      <c r="A156" s="2" t="s">
        <v>586</v>
      </c>
      <c r="D156" s="2" t="s">
        <v>587</v>
      </c>
      <c r="E156" t="str">
        <f t="shared" ref="E156:E157" si="242">RIGHT(A156,1)</f>
        <v>8</v>
      </c>
      <c r="F156" t="str">
        <f t="shared" ref="F156:F167" si="243">G156 &amp; IF(H156&lt;&gt;"", "_" &amp; H156, "_") &amp; IF(I156&lt;&gt;"", "_" &amp; I156, "_") &amp; IF(B156&lt;&gt;"", "_" &amp; B156, "")</f>
        <v>Stimpson_etal_2015</v>
      </c>
      <c r="G156" t="str">
        <f t="shared" si="172"/>
        <v>Stimpson</v>
      </c>
      <c r="H156" t="str">
        <f t="shared" si="97"/>
        <v>etal</v>
      </c>
      <c r="I156" t="str">
        <f t="shared" si="173"/>
        <v>2015</v>
      </c>
      <c r="J156" t="str">
        <f t="shared" si="198"/>
        <v>10.1093%2Fscan%2Fnsv128</v>
      </c>
      <c r="K156" t="str">
        <f t="shared" si="174"/>
        <v>Stimpson_etal_2015_TableS1</v>
      </c>
      <c r="L156" t="str">
        <f t="shared" si="201"/>
        <v>10.1093%2Fscan%2Fnsv128_TableS1</v>
      </c>
      <c r="M156" t="str">
        <f t="array" ref="M156">IFERROR(INDEX(FileList!$A$1:$A$100,MATCH(TRUE,EXACT(L156,_xlfn.TEXTBEFORE(FileList!$A$1:$A$100,".tsv")),0)),"notfound")</f>
        <v>10.1093%2Fscan%2Fnsv128_TableS1.tsv</v>
      </c>
      <c r="N156" s="2" t="s">
        <v>587</v>
      </c>
      <c r="P156" s="2" t="s">
        <v>48</v>
      </c>
      <c r="V156" s="2" t="s">
        <v>40</v>
      </c>
      <c r="Y156" s="2" t="s">
        <v>588</v>
      </c>
      <c r="Z156" s="2" t="s">
        <v>588</v>
      </c>
      <c r="AF156" s="2" t="s">
        <v>70</v>
      </c>
      <c r="AG156" s="2" t="s">
        <v>93</v>
      </c>
      <c r="AL156" s="2" t="s">
        <v>61</v>
      </c>
      <c r="AM156" s="2" t="s">
        <v>73</v>
      </c>
    </row>
    <row r="157">
      <c r="A157" s="2" t="s">
        <v>586</v>
      </c>
      <c r="D157" s="2" t="s">
        <v>589</v>
      </c>
      <c r="E157" t="str">
        <f t="shared" si="242"/>
        <v>8</v>
      </c>
      <c r="F157" t="str">
        <f t="shared" si="243"/>
        <v>Stimpson_etal_2015</v>
      </c>
      <c r="G157" t="str">
        <f t="shared" si="172"/>
        <v>Stimpson</v>
      </c>
      <c r="H157" t="str">
        <f t="shared" si="97"/>
        <v>etal</v>
      </c>
      <c r="I157" t="str">
        <f t="shared" si="173"/>
        <v>2015</v>
      </c>
      <c r="J157" t="str">
        <f t="shared" si="198"/>
        <v>10.1093%2Fscan%2Fnsv128</v>
      </c>
      <c r="K157" t="str">
        <f t="shared" si="174"/>
        <v>Stimpson_etal_2015_TableS2</v>
      </c>
      <c r="L157" t="str">
        <f t="shared" si="201"/>
        <v>10.1093%2Fscan%2Fnsv128_TableS2</v>
      </c>
      <c r="M157" t="str">
        <f t="array" ref="M157">IFERROR(INDEX(FileList!$A$1:$A$100,MATCH(TRUE,EXACT(L157,_xlfn.TEXTBEFORE(FileList!$A$1:$A$100,".tsv")),0)),"notfound")</f>
        <v>10.1093%2Fscan%2Fnsv128_TableS2.tsv</v>
      </c>
      <c r="N157" s="2" t="s">
        <v>589</v>
      </c>
      <c r="P157" s="2" t="s">
        <v>48</v>
      </c>
      <c r="V157" s="2" t="s">
        <v>40</v>
      </c>
      <c r="Y157" s="2" t="s">
        <v>588</v>
      </c>
      <c r="Z157" s="2" t="s">
        <v>588</v>
      </c>
      <c r="AF157" s="2" t="s">
        <v>70</v>
      </c>
      <c r="AG157" s="2" t="s">
        <v>93</v>
      </c>
      <c r="AL157" s="2" t="s">
        <v>61</v>
      </c>
      <c r="AM157" s="2" t="s">
        <v>73</v>
      </c>
    </row>
    <row r="158">
      <c r="A158" s="2" t="s">
        <v>590</v>
      </c>
      <c r="D158" s="2" t="s">
        <v>78</v>
      </c>
      <c r="E158" t="str">
        <f t="shared" si="171"/>
        <v>2</v>
      </c>
      <c r="F158" t="str">
        <f t="shared" si="243"/>
        <v>Turner_etal_2016</v>
      </c>
      <c r="G158" t="str">
        <f t="shared" si="172"/>
        <v>Turner</v>
      </c>
      <c r="H158" t="str">
        <f t="shared" si="97"/>
        <v>etal</v>
      </c>
      <c r="I158" t="str">
        <f t="shared" si="173"/>
        <v>2016</v>
      </c>
      <c r="J158" t="str">
        <f t="shared" si="198"/>
        <v>10.1159%2F000446762</v>
      </c>
      <c r="K158" t="str">
        <f t="shared" si="174"/>
        <v>Turner_etal_2016_Table1</v>
      </c>
      <c r="L158" t="str">
        <f t="shared" si="201"/>
        <v>10.1159%2F000446762_Table1</v>
      </c>
      <c r="M158" t="str">
        <f t="array" ref="M158">IFERROR(INDEX(FileList!$A$1:$A$100,MATCH(TRUE,EXACT(L158,_xlfn.TEXTBEFORE(FileList!$A$1:$A$100,".tsv")),0)),"notfound")</f>
        <v>notfound</v>
      </c>
      <c r="N158" s="2" t="s">
        <v>591</v>
      </c>
      <c r="AI158" s="2" t="s">
        <v>592</v>
      </c>
      <c r="AJ158" s="2" t="s">
        <v>118</v>
      </c>
      <c r="AL158" s="2" t="s">
        <v>61</v>
      </c>
      <c r="AM158" s="2" t="s">
        <v>105</v>
      </c>
    </row>
    <row r="159">
      <c r="A159" s="2" t="s">
        <v>777</v>
      </c>
      <c r="C159" t="s">
        <v>778</v>
      </c>
      <c r="D159" s="2" t="s">
        <v>776</v>
      </c>
      <c r="E159" t="str">
        <f t="shared" ref="E159:E160" si="244">RIGHT(A159,1)</f>
        <v>.</v>
      </c>
      <c r="F159" t="str">
        <f t="shared" ref="F159:F160" si="245">G159 &amp; IF(H159&lt;&gt;"", "_" &amp; H159, "_") &amp; IF(I159&lt;&gt;"", "_" &amp; I159, "_") &amp; IF(B159&lt;&gt;"", "_" &amp; B159, "")</f>
        <v>Weaver__2001</v>
      </c>
      <c r="G159" t="str">
        <f t="shared" ref="G159:G160" si="246">SUBSTITUTE(SUBSTITUTE(_xlfn.TEXTBEFORE(A159,","), "-", ""), " ", "")</f>
        <v>Weaver</v>
      </c>
      <c r="H159" t="str">
        <f t="shared" ref="H159:H160" si="247">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t="str">
        <f t="shared" ref="I159:I160" si="248">_xlfn.TEXTBEFORE(_xlfn.TEXTAFTER(A159, "("), ")")</f>
        <v>2001</v>
      </c>
      <c r="J159" t="str">
        <f t="shared" ref="J159:J160" si="249">_xlfn.LET(
_xlpm.doi,IF(C159&lt;&gt;"",C159,_xlfn.TEXTAFTER(A159,"https://doi.org/")),
SUBSTITUTE(
SUBSTITUTE(
SUBSTITUTE(
SUBSTITUTE(
_xlpm.doi,
"/","%2F"),
":","%3A"),
"&lt;","%3C"),
"&gt;","%3E")
)</f>
        <v>UMI%3A3017523</v>
      </c>
      <c r="K159" t="str">
        <f t="shared" ref="K159:K160" si="250">TRIM(_xlfn.TEXTJOIN("_",FALSE,F159,(SUBSTITUTE(SUBSTITUTE(D159," ",""), "_", ""))))</f>
        <v>Weaver__2001_TableA-15</v>
      </c>
      <c r="L159" t="str">
        <f t="shared" ref="L159:L160" si="251">J159 &amp; "_" &amp; SUBSTITUTE(SUBSTITUTE(SUBSTITUTE(D159,CHAR(160),"")," ",""),"_","")</f>
        <v>UMI%3A3017523_TableA-15</v>
      </c>
      <c r="M159" t="str">
        <f t="array" ref="M159">IFERROR(INDEX(FileList!$A$1:$A$100,MATCH(TRUE,EXACT(L159,_xlfn.TEXTBEFORE(FileList!$A$1:$A$100,".tsv")),0)),"notfound")</f>
        <v>notfound</v>
      </c>
      <c r="N159" s="3" t="s">
        <v>774</v>
      </c>
      <c r="AI159" s="2"/>
      <c r="AJ159" s="2"/>
      <c r="AL159" s="2"/>
      <c r="AM159" s="2"/>
    </row>
    <row r="160">
      <c r="A160" s="2" t="s">
        <v>777</v>
      </c>
      <c r="C160" t="s">
        <v>778</v>
      </c>
      <c r="D160" s="2" t="s">
        <v>775</v>
      </c>
      <c r="E160" t="str">
        <f t="shared" si="244"/>
        <v>.</v>
      </c>
      <c r="F160" t="str">
        <f t="shared" si="245"/>
        <v>Weaver__2001</v>
      </c>
      <c r="G160" t="str">
        <f t="shared" si="246"/>
        <v>Weaver</v>
      </c>
      <c r="H160" t="str">
        <f t="shared" si="247"/>
      </c>
      <c r="I160" t="str">
        <f t="shared" si="248"/>
        <v>2001</v>
      </c>
      <c r="J160" t="str">
        <f t="shared" si="249"/>
        <v>UMI%3A3017523</v>
      </c>
      <c r="K160" t="str">
        <f t="shared" si="250"/>
        <v>Weaver__2001_NotesforTableA-15</v>
      </c>
      <c r="L160" t="str">
        <f t="shared" si="251"/>
        <v>UMI%3A3017523_NotesforTableA-15</v>
      </c>
      <c r="M160" t="str">
        <f t="array" ref="M160">IFERROR(INDEX(FileList!$A$1:$A$100,MATCH(TRUE,EXACT(L160,_xlfn.TEXTBEFORE(FileList!$A$1:$A$100,".tsv")),0)),"notfound")</f>
        <v>notfound</v>
      </c>
      <c r="N160" s="3" t="s">
        <v>775</v>
      </c>
      <c r="AI160" s="2"/>
      <c r="AJ160" s="2"/>
      <c r="AL160" s="2"/>
      <c r="AM160" s="2"/>
    </row>
    <row r="161">
      <c r="A161" s="2" t="s">
        <v>593</v>
      </c>
      <c r="D161" s="2" t="s">
        <v>594</v>
      </c>
      <c r="E161" t="str">
        <f t="shared" si="171"/>
        <v>1</v>
      </c>
      <c r="F161" t="str">
        <f t="shared" si="243"/>
        <v>Wilman_etal_2014</v>
      </c>
      <c r="G161" t="str">
        <f t="shared" si="172"/>
        <v>Wilman</v>
      </c>
      <c r="H161" t="str">
        <f t="shared" si="97"/>
        <v>etal</v>
      </c>
      <c r="I161" t="str">
        <f t="shared" si="173"/>
        <v>2014</v>
      </c>
      <c r="J161" t="str">
        <f t="shared" si="198"/>
        <v>10.1890%2F13-1917.1</v>
      </c>
      <c r="K161" t="str">
        <f t="shared" si="174"/>
        <v>Wilman_etal_2014_MamFuncDat.txt</v>
      </c>
      <c r="L161" t="str">
        <f t="shared" si="201"/>
        <v>10.1890%2F13-1917.1_MamFuncDat.txt</v>
      </c>
      <c r="M161" t="str">
        <f t="array" ref="M161">IFERROR(INDEX(FileList!$A$1:$A$100,MATCH(TRUE,EXACT(L161,_xlfn.TEXTBEFORE(FileList!$A$1:$A$100,".tsv")),0)),"notfound")</f>
        <v>notfound</v>
      </c>
      <c r="AI161" s="2" t="s">
        <v>595</v>
      </c>
      <c r="AJ161" s="2" t="s">
        <v>118</v>
      </c>
      <c r="AL161" s="2" t="s">
        <v>119</v>
      </c>
      <c r="AM161" s="2" t="s">
        <v>596</v>
      </c>
    </row>
    <row r="162">
      <c r="A162" s="2" t="s">
        <v>597</v>
      </c>
      <c r="D162" s="2" t="s">
        <v>598</v>
      </c>
      <c r="E162" t="str">
        <f t="shared" si="171"/>
        <v>7</v>
      </c>
      <c r="F162" t="str">
        <f t="shared" si="243"/>
        <v>Wimberly_etal_2021</v>
      </c>
      <c r="G162" t="str">
        <f t="shared" si="172"/>
        <v>Wimberly</v>
      </c>
      <c r="H162" t="str">
        <f t="shared" si="97"/>
        <v>etal</v>
      </c>
      <c r="I162" t="str">
        <f t="shared" si="173"/>
        <v>2021</v>
      </c>
      <c r="J162" t="str">
        <f t="shared" si="198"/>
        <v>10.1098%2Frspb.2021.0937</v>
      </c>
      <c r="K162" t="str">
        <f t="shared" si="174"/>
        <v>Wimberly_etal_2021_mammalgait.txt</v>
      </c>
      <c r="L162" t="str">
        <f t="shared" si="201"/>
        <v>10.1098%2Frspb.2021.0937_mammalgait.txt</v>
      </c>
      <c r="M162" t="str">
        <f t="array" ref="M162">IFERROR(INDEX(FileList!$A$1:$A$100,MATCH(TRUE,EXACT(L162,_xlfn.TEXTBEFORE(FileList!$A$1:$A$100,".tsv")),0)),"notfound")</f>
        <v>notfound</v>
      </c>
      <c r="P162" s="2" t="s">
        <v>312</v>
      </c>
      <c r="AJ162" s="2" t="s">
        <v>41</v>
      </c>
      <c r="AL162" s="2" t="s">
        <v>41</v>
      </c>
      <c r="AM162" s="2" t="s">
        <v>41</v>
      </c>
    </row>
    <row r="163">
      <c r="A163" s="2" t="s">
        <v>599</v>
      </c>
      <c r="D163" s="2" t="s">
        <v>600</v>
      </c>
      <c r="E163" t="str">
        <f t="shared" si="171"/>
        <v>5</v>
      </c>
      <c r="F163" t="str">
        <f t="shared" si="243"/>
        <v>Winkler_Bryant_2021</v>
      </c>
      <c r="G163" t="str">
        <f t="shared" si="172"/>
        <v>Winkler</v>
      </c>
      <c r="H163" t="str">
        <f t="shared" si="97"/>
        <v>Bryant</v>
      </c>
      <c r="I163" t="str">
        <f t="shared" si="173"/>
        <v>2021</v>
      </c>
      <c r="J163" t="str">
        <f t="shared" si="198"/>
        <v>10.1080%2F09524622.2021.1905065</v>
      </c>
      <c r="K163" t="str">
        <f t="shared" si="174"/>
        <v>Winkler_Bryant_2021_Figure1</v>
      </c>
      <c r="L163" t="str">
        <f t="shared" si="201"/>
        <v>10.1080%2F09524622.2021.1905065_Figure1</v>
      </c>
      <c r="M163" t="str">
        <f t="array" ref="M163">IFERROR(INDEX(FileList!$A$1:$A$100,MATCH(TRUE,EXACT(L163,_xlfn.TEXTBEFORE(FileList!$A$1:$A$100,".tsv")),0)),"notfound")</f>
        <v>notfound</v>
      </c>
      <c r="P163" s="2" t="s">
        <v>312</v>
      </c>
      <c r="Q163" s="2" t="s">
        <v>178</v>
      </c>
      <c r="T163" s="2" t="str">
        <f>IF(S163="N", R163, "write file name")</f>
        <v>write file name</v>
      </c>
      <c r="U163" s="2" t="s">
        <v>53</v>
      </c>
      <c r="V163" s="2" t="s">
        <v>601</v>
      </c>
      <c r="AH163" s="2" t="s">
        <v>116</v>
      </c>
      <c r="AI163" s="2" t="s">
        <v>602</v>
      </c>
      <c r="AJ163" s="2" t="s">
        <v>118</v>
      </c>
      <c r="AL163" s="2" t="s">
        <v>119</v>
      </c>
      <c r="AM163" s="2" t="s">
        <v>603</v>
      </c>
    </row>
    <row r="164">
      <c r="A164" s="2" t="s">
        <v>604</v>
      </c>
      <c r="D164" s="2" t="s">
        <v>78</v>
      </c>
      <c r="E164" t="str">
        <f t="shared" si="171"/>
        <v>0</v>
      </c>
      <c r="F164" t="str">
        <f t="shared" si="243"/>
        <v>Young_etal_2013</v>
      </c>
      <c r="G164" t="str">
        <f t="shared" si="172"/>
        <v>Young</v>
      </c>
      <c r="H164" t="str">
        <f t="shared" si="97"/>
        <v>etal</v>
      </c>
      <c r="I164" t="str">
        <f t="shared" si="173"/>
        <v>2013</v>
      </c>
      <c r="J164" t="str">
        <f t="shared" si="198"/>
        <v>10.3389%2Ffncir.2013.00030</v>
      </c>
      <c r="K164" t="str">
        <f t="shared" si="174"/>
        <v>Young_etal_2013_Table1</v>
      </c>
      <c r="L164" t="str">
        <f t="shared" si="201"/>
        <v>10.3389%2Ffncir.2013.00030_Table1</v>
      </c>
      <c r="M164" t="str">
        <f t="array" ref="M164">IFERROR(INDEX(FileList!$A$1:$A$100,MATCH(TRUE,EXACT(L164,_xlfn.TEXTBEFORE(FileList!$A$1:$A$100,".tsv")),0)),"notfound")</f>
        <v>notfound</v>
      </c>
      <c r="P164" s="2" t="s">
        <v>485</v>
      </c>
      <c r="Q164" s="2" t="s">
        <v>178</v>
      </c>
      <c r="T164" s="2" t="str">
        <f>IF(S164="N", R164, "write file name")</f>
        <v>write file name</v>
      </c>
      <c r="U164" s="2" t="s">
        <v>53</v>
      </c>
      <c r="V164" s="2" t="s">
        <v>40</v>
      </c>
      <c r="AH164" s="2" t="s">
        <v>155</v>
      </c>
      <c r="AI164" s="2" t="s">
        <v>605</v>
      </c>
      <c r="AJ164" s="2" t="s">
        <v>99</v>
      </c>
      <c r="AK164" s="2" t="s">
        <v>61</v>
      </c>
      <c r="AL164" s="2" t="s">
        <v>61</v>
      </c>
      <c r="AM164" s="2" t="s">
        <v>606</v>
      </c>
    </row>
    <row r="165">
      <c r="A165" s="2" t="s">
        <v>607</v>
      </c>
      <c r="D165" s="2" t="s">
        <v>78</v>
      </c>
      <c r="E165" t="str">
        <f t="shared" si="171"/>
        <v>0</v>
      </c>
      <c r="F165" t="str">
        <f t="shared" si="243"/>
        <v>Young_etal_2013</v>
      </c>
      <c r="G165" t="str">
        <f t="shared" si="172"/>
        <v>Young</v>
      </c>
      <c r="H165" t="str">
        <f t="shared" si="97"/>
        <v>etal</v>
      </c>
      <c r="I165" t="str">
        <f t="shared" si="173"/>
        <v>2013</v>
      </c>
      <c r="J165" t="str">
        <f t="shared" si="198"/>
        <v>10.1073%2Fpnas.1318894110</v>
      </c>
      <c r="K165" t="str">
        <f t="shared" si="174"/>
        <v>Young_etal_2013_Table1</v>
      </c>
      <c r="L165" t="str">
        <f t="shared" si="201"/>
        <v>10.1073%2Fpnas.1318894110_Table1</v>
      </c>
      <c r="M165" t="str">
        <f t="array" ref="M165">IFERROR(INDEX(FileList!$A$1:$A$100,MATCH(TRUE,EXACT(L165,_xlfn.TEXTBEFORE(FileList!$A$1:$A$100,".tsv")),0)),"notfound")</f>
        <v>notfound</v>
      </c>
      <c r="N165" s="2" t="s">
        <v>608</v>
      </c>
      <c r="V165" s="2" t="s">
        <v>40</v>
      </c>
      <c r="Y165" s="2" t="s">
        <v>199</v>
      </c>
      <c r="AG165" s="2" t="s">
        <v>57</v>
      </c>
      <c r="AI165" s="2" t="s">
        <v>609</v>
      </c>
      <c r="AJ165" s="2" t="s">
        <v>610</v>
      </c>
      <c r="AK165" s="2" t="s">
        <v>61</v>
      </c>
      <c r="AL165" s="2" t="s">
        <v>61</v>
      </c>
      <c r="AM165" s="2" t="s">
        <v>611</v>
      </c>
    </row>
    <row r="166">
      <c r="A166" s="2" t="s">
        <v>612</v>
      </c>
      <c r="C166" s="2" t="s">
        <v>613</v>
      </c>
      <c r="D166" s="2" t="s">
        <v>614</v>
      </c>
      <c r="E166" t="str">
        <f t="shared" si="171"/>
        <v>s</v>
      </c>
      <c r="F166" t="str">
        <f t="shared" si="243"/>
        <v>Zilles_Rehkämper_1988</v>
      </c>
      <c r="G166" t="str">
        <f t="shared" si="172"/>
        <v>Zilles</v>
      </c>
      <c r="H166" t="str">
        <f t="shared" si="97"/>
        <v>Rehkämper</v>
      </c>
      <c r="I166" t="str">
        <f t="shared" si="173"/>
        <v>1988</v>
      </c>
      <c r="J166" t="str">
        <f t="shared" si="198"/>
        <v>ISBN%3A9780195043716</v>
      </c>
      <c r="K166" t="str">
        <f t="shared" si="174"/>
        <v>Zilles_Rehkämper_1988_Table12-2</v>
      </c>
      <c r="L166" t="str">
        <f t="shared" si="201"/>
        <v>ISBN%3A9780195043716_Table12-2</v>
      </c>
      <c r="M166" t="str">
        <f t="array" ref="M166">IFERROR(INDEX(FileList!$A$1:$A$100,MATCH(TRUE,EXACT(L166,_xlfn.TEXTBEFORE(FileList!$A$1:$A$100,".tsv")),0)),"notfound")</f>
        <v>ISBN%3A9780195043716_Table12-2.tsv</v>
      </c>
      <c r="N166" s="2" t="s">
        <v>615</v>
      </c>
      <c r="Y166" s="2" t="s">
        <v>80</v>
      </c>
      <c r="Z166" s="2" t="s">
        <v>481</v>
      </c>
      <c r="AF166" s="2" t="s">
        <v>70</v>
      </c>
      <c r="AG166" s="2" t="s">
        <v>93</v>
      </c>
      <c r="AI166" s="2" t="s">
        <v>616</v>
      </c>
      <c r="AJ166" s="2" t="s">
        <v>617</v>
      </c>
      <c r="AL166" s="2" t="s">
        <v>61</v>
      </c>
      <c r="AM166" s="2" t="s">
        <v>73</v>
      </c>
    </row>
    <row r="167">
      <c r="A167" s="2" t="s">
        <v>618</v>
      </c>
      <c r="D167" s="2" t="s">
        <v>619</v>
      </c>
      <c r="E167" t="str">
        <f t="shared" si="171"/>
        <v>6</v>
      </c>
      <c r="F167" t="str">
        <f t="shared" si="243"/>
        <v>Zilles_etal_2013</v>
      </c>
      <c r="G167" t="str">
        <f t="shared" ref="G167" si="252">SUBSTITUTE(SUBSTITUTE(_xlfn.TEXTBEFORE(A167,","), "-", ""), " ", "")</f>
        <v>Zilles</v>
      </c>
      <c r="H167" t="str">
        <f t="shared" ref="H167" si="253">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t="str">
        <f t="shared" ref="I167" si="254">_xlfn.TEXTBEFORE(_xlfn.TEXTAFTER(A167, "("), ")")</f>
        <v>2013</v>
      </c>
      <c r="J167" t="str">
        <f t="shared" si="198"/>
        <v>10.1016%2Fj.tins.2013.01.006</v>
      </c>
      <c r="K167" t="str">
        <f t="shared" ref="K167" si="255">TRIM(_xlfn.TEXTJOIN("_",FALSE,F167,(SUBSTITUTE(SUBSTITUTE(D167," ",""), "_", ""))))</f>
        <v>Zilles_etal_2013_Table1</v>
      </c>
      <c r="L167" t="str">
        <f t="shared" si="201"/>
        <v>10.1016%2Fj.tins.2013.01.006_Table1</v>
      </c>
      <c r="M167" t="str">
        <f t="array" ref="M167">IFERROR(INDEX(FileList!$A$1:$A$100,MATCH(TRUE,EXACT(L167,_xlfn.TEXTBEFORE(FileList!$A$1:$A$100,".tsv")),0)),"notfound")</f>
        <v>notfound</v>
      </c>
      <c r="N167" s="2" t="s">
        <v>620</v>
      </c>
      <c r="V167" s="2" t="s">
        <v>40</v>
      </c>
      <c r="Y167" s="2" t="s">
        <v>69</v>
      </c>
      <c r="AG167" s="2" t="s">
        <v>41</v>
      </c>
      <c r="AI167" s="2" t="s">
        <v>621</v>
      </c>
      <c r="AJ167" s="2" t="s">
        <v>622</v>
      </c>
      <c r="AK167" s="2" t="s">
        <v>61</v>
      </c>
      <c r="AL167" s="2" t="s">
        <v>119</v>
      </c>
      <c r="AM167" s="2" t="s">
        <v>623</v>
      </c>
    </row>
  </sheetData>
  <hyperlinks>
    <hyperlink ref="X31" r:id="rId1h"/>
    <hyperlink ref="X32"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5" r:id="rId3h"/>
    <hyperlink ref="X47" r:id="rId4h"/>
    <hyperlink ref="X51" r:id="rId5h"/>
    <hyperlink ref="X59" r:id="rId6h"/>
    <hyperlink ref="X60" r:id="rId7h"/>
    <hyperlink ref="X62" r:id="rId8h"/>
    <hyperlink ref="X63" r:id="rId9h"/>
    <hyperlink ref="X64" r:id="rId10h"/>
    <hyperlink ref="X65" r:id="rId11h"/>
    <hyperlink ref="X66" r:id="rId12h"/>
    <hyperlink ref="X67" r:id="rId13h"/>
    <hyperlink ref="X70" r:id="rId14h"/>
    <hyperlink ref="X92" r:id="rId15h"/>
    <hyperlink ref="X103" r:id="rId16h"/>
    <hyperlink ref="X104" r:id="rId17h"/>
    <hyperlink ref="X113" r:id="rId18h"/>
    <hyperlink ref="X119"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790</v>
      </c>
    </row>
    <row r="2">
      <c r="A2" t="s">
        <v>791</v>
      </c>
    </row>
    <row r="3">
      <c r="A3" t="s">
        <v>792</v>
      </c>
    </row>
    <row r="4">
      <c r="A4" t="s">
        <v>793</v>
      </c>
    </row>
    <row r="5">
      <c r="A5" t="s">
        <v>794</v>
      </c>
    </row>
    <row r="6">
      <c r="A6" t="s">
        <v>795</v>
      </c>
    </row>
    <row r="7">
      <c r="A7" t="s">
        <v>796</v>
      </c>
    </row>
    <row r="8">
      <c r="A8" t="s">
        <v>797</v>
      </c>
    </row>
    <row r="9">
      <c r="A9" t="s">
        <v>798</v>
      </c>
    </row>
    <row r="10">
      <c r="A10" t="s">
        <v>799</v>
      </c>
    </row>
    <row r="11">
      <c r="A11" t="s">
        <v>800</v>
      </c>
    </row>
    <row r="12">
      <c r="A12" t="s">
        <v>801</v>
      </c>
    </row>
    <row r="13">
      <c r="A13" t="s">
        <v>802</v>
      </c>
    </row>
    <row r="14">
      <c r="A14" t="s">
        <v>803</v>
      </c>
    </row>
    <row r="15">
      <c r="A15" t="s">
        <v>804</v>
      </c>
    </row>
    <row r="16">
      <c r="A16" t="s">
        <v>805</v>
      </c>
    </row>
    <row r="17">
      <c r="A17" t="s">
        <v>806</v>
      </c>
    </row>
    <row r="18">
      <c r="A18" t="s">
        <v>807</v>
      </c>
    </row>
    <row r="19">
      <c r="A19" t="s">
        <v>808</v>
      </c>
    </row>
    <row r="20">
      <c r="A20" t="s">
        <v>809</v>
      </c>
    </row>
    <row r="21">
      <c r="A21" t="s">
        <v>810</v>
      </c>
    </row>
    <row r="22">
      <c r="A22" t="s">
        <v>811</v>
      </c>
    </row>
    <row r="23">
      <c r="A23" t="s">
        <v>812</v>
      </c>
    </row>
    <row r="24">
      <c r="A24" t="s">
        <v>813</v>
      </c>
    </row>
    <row r="25">
      <c r="A25" t="s">
        <v>814</v>
      </c>
    </row>
    <row r="26">
      <c r="A26" t="s">
        <v>815</v>
      </c>
    </row>
    <row r="27">
      <c r="A27" t="s">
        <v>816</v>
      </c>
    </row>
    <row r="28">
      <c r="A28" t="s">
        <v>817</v>
      </c>
    </row>
    <row r="29">
      <c r="A29" t="s">
        <v>818</v>
      </c>
    </row>
    <row r="30">
      <c r="A30" t="s">
        <v>819</v>
      </c>
    </row>
    <row r="31">
      <c r="A31" t="s">
        <v>820</v>
      </c>
    </row>
    <row r="32">
      <c r="A32" t="s">
        <v>821</v>
      </c>
    </row>
    <row r="33">
      <c r="A33" t="s">
        <v>822</v>
      </c>
    </row>
    <row r="34">
      <c r="A34" t="s">
        <v>823</v>
      </c>
    </row>
    <row r="35">
      <c r="A35" t="s">
        <v>824</v>
      </c>
    </row>
    <row r="36">
      <c r="A36" t="s">
        <v>825</v>
      </c>
    </row>
    <row r="37">
      <c r="A37" t="s">
        <v>826</v>
      </c>
    </row>
    <row r="38">
      <c r="A38" t="s">
        <v>827</v>
      </c>
    </row>
    <row r="39">
      <c r="A39" t="s">
        <v>828</v>
      </c>
    </row>
    <row r="40">
      <c r="A40" t="s">
        <v>829</v>
      </c>
    </row>
    <row r="41">
      <c r="A41" t="s">
        <v>830</v>
      </c>
    </row>
    <row r="42">
      <c r="A42" t="s">
        <v>831</v>
      </c>
    </row>
    <row r="43">
      <c r="A43" t="s">
        <v>832</v>
      </c>
    </row>
    <row r="44">
      <c r="A44" t="s">
        <v>833</v>
      </c>
    </row>
    <row r="45">
      <c r="A45" t="s">
        <v>834</v>
      </c>
    </row>
    <row r="46">
      <c r="A46" t="s">
        <v>902</v>
      </c>
    </row>
    <row r="47">
      <c r="A47" t="s">
        <v>903</v>
      </c>
    </row>
    <row r="48">
      <c r="A48" t="s">
        <v>904</v>
      </c>
    </row>
    <row r="49">
      <c r="A49" t="s">
        <v>835</v>
      </c>
    </row>
    <row r="50">
      <c r="A50" t="s">
        <v>905</v>
      </c>
    </row>
    <row r="51">
      <c r="A51" t="s">
        <v>836</v>
      </c>
    </row>
    <row r="52">
      <c r="A52" t="s">
        <v>837</v>
      </c>
    </row>
    <row r="53">
      <c r="A53" t="s">
        <v>838</v>
      </c>
    </row>
    <row r="54">
      <c r="A54" t="s">
        <v>839</v>
      </c>
    </row>
    <row r="55">
      <c r="A55" t="s">
        <v>840</v>
      </c>
    </row>
    <row r="56">
      <c r="A56" t="s">
        <v>841</v>
      </c>
    </row>
    <row r="57">
      <c r="A57" t="s">
        <v>842</v>
      </c>
    </row>
    <row r="58">
      <c r="A58" t="s">
        <v>843</v>
      </c>
    </row>
    <row r="59">
      <c r="A59" t="s">
        <v>844</v>
      </c>
    </row>
    <row r="60">
      <c r="A60" t="s">
        <v>845</v>
      </c>
    </row>
    <row r="61">
      <c r="A61" t="s">
        <v>846</v>
      </c>
    </row>
    <row r="62">
      <c r="A62" t="s">
        <v>847</v>
      </c>
    </row>
    <row r="63">
      <c r="A63" t="s">
        <v>848</v>
      </c>
    </row>
    <row r="64">
      <c r="A64" t="s">
        <v>849</v>
      </c>
    </row>
    <row r="65">
      <c r="A65" t="s">
        <v>850</v>
      </c>
    </row>
    <row r="66">
      <c r="A66" t="s">
        <v>851</v>
      </c>
    </row>
    <row r="67">
      <c r="A67" t="s">
        <v>852</v>
      </c>
    </row>
    <row r="68">
      <c r="A68" t="s">
        <v>853</v>
      </c>
    </row>
    <row r="69">
      <c r="A69" t="s">
        <v>854</v>
      </c>
    </row>
    <row r="70">
      <c r="A70" t="s">
        <v>855</v>
      </c>
    </row>
    <row r="71">
      <c r="A71" t="s">
        <v>856</v>
      </c>
    </row>
    <row r="72">
      <c r="A72" t="s">
        <v>857</v>
      </c>
    </row>
    <row r="73">
      <c r="A73" t="s">
        <v>858</v>
      </c>
    </row>
    <row r="74">
      <c r="A74" t="s">
        <v>859</v>
      </c>
    </row>
    <row r="75">
      <c r="A75" t="s">
        <v>860</v>
      </c>
    </row>
    <row r="76">
      <c r="A76" t="s">
        <v>861</v>
      </c>
    </row>
    <row r="77">
      <c r="A77" t="s">
        <v>862</v>
      </c>
    </row>
    <row r="78">
      <c r="A78" t="s">
        <v>863</v>
      </c>
    </row>
    <row r="79">
      <c r="A79" t="s">
        <v>864</v>
      </c>
    </row>
    <row r="80">
      <c r="A80" t="s">
        <v>865</v>
      </c>
    </row>
    <row r="81">
      <c r="A81" t="s">
        <v>866</v>
      </c>
    </row>
    <row r="82">
      <c r="A82" t="s">
        <v>867</v>
      </c>
    </row>
    <row r="83">
      <c r="A83" t="s">
        <v>868</v>
      </c>
    </row>
    <row r="84">
      <c r="A84" t="s">
        <v>869</v>
      </c>
    </row>
    <row r="85">
      <c r="A85" t="s">
        <v>870</v>
      </c>
    </row>
    <row r="86">
      <c r="A86" t="s">
        <v>871</v>
      </c>
    </row>
    <row r="87">
      <c r="A87" t="s">
        <v>872</v>
      </c>
    </row>
    <row r="88">
      <c r="A88" t="s">
        <v>873</v>
      </c>
    </row>
    <row r="89">
      <c r="A89" t="s">
        <v>874</v>
      </c>
    </row>
    <row r="90">
      <c r="A90" t="s">
        <v>875</v>
      </c>
    </row>
    <row r="91">
      <c r="A91" t="s">
        <v>876</v>
      </c>
    </row>
    <row r="92">
      <c r="A92" t="s">
        <v>877</v>
      </c>
    </row>
    <row r="93">
      <c r="A93" t="s">
        <v>878</v>
      </c>
    </row>
    <row r="94">
      <c r="A94" t="s">
        <v>879</v>
      </c>
    </row>
    <row r="95">
      <c r="A95" t="s">
        <v>880</v>
      </c>
    </row>
    <row r="96">
      <c r="A96" t="s">
        <v>881</v>
      </c>
    </row>
    <row r="97">
      <c r="A97" t="s">
        <v>882</v>
      </c>
    </row>
    <row r="98">
      <c r="A98" t="s">
        <v>883</v>
      </c>
    </row>
    <row r="99">
      <c r="A99" t="s">
        <v>884</v>
      </c>
    </row>
    <row r="100">
      <c r="A100" t="s">
        <v>885</v>
      </c>
    </row>
    <row r="101">
      <c r="A101" t="s">
        <v>886</v>
      </c>
    </row>
    <row r="102">
      <c r="A102" t="s">
        <v>887</v>
      </c>
    </row>
    <row r="103">
      <c r="A103" t="s">
        <v>888</v>
      </c>
    </row>
    <row r="104">
      <c r="A104" t="s">
        <v>889</v>
      </c>
    </row>
    <row r="105">
      <c r="A105" t="s">
        <v>890</v>
      </c>
    </row>
    <row r="106">
      <c r="A106" t="s">
        <v>891</v>
      </c>
    </row>
    <row r="107">
      <c r="A107" t="s">
        <v>892</v>
      </c>
    </row>
    <row r="108">
      <c r="A108" t="s">
        <v>893</v>
      </c>
    </row>
    <row r="109">
      <c r="A109" t="s">
        <v>894</v>
      </c>
    </row>
    <row r="110">
      <c r="A110" t="s">
        <v>895</v>
      </c>
    </row>
    <row r="111">
      <c r="A111" t="s">
        <v>896</v>
      </c>
    </row>
    <row r="112">
      <c r="A112" t="s">
        <v>897</v>
      </c>
    </row>
    <row r="113">
      <c r="A113" t="s">
        <v>898</v>
      </c>
    </row>
    <row r="114">
      <c r="A114" t="s">
        <v>899</v>
      </c>
    </row>
    <row r="115">
      <c r="A115" t="s">
        <v>900</v>
      </c>
    </row>
    <row r="116">
      <c r="A116" t="s">
        <v>901</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F77222E5-CF54-44AE-979A-62EA5186F53B}"/>
</file>

<file path=customXml/itemProps2.xml><?xml version="1.0" encoding="utf-8"?>
<ds:datastoreItem xmlns:ds="http://schemas.openxmlformats.org/officeDocument/2006/customXml" ds:itemID="{AB66182E-831C-49CD-AF1F-A92E35CAC589}"/>
</file>

<file path=customXml/itemProps3.xml><?xml version="1.0" encoding="utf-8"?>
<ds:datastoreItem xmlns:ds="http://schemas.openxmlformats.org/officeDocument/2006/customXml" ds:itemID="{5549878E-DF8D-4732-B8CF-4DEE5A20C97D}"/>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2026-07-07T13:08:40Z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