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08" documentId="13_ncr:1_{0FC7810F-34CA-C64C-B96F-ABDAC602D8AF}" xr6:coauthVersionLast="47" xr6:coauthVersionMax="47" xr10:uidLastSave="{1FCB6B39-592B-7347-A777-25143F16DD52}"/>
  <bookViews>
    <workbookView xWindow="34560" yWindow="-5960" windowWidth="44700" windowHeight="1672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3" i="1" l="1" a="1"/>
  <c r="N53" i="1" s="1"/>
  <c r="O53" i="1" a="1"/>
  <c r="O53" i="1" s="1"/>
  <c r="J55" i="1"/>
  <c r="K55" i="1"/>
  <c r="C55" i="1"/>
  <c r="D55" i="1"/>
  <c r="B55" i="1" s="1"/>
  <c r="E55" i="1"/>
  <c r="G55" i="1"/>
  <c r="G54" i="1"/>
  <c r="K54" i="1" s="1"/>
  <c r="E54" i="1"/>
  <c r="D54" i="1"/>
  <c r="B54" i="1" s="1"/>
  <c r="J54" i="1" s="1"/>
  <c r="C54" i="1"/>
  <c r="G49" i="1"/>
  <c r="G50" i="1"/>
  <c r="G51" i="1"/>
  <c r="G52" i="1"/>
  <c r="K52" i="1" s="1"/>
  <c r="G53" i="1"/>
  <c r="K53" i="1" s="1"/>
  <c r="G48" i="1"/>
  <c r="E53" i="1"/>
  <c r="C53" i="1"/>
  <c r="D53" i="1"/>
  <c r="B53" i="1"/>
  <c r="J53" i="1" s="1"/>
  <c r="K51" i="1"/>
  <c r="J51" i="1"/>
  <c r="J52" i="1"/>
  <c r="E51" i="1"/>
  <c r="E52" i="1"/>
  <c r="D51" i="1"/>
  <c r="D52" i="1"/>
  <c r="C51" i="1"/>
  <c r="C52" i="1"/>
  <c r="B52" i="1"/>
  <c r="K50" i="1"/>
  <c r="J50" i="1"/>
  <c r="E50" i="1"/>
  <c r="D50" i="1"/>
  <c r="C50" i="1"/>
  <c r="B50" i="1" s="1"/>
  <c r="D47" i="1"/>
  <c r="D43" i="1"/>
  <c r="D44" i="1"/>
  <c r="D45" i="1"/>
  <c r="D46" i="1"/>
  <c r="B46" i="1" s="1"/>
  <c r="J46" i="1" s="1"/>
  <c r="B47" i="1"/>
  <c r="J47" i="1" s="1"/>
  <c r="D48" i="1"/>
  <c r="B48" i="1" s="1"/>
  <c r="J48" i="1" s="1"/>
  <c r="D49" i="1"/>
  <c r="D32" i="1"/>
  <c r="D33" i="1"/>
  <c r="D34" i="1"/>
  <c r="B34" i="1" s="1"/>
  <c r="J34" i="1" s="1"/>
  <c r="D35" i="1"/>
  <c r="B35" i="1" s="1"/>
  <c r="J35" i="1" s="1"/>
  <c r="D36" i="1"/>
  <c r="B36" i="1" s="1"/>
  <c r="J36" i="1" s="1"/>
  <c r="D37" i="1"/>
  <c r="B37" i="1" s="1"/>
  <c r="J37" i="1" s="1"/>
  <c r="D38" i="1"/>
  <c r="D39" i="1"/>
  <c r="B39" i="1" s="1"/>
  <c r="J39" i="1" s="1"/>
  <c r="D40" i="1"/>
  <c r="D41" i="1"/>
  <c r="D42" i="1"/>
  <c r="D27" i="1"/>
  <c r="D28" i="1"/>
  <c r="D29" i="1"/>
  <c r="D30" i="1"/>
  <c r="D31" i="1"/>
  <c r="B31" i="1" s="1"/>
  <c r="J31" i="1" s="1"/>
  <c r="D21" i="1"/>
  <c r="D22" i="1"/>
  <c r="D23" i="1"/>
  <c r="D24" i="1"/>
  <c r="D25" i="1"/>
  <c r="B25" i="1" s="1"/>
  <c r="J25" i="1" s="1"/>
  <c r="D26" i="1"/>
  <c r="B26" i="1" s="1"/>
  <c r="J26" i="1" s="1"/>
  <c r="D15" i="1"/>
  <c r="D16" i="1"/>
  <c r="D17" i="1"/>
  <c r="D18" i="1"/>
  <c r="B18" i="1" s="1"/>
  <c r="J18" i="1" s="1"/>
  <c r="D19" i="1"/>
  <c r="B19" i="1" s="1"/>
  <c r="J19" i="1" s="1"/>
  <c r="D20" i="1"/>
  <c r="B20" i="1" s="1"/>
  <c r="J20" i="1" s="1"/>
  <c r="D3" i="1"/>
  <c r="D4" i="1"/>
  <c r="D5" i="1"/>
  <c r="D6" i="1"/>
  <c r="B6" i="1" s="1"/>
  <c r="J6" i="1" s="1"/>
  <c r="D7" i="1"/>
  <c r="B7" i="1" s="1"/>
  <c r="J7" i="1" s="1"/>
  <c r="D8" i="1"/>
  <c r="B8" i="1" s="1"/>
  <c r="J8" i="1" s="1"/>
  <c r="D9" i="1"/>
  <c r="B9" i="1" s="1"/>
  <c r="J9" i="1" s="1"/>
  <c r="D10" i="1"/>
  <c r="B10" i="1" s="1"/>
  <c r="J10" i="1" s="1"/>
  <c r="D11" i="1"/>
  <c r="B11" i="1" s="1"/>
  <c r="J11" i="1" s="1"/>
  <c r="D12" i="1"/>
  <c r="D13" i="1"/>
  <c r="D14" i="1"/>
  <c r="D2" i="1"/>
  <c r="B13" i="1"/>
  <c r="J13" i="1" s="1"/>
  <c r="B2" i="1"/>
  <c r="J2" i="1" s="1"/>
  <c r="N26" i="1" a="1"/>
  <c r="N26" i="1" s="1"/>
  <c r="K26" i="1"/>
  <c r="O26" i="1" a="1"/>
  <c r="O26" i="1" s="1"/>
  <c r="G26" i="1"/>
  <c r="E26" i="1"/>
  <c r="C26" i="1"/>
  <c r="K49" i="1"/>
  <c r="N49" i="1" s="1" a="1"/>
  <c r="N49" i="1" s="1"/>
  <c r="E49" i="1"/>
  <c r="C49" i="1"/>
  <c r="B49" i="1"/>
  <c r="J49" i="1" s="1"/>
  <c r="C48" i="1"/>
  <c r="E48" i="1"/>
  <c r="K48" i="1"/>
  <c r="O48" i="1" s="1" a="1"/>
  <c r="O48" i="1" s="1"/>
  <c r="G46" i="1"/>
  <c r="K46" i="1"/>
  <c r="E46" i="1"/>
  <c r="C46" i="1"/>
  <c r="G47" i="1"/>
  <c r="K47" i="1"/>
  <c r="E47" i="1"/>
  <c r="C47" i="1"/>
  <c r="G38" i="1"/>
  <c r="K38" i="1"/>
  <c r="E38" i="1"/>
  <c r="C38" i="1"/>
  <c r="B38" i="1"/>
  <c r="J38" i="1" s="1"/>
  <c r="G37" i="1"/>
  <c r="K37" i="1"/>
  <c r="E37" i="1"/>
  <c r="C37" i="1"/>
  <c r="G10" i="1"/>
  <c r="K10" i="1"/>
  <c r="N10" i="1" a="1"/>
  <c r="N10" i="1" s="1"/>
  <c r="G43" i="1"/>
  <c r="K43" i="1"/>
  <c r="E43" i="1"/>
  <c r="C43" i="1"/>
  <c r="G42" i="1"/>
  <c r="K42" i="1"/>
  <c r="E42" i="1"/>
  <c r="C42" i="1"/>
  <c r="G41" i="1"/>
  <c r="K41" i="1"/>
  <c r="E41" i="1"/>
  <c r="C41" i="1"/>
  <c r="G44" i="1"/>
  <c r="K44" i="1"/>
  <c r="E44" i="1"/>
  <c r="C44" i="1"/>
  <c r="G39" i="1"/>
  <c r="K39" i="1"/>
  <c r="E39" i="1"/>
  <c r="C39" i="1"/>
  <c r="K30" i="1"/>
  <c r="G4" i="1"/>
  <c r="K4" i="1"/>
  <c r="G5" i="1"/>
  <c r="K5" i="1"/>
  <c r="G6" i="1"/>
  <c r="K6" i="1"/>
  <c r="G7" i="1"/>
  <c r="K7" i="1"/>
  <c r="G8" i="1"/>
  <c r="K8" i="1"/>
  <c r="G9" i="1"/>
  <c r="K9" i="1"/>
  <c r="G11" i="1"/>
  <c r="K11" i="1"/>
  <c r="G12" i="1"/>
  <c r="K12" i="1"/>
  <c r="O12" i="1" s="1" a="1"/>
  <c r="O12" i="1" s="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E4" i="1"/>
  <c r="C5" i="1"/>
  <c r="E5" i="1"/>
  <c r="C6" i="1"/>
  <c r="E6" i="1"/>
  <c r="C7" i="1"/>
  <c r="E7" i="1"/>
  <c r="C8" i="1"/>
  <c r="E8" i="1"/>
  <c r="C9" i="1"/>
  <c r="E9" i="1"/>
  <c r="C10" i="1"/>
  <c r="E10" i="1"/>
  <c r="C11" i="1"/>
  <c r="E11" i="1"/>
  <c r="C12" i="1"/>
  <c r="B12" i="1" s="1"/>
  <c r="J12" i="1" s="1"/>
  <c r="E12" i="1"/>
  <c r="C13" i="1"/>
  <c r="E13" i="1"/>
  <c r="C14" i="1"/>
  <c r="E14" i="1"/>
  <c r="C15" i="1"/>
  <c r="E15" i="1"/>
  <c r="C16" i="1"/>
  <c r="E16" i="1"/>
  <c r="C17" i="1"/>
  <c r="E17" i="1"/>
  <c r="C18" i="1"/>
  <c r="E18" i="1"/>
  <c r="C19" i="1"/>
  <c r="E19" i="1"/>
  <c r="C20" i="1"/>
  <c r="E20" i="1"/>
  <c r="C21" i="1"/>
  <c r="E21" i="1"/>
  <c r="C22" i="1"/>
  <c r="E22" i="1"/>
  <c r="C23" i="1"/>
  <c r="E23" i="1"/>
  <c r="C24" i="1"/>
  <c r="E24" i="1"/>
  <c r="C25" i="1"/>
  <c r="E25" i="1"/>
  <c r="C27" i="1"/>
  <c r="E27" i="1"/>
  <c r="C28" i="1"/>
  <c r="E28" i="1"/>
  <c r="C29" i="1"/>
  <c r="E29" i="1"/>
  <c r="C30" i="1"/>
  <c r="E30" i="1"/>
  <c r="C31" i="1"/>
  <c r="E31" i="1"/>
  <c r="C32" i="1"/>
  <c r="E32" i="1"/>
  <c r="C33" i="1"/>
  <c r="E33" i="1"/>
  <c r="C34" i="1"/>
  <c r="E34" i="1"/>
  <c r="C35" i="1"/>
  <c r="E35" i="1"/>
  <c r="C36" i="1"/>
  <c r="E36" i="1"/>
  <c r="C40" i="1"/>
  <c r="E40" i="1"/>
  <c r="C45" i="1"/>
  <c r="E45" i="1"/>
  <c r="G2" i="1"/>
  <c r="E2" i="1"/>
  <c r="C2" i="1"/>
  <c r="G3" i="1"/>
  <c r="K3" i="1"/>
  <c r="E3" i="1"/>
  <c r="C3" i="1"/>
  <c r="S34" i="1"/>
  <c r="S33" i="1"/>
  <c r="S32" i="1"/>
  <c r="S31" i="1"/>
  <c r="S30" i="1"/>
  <c r="S29" i="1"/>
  <c r="S24" i="1"/>
  <c r="S23" i="1"/>
  <c r="S22" i="1"/>
  <c r="S21" i="1"/>
  <c r="S13" i="1"/>
  <c r="S12" i="1"/>
  <c r="S7" i="1"/>
  <c r="S5" i="1"/>
  <c r="S3" i="1"/>
  <c r="O10" i="1" a="1"/>
  <c r="O10" i="1" s="1"/>
  <c r="B43" i="1"/>
  <c r="J43" i="1"/>
  <c r="N47" i="1" a="1"/>
  <c r="N47" i="1" s="1"/>
  <c r="O47" i="1" a="1"/>
  <c r="O47" i="1" s="1"/>
  <c r="O46" i="1" a="1"/>
  <c r="O46" i="1" s="1"/>
  <c r="N46" i="1" a="1"/>
  <c r="N46" i="1" s="1"/>
  <c r="O38" i="1" a="1"/>
  <c r="O38" i="1" s="1"/>
  <c r="N38" i="1" a="1"/>
  <c r="N38" i="1" s="1"/>
  <c r="O37" i="1" a="1"/>
  <c r="O37" i="1" s="1"/>
  <c r="N37" i="1" a="1"/>
  <c r="N37" i="1" s="1"/>
  <c r="O3" i="1" a="1"/>
  <c r="O3" i="1" s="1"/>
  <c r="N3" i="1" a="1"/>
  <c r="N3" i="1" s="1"/>
  <c r="O45" i="1" a="1"/>
  <c r="O45" i="1" s="1"/>
  <c r="N45" i="1" a="1"/>
  <c r="N45" i="1" s="1"/>
  <c r="O40" i="1" a="1"/>
  <c r="O40" i="1" s="1"/>
  <c r="N40" i="1" a="1"/>
  <c r="N40" i="1" s="1"/>
  <c r="O36" i="1" a="1"/>
  <c r="O36" i="1" s="1"/>
  <c r="N36" i="1" a="1"/>
  <c r="N36" i="1" s="1"/>
  <c r="O35" i="1" a="1"/>
  <c r="O35" i="1" s="1"/>
  <c r="N35" i="1" a="1"/>
  <c r="N35" i="1" s="1"/>
  <c r="O34" i="1" a="1"/>
  <c r="O34" i="1" s="1"/>
  <c r="N34" i="1" a="1"/>
  <c r="N34" i="1" s="1"/>
  <c r="O33" i="1" a="1"/>
  <c r="O33" i="1" s="1"/>
  <c r="N33" i="1" a="1"/>
  <c r="N33" i="1" s="1"/>
  <c r="O32" i="1" a="1"/>
  <c r="O32" i="1" s="1"/>
  <c r="N32" i="1" a="1"/>
  <c r="N32" i="1" s="1"/>
  <c r="O31" i="1" a="1"/>
  <c r="O31" i="1" s="1"/>
  <c r="N31" i="1" a="1"/>
  <c r="N31" i="1" s="1"/>
  <c r="O29" i="1" a="1"/>
  <c r="O29" i="1" s="1"/>
  <c r="N29" i="1" a="1"/>
  <c r="N29" i="1" s="1"/>
  <c r="O28" i="1" a="1"/>
  <c r="O28" i="1" s="1"/>
  <c r="N28" i="1" a="1"/>
  <c r="N28" i="1" s="1"/>
  <c r="O27" i="1" a="1"/>
  <c r="O27" i="1" s="1"/>
  <c r="N27" i="1" a="1"/>
  <c r="N27"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30" i="1" a="1"/>
  <c r="O30" i="1" s="1"/>
  <c r="N30" i="1" a="1"/>
  <c r="N30" i="1" s="1"/>
  <c r="O39" i="1" a="1"/>
  <c r="O39" i="1" s="1"/>
  <c r="N39" i="1" a="1"/>
  <c r="N39" i="1" s="1"/>
  <c r="O41" i="1" a="1"/>
  <c r="O41" i="1" s="1"/>
  <c r="N41" i="1" a="1"/>
  <c r="N41" i="1" s="1"/>
  <c r="O42" i="1" a="1"/>
  <c r="O42" i="1" s="1"/>
  <c r="N42" i="1" a="1"/>
  <c r="N42" i="1" s="1"/>
  <c r="O43" i="1" a="1"/>
  <c r="O43" i="1" s="1"/>
  <c r="N43" i="1" a="1"/>
  <c r="N43" i="1" s="1"/>
  <c r="O44" i="1" a="1"/>
  <c r="O44" i="1" s="1"/>
  <c r="N44" i="1" a="1"/>
  <c r="N44" i="1" s="1"/>
  <c r="B21" i="1"/>
  <c r="J21" i="1"/>
  <c r="B44" i="1"/>
  <c r="J44" i="1" s="1"/>
  <c r="B42" i="1"/>
  <c r="J42" i="1"/>
  <c r="B41" i="1"/>
  <c r="J41" i="1"/>
  <c r="B27" i="1"/>
  <c r="J27" i="1" s="1"/>
  <c r="B16" i="1"/>
  <c r="J16" i="1"/>
  <c r="B22" i="1"/>
  <c r="J22" i="1"/>
  <c r="B17" i="1"/>
  <c r="J17" i="1"/>
  <c r="B3" i="1"/>
  <c r="J3" i="1"/>
  <c r="B40" i="1"/>
  <c r="J40" i="1"/>
  <c r="B23" i="1"/>
  <c r="J23" i="1"/>
  <c r="B4" i="1"/>
  <c r="J4" i="1"/>
  <c r="B30" i="1"/>
  <c r="J30" i="1" s="1"/>
  <c r="B29" i="1"/>
  <c r="J29" i="1" s="1"/>
  <c r="B32" i="1"/>
  <c r="J32" i="1" s="1"/>
  <c r="B24" i="1"/>
  <c r="J24" i="1"/>
  <c r="B33" i="1"/>
  <c r="J33" i="1"/>
  <c r="B14" i="1"/>
  <c r="J14" i="1"/>
  <c r="B45" i="1"/>
  <c r="J45" i="1" s="1"/>
  <c r="B5" i="1"/>
  <c r="J5" i="1"/>
  <c r="B28" i="1"/>
  <c r="J28" i="1"/>
  <c r="B15" i="1"/>
  <c r="J15" i="1"/>
  <c r="K2" i="1"/>
  <c r="N2" i="1" a="1"/>
  <c r="N2" i="1" s="1"/>
  <c r="O2" i="1" a="1"/>
  <c r="O2" i="1" s="1"/>
  <c r="O49" i="1" l="1" a="1"/>
  <c r="O49" i="1" s="1"/>
  <c r="N48" i="1" a="1"/>
  <c r="N48" i="1" s="1"/>
  <c r="B51" i="1"/>
  <c r="N12" i="1" a="1"/>
  <c r="N1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<sst xmlns="http://schemas.openxmlformats.org/spreadsheetml/2006/main" count="596" uniqueCount="301">
  <si>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</si>
  <si>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</si>
  <si>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</si>
  <si>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</si>
  <si>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</si>
  <si>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</si>
  <si>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</si>
  <si>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</si>
  <si>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</si>
  <si>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</si>
  <si>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</si>
  <si>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</si>
  <si>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</si>
  <si>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</si>
  <si>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</si>
  <si>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</si>
  <si>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</si>
  <si>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</si>
  <si>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</si>
  <si>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</si>
  <si>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</si>
  <si>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</si>
  <si>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</si>
  <si>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</si>
  <si>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</si>
  <si>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</si>
  <si>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</si>
  <si>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</si>
  <si>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</si>
  <si>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</si>
  <si>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</si>
  <si>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</si>
  <si>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</si>
  <si>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</si>
  <si>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</si>
  <si>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</si>
  <si>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</si>
  <si>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</si>
  <si>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</si>
  <si>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</si>
  <si>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</si>
  <si>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</si>
  <si>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</si>
  <si>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</si>
  <si>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</si>
  <si>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</si>
  <si>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</si>
  <si>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</si>
  <si>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</si>
  <si>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</si>
  <si>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</si>
  <si>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</si>
  <si>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</si>
  <si>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</si>
  <si>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</si>
  <si>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</si>
  <si>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</si>
  <si>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</si>
  <si>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</si>
  <si>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</si>
  <si>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</si>
  <si>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</si>
  <si>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</si>
  <si>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</si>
  <si>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</si>
  <si>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</si>
  <si>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</si>
  <si>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</si>
  <si>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</si>
  <si>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</si>
  <si>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</si>
  <si>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</si>
  <si>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</si>
  <si>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</si>
  <si>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</si>
  <si>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</si>
  <si>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</si>
  <si>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</si>
  <si>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</si>
  <si>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</si>
  <si>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</si>
  <si>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</si>
  <si>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</si>
  <si>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</si>
  <si>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</si>
  <si>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</si>
  <si>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</si>
  <si>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</si>
  <si>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</si>
  <si>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</si>
  <si>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</si>
  <si>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</si>
  <si>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</si>
  <si>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</si>
  <si>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</si>
  <si>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</si>
  <si>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</si>
  <si>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</si>
  <si>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</si>
  <si>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</si>
  <si>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</si>
  <si>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</si>
  <si>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</si>
  <si>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</si>
  <si>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</si>
  <si>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</si>
  <si>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</si>
  <si>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</si>
  <si>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</si>
  <si>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</si>
  <si>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</si>
  <si>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</si>
  <si>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</si>
  <si>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</si>
  <si>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</si>
  <si>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</si>
  <si>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</si>
  <si>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</si>
  <si>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</si>
  <si>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</si>
  <si>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</si>
  <si>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</si>
  <si>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</si>
  <si>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</si>
  <si>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</si>
  <si>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</si>
  <si>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</si>
  <si>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</si>
  <si>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</si>
  <si>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</si>
  <si>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</si>
  <si>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</si>
  <si>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</si>
  <si>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</si>
  <si>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</si>
  <si>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</si>
  <si>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</si>
  <si>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</si>
  <si>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</si>
  <si>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</si>
  <si>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</si>
  <si>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</si>
  <si>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</si>
  <si>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</si>
  <si>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</si>
  <si>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</si>
  <si>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</si>
  <si>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</si>
  <si>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</si>
  <si>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</si>
  <si>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</si>
  <si>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</si>
  <si>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</si>
  <si>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</si>
  <si>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</si>
  <si>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</si>
  <si>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</si>
  <si>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</si>
  <si>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</si>
  <si>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</si>
  <si>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</si>
  <si>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</si>
  <si>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</si>
  <si>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</si>
  <si>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</si>
  <si>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</si>
  <si>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</si>
  <si>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</si>
  <si>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</si>
  <si>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</si>
  <si>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</si>
  <si>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</si>
  <si>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</si>
  <si>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</si>
  <si>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</si>
  <si>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</si>
  <si>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</si>
  <si>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</si>
  <si>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</si>
  <si>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</si>
  <si>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</si>
  <si>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</si>
  <si>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</si>
  <si>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</si>
  <si>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</si>
  <si>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</si>
  <si>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</si>
  <si>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</si>
  <si>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</si>
  <si>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</si>
  <si>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</si>
  <si>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</si>
  <si>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</si>
  <si>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</si>
  <si>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</si>
  <si>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</si>
  <si>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</si>
  <si>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</si>
  <si>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</si>
  <si>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</si>
  <si>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</si>
  <si>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</si>
  <si>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</si>
  <si>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</si>
  <si>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</si>
  <si>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</si>
  <si>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</si>
  <si>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</si>
  <si>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</si>
  <si>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</si>
  <si>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</si>
  <si>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</si>
  <si>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</si>
  <si>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</si>
  <si>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</si>
  <si>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</si>
  <si>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</si>
  <si>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</si>
  <si>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</si>
  <si>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</si>
  <si>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</si>
  <si>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</si>
  <si>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</si>
  <si>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</si>
  <si>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</si>
  <si>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</si>
  <si>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</si>
  <si>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</si>
  <si>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</si>
  <si>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</si>
  <si>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</si>
  <si>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</si>
  <si>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</si>
  <si>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</si>
  <si>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</si>
  <si>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</si>
  <si>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</si>
  <si>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</si>
  <si>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</si>
  <si>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</si>
  <si>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</si>
  <si>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</si>
  <si>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</si>
  <si>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</si>
  <si>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</si>
  <si>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</si>
  <si>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</si>
  <si>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</si>
  <si>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</si>
  <si>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</si>
  <si>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</si>
  <si>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</si>
  <si>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</si>
  <si>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</si>
  <si>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</si>
  <si>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</si>
  <si>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</si>
  <si>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</si>
  <si>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</si>
  <si>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</si>
  <si>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</si>
  <si>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</si>
  <si>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</si>
  <si>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</si>
  <si>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</si>
  <si>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</si>
  <si>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</si>
  <si>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</si>
  <si>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</si>
  <si>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</si>
  <si>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</si>
  <si>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</si>
  <si>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</si>
  <si>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</si>
  <si>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</si>
  <si>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</si>
  <si>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</si>
  <si>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</si>
  <si>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</si>
  <si>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 	</t>
  </si>
  <si>
    <t xml:space="preserve">Genoud, M., Isler, K., &amp; Martin, R. D. (2018). Comparative analyses of basal rate of metabolism in mammals: data selection does matter. Biol Rev Camb Philos Soc, 93(1), 404-438. https://doi.org/10.1111/brv.12350 	</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</si>
  <si>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t>
  </si>
  <si>
    <t>Supplementary Table S1. Morphometrical and cell number data used in this study (“our dataset”).</t>
  </si>
  <si>
    <t>Supplementary Table S1</t>
  </si>
  <si>
    <t>Table S2. Basal metabolic rate (BMR) database.</t>
  </si>
  <si>
    <t xml:space="preserve">Burish, M. J., Peebles, J. K., Baldwin, M. K., Tavares, L., Kaas, J. H., &amp; Herculano-Houzel, S. (2010). Cellular scaling rules for primate spinal cords. Brain Behav Evol, 76(1), 45-59. https://doi.org/10.1159/000319019 </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</si>
  <si>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</si>
  <si>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</si>
  <si>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</si>
  <si>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</si>
  <si>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</si>
  <si>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</si>
  <si>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</si>
  <si>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</si>
  <si>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</si>
  <si>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 xml:space="preserve">Fu, Y., Rusznak, Z., Herculano-Houzel, S., Watson, C., &amp; Paxinos, G. (2013). Cellular composition characterizing postnatal development and maturation of the mouse brain and spinal cord. Brain Struct Funct, 218(5), 1337-1354. https://doi.org/10.1007/s00429-012-0462-x 	</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</si>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</sst>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efreshError="1">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10.1159%2F000323671_SupplementaryTable1.tsv</v>
          </cell>
        </row>
        <row r="21">
          <cell r="A21" t="str">
            <v>10.1159%2F000323671_SupplementaryTable2.tsv</v>
          </cell>
        </row>
        <row r="22">
          <cell r="A22" t="str">
            <v>10.1159%2F000323671.ReadMe.md</v>
          </cell>
        </row>
        <row r="23">
          <cell r="A23" t="str">
            <v>10.1159%2F000437413_Table1.tsv</v>
          </cell>
        </row>
        <row r="24">
          <cell r="A24" t="str">
            <v>10.1159%2F000437413_Table2.tsv</v>
          </cell>
        </row>
        <row r="25">
          <cell r="A25" t="str">
            <v>10.1159%2F000437413_Table3.tsv</v>
          </cell>
        </row>
        <row r="26">
          <cell r="A26" t="str">
            <v>10.1159%2F000437413_Table4.tsv</v>
          </cell>
        </row>
        <row r="27">
          <cell r="A27" t="str">
            <v>10.1159%2F000437413_Table5.tsv</v>
          </cell>
        </row>
        <row r="28">
          <cell r="A28" t="str">
            <v>10.1159%2F000452856_TableS1.tsv</v>
          </cell>
        </row>
        <row r="29">
          <cell r="A29" t="str">
            <v>10.1371%2Fjournal.pbio.1002000_TableS1.tsv</v>
          </cell>
        </row>
        <row r="30">
          <cell r="A30" t="str">
            <v>10.1371%2Fjournal.pbio.1002000_TableS8.ReadMe.md</v>
          </cell>
        </row>
        <row r="31">
          <cell r="A31" t="str">
            <v>10.1371%2Fjournal.pbio.1002000_TableS8.tsv</v>
          </cell>
        </row>
        <row r="32">
          <cell r="A32" t="str">
            <v>10.1523%2FJNEUROSCI.2339-19.2020_Table1.tsv</v>
          </cell>
        </row>
        <row r="33">
          <cell r="A33" t="str">
            <v>10.3389%25Ffnana.2013.00035.svg</v>
          </cell>
        </row>
        <row r="34">
          <cell r="A34" t="str">
            <v>10.3389%2Ffnana.2013.00035_Figure2TopLeft.ReadMe.md</v>
          </cell>
        </row>
        <row r="35">
          <cell r="A35" t="str">
            <v>10.3389%2Ffnana.2013.00035_Figure2TopLeft.tsv</v>
          </cell>
        </row>
        <row r="36">
          <cell r="A36" t="str">
            <v>10.3389%2Ffnana.2013.00035_Table1-a.tsv</v>
          </cell>
        </row>
        <row r="37">
          <cell r="A37" t="str">
            <v>10.3389%2Ffnana.2013.00035_Table1-b.tsv</v>
          </cell>
        </row>
        <row r="38">
          <cell r="A38" t="str">
            <v>10.3389%2Ffnana.2013.00035.ReadMe.md</v>
          </cell>
        </row>
        <row r="39">
          <cell r="A39" t="str">
            <v>10.3389%2Ffnana.2017.00118_Table1.tsv</v>
          </cell>
        </row>
        <row r="40">
          <cell r="A40" t="str">
            <v>10.3389%2Ffnhum.2013.00424_TableS2partial.tsv</v>
          </cell>
        </row>
        <row r="41">
          <cell r="A41" t="str">
            <v>10.3389%2Ffnhum.2013.00424.ReadMe.md</v>
          </cell>
        </row>
        <row r="42">
          <cell r="A42" t="str">
            <v>10.7554%2FeLife.77875_Supplementaryfile3.tsv</v>
          </cell>
        </row>
        <row r="43">
          <cell r="A43" t="str">
            <v>10.7554%2FeLife.77875_Table1.tsv</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55"/>
  <sheetViews>
    <sheetView tabSelected="1" zoomScale="110" zoomScaleNormal="110" workbookViewId="0">
      <pane xSplit="9" ySplit="1" topLeftCell="J26" activePane="bottomRight" state="frozen"/>
      <selection pane="topRight" activeCell="B1" sqref="B1"/>
      <selection pane="bottomLeft" activeCell="A2" sqref="A2"/>
      <selection pane="bottomRight" activeCell="O48" sqref="O48"/>
    </sheetView>
  </sheetViews>
  <sheetFormatPr baseColWidth="10" defaultColWidth="11" defaultRowHeight="15.75" customHeight="1" x14ac:dyDescent="0.2"/>
  <cols>
    <col min="1" max="1" width="36.6640625" customWidth="1"/>
    <col min="2" max="2" width="23.6640625" style="9" customWidth="1"/>
    <col min="3" max="3" width="16.83203125" style="9" customWidth="1"/>
    <col min="4" max="4" width="15" style="9" customWidth="1"/>
    <col min="5" max="6" width="2.1640625" style="9" customWidth="1"/>
    <col min="7" max="7" width="2.1640625" customWidth="1"/>
    <col min="8" max="8" width="9.6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C2 &amp; IF(D2&lt;&gt;"", "_" &amp; D2, "_") &amp; IF(E2&lt;&gt;"", "_" &amp; E2, "_") &amp; IF(F2&lt;&gt;"", "_" &amp; F2, "")</f>
        <v>_ProjectKaskan__Unpublished</v>
      </c>
      <c r="C2" s="9" t="str">
        <f>SUBSTITUTE(SUBSTITUTE(_xlfn.TEXTBEFORE(A2,","), "-", ""), " ", "")</f>
        <v>_ProjectKaskan</v>
      </c>
      <c r="D2" s="9" t="str">
        <f>IF(ISNUMBER(FIND("&amp;", A2)),
    IF(LEN(A2)-LEN(SUBSTITUTE(A2, ",", ""))&gt;=6, "etal", MID(A2, SEARCH("&amp; ", A2)+2, SEARCH(",", A2, SEARCH("&amp; ", A2)+2) - SEARCH("&amp; ", A2)-2)),
    ""
)</f>
        <v/>
      </c>
      <c r="E2" s="9" t="str">
        <f t="shared" ref="E2" si="0">_xlfn.TEXTBEFORE(_xlfn.TEXTAFTER(A2, "("), ")")</f>
        <v>Unpublished</v>
      </c>
      <c r="G2" t="e">
        <f t="shared" ref="G2" si="1">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2">C3 &amp; IF(D3&lt;&gt;"", "_" &amp; D3, "_") &amp; IF(E3&lt;&gt;"", "_" &amp; E3, "_") &amp; IF(F3&lt;&gt;"", "_" &amp; F3, "")</f>
        <v>Burger_etal_2019</v>
      </c>
      <c r="C3" s="9" t="str">
        <f>SUBSTITUTE(SUBSTITUTE(_xlfn.TEXTBEFORE(A3,","), "-", ""), " ", "")</f>
        <v>Burger</v>
      </c>
      <c r="D3" s="9" t="str">
        <f t="shared" ref="D3:D49" si="3">IF(ISNUMBER(FIND("&amp;", A3)),
    IF(LEN(A3)-LEN(SUBSTITUTE(A3, ",", ""))&gt;=6, "etal", MID(A3, SEARCH("&amp; ", A3)+2, SEARCH(",", A3, SEARCH("&amp; ", A3)+2) - SEARCH("&amp; ", A3)-2)),
    ""
)</f>
        <v>etal</v>
      </c>
      <c r="E3" s="9" t="str">
        <f t="shared" ref="E3" si="4">_xlfn.TEXTBEFORE(_xlfn.TEXTAFTER(A3, "("), ")")</f>
        <v>2019</v>
      </c>
      <c r="G3" t="str">
        <f t="shared" ref="G3:G38" si="5">_xlfn.TEXTAFTER(A3,"https://doi.org/")</f>
        <v>10.1093/jmammal/gyz043</v>
      </c>
      <c r="H3" s="3"/>
      <c r="I3" s="3" t="s">
        <v>46</v>
      </c>
      <c r="J3" s="3" t="str">
        <f t="shared" ref="J3:J45" si="6">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5" si="7">C4 &amp; IF(D4&lt;&gt;"", "_" &amp; D4, "_") &amp; IF(E4&lt;&gt;"", "_" &amp; E4, "_") &amp; IF(F4&lt;&gt;"", "_" &amp; F4, "")</f>
        <v>Caspar_etal_2022</v>
      </c>
      <c r="C4" s="9" t="str">
        <f t="shared" ref="C4:C45" si="8">SUBSTITUTE(SUBSTITUTE(_xlfn.TEXTBEFORE(A4,","), "-", ""), " ", "")</f>
        <v>Caspar</v>
      </c>
      <c r="D4" s="9" t="str">
        <f t="shared" si="3"/>
        <v>etal</v>
      </c>
      <c r="E4" s="9" t="str">
        <f t="shared" ref="E4:E45" si="9">_xlfn.TEXTBEFORE(_xlfn.TEXTAFTER(A4, "("), ")")</f>
        <v>2022</v>
      </c>
      <c r="G4" t="str">
        <f t="shared" si="5"/>
        <v>10.7554/eLife.77875</v>
      </c>
      <c r="H4" s="10"/>
      <c r="I4" s="3" t="s">
        <v>59</v>
      </c>
      <c r="J4" s="3" t="str">
        <f t="shared" si="6"/>
        <v>Caspar_etal_2022_Table1</v>
      </c>
      <c r="K4" s="3" t="str">
        <f t="shared" ref="K4:K45" si="10">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7"/>
        <v>Caspar_etal_2022</v>
      </c>
      <c r="C5" s="9" t="str">
        <f t="shared" si="8"/>
        <v>Caspar</v>
      </c>
      <c r="D5" s="9" t="str">
        <f t="shared" si="3"/>
        <v>etal</v>
      </c>
      <c r="E5" s="9" t="str">
        <f t="shared" si="9"/>
        <v>2022</v>
      </c>
      <c r="G5" t="str">
        <f t="shared" si="5"/>
        <v>10.7554/eLife.77875</v>
      </c>
      <c r="H5" s="12"/>
      <c r="I5" s="12" t="s">
        <v>72</v>
      </c>
      <c r="J5" s="3" t="str">
        <f t="shared" si="6"/>
        <v>Caspar_etal_2022_Supplementaryfile3</v>
      </c>
      <c r="K5" s="3" t="str">
        <f t="shared" si="10"/>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7"/>
        <v>Changizi__2001</v>
      </c>
      <c r="C6" s="9" t="str">
        <f t="shared" si="8"/>
        <v>Changizi</v>
      </c>
      <c r="D6" s="9" t="str">
        <f t="shared" si="3"/>
        <v/>
      </c>
      <c r="E6" s="9" t="str">
        <f t="shared" si="9"/>
        <v>2001</v>
      </c>
      <c r="G6" t="str">
        <f t="shared" si="5"/>
        <v>10.1007/s004220000205</v>
      </c>
      <c r="H6" s="12"/>
      <c r="I6" s="12" t="s">
        <v>80</v>
      </c>
      <c r="J6" s="3" t="str">
        <f t="shared" si="6"/>
        <v>Changizi__2001_Figure3</v>
      </c>
      <c r="K6" s="3" t="str">
        <f t="shared" si="10"/>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7"/>
        <v>Chen_Wiens_2020</v>
      </c>
      <c r="C7" s="9" t="str">
        <f t="shared" si="8"/>
        <v>Chen</v>
      </c>
      <c r="D7" s="9" t="str">
        <f t="shared" si="3"/>
        <v>Wiens</v>
      </c>
      <c r="E7" s="9" t="str">
        <f t="shared" si="9"/>
        <v>2020</v>
      </c>
      <c r="F7" s="7"/>
      <c r="G7" t="str">
        <f t="shared" si="5"/>
        <v>10.1038/s41467-020-14356-3</v>
      </c>
      <c r="H7" s="3"/>
      <c r="I7" s="3" t="s">
        <v>90</v>
      </c>
      <c r="J7" s="3" t="str">
        <f t="shared" si="6"/>
        <v>Chen_Wiens_2020_SupplementaryData3</v>
      </c>
      <c r="K7" s="3" t="str">
        <f t="shared" si="10"/>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7"/>
        <v>DosSantos_etal_2017</v>
      </c>
      <c r="C8" s="9" t="str">
        <f t="shared" si="8"/>
        <v>DosSantos</v>
      </c>
      <c r="D8" s="9" t="str">
        <f t="shared" si="3"/>
        <v>etal</v>
      </c>
      <c r="E8" s="9" t="str">
        <f t="shared" si="9"/>
        <v>2017</v>
      </c>
      <c r="G8" t="str">
        <f t="shared" si="5"/>
        <v>10.1159/000452856</v>
      </c>
      <c r="H8" s="3"/>
      <c r="I8" s="3" t="s">
        <v>98</v>
      </c>
      <c r="J8" s="3" t="str">
        <f t="shared" si="6"/>
        <v>DosSantos_etal_2017_TableS1</v>
      </c>
      <c r="K8" s="3" t="str">
        <f t="shared" si="10"/>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7"/>
        <v>DosSantos_etal_2020</v>
      </c>
      <c r="C9" s="9" t="str">
        <f t="shared" si="8"/>
        <v>DosSantos</v>
      </c>
      <c r="D9" s="9" t="str">
        <f t="shared" si="3"/>
        <v>etal</v>
      </c>
      <c r="E9" s="9" t="str">
        <f t="shared" si="9"/>
        <v>2020</v>
      </c>
      <c r="G9" t="str">
        <f t="shared" si="5"/>
        <v>10.1523/JNEUROSCI.2339-19.2020</v>
      </c>
      <c r="H9" s="3"/>
      <c r="I9" s="3" t="s">
        <v>59</v>
      </c>
      <c r="J9" s="3" t="str">
        <f t="shared" si="6"/>
        <v>DosSantos_etal_2020_Table1</v>
      </c>
      <c r="K9" s="3" t="str">
        <f t="shared" si="10"/>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7"/>
        <v>Finlay_etal_2006</v>
      </c>
      <c r="C10" s="9" t="str">
        <f t="shared" si="8"/>
        <v>Finlay</v>
      </c>
      <c r="D10" s="9" t="str">
        <f t="shared" si="3"/>
        <v>etal</v>
      </c>
      <c r="E10" s="9" t="str">
        <f t="shared" si="9"/>
        <v>2006</v>
      </c>
      <c r="F10" s="7"/>
      <c r="G10" t="str">
        <f t="shared" si="5"/>
        <v>10.1093/oso/9780198568742.003.0006</v>
      </c>
      <c r="H10" s="3"/>
      <c r="I10" s="3" t="s">
        <v>117</v>
      </c>
      <c r="J10" s="3" t="str">
        <f t="shared" si="6"/>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C11 &amp; IF(D11&lt;&gt;"", "_" &amp; D11, "_") &amp; IF(E11&lt;&gt;"", "_" &amp; E11, "_") &amp; IF(F11&lt;&gt;"", "_" &amp; F11, "")</f>
        <v>Heffner_Masterton_1975</v>
      </c>
      <c r="C11" s="9" t="str">
        <f t="shared" si="8"/>
        <v>Heffner</v>
      </c>
      <c r="D11" s="9" t="str">
        <f t="shared" si="3"/>
        <v>Masterton</v>
      </c>
      <c r="E11" s="9" t="str">
        <f t="shared" si="9"/>
        <v>1975</v>
      </c>
      <c r="F11" s="7"/>
      <c r="G11" t="str">
        <f t="shared" si="5"/>
        <v>10.1159/000124401</v>
      </c>
      <c r="H11" s="3"/>
      <c r="I11" s="3" t="s">
        <v>125</v>
      </c>
      <c r="J11" s="3" t="str">
        <f t="shared" si="6"/>
        <v>Heffner_Masterton_1975_TableI</v>
      </c>
      <c r="K11" s="3" t="str">
        <f t="shared" si="10"/>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7"/>
        <v>Heffner_Masterton_1983</v>
      </c>
      <c r="C12" s="9" t="str">
        <f t="shared" si="8"/>
        <v>Heffner</v>
      </c>
      <c r="D12" s="9" t="str">
        <f t="shared" si="3"/>
        <v>Masterton</v>
      </c>
      <c r="E12" s="9" t="str">
        <f t="shared" si="9"/>
        <v>1983</v>
      </c>
      <c r="F12" s="7"/>
      <c r="G12" t="str">
        <f t="shared" si="5"/>
        <v>10.1159/000121494</v>
      </c>
      <c r="H12" s="3"/>
      <c r="I12" s="3" t="s">
        <v>125</v>
      </c>
      <c r="J12" s="3" t="str">
        <f t="shared" si="6"/>
        <v>Heffner_Masterton_1983_TableI</v>
      </c>
      <c r="K12" s="3" t="str">
        <f t="shared" si="10"/>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V12" t="s">
        <v>85</v>
      </c>
      <c r="X12" s="7"/>
      <c r="Y12" t="s">
        <v>128</v>
      </c>
      <c r="AE12" t="s">
        <v>44</v>
      </c>
      <c r="AG12" t="s">
        <v>133</v>
      </c>
    </row>
    <row r="13" spans="1:37" ht="16" x14ac:dyDescent="0.2">
      <c r="A13" t="s">
        <v>134</v>
      </c>
      <c r="B13" s="7" t="str">
        <f t="shared" si="7"/>
        <v>Heldstab_etal_2016</v>
      </c>
      <c r="C13" s="9" t="str">
        <f t="shared" si="8"/>
        <v>Heldstab</v>
      </c>
      <c r="D13" s="9" t="str">
        <f t="shared" si="3"/>
        <v>etal</v>
      </c>
      <c r="E13" s="9" t="str">
        <f t="shared" si="9"/>
        <v>2016</v>
      </c>
      <c r="F13" s="7"/>
      <c r="G13" t="str">
        <f t="shared" si="5"/>
        <v>10.1038/srep24528</v>
      </c>
      <c r="H13" s="3"/>
      <c r="I13" s="3" t="s">
        <v>98</v>
      </c>
      <c r="J13" s="3" t="str">
        <f t="shared" si="6"/>
        <v>Heldstab_etal_2016_TableS1</v>
      </c>
      <c r="K13" s="3" t="str">
        <f t="shared" si="10"/>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7"/>
        <v>HerculanoHouzel_etal_2015</v>
      </c>
      <c r="C14" s="9" t="str">
        <f t="shared" si="8"/>
        <v>HerculanoHouzel</v>
      </c>
      <c r="D14" s="9" t="str">
        <f t="shared" si="3"/>
        <v>etal</v>
      </c>
      <c r="E14" s="9" t="str">
        <f t="shared" si="9"/>
        <v>2015</v>
      </c>
      <c r="G14" t="str">
        <f t="shared" si="5"/>
        <v>10.1159/000437413</v>
      </c>
      <c r="H14" s="3"/>
      <c r="I14" s="3" t="s">
        <v>59</v>
      </c>
      <c r="J14" s="3" t="str">
        <f t="shared" si="6"/>
        <v>HerculanoHouzel_etal_2015_Table1</v>
      </c>
      <c r="K14" s="3" t="str">
        <f t="shared" si="10"/>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7"/>
        <v>HerculanoHouzel_etal_2015</v>
      </c>
      <c r="C15" s="9" t="str">
        <f t="shared" si="8"/>
        <v>HerculanoHouzel</v>
      </c>
      <c r="D15" s="9" t="str">
        <f>IF(ISNUMBER(FIND("&amp;", A15)),
    IF(LEN(A15)-LEN(SUBSTITUTE(A15, ",", ""))&gt;=6, "etal", MID(A15, SEARCH("&amp; ", A15)+2, SEARCH(",", A15, SEARCH("&amp; ", A15)+2) - SEARCH("&amp; ", A15)-2)),
    ""
)</f>
        <v>etal</v>
      </c>
      <c r="E15" s="9" t="str">
        <f t="shared" si="9"/>
        <v>2015</v>
      </c>
      <c r="F15" s="7"/>
      <c r="G15" t="str">
        <f t="shared" si="5"/>
        <v>10.1159/000437413</v>
      </c>
      <c r="H15" s="3"/>
      <c r="I15" s="3" t="s">
        <v>142</v>
      </c>
      <c r="J15" s="3" t="str">
        <f t="shared" si="6"/>
        <v>HerculanoHouzel_etal_2015_Table2</v>
      </c>
      <c r="K15" s="3" t="str">
        <f t="shared" si="10"/>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7"/>
        <v>HerculanoHouzel_etal_2015</v>
      </c>
      <c r="C16" s="9" t="str">
        <f t="shared" si="8"/>
        <v>HerculanoHouzel</v>
      </c>
      <c r="D16" s="9" t="str">
        <f t="shared" si="3"/>
        <v>etal</v>
      </c>
      <c r="E16" s="9" t="str">
        <f t="shared" si="9"/>
        <v>2015</v>
      </c>
      <c r="F16" s="7"/>
      <c r="G16" t="str">
        <f t="shared" si="5"/>
        <v>10.1159/000437413</v>
      </c>
      <c r="H16" s="3"/>
      <c r="I16" s="3" t="s">
        <v>146</v>
      </c>
      <c r="J16" s="3" t="str">
        <f t="shared" si="6"/>
        <v>HerculanoHouzel_etal_2015_Table3</v>
      </c>
      <c r="K16" s="3" t="str">
        <f t="shared" si="10"/>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7"/>
        <v>HerculanoHouzel_etal_2015</v>
      </c>
      <c r="C17" s="9" t="str">
        <f t="shared" si="8"/>
        <v>HerculanoHouzel</v>
      </c>
      <c r="D17" s="9" t="str">
        <f t="shared" si="3"/>
        <v>etal</v>
      </c>
      <c r="E17" s="9" t="str">
        <f t="shared" si="9"/>
        <v>2015</v>
      </c>
      <c r="F17" s="7"/>
      <c r="G17" t="str">
        <f t="shared" si="5"/>
        <v>10.1159/000437413</v>
      </c>
      <c r="H17" s="3"/>
      <c r="I17" s="3" t="s">
        <v>150</v>
      </c>
      <c r="J17" s="3" t="str">
        <f t="shared" si="6"/>
        <v>HerculanoHouzel_etal_2015_Table4</v>
      </c>
      <c r="K17" s="3" t="str">
        <f t="shared" si="10"/>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7"/>
        <v>HerculanoHouzel_etal_2015</v>
      </c>
      <c r="C18" s="9" t="str">
        <f t="shared" si="8"/>
        <v>HerculanoHouzel</v>
      </c>
      <c r="D18" s="9" t="str">
        <f t="shared" si="3"/>
        <v>etal</v>
      </c>
      <c r="E18" s="9" t="str">
        <f t="shared" si="9"/>
        <v>2015</v>
      </c>
      <c r="F18" s="7"/>
      <c r="G18" t="str">
        <f t="shared" si="5"/>
        <v>10.1159/000437413</v>
      </c>
      <c r="H18" s="3"/>
      <c r="I18" s="3" t="s">
        <v>154</v>
      </c>
      <c r="J18" s="3" t="str">
        <f t="shared" si="6"/>
        <v>HerculanoHouzel_etal_2015_Table5</v>
      </c>
      <c r="K18" s="3" t="str">
        <f t="shared" si="10"/>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7"/>
        <v>HerculanoHouzel_etal_2020</v>
      </c>
      <c r="C19" s="9" t="str">
        <f t="shared" si="8"/>
        <v>HerculanoHouzel</v>
      </c>
      <c r="D19" s="9" t="str">
        <f t="shared" si="3"/>
        <v>etal</v>
      </c>
      <c r="E19" s="9" t="str">
        <f t="shared" si="9"/>
        <v>2020</v>
      </c>
      <c r="F19" s="7"/>
      <c r="G19" t="str">
        <f t="shared" si="5"/>
        <v>10.1002/cne.24985</v>
      </c>
      <c r="H19" s="3"/>
      <c r="I19" s="3" t="s">
        <v>159</v>
      </c>
      <c r="J19" s="3" t="str">
        <f t="shared" si="6"/>
        <v>HerculanoHouzel_etal_2020_TABLE1</v>
      </c>
      <c r="K19" s="3" t="str">
        <f t="shared" si="10"/>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7"/>
        <v>HerculanoHouzel_etal_2020</v>
      </c>
      <c r="C20" s="9" t="str">
        <f t="shared" si="8"/>
        <v>HerculanoHouzel</v>
      </c>
      <c r="D20" s="9" t="str">
        <f t="shared" si="3"/>
        <v>etal</v>
      </c>
      <c r="E20" s="9" t="str">
        <f t="shared" si="9"/>
        <v>2020</v>
      </c>
      <c r="F20" s="7"/>
      <c r="G20" t="str">
        <f t="shared" si="5"/>
        <v>10.1002/cne.24985</v>
      </c>
      <c r="H20" s="3"/>
      <c r="I20" s="3" t="s">
        <v>165</v>
      </c>
      <c r="J20" s="3" t="str">
        <f t="shared" si="6"/>
        <v>HerculanoHouzel_etal_2020_TABLE2</v>
      </c>
      <c r="K20" s="3" t="str">
        <f t="shared" si="10"/>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7"/>
        <v>Iwaniuk_etal_2001</v>
      </c>
      <c r="C21" s="9" t="str">
        <f t="shared" si="8"/>
        <v>Iwaniuk</v>
      </c>
      <c r="D21" s="9" t="str">
        <f>IF(ISNUMBER(FIND("&amp;", A21)),
    IF(LEN(A21)-LEN(SUBSTITUTE(A21, ",", ""))&gt;=6, "etal", MID(A21, SEARCH("&amp; ", A21)+2, SEARCH(",", A21, SEARCH("&amp; ", A21)+2) - SEARCH("&amp; ", A21)-2)),
    ""
)</f>
        <v>etal</v>
      </c>
      <c r="E21" s="9" t="str">
        <f t="shared" si="9"/>
        <v>2001</v>
      </c>
      <c r="G21" t="str">
        <f t="shared" si="5"/>
        <v>10.1037/0735-7036.115.1.29</v>
      </c>
      <c r="H21" s="3"/>
      <c r="I21" s="3" t="s">
        <v>59</v>
      </c>
      <c r="J21" s="3" t="str">
        <f t="shared" si="6"/>
        <v>Iwaniuk_etal_2001_Table1</v>
      </c>
      <c r="K21" s="3" t="str">
        <f t="shared" si="10"/>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7"/>
        <v>Iwaniuk_etal_2001</v>
      </c>
      <c r="C22" s="9" t="str">
        <f t="shared" si="8"/>
        <v>Iwaniuk</v>
      </c>
      <c r="D22" s="9" t="str">
        <f t="shared" si="3"/>
        <v>etal</v>
      </c>
      <c r="E22" s="9" t="str">
        <f t="shared" si="9"/>
        <v>2001</v>
      </c>
      <c r="G22" t="str">
        <f t="shared" si="5"/>
        <v>10.1037/0735-7036.115.1.29</v>
      </c>
      <c r="H22" s="3"/>
      <c r="I22" s="3" t="s">
        <v>142</v>
      </c>
      <c r="J22" s="3" t="str">
        <f t="shared" si="6"/>
        <v>Iwaniuk_etal_2001_Table2</v>
      </c>
      <c r="K22" s="3" t="str">
        <f t="shared" si="10"/>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7"/>
        <v>Iwaniuk_etal_2001</v>
      </c>
      <c r="C23" s="9" t="str">
        <f t="shared" si="8"/>
        <v>Iwaniuk</v>
      </c>
      <c r="D23" s="9" t="str">
        <f t="shared" si="3"/>
        <v>etal</v>
      </c>
      <c r="E23" s="9" t="str">
        <f t="shared" si="9"/>
        <v>2001</v>
      </c>
      <c r="G23" t="str">
        <f t="shared" si="5"/>
        <v>10.1037/0735-7036.115.1.29</v>
      </c>
      <c r="H23" s="3"/>
      <c r="I23" s="3" t="s">
        <v>146</v>
      </c>
      <c r="J23" s="3" t="str">
        <f t="shared" si="6"/>
        <v>Iwaniuk_etal_2001_Table3</v>
      </c>
      <c r="K23" s="3" t="str">
        <f t="shared" si="10"/>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7"/>
        <v>Iwaniuk_etal_2001</v>
      </c>
      <c r="C24" s="9" t="str">
        <f t="shared" si="8"/>
        <v>Iwaniuk</v>
      </c>
      <c r="D24" s="9" t="str">
        <f t="shared" si="3"/>
        <v>etal</v>
      </c>
      <c r="E24" s="9" t="str">
        <f t="shared" si="9"/>
        <v>2001</v>
      </c>
      <c r="G24" t="str">
        <f t="shared" si="5"/>
        <v>10.1037/0735-7036.115.1.29</v>
      </c>
      <c r="H24" s="3"/>
      <c r="I24" s="3" t="s">
        <v>150</v>
      </c>
      <c r="J24" s="3" t="str">
        <f t="shared" si="6"/>
        <v>Iwaniuk_etal_2001_Table4</v>
      </c>
      <c r="K24" s="3" t="str">
        <f t="shared" si="10"/>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7"/>
        <v>JardimMesseder_etal_2017</v>
      </c>
      <c r="C25" s="9" t="str">
        <f t="shared" si="8"/>
        <v>JardimMesseder</v>
      </c>
      <c r="D25" s="9" t="str">
        <f t="shared" si="3"/>
        <v>etal</v>
      </c>
      <c r="E25" s="9" t="str">
        <f t="shared" si="9"/>
        <v>2017</v>
      </c>
      <c r="G25" t="str">
        <f t="shared" si="5"/>
        <v>10.3389/fnana.2017.00118</v>
      </c>
      <c r="H25" s="3"/>
      <c r="I25" s="3" t="s">
        <v>59</v>
      </c>
      <c r="J25" s="3" t="str">
        <f t="shared" si="6"/>
        <v>JardimMesseder_etal_2017_Table1</v>
      </c>
      <c r="K25" s="3" t="str">
        <f t="shared" si="10"/>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ref="B26" si="11">C26 &amp; IF(D26&lt;&gt;"", "_" &amp; D26, "_") &amp; IF(E26&lt;&gt;"", "_" &amp; E26, "_") &amp; IF(F26&lt;&gt;"", "_" &amp; F26, "")</f>
        <v>Kverkova_etal_2018</v>
      </c>
      <c r="C26" s="9" t="str">
        <f t="shared" ref="C26" si="12">SUBSTITUTE(SUBSTITUTE(_xlfn.TEXTBEFORE(A26,","), "-", ""), " ", "")</f>
        <v>Kverkova</v>
      </c>
      <c r="D26" s="9" t="str">
        <f t="shared" si="3"/>
        <v>etal</v>
      </c>
      <c r="E26" s="9" t="str">
        <f t="shared" ref="E26" si="13">_xlfn.TEXTBEFORE(_xlfn.TEXTAFTER(A26, "("), ")")</f>
        <v>2018</v>
      </c>
      <c r="F26" s="7"/>
      <c r="G26" t="str">
        <f t="shared" ref="G26" si="14">_xlfn.TEXTAFTER(A26,"https://doi.org/")</f>
        <v>10.1038/s41598-018-26062-8</v>
      </c>
      <c r="H26" s="3"/>
      <c r="I26" s="3" t="s">
        <v>59</v>
      </c>
      <c r="J26" s="3" t="str">
        <f t="shared" ref="J26" si="15">TRIM(_xlfn.TEXTJOIN("_",FALSE,B26,(SUBSTITUTE(SUBSTITUTE(I26," ",""), "_", ""))))</f>
        <v>Kverkova_etal_2018_Table1</v>
      </c>
      <c r="K26" s="3" t="str">
        <f t="shared" ref="K26" si="16">IF(ISBLANK(H26),TRIM(SUBSTITUTE(SUBSTITUTE(SUBSTITUTE(_xlfn.TEXTJOIN("_", FALSE, G26, SUBSTITUTE(I26,"_", "")), "/", "%2F"), ":", "%3A"), " ", "")),TRIM(SUBSTITUTE(SUBSTITUTE(SUBSTITUTE(_xlfn.TEXTJOIN("_", FALSE, H26, SUBSTITUTE(I26,"_", "")), "/", "%2F"), ":", "%3A"), " ", "")))</f>
        <v>10.1038%2Fs41598-018-26062-8_Table1</v>
      </c>
      <c r="L26" s="3"/>
      <c r="M26" t="s">
        <v>48</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60</v>
      </c>
      <c r="Q26" s="14" t="s">
        <v>274</v>
      </c>
      <c r="R26" s="3" t="s">
        <v>62</v>
      </c>
      <c r="S26" t="s">
        <v>185</v>
      </c>
      <c r="T26" t="s">
        <v>186</v>
      </c>
      <c r="U26" t="s">
        <v>53</v>
      </c>
      <c r="W26" s="8"/>
      <c r="X26" s="7" t="s">
        <v>272</v>
      </c>
      <c r="Y26" t="s">
        <v>273</v>
      </c>
      <c r="Z26" t="s">
        <v>106</v>
      </c>
      <c r="AB26" t="s">
        <v>107</v>
      </c>
      <c r="AE26" t="s">
        <v>190</v>
      </c>
      <c r="AI26">
        <v>1</v>
      </c>
      <c r="AK26">
        <v>1</v>
      </c>
    </row>
    <row r="27" spans="1:37" ht="16" x14ac:dyDescent="0.2">
      <c r="A27" t="s">
        <v>184</v>
      </c>
      <c r="B27" s="7" t="str">
        <f t="shared" si="7"/>
        <v>Kverkova_etal_2018</v>
      </c>
      <c r="C27" s="9" t="str">
        <f t="shared" si="8"/>
        <v>Kverkova</v>
      </c>
      <c r="D27" s="9" t="str">
        <f>IF(ISNUMBER(FIND("&amp;", A27)),
    IF(LEN(A27)-LEN(SUBSTITUTE(A27, ",", ""))&gt;=6, "etal", MID(A27, SEARCH("&amp; ", A27)+2, SEARCH(",", A27, SEARCH("&amp; ", A27)+2) - SEARCH("&amp; ", A27)-2)),
    ""
)</f>
        <v>etal</v>
      </c>
      <c r="E27" s="9" t="str">
        <f t="shared" si="9"/>
        <v>2018</v>
      </c>
      <c r="F27" s="7"/>
      <c r="G27" t="str">
        <f t="shared" si="5"/>
        <v>10.1038/s41598-018-26062-8</v>
      </c>
      <c r="H27" s="3"/>
      <c r="I27" s="3" t="s">
        <v>98</v>
      </c>
      <c r="J27" s="3" t="str">
        <f t="shared" si="6"/>
        <v>Kverkova_etal_2018_TableS1</v>
      </c>
      <c r="K27" s="3" t="str">
        <f t="shared" si="10"/>
        <v>10.1038%2Fs41598-018-26062-8_TableS1</v>
      </c>
      <c r="L27" s="3"/>
      <c r="M27" t="s">
        <v>48</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60</v>
      </c>
      <c r="Q27" s="14" t="s">
        <v>275</v>
      </c>
      <c r="R27" s="3" t="s">
        <v>62</v>
      </c>
      <c r="S27" t="s">
        <v>185</v>
      </c>
      <c r="T27" t="s">
        <v>186</v>
      </c>
      <c r="U27" t="s">
        <v>53</v>
      </c>
      <c r="V27" t="s">
        <v>65</v>
      </c>
      <c r="W27" s="8" t="s">
        <v>187</v>
      </c>
      <c r="X27" s="7" t="s">
        <v>188</v>
      </c>
      <c r="Y27" t="s">
        <v>163</v>
      </c>
      <c r="Z27" t="s">
        <v>189</v>
      </c>
      <c r="AB27" t="s">
        <v>107</v>
      </c>
      <c r="AE27" t="s">
        <v>190</v>
      </c>
      <c r="AI27">
        <v>1</v>
      </c>
      <c r="AK27">
        <v>1</v>
      </c>
    </row>
    <row r="28" spans="1:37" ht="16" x14ac:dyDescent="0.2">
      <c r="A28" t="s">
        <v>184</v>
      </c>
      <c r="B28" s="7" t="str">
        <f t="shared" si="7"/>
        <v>Kverkova_etal_2018</v>
      </c>
      <c r="C28" s="9" t="str">
        <f t="shared" si="8"/>
        <v>Kverkova</v>
      </c>
      <c r="D28" s="9" t="str">
        <f t="shared" si="3"/>
        <v>etal</v>
      </c>
      <c r="E28" s="9" t="str">
        <f t="shared" si="9"/>
        <v>2018</v>
      </c>
      <c r="F28" s="7"/>
      <c r="G28" t="str">
        <f t="shared" si="5"/>
        <v>10.1038/s41598-018-26062-8</v>
      </c>
      <c r="H28" s="3"/>
      <c r="I28" s="3" t="s">
        <v>191</v>
      </c>
      <c r="J28" s="3" t="str">
        <f t="shared" si="6"/>
        <v>Kverkova_etal_2018_TableS5</v>
      </c>
      <c r="K28" s="3" t="str">
        <f t="shared" si="10"/>
        <v>10.1038%2Fs41598-018-26062-8_TableS5</v>
      </c>
      <c r="L28" s="3"/>
      <c r="M28" t="s">
        <v>48</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60</v>
      </c>
      <c r="Q28" s="14" t="s">
        <v>276</v>
      </c>
      <c r="R28" s="3" t="s">
        <v>62</v>
      </c>
      <c r="S28" t="s">
        <v>192</v>
      </c>
      <c r="T28" t="s">
        <v>193</v>
      </c>
      <c r="U28" t="s">
        <v>53</v>
      </c>
      <c r="V28" t="s">
        <v>65</v>
      </c>
      <c r="W28" s="8" t="s">
        <v>187</v>
      </c>
      <c r="X28" s="7" t="s">
        <v>194</v>
      </c>
      <c r="Y28" t="s">
        <v>169</v>
      </c>
      <c r="Z28" t="s">
        <v>106</v>
      </c>
      <c r="AB28" t="s">
        <v>107</v>
      </c>
      <c r="AE28" t="s">
        <v>190</v>
      </c>
      <c r="AI28">
        <v>1</v>
      </c>
      <c r="AK28">
        <v>1</v>
      </c>
    </row>
    <row r="29" spans="1:37" ht="16" x14ac:dyDescent="0.2">
      <c r="A29" t="s">
        <v>195</v>
      </c>
      <c r="B29" s="7" t="str">
        <f t="shared" si="7"/>
        <v>ManyPrimates__2022</v>
      </c>
      <c r="C29" s="9" t="str">
        <f t="shared" si="8"/>
        <v>ManyPrimates</v>
      </c>
      <c r="D29" s="9" t="str">
        <f t="shared" si="3"/>
        <v/>
      </c>
      <c r="E29" s="9" t="str">
        <f t="shared" si="9"/>
        <v>2022</v>
      </c>
      <c r="F29" s="7"/>
      <c r="G29" t="str">
        <f t="shared" si="5"/>
        <v>10.26451/abc.09.04.06.2022</v>
      </c>
      <c r="H29" s="3"/>
      <c r="I29" s="12" t="s">
        <v>196</v>
      </c>
      <c r="J29" s="3" t="str">
        <f t="shared" si="6"/>
        <v>ManyPrimates__2022_data/speciespredictors.xlsx</v>
      </c>
      <c r="K29" s="3" t="str">
        <f t="shared" si="10"/>
        <v>10.26451%2Fabc.09.04.06.2022_data%2Fspeciespredictors.xlsx</v>
      </c>
      <c r="L29" s="3"/>
      <c r="M29" t="s">
        <v>197</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ref="S29:S34" si="17">IF(R29="N", Q29, "write file name")</f>
        <v>write file name</v>
      </c>
      <c r="T29" t="s">
        <v>74</v>
      </c>
      <c r="U29" t="s">
        <v>53</v>
      </c>
      <c r="V29" t="s">
        <v>75</v>
      </c>
      <c r="W29" s="8" t="s">
        <v>198</v>
      </c>
      <c r="X29" s="7"/>
      <c r="Y29" t="s">
        <v>199</v>
      </c>
      <c r="Z29" t="s">
        <v>56</v>
      </c>
      <c r="AC29" t="s">
        <v>200</v>
      </c>
      <c r="AE29" t="s">
        <v>71</v>
      </c>
    </row>
    <row r="30" spans="1:37" ht="16" x14ac:dyDescent="0.2">
      <c r="A30" t="s">
        <v>201</v>
      </c>
      <c r="B30" s="7" t="str">
        <f t="shared" si="7"/>
        <v>Powell_etal_2017</v>
      </c>
      <c r="C30" s="9" t="str">
        <f t="shared" si="8"/>
        <v>Powell</v>
      </c>
      <c r="D30" s="9" t="str">
        <f t="shared" si="3"/>
        <v>etal</v>
      </c>
      <c r="E30" s="9" t="str">
        <f t="shared" si="9"/>
        <v>2017</v>
      </c>
      <c r="F30" s="7"/>
      <c r="G30" t="str">
        <f t="shared" si="5"/>
        <v>10.1098/rspb.2017.1765</v>
      </c>
      <c r="H30" s="3" t="s">
        <v>202</v>
      </c>
      <c r="I30" s="3" t="s">
        <v>203</v>
      </c>
      <c r="J30" s="3" t="str">
        <f t="shared" si="6"/>
        <v>Powell_etal_2017_Dataset1</v>
      </c>
      <c r="K30" s="3" t="str">
        <f t="shared" si="10"/>
        <v>10.6084%2Fm9.figshare.c.3899422.v1_Dataset1</v>
      </c>
      <c r="L30" s="3"/>
      <c r="M30" s="15" t="s">
        <v>132</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7"/>
        <v>write file name</v>
      </c>
      <c r="T30" t="s">
        <v>74</v>
      </c>
      <c r="U30" t="s">
        <v>53</v>
      </c>
      <c r="V30" t="s">
        <v>75</v>
      </c>
      <c r="W30" s="8" t="s">
        <v>204</v>
      </c>
      <c r="X30" s="7"/>
      <c r="Y30" t="s">
        <v>205</v>
      </c>
      <c r="Z30" t="s">
        <v>56</v>
      </c>
      <c r="AC30" t="s">
        <v>55</v>
      </c>
      <c r="AE30" t="s">
        <v>71</v>
      </c>
    </row>
    <row r="31" spans="1:37" ht="16" x14ac:dyDescent="0.2">
      <c r="A31" t="s">
        <v>206</v>
      </c>
      <c r="B31" s="7" t="str">
        <f t="shared" si="7"/>
        <v>Sherwood_etal_2004_I</v>
      </c>
      <c r="C31" s="9" t="str">
        <f t="shared" si="8"/>
        <v>Sherwood</v>
      </c>
      <c r="D31" s="9" t="str">
        <f t="shared" si="3"/>
        <v>etal</v>
      </c>
      <c r="E31" s="9" t="str">
        <f t="shared" si="9"/>
        <v>2004</v>
      </c>
      <c r="F31" s="7" t="s">
        <v>207</v>
      </c>
      <c r="G31" t="str">
        <f t="shared" si="5"/>
        <v>10.1159/000075672</v>
      </c>
      <c r="H31" s="3"/>
      <c r="I31" s="3" t="s">
        <v>150</v>
      </c>
      <c r="J31" s="3" t="str">
        <f t="shared" si="6"/>
        <v>Sherwood_etal_2004_I_Table4</v>
      </c>
      <c r="K31" s="3" t="str">
        <f t="shared" si="10"/>
        <v>10.1159%2F000075672_Table4</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7"/>
        <v>write file name</v>
      </c>
      <c r="T31" t="s">
        <v>64</v>
      </c>
      <c r="U31" t="s">
        <v>208</v>
      </c>
      <c r="X31" s="7" t="s">
        <v>209</v>
      </c>
      <c r="Y31" t="s">
        <v>210</v>
      </c>
      <c r="Z31" t="s">
        <v>106</v>
      </c>
      <c r="AE31" t="s">
        <v>71</v>
      </c>
    </row>
    <row r="32" spans="1:37" ht="16" x14ac:dyDescent="0.2">
      <c r="A32" t="s">
        <v>206</v>
      </c>
      <c r="B32" s="7" t="str">
        <f t="shared" si="7"/>
        <v>Sherwood_etal_2004_I</v>
      </c>
      <c r="C32" s="9" t="str">
        <f t="shared" si="8"/>
        <v>Sherwood</v>
      </c>
      <c r="D32" s="9" t="str">
        <f>IF(ISNUMBER(FIND("&amp;", A32)),
    IF(LEN(A32)-LEN(SUBSTITUTE(A32, ",", ""))&gt;=6, "etal", MID(A32, SEARCH("&amp; ", A32)+2, SEARCH(",", A32, SEARCH("&amp; ", A32)+2) - SEARCH("&amp; ", A32)-2)),
    ""
)</f>
        <v>etal</v>
      </c>
      <c r="E32" s="9" t="str">
        <f t="shared" si="9"/>
        <v>2004</v>
      </c>
      <c r="F32" s="7" t="s">
        <v>207</v>
      </c>
      <c r="G32" t="str">
        <f t="shared" si="5"/>
        <v>10.1159/000075672</v>
      </c>
      <c r="H32" s="3"/>
      <c r="I32" s="3" t="s">
        <v>154</v>
      </c>
      <c r="J32" s="3" t="str">
        <f t="shared" si="6"/>
        <v>Sherwood_etal_2004_I_Table5</v>
      </c>
      <c r="K32" s="3" t="str">
        <f t="shared" si="10"/>
        <v>10.1159%2F000075672_Table5</v>
      </c>
      <c r="L32" s="3"/>
      <c r="M32" t="s">
        <v>197</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7"/>
        <v>write file name</v>
      </c>
      <c r="T32" t="s">
        <v>64</v>
      </c>
      <c r="U32" t="s">
        <v>208</v>
      </c>
      <c r="X32" s="11" t="s">
        <v>211</v>
      </c>
      <c r="Y32" t="s">
        <v>210</v>
      </c>
      <c r="Z32" t="s">
        <v>106</v>
      </c>
      <c r="AE32" t="s">
        <v>71</v>
      </c>
    </row>
    <row r="33" spans="1:37" ht="16" x14ac:dyDescent="0.2">
      <c r="A33" t="s">
        <v>212</v>
      </c>
      <c r="B33" s="7" t="str">
        <f t="shared" si="7"/>
        <v>Winkler_Bryant_2021</v>
      </c>
      <c r="C33" s="9" t="str">
        <f t="shared" si="8"/>
        <v>Winkler</v>
      </c>
      <c r="D33" s="9" t="str">
        <f t="shared" si="3"/>
        <v>Bryant</v>
      </c>
      <c r="E33" s="9" t="str">
        <f t="shared" si="9"/>
        <v>2021</v>
      </c>
      <c r="F33" s="7"/>
      <c r="G33" t="str">
        <f t="shared" si="5"/>
        <v>10.1080/09524622.2021.1905065</v>
      </c>
      <c r="H33" s="3"/>
      <c r="I33" s="3" t="s">
        <v>213</v>
      </c>
      <c r="J33" s="3" t="str">
        <f t="shared" si="6"/>
        <v>Winkler_Bryant_2021_Figure1</v>
      </c>
      <c r="K33" s="3" t="str">
        <f t="shared" si="10"/>
        <v>10.1080%2F09524622.2021.1905065_Figure1</v>
      </c>
      <c r="L33" s="3"/>
      <c r="M33" s="15" t="s">
        <v>132</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7"/>
        <v>write file name</v>
      </c>
      <c r="T33" t="s">
        <v>64</v>
      </c>
      <c r="U33" t="s">
        <v>214</v>
      </c>
      <c r="X33" s="7"/>
      <c r="Y33" t="s">
        <v>215</v>
      </c>
      <c r="AE33" t="s">
        <v>44</v>
      </c>
    </row>
    <row r="34" spans="1:37" ht="16" x14ac:dyDescent="0.2">
      <c r="A34" t="s">
        <v>216</v>
      </c>
      <c r="B34" s="7" t="str">
        <f t="shared" si="7"/>
        <v>Young_etal_2013</v>
      </c>
      <c r="C34" s="9" t="str">
        <f t="shared" si="8"/>
        <v>Young</v>
      </c>
      <c r="D34" s="9" t="str">
        <f t="shared" si="3"/>
        <v>etal</v>
      </c>
      <c r="E34" s="9" t="str">
        <f t="shared" si="9"/>
        <v>2013</v>
      </c>
      <c r="F34" s="7"/>
      <c r="G34" t="str">
        <f t="shared" si="5"/>
        <v>10.3389/fncir.2013.00030</v>
      </c>
      <c r="H34" s="3"/>
      <c r="I34" s="3" t="s">
        <v>59</v>
      </c>
      <c r="J34" s="3" t="str">
        <f t="shared" si="6"/>
        <v>Young_etal_2013_Table1</v>
      </c>
      <c r="K34" s="3" t="str">
        <f t="shared" si="10"/>
        <v>10.3389%2Ffncir.2013.00030_Table1</v>
      </c>
      <c r="L34" s="3"/>
      <c r="M34" t="s">
        <v>197</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38</v>
      </c>
      <c r="Q34" s="14"/>
      <c r="S34" t="str">
        <f t="shared" si="17"/>
        <v>write file name</v>
      </c>
      <c r="T34" t="s">
        <v>120</v>
      </c>
      <c r="U34" t="s">
        <v>53</v>
      </c>
      <c r="X34" s="7"/>
      <c r="Y34" t="s">
        <v>217</v>
      </c>
      <c r="AE34" t="s">
        <v>71</v>
      </c>
    </row>
    <row r="35" spans="1:37" ht="16" x14ac:dyDescent="0.2">
      <c r="A35" t="s">
        <v>218</v>
      </c>
      <c r="B35" s="7" t="str">
        <f t="shared" si="7"/>
        <v>Mota_etal_2015</v>
      </c>
      <c r="C35" s="9" t="str">
        <f t="shared" si="8"/>
        <v>Mota</v>
      </c>
      <c r="D35" s="9" t="str">
        <f t="shared" si="3"/>
        <v>etal</v>
      </c>
      <c r="E35" s="9" t="str">
        <f t="shared" si="9"/>
        <v>2015</v>
      </c>
      <c r="G35" t="str">
        <f t="shared" si="5"/>
        <v>10.1126/science.aaa9101</v>
      </c>
      <c r="I35" s="3" t="s">
        <v>98</v>
      </c>
      <c r="J35" s="3" t="str">
        <f t="shared" si="6"/>
        <v>Mota_etal_2015_TableS1</v>
      </c>
      <c r="K35" s="3" t="str">
        <f t="shared" si="10"/>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49</v>
      </c>
      <c r="AI35">
        <v>10</v>
      </c>
      <c r="AK35">
        <v>15</v>
      </c>
    </row>
    <row r="36" spans="1:37" ht="16" x14ac:dyDescent="0.2">
      <c r="A36" t="s">
        <v>219</v>
      </c>
      <c r="B36" s="7" t="str">
        <f t="shared" si="7"/>
        <v>HerculanoHouzel_etal_2013</v>
      </c>
      <c r="C36" s="9" t="str">
        <f t="shared" si="8"/>
        <v>HerculanoHouzel</v>
      </c>
      <c r="D36" s="9" t="str">
        <f t="shared" si="3"/>
        <v>etal</v>
      </c>
      <c r="E36" s="9" t="str">
        <f t="shared" si="9"/>
        <v>2013</v>
      </c>
      <c r="G36" t="str">
        <f t="shared" si="5"/>
        <v>10.3389/fnana.2013.00035</v>
      </c>
      <c r="I36" s="3" t="s">
        <v>220</v>
      </c>
      <c r="J36" s="3" t="str">
        <f t="shared" si="6"/>
        <v>HerculanoHouzel_etal_2013_Figure2TopLeft</v>
      </c>
      <c r="K36" s="3" t="str">
        <f t="shared" si="10"/>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18">C37 &amp; IF(D37&lt;&gt;"", "_" &amp; D37, "_") &amp; IF(E37&lt;&gt;"", "_" &amp; E37, "_") &amp; IF(F37&lt;&gt;"", "_" &amp; F37, "")</f>
        <v>HerculanoHouzel_etal_2013</v>
      </c>
      <c r="C37" s="9" t="str">
        <f t="shared" ref="C37" si="19">SUBSTITUTE(SUBSTITUTE(_xlfn.TEXTBEFORE(A37,","), "-", ""), " ", "")</f>
        <v>HerculanoHouzel</v>
      </c>
      <c r="D37" s="9" t="str">
        <f t="shared" si="3"/>
        <v>etal</v>
      </c>
      <c r="E37" s="9" t="str">
        <f t="shared" ref="E37" si="20">_xlfn.TEXTBEFORE(_xlfn.TEXTAFTER(A37, "("), ")")</f>
        <v>2013</v>
      </c>
      <c r="G37" t="str">
        <f t="shared" si="5"/>
        <v>10.3389/fnana.2013.00035</v>
      </c>
      <c r="I37" s="3" t="s">
        <v>222</v>
      </c>
      <c r="J37" s="3" t="str">
        <f t="shared" ref="J37" si="21">TRIM(_xlfn.TEXTJOIN("_",FALSE,B37,(SUBSTITUTE(SUBSTITUTE(I37," ",""), "_", ""))))</f>
        <v>HerculanoHouzel_etal_2013_Table1-a</v>
      </c>
      <c r="K37" s="3" t="str">
        <f t="shared" ref="K37" si="22">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49</v>
      </c>
      <c r="AI37" t="s">
        <v>221</v>
      </c>
    </row>
    <row r="38" spans="1:37" ht="16" x14ac:dyDescent="0.2">
      <c r="A38" t="s">
        <v>219</v>
      </c>
      <c r="B38" s="7" t="str">
        <f t="shared" ref="B38" si="23">C38 &amp; IF(D38&lt;&gt;"", "_" &amp; D38, "_") &amp; IF(E38&lt;&gt;"", "_" &amp; E38, "_") &amp; IF(F38&lt;&gt;"", "_" &amp; F38, "")</f>
        <v>HerculanoHouzel_etal_2013</v>
      </c>
      <c r="C38" s="9" t="str">
        <f t="shared" ref="C38" si="24">SUBSTITUTE(SUBSTITUTE(_xlfn.TEXTBEFORE(A38,","), "-", ""), " ", "")</f>
        <v>HerculanoHouzel</v>
      </c>
      <c r="D38" s="9" t="str">
        <f t="shared" si="3"/>
        <v>etal</v>
      </c>
      <c r="E38" s="9" t="str">
        <f t="shared" ref="E38" si="25">_xlfn.TEXTBEFORE(_xlfn.TEXTAFTER(A38, "("), ")")</f>
        <v>2013</v>
      </c>
      <c r="G38" t="str">
        <f t="shared" si="5"/>
        <v>10.3389/fnana.2013.00035</v>
      </c>
      <c r="I38" s="3" t="s">
        <v>223</v>
      </c>
      <c r="J38" s="3" t="str">
        <f t="shared" ref="J38" si="26">TRIM(_xlfn.TEXTJOIN("_",FALSE,B38,(SUBSTITUTE(SUBSTITUTE(I38," ",""), "_", ""))))</f>
        <v>HerculanoHouzel_etal_2013_Table1-b</v>
      </c>
      <c r="K38" s="3" t="str">
        <f t="shared" ref="K38" si="27">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49</v>
      </c>
      <c r="AI38" t="s">
        <v>221</v>
      </c>
    </row>
    <row r="39" spans="1:37" ht="16" x14ac:dyDescent="0.2">
      <c r="A39" t="s">
        <v>224</v>
      </c>
      <c r="B39" s="7" t="str">
        <f t="shared" ref="B39" si="28">C39 &amp; IF(D39&lt;&gt;"", "_" &amp; D39, "_") &amp; IF(E39&lt;&gt;"", "_" &amp; E39, "_") &amp; IF(F39&lt;&gt;"", "_" &amp; F39, "")</f>
        <v>Isler_etal_2008</v>
      </c>
      <c r="C39" s="9" t="str">
        <f t="shared" ref="C39" si="29">SUBSTITUTE(SUBSTITUTE(_xlfn.TEXTBEFORE(A39,","), "-", ""), " ", "")</f>
        <v>Isler</v>
      </c>
      <c r="D39" s="9" t="str">
        <f t="shared" si="3"/>
        <v>etal</v>
      </c>
      <c r="E39" s="9" t="str">
        <f t="shared" ref="E39" si="30">_xlfn.TEXTBEFORE(_xlfn.TEXTAFTER(A39, "("), ")")</f>
        <v>2008</v>
      </c>
      <c r="G39" t="str">
        <f t="shared" ref="G39" si="31">_xlfn.TEXTAFTER(A39,"https://doi.org/")</f>
        <v>10.1016/j.jhevol.2008.08.004</v>
      </c>
      <c r="I39" s="3" t="s">
        <v>142</v>
      </c>
      <c r="J39" s="3" t="str">
        <f t="shared" ref="J39" si="32">TRIM(_xlfn.TEXTJOIN("_",FALSE,B39,(SUBSTITUTE(SUBSTITUTE(I39," ",""), "_", ""))))</f>
        <v>Isler_etal_2008_Table2</v>
      </c>
      <c r="K39" s="3" t="str">
        <f t="shared" ref="K39" si="33">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49</v>
      </c>
      <c r="AI39">
        <v>6</v>
      </c>
      <c r="AK39">
        <v>7</v>
      </c>
    </row>
    <row r="40" spans="1:37" ht="16" x14ac:dyDescent="0.2">
      <c r="A40" t="s">
        <v>224</v>
      </c>
      <c r="B40" s="7" t="str">
        <f t="shared" si="7"/>
        <v>Isler_etal_2008</v>
      </c>
      <c r="C40" s="9" t="str">
        <f t="shared" si="8"/>
        <v>Isler</v>
      </c>
      <c r="D40" s="9" t="str">
        <f t="shared" si="3"/>
        <v>etal</v>
      </c>
      <c r="E40" s="9" t="str">
        <f t="shared" si="9"/>
        <v>2008</v>
      </c>
      <c r="G40" t="str">
        <f>_xlfn.TEXTAFTER(A40,"https://doi.org/")</f>
        <v>10.1016/j.jhevol.2008.08.004</v>
      </c>
      <c r="I40" s="3" t="s">
        <v>225</v>
      </c>
      <c r="J40" s="3" t="str">
        <f t="shared" si="6"/>
        <v>Isler_etal_2008_Table7</v>
      </c>
      <c r="K40" s="3" t="str">
        <f t="shared" si="10"/>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49</v>
      </c>
      <c r="AI40">
        <v>3</v>
      </c>
      <c r="AK40">
        <v>6</v>
      </c>
    </row>
    <row r="41" spans="1:37" ht="16" x14ac:dyDescent="0.2">
      <c r="A41" t="s">
        <v>224</v>
      </c>
      <c r="B41" s="7" t="str">
        <f t="shared" si="7"/>
        <v>Isler_etal_2008</v>
      </c>
      <c r="C41" s="9" t="str">
        <f t="shared" si="8"/>
        <v>Isler</v>
      </c>
      <c r="D41" s="9" t="str">
        <f t="shared" si="3"/>
        <v>etal</v>
      </c>
      <c r="E41" s="9" t="str">
        <f t="shared" si="9"/>
        <v>2008</v>
      </c>
      <c r="G41" t="str">
        <f>_xlfn.TEXTAFTER(A41,"https://doi.org/")</f>
        <v>10.1016/j.jhevol.2008.08.004</v>
      </c>
      <c r="I41" s="3" t="s">
        <v>98</v>
      </c>
      <c r="J41" s="3" t="str">
        <f t="shared" si="6"/>
        <v>Isler_etal_2008_TableS1</v>
      </c>
      <c r="K41" s="3" t="str">
        <f t="shared" si="10"/>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49</v>
      </c>
      <c r="AI41" t="s">
        <v>226</v>
      </c>
    </row>
    <row r="42" spans="1:37" ht="16" x14ac:dyDescent="0.2">
      <c r="A42" t="s">
        <v>224</v>
      </c>
      <c r="B42" s="7" t="str">
        <f t="shared" ref="B42" si="34">C42 &amp; IF(D42&lt;&gt;"", "_" &amp; D42, "_") &amp; IF(E42&lt;&gt;"", "_" &amp; E42, "_") &amp; IF(F42&lt;&gt;"", "_" &amp; F42, "")</f>
        <v>Isler_etal_2008</v>
      </c>
      <c r="C42" s="9" t="str">
        <f t="shared" ref="C42" si="35">SUBSTITUTE(SUBSTITUTE(_xlfn.TEXTBEFORE(A42,","), "-", ""), " ", "")</f>
        <v>Isler</v>
      </c>
      <c r="D42" s="9" t="str">
        <f t="shared" si="3"/>
        <v>etal</v>
      </c>
      <c r="E42" s="9" t="str">
        <f t="shared" ref="E42" si="36">_xlfn.TEXTBEFORE(_xlfn.TEXTAFTER(A42, "("), ")")</f>
        <v>2008</v>
      </c>
      <c r="G42" t="str">
        <f t="shared" ref="G42" si="37">_xlfn.TEXTAFTER(A42,"https://doi.org/")</f>
        <v>10.1016/j.jhevol.2008.08.004</v>
      </c>
      <c r="I42" s="3" t="s">
        <v>227</v>
      </c>
      <c r="J42" s="3" t="str">
        <f t="shared" ref="J42" si="38">TRIM(_xlfn.TEXTJOIN("_",FALSE,B42,(SUBSTITUTE(SUBSTITUTE(I42," ",""), "_", ""))))</f>
        <v>Isler_etal_2008_TableS2</v>
      </c>
      <c r="K42" s="3" t="str">
        <f t="shared" ref="K42" si="39">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49</v>
      </c>
      <c r="AI42">
        <v>8</v>
      </c>
      <c r="AK42">
        <v>11</v>
      </c>
    </row>
    <row r="43" spans="1:37" ht="16" x14ac:dyDescent="0.2">
      <c r="A43" t="s">
        <v>224</v>
      </c>
      <c r="B43" s="7" t="str">
        <f t="shared" ref="B43" si="40">C43 &amp; IF(D43&lt;&gt;"", "_" &amp; D43, "_") &amp; IF(E43&lt;&gt;"", "_" &amp; E43, "_") &amp; IF(F43&lt;&gt;"", "_" &amp; F43, "")</f>
        <v>Isler_etal_2008</v>
      </c>
      <c r="C43" s="9" t="str">
        <f t="shared" ref="C43" si="41">SUBSTITUTE(SUBSTITUTE(_xlfn.TEXTBEFORE(A43,","), "-", ""), " ", "")</f>
        <v>Isler</v>
      </c>
      <c r="D43" s="9" t="str">
        <f>IF(ISNUMBER(FIND("&amp;", A43)),
    IF(LEN(A43)-LEN(SUBSTITUTE(A43, ",", ""))&gt;=6, "etal", MID(A43, SEARCH("&amp; ", A43)+2, SEARCH(",", A43, SEARCH("&amp; ", A43)+2) - SEARCH("&amp; ", A43)-2)),
    ""
)</f>
        <v>etal</v>
      </c>
      <c r="E43" s="9" t="str">
        <f t="shared" ref="E43" si="42">_xlfn.TEXTBEFORE(_xlfn.TEXTAFTER(A43, "("), ")")</f>
        <v>2008</v>
      </c>
      <c r="G43" t="str">
        <f t="shared" ref="G43" si="43">_xlfn.TEXTAFTER(A43,"https://doi.org/")</f>
        <v>10.1016/j.jhevol.2008.08.004</v>
      </c>
      <c r="I43" s="3" t="s">
        <v>228</v>
      </c>
      <c r="J43" s="3" t="str">
        <f t="shared" ref="J43" si="44">TRIM(_xlfn.TEXTJOIN("_",FALSE,B43,(SUBSTITUTE(SUBSTITUTE(I43," ",""), "_", ""))))</f>
        <v>Isler_etal_2008_TableS3</v>
      </c>
      <c r="K43" s="3" t="str">
        <f t="shared" ref="K43" si="45">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49</v>
      </c>
      <c r="AI43">
        <v>7</v>
      </c>
      <c r="AK43">
        <v>10</v>
      </c>
    </row>
    <row r="44" spans="1:37" s="17" customFormat="1" ht="16" x14ac:dyDescent="0.2">
      <c r="A44" s="17" t="s">
        <v>224</v>
      </c>
      <c r="B44" s="18" t="str">
        <f t="shared" ref="B44" si="46">C44 &amp; IF(D44&lt;&gt;"", "_" &amp; D44, "_") &amp; IF(E44&lt;&gt;"", "_" &amp; E44, "_") &amp; IF(F44&lt;&gt;"", "_" &amp; F44, "")</f>
        <v>Isler_etal_2008</v>
      </c>
      <c r="C44" s="19" t="str">
        <f t="shared" ref="C44" si="47">SUBSTITUTE(SUBSTITUTE(_xlfn.TEXTBEFORE(A44,","), "-", ""), " ", "")</f>
        <v>Isler</v>
      </c>
      <c r="D44" s="9" t="str">
        <f t="shared" si="3"/>
        <v>etal</v>
      </c>
      <c r="E44" s="19" t="str">
        <f t="shared" ref="E44" si="48">_xlfn.TEXTBEFORE(_xlfn.TEXTAFTER(A44, "("), ")")</f>
        <v>2008</v>
      </c>
      <c r="F44" s="19"/>
      <c r="G44" s="17" t="str">
        <f t="shared" ref="G44" si="49">_xlfn.TEXTAFTER(A44,"https://doi.org/")</f>
        <v>10.1016/j.jhevol.2008.08.004</v>
      </c>
      <c r="I44" s="20" t="s">
        <v>229</v>
      </c>
      <c r="J44" s="20" t="str">
        <f t="shared" ref="J44" si="50">TRIM(_xlfn.TEXTJOIN("_",FALSE,B44,(SUBSTITUTE(SUBSTITUTE(I44," ",""), "_", ""))))</f>
        <v>Isler_etal_2008_Tree.nex</v>
      </c>
      <c r="K44" s="21" t="str">
        <f t="shared" ref="K44" si="51">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49</v>
      </c>
    </row>
    <row r="45" spans="1:37" ht="16" x14ac:dyDescent="0.2">
      <c r="A45" t="s">
        <v>230</v>
      </c>
      <c r="B45" s="7" t="str">
        <f t="shared" si="7"/>
        <v>Lewitus_etal_2014</v>
      </c>
      <c r="C45" s="9" t="str">
        <f t="shared" si="8"/>
        <v>Lewitus</v>
      </c>
      <c r="D45" s="9" t="str">
        <f t="shared" si="3"/>
        <v>etal</v>
      </c>
      <c r="E45" s="9" t="str">
        <f t="shared" si="9"/>
        <v>2014</v>
      </c>
      <c r="G45" t="str">
        <f>_xlfn.TEXTAFTER(A45,"https://doi.org/")</f>
        <v>10.1371/journal.pbio.1002000</v>
      </c>
      <c r="I45" s="3" t="s">
        <v>98</v>
      </c>
      <c r="J45" s="3" t="str">
        <f t="shared" si="6"/>
        <v>Lewitus_etal_2014_TableS1</v>
      </c>
      <c r="K45" s="3" t="str">
        <f t="shared" si="10"/>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49</v>
      </c>
      <c r="X45" t="s">
        <v>277</v>
      </c>
      <c r="AA45" t="s">
        <v>278</v>
      </c>
      <c r="AI45">
        <v>9</v>
      </c>
      <c r="AK45">
        <v>20</v>
      </c>
    </row>
    <row r="46" spans="1:37" ht="16" x14ac:dyDescent="0.2">
      <c r="A46" t="s">
        <v>230</v>
      </c>
      <c r="B46" s="7" t="str">
        <f t="shared" ref="B46" si="52">C46 &amp; IF(D46&lt;&gt;"", "_" &amp; D46, "_") &amp; IF(E46&lt;&gt;"", "_" &amp; E46, "_") &amp; IF(F46&lt;&gt;"", "_" &amp; F46, "")</f>
        <v>Lewitus_etal_2014</v>
      </c>
      <c r="C46" s="9" t="str">
        <f t="shared" ref="C46" si="53">SUBSTITUTE(SUBSTITUTE(_xlfn.TEXTBEFORE(A46,","), "-", ""), " ", "")</f>
        <v>Lewitus</v>
      </c>
      <c r="D46" s="9" t="str">
        <f t="shared" si="3"/>
        <v>etal</v>
      </c>
      <c r="E46" s="9" t="str">
        <f t="shared" ref="E46" si="54">_xlfn.TEXTBEFORE(_xlfn.TEXTAFTER(A46, "("), ")")</f>
        <v>2014</v>
      </c>
      <c r="G46" t="str">
        <f>_xlfn.TEXTAFTER(A46,"https://doi.org/")</f>
        <v>10.1371/journal.pbio.1002000</v>
      </c>
      <c r="I46" s="3" t="s">
        <v>231</v>
      </c>
      <c r="J46" s="3" t="str">
        <f t="shared" ref="J46" si="55">TRIM(_xlfn.TEXTJOIN("_",FALSE,B46,(SUBSTITUTE(SUBSTITUTE(I46," ",""), "_", ""))))</f>
        <v>Lewitus_etal_2014_TableS8</v>
      </c>
      <c r="K46" s="3" t="str">
        <f t="shared" ref="K46" si="56">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49</v>
      </c>
      <c r="X46" t="s">
        <v>232</v>
      </c>
      <c r="AA46" t="s">
        <v>278</v>
      </c>
      <c r="AI46">
        <v>6</v>
      </c>
      <c r="AK46">
        <v>13</v>
      </c>
    </row>
    <row r="47" spans="1:37" s="17" customFormat="1" ht="16" x14ac:dyDescent="0.2">
      <c r="A47" s="17" t="s">
        <v>233</v>
      </c>
      <c r="B47" s="18" t="str">
        <f t="shared" ref="B47" si="57">C47 &amp; IF(D47&lt;&gt;"", "_" &amp; D47, "_") &amp; IF(E47&lt;&gt;"", "_" &amp; E47, "_") &amp; IF(F47&lt;&gt;"", "_" &amp; F47, "")</f>
        <v>Lewitus_etal_2013</v>
      </c>
      <c r="C47" s="19" t="str">
        <f t="shared" ref="C47" si="58">SUBSTITUTE(SUBSTITUTE(_xlfn.TEXTBEFORE(A47,","), "-", ""), " ", "")</f>
        <v>Lewitus</v>
      </c>
      <c r="D47" s="9" t="str">
        <f>IF(ISNUMBER(FIND("&amp;", A47)),
    IF(LEN(A47)-LEN(SUBSTITUTE(A47, ",", ""))&gt;=6, "etal", MID(A47, SEARCH("&amp; ", A47)+2, SEARCH(",", A47, SEARCH("&amp; ", A47)+2) - SEARCH("&amp; ", A47)-2)),
    ""
)</f>
        <v>etal</v>
      </c>
      <c r="E47" s="19" t="str">
        <f t="shared" ref="E47" si="59">_xlfn.TEXTBEFORE(_xlfn.TEXTAFTER(A47, "("), ")")</f>
        <v>2013</v>
      </c>
      <c r="F47" s="19"/>
      <c r="G47" s="17" t="str">
        <f>_xlfn.TEXTAFTER(A47,"https://doi.org/")</f>
        <v>10.3389/fnhum.2013.00424</v>
      </c>
      <c r="I47" s="20" t="s">
        <v>234</v>
      </c>
      <c r="J47" s="20" t="str">
        <f t="shared" ref="J47" si="60">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49</v>
      </c>
      <c r="AA47" s="17" t="s">
        <v>278</v>
      </c>
      <c r="AI47" s="17">
        <v>7</v>
      </c>
      <c r="AK47" s="17">
        <v>14</v>
      </c>
    </row>
    <row r="48" spans="1:37" s="15" customFormat="1" ht="15.75" customHeight="1" x14ac:dyDescent="0.2">
      <c r="A48" s="15" t="s">
        <v>235</v>
      </c>
      <c r="B48" s="22" t="str">
        <f t="shared" ref="B48" si="61">C48 &amp; IF(D48&lt;&gt;"", "_" &amp; D48, "_") &amp; IF(E48&lt;&gt;"", "_" &amp; E48, "_") &amp; IF(F48&lt;&gt;"", "_" &amp; F48, "")</f>
        <v>Smaers_etal_2011</v>
      </c>
      <c r="C48" s="24" t="str">
        <f t="shared" ref="C48" si="62">SUBSTITUTE(SUBSTITUTE(_xlfn.TEXTBEFORE(A48,","), "-", ""), " ", "")</f>
        <v>Smaers</v>
      </c>
      <c r="D48" s="9" t="str">
        <f t="shared" si="3"/>
        <v>etal</v>
      </c>
      <c r="E48" s="24" t="str">
        <f t="shared" ref="E48" si="63">_xlfn.TEXTBEFORE(_xlfn.TEXTAFTER(A48, "("), ")")</f>
        <v>2011</v>
      </c>
      <c r="F48" s="24"/>
      <c r="G48" t="str">
        <f>_xlfn.TEXTAFTER(A48,"https://doi.org/")</f>
        <v>10.1159/000323671</v>
      </c>
      <c r="I48" s="15" t="s">
        <v>236</v>
      </c>
      <c r="J48" s="23" t="str">
        <f t="shared" ref="J48" si="64">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49</v>
      </c>
      <c r="AI48" s="15" t="s">
        <v>237</v>
      </c>
    </row>
    <row r="49" spans="1:35" s="15" customFormat="1" ht="15.75" customHeight="1" x14ac:dyDescent="0.2">
      <c r="A49" s="15" t="s">
        <v>235</v>
      </c>
      <c r="B49" s="22" t="str">
        <f t="shared" ref="B49" si="65">C49 &amp; IF(D49&lt;&gt;"", "_" &amp; D49, "_") &amp; IF(E49&lt;&gt;"", "_" &amp; E49, "_") &amp; IF(F49&lt;&gt;"", "_" &amp; F49, "")</f>
        <v>Smaers_etal_2011</v>
      </c>
      <c r="C49" s="24" t="str">
        <f t="shared" ref="C49" si="66">SUBSTITUTE(SUBSTITUTE(_xlfn.TEXTBEFORE(A49,","), "-", ""), " ", "")</f>
        <v>Smaers</v>
      </c>
      <c r="D49" s="9" t="str">
        <f t="shared" si="3"/>
        <v>etal</v>
      </c>
      <c r="E49" s="24" t="str">
        <f t="shared" ref="E49" si="67">_xlfn.TEXTBEFORE(_xlfn.TEXTAFTER(A49, "("), ")")</f>
        <v>2011</v>
      </c>
      <c r="F49" s="24"/>
      <c r="G49" t="str">
        <f t="shared" ref="G49:G53" si="68">_xlfn.TEXTAFTER(A49,"https://doi.org/")</f>
        <v>10.1159/000323671</v>
      </c>
      <c r="I49" s="15" t="s">
        <v>238</v>
      </c>
      <c r="J49" s="23" t="str">
        <f t="shared" ref="J49" si="69">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49</v>
      </c>
      <c r="AI49" s="15" t="s">
        <v>237</v>
      </c>
    </row>
    <row r="50" spans="1:35" ht="15.75" customHeight="1" x14ac:dyDescent="0.2">
      <c r="A50" t="s">
        <v>279</v>
      </c>
      <c r="B50" s="22" t="str">
        <f t="shared" ref="B50:B53" si="70">C50 &amp; IF(D50&lt;&gt;"", "_" &amp; D50, "_") &amp; IF(E50&lt;&gt;"", "_" &amp; E50, "_") &amp; IF(F50&lt;&gt;"", "_" &amp; F50, "")</f>
        <v>Iwaniuk_etal_1999</v>
      </c>
      <c r="C50" s="24" t="str">
        <f t="shared" ref="C50:C53" si="71">SUBSTITUTE(SUBSTITUTE(_xlfn.TEXTBEFORE(A50,","), "-", ""), " ", "")</f>
        <v>Iwaniuk</v>
      </c>
      <c r="D50" s="9" t="str">
        <f t="shared" ref="D50:D53" si="72">IF(ISNUMBER(FIND("&amp;", A50)),
    IF(LEN(A50)-LEN(SUBSTITUTE(A50, ",", ""))&gt;=6, "etal", MID(A50, SEARCH("&amp; ", A50)+2, SEARCH(",", A50, SEARCH("&amp; ", A50)+2) - SEARCH("&amp; ", A50)-2)),
    ""
)</f>
        <v>etal</v>
      </c>
      <c r="E50" s="24" t="str">
        <f t="shared" ref="E50:E52" si="73">_xlfn.TEXTBEFORE(_xlfn.TEXTAFTER(A50, "("), ")")</f>
        <v>1999</v>
      </c>
      <c r="F50" s="24"/>
      <c r="G50" t="str">
        <f t="shared" si="68"/>
        <v xml:space="preserve">10.1016/s0166-4328(98)00151-x 	</v>
      </c>
      <c r="H50" s="15"/>
      <c r="I50" s="3" t="s">
        <v>59</v>
      </c>
      <c r="J50" s="23" t="str">
        <f t="shared" ref="J50:J52" si="74">TRIM(_xlfn.TEXTJOIN("_",FALSE,B50,(SUBSTITUTE(SUBSTITUTE(I50," ",""), "_", ""))))</f>
        <v>Iwaniuk_etal_1999_Table1</v>
      </c>
      <c r="K50" s="23" t="str">
        <f>IF(ISBLANK(H50),TRIM(SUBSTITUTE(SUBSTITUTE(SUBSTITUTE(_xlfn.TEXTJOIN("_", FALSE, G50, SUBSTITUTE(I50,"_", "")), "/", "%2F"), ":", "%3A"), " ", "")),TRIM(SUBSTITUTE(SUBSTITUTE(SUBSTITUTE(_xlfn.TEXTJOIN("_", FALSE, H50, SUBSTITUTE(I50,"_", "")), "/", "%2F"), ":", "%3A"), " ", "")))</f>
        <v>10.1016%2Fs0166-4328(98)00151-x	_Table1</v>
      </c>
      <c r="M50" s="15" t="s">
        <v>132</v>
      </c>
      <c r="V50" t="s">
        <v>85</v>
      </c>
    </row>
    <row r="51" spans="1:35" ht="15.75" customHeight="1" x14ac:dyDescent="0.2">
      <c r="A51" t="s">
        <v>280</v>
      </c>
      <c r="B51" s="22" t="str">
        <f t="shared" si="70"/>
        <v>Genoud_etal_2018</v>
      </c>
      <c r="C51" s="24" t="str">
        <f t="shared" si="71"/>
        <v>Genoud</v>
      </c>
      <c r="D51" s="9" t="str">
        <f t="shared" si="72"/>
        <v>etal</v>
      </c>
      <c r="E51" s="24" t="str">
        <f t="shared" si="73"/>
        <v>2018</v>
      </c>
      <c r="F51" s="24"/>
      <c r="G51" t="str">
        <f t="shared" si="68"/>
        <v xml:space="preserve">10.1111/brv.12350 	</v>
      </c>
      <c r="H51" s="15"/>
      <c r="I51" s="3" t="s">
        <v>227</v>
      </c>
      <c r="J51" s="23" t="str">
        <f t="shared" si="74"/>
        <v>Genoud_etal_2018_TableS2</v>
      </c>
      <c r="K51" s="23" t="str">
        <f t="shared" ref="K51:K52" si="75">IF(ISBLANK(H51),TRIM(SUBSTITUTE(SUBSTITUTE(SUBSTITUTE(_xlfn.TEXTJOIN("_", FALSE, G51, SUBSTITUTE(I51,"_", "")), "/", "%2F"), ":", "%3A"), " ", "")),TRIM(SUBSTITUTE(SUBSTITUTE(SUBSTITUTE(_xlfn.TEXTJOIN("_", FALSE, H51, SUBSTITUTE(I51,"_", "")), "/", "%2F"), ":", "%3A"), " ", "")))</f>
        <v>10.1111%2Fbrv.12350	_TableS2</v>
      </c>
      <c r="M51" s="15" t="s">
        <v>132</v>
      </c>
      <c r="X51" t="s">
        <v>284</v>
      </c>
      <c r="AC51" t="s">
        <v>294</v>
      </c>
    </row>
    <row r="52" spans="1:35" ht="15.75" customHeight="1" x14ac:dyDescent="0.2">
      <c r="A52" t="s">
        <v>281</v>
      </c>
      <c r="B52" s="22" t="str">
        <f t="shared" si="70"/>
        <v>Mota_etal_2019</v>
      </c>
      <c r="C52" s="24" t="str">
        <f t="shared" si="71"/>
        <v>Mota</v>
      </c>
      <c r="D52" s="9" t="str">
        <f t="shared" si="72"/>
        <v>etal</v>
      </c>
      <c r="E52" s="24" t="str">
        <f t="shared" si="73"/>
        <v>2019</v>
      </c>
      <c r="F52" s="24"/>
      <c r="G52" t="str">
        <f t="shared" si="68"/>
        <v xml:space="preserve">10.1073/pnas.1716956116 	</v>
      </c>
      <c r="H52" s="15"/>
      <c r="I52" s="3" t="s">
        <v>283</v>
      </c>
      <c r="J52" s="23" t="str">
        <f t="shared" si="74"/>
        <v>Mota_etal_2019_SupplementaryTableS1</v>
      </c>
      <c r="K52" s="23" t="str">
        <f t="shared" si="75"/>
        <v>10.1073%2Fpnas.1716956116	_SupplementaryTableS1</v>
      </c>
      <c r="M52" s="15" t="s">
        <v>132</v>
      </c>
      <c r="X52" t="s">
        <v>282</v>
      </c>
      <c r="AC52" t="s">
        <v>292</v>
      </c>
    </row>
    <row r="53" spans="1:35" ht="15.75" customHeight="1" x14ac:dyDescent="0.2">
      <c r="A53" t="s">
        <v>285</v>
      </c>
      <c r="B53" s="22" t="str">
        <f t="shared" si="70"/>
        <v>Burish_etal_2010</v>
      </c>
      <c r="C53" s="24" t="str">
        <f t="shared" si="71"/>
        <v>Burish</v>
      </c>
      <c r="D53" s="9" t="str">
        <f t="shared" si="72"/>
        <v>etal</v>
      </c>
      <c r="E53" s="24" t="str">
        <f t="shared" ref="E53" si="76">_xlfn.TEXTBEFORE(_xlfn.TEXTAFTER(A53, "("), ")")</f>
        <v>2010</v>
      </c>
      <c r="F53" s="24"/>
      <c r="G53" t="str">
        <f t="shared" si="68"/>
        <v xml:space="preserve">10.1159/000319019 </v>
      </c>
      <c r="H53" s="15"/>
      <c r="I53" s="3" t="s">
        <v>59</v>
      </c>
      <c r="J53" s="23" t="str">
        <f t="shared" ref="J53" si="77">TRIM(_xlfn.TEXTJOIN("_",FALSE,B53,(SUBSTITUTE(SUBSTITUTE(I53," ",""), "_", ""))))</f>
        <v>Burish_etal_2010_Table1</v>
      </c>
      <c r="K53" s="23" t="str">
        <f t="shared" ref="K53" si="78">IF(ISBLANK(H53),TRIM(SUBSTITUTE(SUBSTITUTE(SUBSTITUTE(_xlfn.TEXTJOIN("_", FALSE, G53, SUBSTITUTE(I53,"_", "")), "/", "%2F"), ":", "%3A"), " ", "")),TRIM(SUBSTITUTE(SUBSTITUTE(SUBSTITUTE(_xlfn.TEXTJOIN("_", FALSE, H53, SUBSTITUTE(I53,"_", "")), "/", "%2F"), ":", "%3A"), " ", "")))</f>
        <v>10.1159%2F000319019_Table1</v>
      </c>
      <c r="M53" t="s">
        <v>48</v>
      </c>
      <c r="N53" s="15" t="str" cm="1">
        <f t="array" ref="N53">IFERROR(INDEX([1]FileList!$A$1:$A$43, MATCH(K53, _xlfn.TEXTBEFORE([1]FileList!$A$1:$A$43, ".tsv"), 0)), "notfound")</f>
        <v>notfound</v>
      </c>
      <c r="O53" s="15" t="str" cm="1">
        <f t="array" ref="O53">IFERROR(INDEX([1]FileList!$A$1:$A$43, MATCH(_xlfn.TEXTBEFORE(K53, "_"), _xlfn.TEXTBEFORE([1]FileList!$A$1:$A$43, "_"), 0)), "notfound")</f>
        <v>notfound</v>
      </c>
      <c r="P53" t="s">
        <v>60</v>
      </c>
      <c r="Q53" t="s">
        <v>299</v>
      </c>
      <c r="X53" t="s">
        <v>286</v>
      </c>
      <c r="Z53" t="s">
        <v>289</v>
      </c>
      <c r="AC53" t="s">
        <v>293</v>
      </c>
      <c r="AE53" t="s">
        <v>291</v>
      </c>
    </row>
    <row r="54" spans="1:35" ht="15.75" customHeight="1" x14ac:dyDescent="0.2">
      <c r="A54" t="s">
        <v>285</v>
      </c>
      <c r="B54" s="22" t="str">
        <f t="shared" ref="B54:B55" si="79">C54 &amp; IF(D54&lt;&gt;"", "_" &amp; D54, "_") &amp; IF(E54&lt;&gt;"", "_" &amp; E54, "_") &amp; IF(F54&lt;&gt;"", "_" &amp; F54, "")</f>
        <v>Burish_etal_2010</v>
      </c>
      <c r="C54" s="24" t="str">
        <f t="shared" ref="C54:C55" si="80">SUBSTITUTE(SUBSTITUTE(_xlfn.TEXTBEFORE(A54,","), "-", ""), " ", "")</f>
        <v>Burish</v>
      </c>
      <c r="D54" s="9" t="str">
        <f t="shared" ref="D54:D55" si="81">IF(ISNUMBER(FIND("&amp;", A54)),
    IF(LEN(A54)-LEN(SUBSTITUTE(A54, ",", ""))&gt;=6, "etal", MID(A54, SEARCH("&amp; ", A54)+2, SEARCH(",", A54, SEARCH("&amp; ", A54)+2) - SEARCH("&amp; ", A54)-2)),
    ""
)</f>
        <v>etal</v>
      </c>
      <c r="E54" s="24" t="str">
        <f t="shared" ref="E54:E55" si="82">_xlfn.TEXTBEFORE(_xlfn.TEXTAFTER(A54, "("), ")")</f>
        <v>2010</v>
      </c>
      <c r="F54" s="24"/>
      <c r="G54" t="str">
        <f t="shared" ref="G54:G55" si="83">_xlfn.TEXTAFTER(A54,"https://doi.org/")</f>
        <v xml:space="preserve">10.1159/000319019 </v>
      </c>
      <c r="H54" s="15"/>
      <c r="I54" s="3" t="s">
        <v>288</v>
      </c>
      <c r="J54" s="23" t="str">
        <f t="shared" ref="J54:J55" si="84">TRIM(_xlfn.TEXTJOIN("_",FALSE,B54,(SUBSTITUTE(SUBSTITUTE(I54," ",""), "_", ""))))</f>
        <v>Burish_etal_2010_SupplementaryTable1</v>
      </c>
      <c r="K54" s="23" t="str">
        <f t="shared" ref="K54:K55" si="85">IF(ISBLANK(H54),TRIM(SUBSTITUTE(SUBSTITUTE(SUBSTITUTE(_xlfn.TEXTJOIN("_", FALSE, G54, SUBSTITUTE(I54,"_", "")), "/", "%2F"), ":", "%3A"), " ", "")),TRIM(SUBSTITUTE(SUBSTITUTE(SUBSTITUTE(_xlfn.TEXTJOIN("_", FALSE, H54, SUBSTITUTE(I54,"_", "")), "/", "%2F"), ":", "%3A"), " ", "")))</f>
        <v>10.1159%2F000319019_SupplementaryTable1</v>
      </c>
      <c r="M54" s="15" t="s">
        <v>298</v>
      </c>
      <c r="Q54" t="s">
        <v>300</v>
      </c>
      <c r="X54" t="s">
        <v>287</v>
      </c>
      <c r="Z54" t="s">
        <v>290</v>
      </c>
      <c r="AC54" t="s">
        <v>293</v>
      </c>
      <c r="AE54" t="s">
        <v>291</v>
      </c>
    </row>
    <row r="55" spans="1:35" ht="15.75" customHeight="1" x14ac:dyDescent="0.2">
      <c r="A55" t="s">
        <v>295</v>
      </c>
      <c r="B55" s="22" t="str">
        <f t="shared" si="79"/>
        <v>Fu_etal_2013</v>
      </c>
      <c r="C55" s="24" t="str">
        <f t="shared" si="80"/>
        <v>Fu</v>
      </c>
      <c r="D55" s="9" t="str">
        <f t="shared" si="81"/>
        <v>etal</v>
      </c>
      <c r="E55" s="24" t="str">
        <f t="shared" si="82"/>
        <v>2013</v>
      </c>
      <c r="G55" t="str">
        <f t="shared" si="83"/>
        <v xml:space="preserve">10.1007/s00429-012-0462-x 	</v>
      </c>
      <c r="I55" s="3" t="s">
        <v>59</v>
      </c>
      <c r="J55" s="23" t="str">
        <f t="shared" si="84"/>
        <v>Fu_etal_2013_Table1</v>
      </c>
      <c r="K55" s="23" t="str">
        <f t="shared" si="85"/>
        <v>10.1007%2Fs00429-012-0462-x	_Table1</v>
      </c>
      <c r="M55" s="15" t="s">
        <v>132</v>
      </c>
      <c r="X55" t="s">
        <v>297</v>
      </c>
      <c r="Z55" t="s">
        <v>296</v>
      </c>
      <c r="AC55" t="s">
        <v>293</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239</v>
      </c>
    </row>
    <row r="2" spans="1:2" x14ac:dyDescent="0.2">
      <c r="A2" t="s">
        <v>240</v>
      </c>
    </row>
    <row r="3" spans="1:2" x14ac:dyDescent="0.2">
      <c r="A3" s="1" t="s">
        <v>241</v>
      </c>
      <c r="B3" t="s">
        <v>242</v>
      </c>
    </row>
    <row r="4" spans="1:2" x14ac:dyDescent="0.2">
      <c r="A4" s="1" t="s">
        <v>243</v>
      </c>
      <c r="B4" t="s">
        <v>244</v>
      </c>
    </row>
    <row r="5" spans="1:2" x14ac:dyDescent="0.2">
      <c r="A5" s="1" t="s">
        <v>245</v>
      </c>
      <c r="B5" t="s">
        <v>246</v>
      </c>
    </row>
    <row r="6" spans="1:2" x14ac:dyDescent="0.2">
      <c r="A6" s="1" t="s">
        <v>247</v>
      </c>
      <c r="B6" t="s">
        <v>248</v>
      </c>
    </row>
    <row r="7" spans="1:2" x14ac:dyDescent="0.2">
      <c r="A7" s="1" t="s">
        <v>249</v>
      </c>
      <c r="B7" t="s">
        <v>270</v>
      </c>
    </row>
    <row r="8" spans="1:2" x14ac:dyDescent="0.2">
      <c r="A8" s="1" t="s">
        <v>250</v>
      </c>
      <c r="B8" t="s">
        <v>251</v>
      </c>
    </row>
    <row r="9" spans="1:2" x14ac:dyDescent="0.2">
      <c r="A9" s="1" t="s">
        <v>252</v>
      </c>
      <c r="B9" t="s">
        <v>271</v>
      </c>
    </row>
    <row r="10" spans="1:2" x14ac:dyDescent="0.2">
      <c r="A10" s="1" t="s">
        <v>253</v>
      </c>
      <c r="B10" t="s">
        <v>254</v>
      </c>
    </row>
    <row r="11" spans="1:2" x14ac:dyDescent="0.2">
      <c r="A11" s="1" t="s">
        <v>255</v>
      </c>
      <c r="B11" t="s">
        <v>256</v>
      </c>
    </row>
    <row r="12" spans="1:2" ht="17" x14ac:dyDescent="0.2">
      <c r="A12" s="2" t="s">
        <v>257</v>
      </c>
      <c r="B12" t="s">
        <v>258</v>
      </c>
    </row>
    <row r="13" spans="1:2" x14ac:dyDescent="0.2">
      <c r="A13" s="4" t="s">
        <v>259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260</v>
      </c>
    </row>
    <row r="2" spans="1:3" x14ac:dyDescent="0.2">
      <c r="C2" t="s">
        <v>261</v>
      </c>
    </row>
    <row r="3" spans="1:3" x14ac:dyDescent="0.2">
      <c r="A3">
        <v>1</v>
      </c>
      <c r="B3" t="s">
        <v>262</v>
      </c>
      <c r="C3" t="s">
        <v>263</v>
      </c>
    </row>
    <row r="4" spans="1:3" x14ac:dyDescent="0.2">
      <c r="A4">
        <v>2</v>
      </c>
      <c r="B4" t="s">
        <v>264</v>
      </c>
      <c r="C4" t="s">
        <v>265</v>
      </c>
    </row>
    <row r="5" spans="1:3" x14ac:dyDescent="0.2">
      <c r="A5">
        <v>3</v>
      </c>
      <c r="B5" t="s">
        <v>266</v>
      </c>
      <c r="C5" t="s">
        <v>267</v>
      </c>
    </row>
    <row r="6" spans="1:3" x14ac:dyDescent="0.2">
      <c r="A6">
        <v>4</v>
      </c>
      <c r="B6" t="s">
        <v>268</v>
      </c>
      <c r="C6" t="s">
        <v>269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6DEDC7-93D0-4B5E-BED5-006DF8C890FC}">
  <ds:schemaRefs>
    <ds:schemaRef ds:uri="3bad6c6a-329d-45e9-b8b0-1ebecc8a8764"/>
    <ds:schemaRef ds:uri="http://purl.org/dc/elements/1.1/"/>
    <ds:schemaRef ds:uri="8e1efd23-f4ba-42d2-85fd-6a510437bae6"/>
    <ds:schemaRef ds:uri="http://schemas.microsoft.com/office/2006/documentManagement/types"/>
    <ds:schemaRef ds:uri="http://purl.org/dc/terms/"/>
    <ds:schemaRef ds:uri="http://purl.org/dc/dcmitype/"/>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025C630B-64D2-4AAA-9CA6-B49D96BBCC8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2024-03-25T17:22:34Z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