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0" documentId="11_473A6008124C090B9CB4C1A72041B5B084627455" xr6:coauthVersionLast="47" xr6:coauthVersionMax="47" xr10:uidLastSave="{87875D7B-3FD8-434A-94A8-4184B43373F5}"/>
  <bookViews>
    <workbookView xWindow="36100" yWindow="3200" windowWidth="38960" windowHeight="18940" xr2:uid="{00000000-000D-0000-FFFF-FFFF00000000}"/>
  </bookViews>
  <sheets>
    <sheet name="Sheet1" sheetId="1" r:id="rId1"/>
    <sheet name="Pipeline" sheetId="2" r:id="rId2"/>
    <sheet name="Conflicts" sheetId="3" r:id="rId3"/>
    <sheet name="File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4" i="1" l="1"/>
  <c r="L124" i="1"/>
  <c r="M124" i="1" s="1" a="1"/>
  <c r="M124" i="1" s="1"/>
  <c r="J124" i="1"/>
  <c r="I124" i="1"/>
  <c r="H124" i="1"/>
  <c r="G124" i="1"/>
  <c r="F124" i="1" s="1"/>
  <c r="K124" i="1" s="1"/>
  <c r="E124" i="1"/>
  <c r="J138" i="1"/>
  <c r="L138" i="1" s="1"/>
  <c r="M138" i="1" s="1" a="1"/>
  <c r="M138" i="1" s="1"/>
  <c r="I138" i="1"/>
  <c r="H138" i="1"/>
  <c r="G138" i="1"/>
  <c r="E138" i="1"/>
  <c r="L137" i="1"/>
  <c r="M137" i="1" s="1" a="1"/>
  <c r="M137" i="1" s="1"/>
  <c r="J137" i="1"/>
  <c r="I137" i="1"/>
  <c r="H137" i="1"/>
  <c r="G137" i="1"/>
  <c r="E137" i="1"/>
  <c r="J136" i="1"/>
  <c r="L136" i="1" s="1"/>
  <c r="M136" i="1" s="1" a="1"/>
  <c r="M136" i="1" s="1"/>
  <c r="I136" i="1"/>
  <c r="H136" i="1"/>
  <c r="G136" i="1"/>
  <c r="E136" i="1"/>
  <c r="T135" i="1"/>
  <c r="M135" i="1"/>
  <c r="J135" i="1"/>
  <c r="L135" i="1" s="1"/>
  <c r="M135" i="1" s="1" a="1"/>
  <c r="I135" i="1"/>
  <c r="H135" i="1"/>
  <c r="G135" i="1"/>
  <c r="F135" i="1"/>
  <c r="K135" i="1" s="1"/>
  <c r="E135" i="1"/>
  <c r="T134" i="1"/>
  <c r="J134" i="1"/>
  <c r="L134" i="1" s="1"/>
  <c r="M134" i="1" s="1" a="1"/>
  <c r="M134" i="1" s="1"/>
  <c r="I134" i="1"/>
  <c r="H134" i="1"/>
  <c r="G134" i="1"/>
  <c r="F134" i="1"/>
  <c r="K134" i="1" s="1"/>
  <c r="E134" i="1"/>
  <c r="J133" i="1"/>
  <c r="L133" i="1" s="1"/>
  <c r="M133" i="1" s="1" a="1"/>
  <c r="M133" i="1" s="1"/>
  <c r="I133" i="1"/>
  <c r="H133" i="1"/>
  <c r="G133" i="1"/>
  <c r="E133" i="1"/>
  <c r="J132" i="1"/>
  <c r="L132" i="1" s="1"/>
  <c r="M132" i="1" s="1" a="1"/>
  <c r="M132" i="1" s="1"/>
  <c r="I132" i="1"/>
  <c r="H132" i="1"/>
  <c r="G132" i="1"/>
  <c r="F132" i="1" s="1"/>
  <c r="K132" i="1" s="1"/>
  <c r="E132" i="1"/>
  <c r="L131" i="1"/>
  <c r="M131" i="1" s="1" a="1"/>
  <c r="M131" i="1" s="1"/>
  <c r="J131" i="1"/>
  <c r="I131" i="1"/>
  <c r="H131" i="1"/>
  <c r="G131" i="1"/>
  <c r="F131" i="1"/>
  <c r="K131" i="1" s="1"/>
  <c r="E131" i="1"/>
  <c r="L130" i="1"/>
  <c r="M130" i="1" s="1" a="1"/>
  <c r="M130" i="1" s="1"/>
  <c r="J130" i="1"/>
  <c r="I130" i="1"/>
  <c r="H130" i="1"/>
  <c r="G130" i="1"/>
  <c r="F130" i="1" s="1"/>
  <c r="K130" i="1" s="1"/>
  <c r="E130" i="1"/>
  <c r="L129" i="1"/>
  <c r="M129" i="1" s="1" a="1"/>
  <c r="M129" i="1" s="1"/>
  <c r="J129" i="1"/>
  <c r="I129" i="1"/>
  <c r="H129" i="1"/>
  <c r="F129" i="1" s="1"/>
  <c r="K129" i="1" s="1"/>
  <c r="G129" i="1"/>
  <c r="E129" i="1"/>
  <c r="J128" i="1"/>
  <c r="L128" i="1" s="1"/>
  <c r="M128" i="1" s="1" a="1"/>
  <c r="M128" i="1" s="1"/>
  <c r="I128" i="1"/>
  <c r="H128" i="1"/>
  <c r="G128" i="1"/>
  <c r="E128" i="1"/>
  <c r="L127" i="1"/>
  <c r="M127" i="1" s="1" a="1"/>
  <c r="M127" i="1" s="1"/>
  <c r="J127" i="1"/>
  <c r="I127" i="1"/>
  <c r="H127" i="1"/>
  <c r="G127" i="1"/>
  <c r="F127" i="1" s="1"/>
  <c r="K127" i="1" s="1"/>
  <c r="E127" i="1"/>
  <c r="L126" i="1"/>
  <c r="M126" i="1" s="1" a="1"/>
  <c r="M126" i="1" s="1"/>
  <c r="J126" i="1"/>
  <c r="I126" i="1"/>
  <c r="H126" i="1"/>
  <c r="G126" i="1"/>
  <c r="F126" i="1" s="1"/>
  <c r="K126" i="1" s="1"/>
  <c r="E126" i="1"/>
  <c r="L125" i="1"/>
  <c r="M125" i="1" s="1" a="1"/>
  <c r="M125" i="1" s="1"/>
  <c r="J125" i="1"/>
  <c r="I125" i="1"/>
  <c r="H125" i="1"/>
  <c r="G125" i="1"/>
  <c r="F125" i="1" s="1"/>
  <c r="K125" i="1" s="1"/>
  <c r="E125" i="1"/>
  <c r="L123" i="1"/>
  <c r="M123" i="1" s="1" a="1"/>
  <c r="M123" i="1" s="1"/>
  <c r="J123" i="1"/>
  <c r="I123" i="1"/>
  <c r="H123" i="1"/>
  <c r="G123" i="1"/>
  <c r="F123" i="1" s="1"/>
  <c r="K123" i="1" s="1"/>
  <c r="E123" i="1"/>
  <c r="M122" i="1" a="1"/>
  <c r="M122" i="1" s="1"/>
  <c r="L122" i="1"/>
  <c r="J122" i="1"/>
  <c r="I122" i="1"/>
  <c r="H122" i="1"/>
  <c r="G122" i="1"/>
  <c r="E122" i="1"/>
  <c r="L121" i="1"/>
  <c r="M121" i="1" s="1" a="1"/>
  <c r="M121" i="1" s="1"/>
  <c r="J121" i="1"/>
  <c r="I121" i="1"/>
  <c r="H121" i="1"/>
  <c r="G121" i="1"/>
  <c r="E121" i="1"/>
  <c r="L120" i="1"/>
  <c r="M120" i="1" s="1" a="1"/>
  <c r="M120" i="1" s="1"/>
  <c r="J120" i="1"/>
  <c r="I120" i="1"/>
  <c r="H120" i="1"/>
  <c r="G120" i="1"/>
  <c r="F120" i="1" s="1"/>
  <c r="K120" i="1" s="1"/>
  <c r="E120" i="1"/>
  <c r="L119" i="1"/>
  <c r="M119" i="1" s="1" a="1"/>
  <c r="M119" i="1" s="1"/>
  <c r="J119" i="1"/>
  <c r="I119" i="1"/>
  <c r="H119" i="1"/>
  <c r="G119" i="1"/>
  <c r="F119" i="1"/>
  <c r="K119" i="1" s="1"/>
  <c r="E119" i="1"/>
  <c r="L118" i="1"/>
  <c r="M118" i="1" s="1" a="1"/>
  <c r="M118" i="1" s="1"/>
  <c r="J118" i="1"/>
  <c r="I118" i="1"/>
  <c r="H118" i="1"/>
  <c r="F118" i="1" s="1"/>
  <c r="K118" i="1" s="1"/>
  <c r="G118" i="1"/>
  <c r="E118" i="1"/>
  <c r="L117" i="1"/>
  <c r="M117" i="1" s="1" a="1"/>
  <c r="M117" i="1" s="1"/>
  <c r="J117" i="1"/>
  <c r="I117" i="1"/>
  <c r="H117" i="1"/>
  <c r="G117" i="1"/>
  <c r="E117" i="1"/>
  <c r="L116" i="1"/>
  <c r="M116" i="1" s="1" a="1"/>
  <c r="M116" i="1" s="1"/>
  <c r="J116" i="1"/>
  <c r="I116" i="1"/>
  <c r="H116" i="1"/>
  <c r="G116" i="1"/>
  <c r="E116" i="1"/>
  <c r="L115" i="1"/>
  <c r="M115" i="1" s="1" a="1"/>
  <c r="M115" i="1" s="1"/>
  <c r="J115" i="1"/>
  <c r="I115" i="1"/>
  <c r="H115" i="1"/>
  <c r="G115" i="1"/>
  <c r="F115" i="1" s="1"/>
  <c r="K115" i="1" s="1"/>
  <c r="E115" i="1"/>
  <c r="M114" i="1" a="1"/>
  <c r="M114" i="1" s="1"/>
  <c r="L114" i="1"/>
  <c r="J114" i="1"/>
  <c r="I114" i="1"/>
  <c r="H114" i="1"/>
  <c r="G114" i="1"/>
  <c r="F114" i="1" s="1"/>
  <c r="K114" i="1" s="1"/>
  <c r="E114" i="1"/>
  <c r="L113" i="1"/>
  <c r="M113" i="1" s="1" a="1"/>
  <c r="M113" i="1" s="1"/>
  <c r="J113" i="1"/>
  <c r="I113" i="1"/>
  <c r="H113" i="1"/>
  <c r="G113" i="1"/>
  <c r="F113" i="1"/>
  <c r="K113" i="1" s="1"/>
  <c r="E113" i="1"/>
  <c r="T112" i="1"/>
  <c r="J112" i="1"/>
  <c r="L112" i="1" s="1"/>
  <c r="M112" i="1" s="1" a="1"/>
  <c r="M112" i="1" s="1"/>
  <c r="I112" i="1"/>
  <c r="H112" i="1"/>
  <c r="G112" i="1"/>
  <c r="E112" i="1"/>
  <c r="J111" i="1"/>
  <c r="L111" i="1" s="1"/>
  <c r="M111" i="1" s="1" a="1"/>
  <c r="M111" i="1" s="1"/>
  <c r="I111" i="1"/>
  <c r="H111" i="1"/>
  <c r="G111" i="1"/>
  <c r="E111" i="1"/>
  <c r="T110" i="1"/>
  <c r="J110" i="1"/>
  <c r="L110" i="1" s="1"/>
  <c r="M110" i="1" s="1" a="1"/>
  <c r="M110" i="1" s="1"/>
  <c r="I110" i="1"/>
  <c r="H110" i="1"/>
  <c r="G110" i="1"/>
  <c r="E110" i="1"/>
  <c r="J109" i="1"/>
  <c r="L109" i="1" s="1"/>
  <c r="M109" i="1" s="1" a="1"/>
  <c r="M109" i="1" s="1"/>
  <c r="I109" i="1"/>
  <c r="H109" i="1"/>
  <c r="G109" i="1"/>
  <c r="F109" i="1"/>
  <c r="K109" i="1" s="1"/>
  <c r="E109" i="1"/>
  <c r="M108" i="1" a="1"/>
  <c r="M108" i="1" s="1"/>
  <c r="J108" i="1"/>
  <c r="L108" i="1" s="1"/>
  <c r="I108" i="1"/>
  <c r="H108" i="1"/>
  <c r="G108" i="1"/>
  <c r="E108" i="1"/>
  <c r="J107" i="1"/>
  <c r="L107" i="1" s="1"/>
  <c r="M107" i="1" s="1" a="1"/>
  <c r="M107" i="1" s="1"/>
  <c r="I107" i="1"/>
  <c r="H107" i="1"/>
  <c r="G107" i="1"/>
  <c r="E107" i="1"/>
  <c r="J106" i="1"/>
  <c r="L106" i="1" s="1"/>
  <c r="M106" i="1" s="1" a="1"/>
  <c r="M106" i="1" s="1"/>
  <c r="I106" i="1"/>
  <c r="H106" i="1"/>
  <c r="F106" i="1" s="1"/>
  <c r="K106" i="1" s="1"/>
  <c r="G106" i="1"/>
  <c r="E106" i="1"/>
  <c r="J105" i="1"/>
  <c r="L105" i="1" s="1"/>
  <c r="M105" i="1" s="1" a="1"/>
  <c r="M105" i="1" s="1"/>
  <c r="I105" i="1"/>
  <c r="H105" i="1"/>
  <c r="F105" i="1" s="1"/>
  <c r="K105" i="1" s="1"/>
  <c r="G105" i="1"/>
  <c r="E105" i="1"/>
  <c r="T104" i="1"/>
  <c r="L104" i="1"/>
  <c r="M104" i="1" s="1" a="1"/>
  <c r="M104" i="1" s="1"/>
  <c r="J104" i="1"/>
  <c r="I104" i="1"/>
  <c r="H104" i="1"/>
  <c r="G104" i="1"/>
  <c r="E104" i="1"/>
  <c r="J103" i="1"/>
  <c r="L103" i="1" s="1"/>
  <c r="M103" i="1" s="1" a="1"/>
  <c r="M103" i="1" s="1"/>
  <c r="I103" i="1"/>
  <c r="H103" i="1"/>
  <c r="G103" i="1"/>
  <c r="E103" i="1"/>
  <c r="J102" i="1"/>
  <c r="L102" i="1" s="1"/>
  <c r="M102" i="1" s="1" a="1"/>
  <c r="M102" i="1" s="1"/>
  <c r="I102" i="1"/>
  <c r="H102" i="1"/>
  <c r="G102" i="1"/>
  <c r="E102" i="1"/>
  <c r="J101" i="1"/>
  <c r="L101" i="1" s="1"/>
  <c r="M101" i="1" s="1" a="1"/>
  <c r="M101" i="1" s="1"/>
  <c r="I101" i="1"/>
  <c r="H101" i="1"/>
  <c r="G101" i="1"/>
  <c r="E101" i="1"/>
  <c r="J100" i="1"/>
  <c r="L100" i="1" s="1"/>
  <c r="M100" i="1" s="1" a="1"/>
  <c r="M100" i="1" s="1"/>
  <c r="I100" i="1"/>
  <c r="H100" i="1"/>
  <c r="G100" i="1"/>
  <c r="F100" i="1" s="1"/>
  <c r="K100" i="1" s="1"/>
  <c r="E100" i="1"/>
  <c r="T99" i="1"/>
  <c r="J99" i="1"/>
  <c r="L99" i="1" s="1"/>
  <c r="M99" i="1" s="1" a="1"/>
  <c r="M99" i="1" s="1"/>
  <c r="I99" i="1"/>
  <c r="H99" i="1"/>
  <c r="F99" i="1" s="1"/>
  <c r="K99" i="1" s="1"/>
  <c r="G99" i="1"/>
  <c r="E99" i="1"/>
  <c r="J98" i="1"/>
  <c r="L98" i="1" s="1"/>
  <c r="M98" i="1" s="1" a="1"/>
  <c r="M98" i="1" s="1"/>
  <c r="I98" i="1"/>
  <c r="H98" i="1"/>
  <c r="F98" i="1" s="1"/>
  <c r="K98" i="1" s="1"/>
  <c r="G98" i="1"/>
  <c r="E98" i="1"/>
  <c r="J97" i="1"/>
  <c r="L97" i="1" s="1"/>
  <c r="M97" i="1" s="1" a="1"/>
  <c r="M97" i="1" s="1"/>
  <c r="I97" i="1"/>
  <c r="H97" i="1"/>
  <c r="G97" i="1"/>
  <c r="F97" i="1" s="1"/>
  <c r="K97" i="1" s="1"/>
  <c r="E97" i="1"/>
  <c r="J96" i="1"/>
  <c r="L96" i="1" s="1"/>
  <c r="M96" i="1" s="1" a="1"/>
  <c r="M96" i="1" s="1"/>
  <c r="I96" i="1"/>
  <c r="H96" i="1"/>
  <c r="F96" i="1" s="1"/>
  <c r="K96" i="1" s="1"/>
  <c r="G96" i="1"/>
  <c r="E96" i="1"/>
  <c r="J95" i="1"/>
  <c r="L95" i="1" s="1"/>
  <c r="M95" i="1" s="1" a="1"/>
  <c r="M95" i="1" s="1"/>
  <c r="I95" i="1"/>
  <c r="H95" i="1"/>
  <c r="G95" i="1"/>
  <c r="F95" i="1"/>
  <c r="K95" i="1" s="1"/>
  <c r="E95" i="1"/>
  <c r="J94" i="1"/>
  <c r="L94" i="1" s="1"/>
  <c r="M94" i="1" s="1" a="1"/>
  <c r="M94" i="1" s="1"/>
  <c r="I94" i="1"/>
  <c r="H94" i="1"/>
  <c r="F94" i="1" s="1"/>
  <c r="K94" i="1" s="1"/>
  <c r="G94" i="1"/>
  <c r="E94" i="1"/>
  <c r="J93" i="1"/>
  <c r="L93" i="1" s="1"/>
  <c r="M93" i="1" s="1" a="1"/>
  <c r="M93" i="1" s="1"/>
  <c r="I93" i="1"/>
  <c r="H93" i="1"/>
  <c r="F93" i="1" s="1"/>
  <c r="K93" i="1" s="1"/>
  <c r="G93" i="1"/>
  <c r="E93" i="1"/>
  <c r="J92" i="1"/>
  <c r="L92" i="1" s="1"/>
  <c r="M92" i="1" s="1" a="1"/>
  <c r="M92" i="1" s="1"/>
  <c r="I92" i="1"/>
  <c r="H92" i="1"/>
  <c r="G92" i="1"/>
  <c r="F92" i="1" s="1"/>
  <c r="K92" i="1" s="1"/>
  <c r="E92" i="1"/>
  <c r="J91" i="1"/>
  <c r="L91" i="1" s="1"/>
  <c r="M91" i="1" s="1" a="1"/>
  <c r="M91" i="1" s="1"/>
  <c r="I91" i="1"/>
  <c r="H91" i="1"/>
  <c r="F91" i="1" s="1"/>
  <c r="K91" i="1" s="1"/>
  <c r="G91" i="1"/>
  <c r="E91" i="1"/>
  <c r="J90" i="1"/>
  <c r="L90" i="1" s="1"/>
  <c r="M90" i="1" s="1" a="1"/>
  <c r="M90" i="1" s="1"/>
  <c r="I90" i="1"/>
  <c r="H90" i="1"/>
  <c r="G90" i="1"/>
  <c r="F90" i="1"/>
  <c r="K90" i="1" s="1"/>
  <c r="E90" i="1"/>
  <c r="L89" i="1"/>
  <c r="M89" i="1" s="1" a="1"/>
  <c r="M89" i="1" s="1"/>
  <c r="J89" i="1"/>
  <c r="I89" i="1"/>
  <c r="H89" i="1"/>
  <c r="G89" i="1"/>
  <c r="E89" i="1"/>
  <c r="J88" i="1"/>
  <c r="L88" i="1" s="1"/>
  <c r="M88" i="1" s="1" a="1"/>
  <c r="M88" i="1" s="1"/>
  <c r="I88" i="1"/>
  <c r="H88" i="1"/>
  <c r="G88" i="1"/>
  <c r="E88" i="1"/>
  <c r="J87" i="1"/>
  <c r="L87" i="1" s="1"/>
  <c r="M87" i="1" s="1" a="1"/>
  <c r="M87" i="1" s="1"/>
  <c r="I87" i="1"/>
  <c r="H87" i="1"/>
  <c r="G87" i="1"/>
  <c r="E87" i="1"/>
  <c r="L86" i="1"/>
  <c r="M86" i="1" s="1" a="1"/>
  <c r="M86" i="1" s="1"/>
  <c r="J86" i="1"/>
  <c r="I86" i="1"/>
  <c r="H86" i="1"/>
  <c r="G86" i="1"/>
  <c r="E86" i="1"/>
  <c r="L85" i="1"/>
  <c r="M85" i="1" s="1" a="1"/>
  <c r="M85" i="1" s="1"/>
  <c r="J85" i="1"/>
  <c r="I85" i="1"/>
  <c r="H85" i="1"/>
  <c r="G85" i="1"/>
  <c r="F85" i="1" s="1"/>
  <c r="K85" i="1" s="1"/>
  <c r="E85" i="1"/>
  <c r="J84" i="1"/>
  <c r="L84" i="1" s="1"/>
  <c r="M84" i="1" s="1" a="1"/>
  <c r="M84" i="1" s="1"/>
  <c r="I84" i="1"/>
  <c r="H84" i="1"/>
  <c r="G84" i="1"/>
  <c r="E84" i="1"/>
  <c r="J83" i="1"/>
  <c r="L83" i="1" s="1"/>
  <c r="M83" i="1" s="1" a="1"/>
  <c r="M83" i="1" s="1"/>
  <c r="I83" i="1"/>
  <c r="H83" i="1"/>
  <c r="G83" i="1"/>
  <c r="E83" i="1"/>
  <c r="T82" i="1"/>
  <c r="J82" i="1"/>
  <c r="L82" i="1" s="1"/>
  <c r="M82" i="1" s="1" a="1"/>
  <c r="M82" i="1" s="1"/>
  <c r="I82" i="1"/>
  <c r="H82" i="1"/>
  <c r="G82" i="1"/>
  <c r="E82" i="1"/>
  <c r="T81" i="1"/>
  <c r="J81" i="1"/>
  <c r="L81" i="1" s="1"/>
  <c r="M81" i="1" s="1" a="1"/>
  <c r="M81" i="1" s="1"/>
  <c r="I81" i="1"/>
  <c r="H81" i="1"/>
  <c r="G81" i="1"/>
  <c r="E81" i="1"/>
  <c r="T80" i="1"/>
  <c r="L80" i="1"/>
  <c r="M80" i="1" s="1" a="1"/>
  <c r="M80" i="1" s="1"/>
  <c r="J80" i="1"/>
  <c r="I80" i="1"/>
  <c r="H80" i="1"/>
  <c r="G80" i="1"/>
  <c r="E80" i="1"/>
  <c r="T79" i="1"/>
  <c r="J79" i="1"/>
  <c r="L79" i="1" s="1"/>
  <c r="M79" i="1" s="1" a="1"/>
  <c r="M79" i="1" s="1"/>
  <c r="I79" i="1"/>
  <c r="H79" i="1"/>
  <c r="G79" i="1"/>
  <c r="F79" i="1" s="1"/>
  <c r="K79" i="1" s="1"/>
  <c r="E79" i="1"/>
  <c r="J78" i="1"/>
  <c r="L78" i="1" s="1"/>
  <c r="M78" i="1" s="1" a="1"/>
  <c r="M78" i="1" s="1"/>
  <c r="I78" i="1"/>
  <c r="H78" i="1"/>
  <c r="F78" i="1" s="1"/>
  <c r="K78" i="1" s="1"/>
  <c r="G78" i="1"/>
  <c r="E78" i="1"/>
  <c r="L77" i="1"/>
  <c r="M77" i="1" s="1" a="1"/>
  <c r="M77" i="1" s="1"/>
  <c r="J77" i="1"/>
  <c r="I77" i="1"/>
  <c r="H77" i="1"/>
  <c r="G77" i="1"/>
  <c r="F77" i="1" s="1"/>
  <c r="K77" i="1" s="1"/>
  <c r="E77" i="1"/>
  <c r="J76" i="1"/>
  <c r="L76" i="1" s="1"/>
  <c r="M76" i="1" s="1" a="1"/>
  <c r="M76" i="1" s="1"/>
  <c r="I76" i="1"/>
  <c r="H76" i="1"/>
  <c r="F76" i="1" s="1"/>
  <c r="K76" i="1" s="1"/>
  <c r="G76" i="1"/>
  <c r="E76" i="1"/>
  <c r="J75" i="1"/>
  <c r="L75" i="1" s="1"/>
  <c r="M75" i="1" s="1" a="1"/>
  <c r="M75" i="1" s="1"/>
  <c r="I75" i="1"/>
  <c r="H75" i="1"/>
  <c r="G75" i="1"/>
  <c r="E75" i="1"/>
  <c r="J74" i="1"/>
  <c r="L74" i="1" s="1"/>
  <c r="M74" i="1" s="1" a="1"/>
  <c r="M74" i="1" s="1"/>
  <c r="I74" i="1"/>
  <c r="H74" i="1"/>
  <c r="F74" i="1" s="1"/>
  <c r="K74" i="1" s="1"/>
  <c r="G74" i="1"/>
  <c r="E74" i="1"/>
  <c r="J73" i="1"/>
  <c r="L73" i="1" s="1"/>
  <c r="M73" i="1" s="1" a="1"/>
  <c r="M73" i="1" s="1"/>
  <c r="I73" i="1"/>
  <c r="H73" i="1"/>
  <c r="F73" i="1" s="1"/>
  <c r="K73" i="1" s="1"/>
  <c r="G73" i="1"/>
  <c r="E73" i="1"/>
  <c r="L72" i="1"/>
  <c r="M72" i="1" s="1" a="1"/>
  <c r="M72" i="1" s="1"/>
  <c r="J72" i="1"/>
  <c r="I72" i="1"/>
  <c r="F72" i="1" s="1"/>
  <c r="K72" i="1" s="1"/>
  <c r="H72" i="1"/>
  <c r="G72" i="1"/>
  <c r="E72" i="1"/>
  <c r="J71" i="1"/>
  <c r="L71" i="1" s="1"/>
  <c r="M71" i="1" s="1" a="1"/>
  <c r="M71" i="1" s="1"/>
  <c r="I71" i="1"/>
  <c r="H71" i="1"/>
  <c r="G71" i="1"/>
  <c r="E71" i="1"/>
  <c r="J70" i="1"/>
  <c r="L70" i="1" s="1"/>
  <c r="M70" i="1" s="1" a="1"/>
  <c r="M70" i="1" s="1"/>
  <c r="I70" i="1"/>
  <c r="H70" i="1"/>
  <c r="G70" i="1"/>
  <c r="E70" i="1"/>
  <c r="J69" i="1"/>
  <c r="L69" i="1" s="1"/>
  <c r="M69" i="1" s="1" a="1"/>
  <c r="M69" i="1" s="1"/>
  <c r="I69" i="1"/>
  <c r="H69" i="1"/>
  <c r="F69" i="1" s="1"/>
  <c r="K69" i="1" s="1"/>
  <c r="G69" i="1"/>
  <c r="E69" i="1"/>
  <c r="J68" i="1"/>
  <c r="L68" i="1" s="1"/>
  <c r="M68" i="1" s="1" a="1"/>
  <c r="M68" i="1" s="1"/>
  <c r="I68" i="1"/>
  <c r="H68" i="1"/>
  <c r="F68" i="1" s="1"/>
  <c r="K68" i="1" s="1"/>
  <c r="G68" i="1"/>
  <c r="E68" i="1"/>
  <c r="L67" i="1"/>
  <c r="M67" i="1" s="1" a="1"/>
  <c r="M67" i="1" s="1"/>
  <c r="J67" i="1"/>
  <c r="I67" i="1"/>
  <c r="H67" i="1"/>
  <c r="G67" i="1"/>
  <c r="E67" i="1"/>
  <c r="M66" i="1" a="1"/>
  <c r="M66" i="1" s="1"/>
  <c r="J66" i="1"/>
  <c r="L66" i="1" s="1"/>
  <c r="I66" i="1"/>
  <c r="H66" i="1"/>
  <c r="G66" i="1"/>
  <c r="E66" i="1"/>
  <c r="J65" i="1"/>
  <c r="L65" i="1" s="1"/>
  <c r="M65" i="1" s="1" a="1"/>
  <c r="M65" i="1" s="1"/>
  <c r="I65" i="1"/>
  <c r="H65" i="1"/>
  <c r="F65" i="1" s="1"/>
  <c r="K65" i="1" s="1"/>
  <c r="G65" i="1"/>
  <c r="E65" i="1"/>
  <c r="J64" i="1"/>
  <c r="L64" i="1" s="1"/>
  <c r="M64" i="1" s="1" a="1"/>
  <c r="M64" i="1" s="1"/>
  <c r="I64" i="1"/>
  <c r="H64" i="1"/>
  <c r="G64" i="1"/>
  <c r="F64" i="1" s="1"/>
  <c r="K64" i="1" s="1"/>
  <c r="E64" i="1"/>
  <c r="J63" i="1"/>
  <c r="L63" i="1" s="1"/>
  <c r="M63" i="1" s="1" a="1"/>
  <c r="M63" i="1" s="1"/>
  <c r="I63" i="1"/>
  <c r="H63" i="1"/>
  <c r="F63" i="1" s="1"/>
  <c r="K63" i="1" s="1"/>
  <c r="G63" i="1"/>
  <c r="E63" i="1"/>
  <c r="L62" i="1"/>
  <c r="M62" i="1" s="1" a="1"/>
  <c r="M62" i="1" s="1"/>
  <c r="J62" i="1"/>
  <c r="I62" i="1"/>
  <c r="H62" i="1"/>
  <c r="G62" i="1"/>
  <c r="E62" i="1"/>
  <c r="J61" i="1"/>
  <c r="L61" i="1" s="1"/>
  <c r="M61" i="1" s="1" a="1"/>
  <c r="M61" i="1" s="1"/>
  <c r="I61" i="1"/>
  <c r="H61" i="1"/>
  <c r="G61" i="1"/>
  <c r="E61" i="1"/>
  <c r="T60" i="1"/>
  <c r="J60" i="1"/>
  <c r="L60" i="1" s="1"/>
  <c r="M60" i="1" s="1" a="1"/>
  <c r="M60" i="1" s="1"/>
  <c r="I60" i="1"/>
  <c r="H60" i="1"/>
  <c r="G60" i="1"/>
  <c r="E60" i="1"/>
  <c r="L59" i="1"/>
  <c r="M59" i="1" s="1" a="1"/>
  <c r="M59" i="1" s="1"/>
  <c r="J59" i="1"/>
  <c r="I59" i="1"/>
  <c r="H59" i="1"/>
  <c r="G59" i="1"/>
  <c r="E59" i="1"/>
  <c r="J58" i="1"/>
  <c r="L58" i="1" s="1"/>
  <c r="M58" i="1" s="1" a="1"/>
  <c r="M58" i="1" s="1"/>
  <c r="I58" i="1"/>
  <c r="H58" i="1"/>
  <c r="G58" i="1"/>
  <c r="F58" i="1" s="1"/>
  <c r="K58" i="1" s="1"/>
  <c r="E58" i="1"/>
  <c r="T57" i="1"/>
  <c r="J57" i="1"/>
  <c r="L57" i="1" s="1"/>
  <c r="M57" i="1" s="1" a="1"/>
  <c r="M57" i="1" s="1"/>
  <c r="I57" i="1"/>
  <c r="H57" i="1"/>
  <c r="F57" i="1" s="1"/>
  <c r="K57" i="1" s="1"/>
  <c r="G57" i="1"/>
  <c r="E57" i="1"/>
  <c r="J56" i="1"/>
  <c r="L56" i="1" s="1"/>
  <c r="M56" i="1" s="1" a="1"/>
  <c r="M56" i="1" s="1"/>
  <c r="I56" i="1"/>
  <c r="H56" i="1"/>
  <c r="G56" i="1"/>
  <c r="E56" i="1"/>
  <c r="L55" i="1"/>
  <c r="M55" i="1" s="1" a="1"/>
  <c r="M55" i="1" s="1"/>
  <c r="J55" i="1"/>
  <c r="I55" i="1"/>
  <c r="H55" i="1"/>
  <c r="G55" i="1"/>
  <c r="F55" i="1" s="1"/>
  <c r="K55" i="1" s="1"/>
  <c r="E55" i="1"/>
  <c r="J54" i="1"/>
  <c r="L54" i="1" s="1"/>
  <c r="M54" i="1" s="1" a="1"/>
  <c r="M54" i="1" s="1"/>
  <c r="I54" i="1"/>
  <c r="H54" i="1"/>
  <c r="G54" i="1"/>
  <c r="F54" i="1"/>
  <c r="K54" i="1" s="1"/>
  <c r="E54" i="1"/>
  <c r="L53" i="1"/>
  <c r="M53" i="1" s="1" a="1"/>
  <c r="M53" i="1" s="1"/>
  <c r="J53" i="1"/>
  <c r="I53" i="1"/>
  <c r="H53" i="1"/>
  <c r="G53" i="1"/>
  <c r="E53" i="1"/>
  <c r="J52" i="1"/>
  <c r="L52" i="1" s="1"/>
  <c r="M52" i="1" s="1" a="1"/>
  <c r="M52" i="1" s="1"/>
  <c r="I52" i="1"/>
  <c r="H52" i="1"/>
  <c r="F52" i="1" s="1"/>
  <c r="K52" i="1" s="1"/>
  <c r="G52" i="1"/>
  <c r="E52" i="1"/>
  <c r="J51" i="1"/>
  <c r="L51" i="1" s="1"/>
  <c r="M51" i="1" s="1" a="1"/>
  <c r="M51" i="1" s="1"/>
  <c r="I51" i="1"/>
  <c r="H51" i="1"/>
  <c r="G51" i="1"/>
  <c r="E51" i="1"/>
  <c r="L50" i="1"/>
  <c r="M50" i="1" s="1" a="1"/>
  <c r="M50" i="1" s="1"/>
  <c r="J50" i="1"/>
  <c r="I50" i="1"/>
  <c r="H50" i="1"/>
  <c r="F50" i="1" s="1"/>
  <c r="K50" i="1" s="1"/>
  <c r="G50" i="1"/>
  <c r="E50" i="1"/>
  <c r="L49" i="1"/>
  <c r="M49" i="1" s="1" a="1"/>
  <c r="M49" i="1" s="1"/>
  <c r="J49" i="1"/>
  <c r="I49" i="1"/>
  <c r="H49" i="1"/>
  <c r="G49" i="1"/>
  <c r="E49" i="1"/>
  <c r="L48" i="1"/>
  <c r="M48" i="1" s="1" a="1"/>
  <c r="M48" i="1" s="1"/>
  <c r="J48" i="1"/>
  <c r="I48" i="1"/>
  <c r="H48" i="1"/>
  <c r="G48" i="1"/>
  <c r="E48" i="1"/>
  <c r="L47" i="1"/>
  <c r="M47" i="1" s="1" a="1"/>
  <c r="M47" i="1" s="1"/>
  <c r="J47" i="1"/>
  <c r="I47" i="1"/>
  <c r="H47" i="1"/>
  <c r="G47" i="1"/>
  <c r="E47" i="1"/>
  <c r="L46" i="1"/>
  <c r="M46" i="1" s="1" a="1"/>
  <c r="M46" i="1" s="1"/>
  <c r="J46" i="1"/>
  <c r="I46" i="1"/>
  <c r="H46" i="1"/>
  <c r="G46" i="1"/>
  <c r="F46" i="1" s="1"/>
  <c r="K46" i="1" s="1"/>
  <c r="E46" i="1"/>
  <c r="M45" i="1" a="1"/>
  <c r="M45" i="1" s="1"/>
  <c r="L45" i="1"/>
  <c r="J45" i="1"/>
  <c r="I45" i="1"/>
  <c r="H45" i="1"/>
  <c r="G45" i="1"/>
  <c r="F45" i="1"/>
  <c r="K45" i="1" s="1"/>
  <c r="E45" i="1"/>
  <c r="L44" i="1"/>
  <c r="M44" i="1" s="1" a="1"/>
  <c r="M44" i="1" s="1"/>
  <c r="J44" i="1"/>
  <c r="I44" i="1"/>
  <c r="H44" i="1"/>
  <c r="G44" i="1"/>
  <c r="F44" i="1" s="1"/>
  <c r="K44" i="1" s="1"/>
  <c r="E44" i="1"/>
  <c r="J43" i="1"/>
  <c r="L43" i="1" s="1"/>
  <c r="M43" i="1" s="1" a="1"/>
  <c r="M43" i="1" s="1"/>
  <c r="I43" i="1"/>
  <c r="H43" i="1"/>
  <c r="G43" i="1"/>
  <c r="E43" i="1"/>
  <c r="J42" i="1"/>
  <c r="L42" i="1" s="1"/>
  <c r="M42" i="1" s="1" a="1"/>
  <c r="M42" i="1" s="1"/>
  <c r="I42" i="1"/>
  <c r="H42" i="1"/>
  <c r="G42" i="1"/>
  <c r="E42" i="1"/>
  <c r="L41" i="1"/>
  <c r="M41" i="1" s="1" a="1"/>
  <c r="M41" i="1" s="1"/>
  <c r="J41" i="1"/>
  <c r="I41" i="1"/>
  <c r="H41" i="1"/>
  <c r="G41" i="1"/>
  <c r="E41" i="1"/>
  <c r="L40" i="1"/>
  <c r="M40" i="1" s="1" a="1"/>
  <c r="M40" i="1" s="1"/>
  <c r="J40" i="1"/>
  <c r="I40" i="1"/>
  <c r="H40" i="1"/>
  <c r="G40" i="1"/>
  <c r="E40" i="1"/>
  <c r="J39" i="1"/>
  <c r="L39" i="1" s="1"/>
  <c r="M39" i="1" s="1" a="1"/>
  <c r="M39" i="1" s="1"/>
  <c r="I39" i="1"/>
  <c r="H39" i="1"/>
  <c r="G39" i="1"/>
  <c r="E39" i="1"/>
  <c r="J38" i="1"/>
  <c r="L38" i="1" s="1"/>
  <c r="M38" i="1" s="1" a="1"/>
  <c r="M38" i="1" s="1"/>
  <c r="I38" i="1"/>
  <c r="H38" i="1"/>
  <c r="G38" i="1"/>
  <c r="E38" i="1"/>
  <c r="J37" i="1"/>
  <c r="L37" i="1" s="1"/>
  <c r="M37" i="1" s="1" a="1"/>
  <c r="M37" i="1" s="1"/>
  <c r="I37" i="1"/>
  <c r="H37" i="1"/>
  <c r="F37" i="1" s="1"/>
  <c r="K37" i="1" s="1"/>
  <c r="G37" i="1"/>
  <c r="E37" i="1"/>
  <c r="L36" i="1"/>
  <c r="M36" i="1" s="1" a="1"/>
  <c r="M36" i="1" s="1"/>
  <c r="J36" i="1"/>
  <c r="I36" i="1"/>
  <c r="H36" i="1"/>
  <c r="G36" i="1"/>
  <c r="F36" i="1" s="1"/>
  <c r="K36" i="1" s="1"/>
  <c r="E36" i="1"/>
  <c r="J35" i="1"/>
  <c r="L35" i="1" s="1"/>
  <c r="M35" i="1" s="1" a="1"/>
  <c r="M35" i="1" s="1"/>
  <c r="I35" i="1"/>
  <c r="H35" i="1"/>
  <c r="G35" i="1"/>
  <c r="F35" i="1"/>
  <c r="K35" i="1" s="1"/>
  <c r="E35" i="1"/>
  <c r="L34" i="1"/>
  <c r="M34" i="1" s="1" a="1"/>
  <c r="M34" i="1" s="1"/>
  <c r="J34" i="1"/>
  <c r="I34" i="1"/>
  <c r="H34" i="1"/>
  <c r="G34" i="1"/>
  <c r="F34" i="1" s="1"/>
  <c r="K34" i="1" s="1"/>
  <c r="E34" i="1"/>
  <c r="L33" i="1"/>
  <c r="M33" i="1" s="1" a="1"/>
  <c r="M33" i="1" s="1"/>
  <c r="J33" i="1"/>
  <c r="I33" i="1"/>
  <c r="H33" i="1"/>
  <c r="G33" i="1"/>
  <c r="E33" i="1"/>
  <c r="J32" i="1"/>
  <c r="L32" i="1" s="1"/>
  <c r="M32" i="1" s="1" a="1"/>
  <c r="M32" i="1" s="1"/>
  <c r="I32" i="1"/>
  <c r="H32" i="1"/>
  <c r="F32" i="1" s="1"/>
  <c r="K32" i="1" s="1"/>
  <c r="G32" i="1"/>
  <c r="E32" i="1"/>
  <c r="J31" i="1"/>
  <c r="L31" i="1" s="1"/>
  <c r="M31" i="1" s="1" a="1"/>
  <c r="M31" i="1" s="1"/>
  <c r="I31" i="1"/>
  <c r="H31" i="1"/>
  <c r="G31" i="1"/>
  <c r="E31" i="1"/>
  <c r="L30" i="1"/>
  <c r="M30" i="1" s="1" a="1"/>
  <c r="M30" i="1" s="1"/>
  <c r="J30" i="1"/>
  <c r="I30" i="1"/>
  <c r="H30" i="1"/>
  <c r="G30" i="1"/>
  <c r="E30" i="1"/>
  <c r="J29" i="1"/>
  <c r="L29" i="1" s="1"/>
  <c r="M29" i="1" s="1" a="1"/>
  <c r="M29" i="1" s="1"/>
  <c r="I29" i="1"/>
  <c r="H29" i="1"/>
  <c r="G29" i="1"/>
  <c r="E29" i="1"/>
  <c r="T28" i="1"/>
  <c r="J28" i="1"/>
  <c r="L28" i="1" s="1"/>
  <c r="M28" i="1" s="1" a="1"/>
  <c r="M28" i="1" s="1"/>
  <c r="I28" i="1"/>
  <c r="H28" i="1"/>
  <c r="G28" i="1"/>
  <c r="E28" i="1"/>
  <c r="J27" i="1"/>
  <c r="L27" i="1" s="1"/>
  <c r="M27" i="1" s="1" a="1"/>
  <c r="M27" i="1" s="1"/>
  <c r="I27" i="1"/>
  <c r="H27" i="1"/>
  <c r="G27" i="1"/>
  <c r="F27" i="1" s="1"/>
  <c r="K27" i="1" s="1"/>
  <c r="E27" i="1"/>
  <c r="J26" i="1"/>
  <c r="L26" i="1" s="1"/>
  <c r="M26" i="1" s="1" a="1"/>
  <c r="M26" i="1" s="1"/>
  <c r="I26" i="1"/>
  <c r="H26" i="1"/>
  <c r="G26" i="1"/>
  <c r="F26" i="1"/>
  <c r="K26" i="1" s="1"/>
  <c r="E26" i="1"/>
  <c r="T25" i="1"/>
  <c r="J25" i="1"/>
  <c r="L25" i="1" s="1"/>
  <c r="M25" i="1" s="1" a="1"/>
  <c r="M25" i="1" s="1"/>
  <c r="I25" i="1"/>
  <c r="H25" i="1"/>
  <c r="G25" i="1"/>
  <c r="F25" i="1" s="1"/>
  <c r="K25" i="1" s="1"/>
  <c r="E25" i="1"/>
  <c r="J24" i="1"/>
  <c r="L24" i="1" s="1"/>
  <c r="M24" i="1" s="1" a="1"/>
  <c r="M24" i="1" s="1"/>
  <c r="I24" i="1"/>
  <c r="F24" i="1" s="1"/>
  <c r="K24" i="1" s="1"/>
  <c r="H24" i="1"/>
  <c r="G24" i="1"/>
  <c r="E24" i="1"/>
  <c r="J23" i="1"/>
  <c r="L23" i="1" s="1"/>
  <c r="M23" i="1" s="1" a="1"/>
  <c r="M23" i="1" s="1"/>
  <c r="I23" i="1"/>
  <c r="H23" i="1"/>
  <c r="G23" i="1"/>
  <c r="F23" i="1"/>
  <c r="K23" i="1" s="1"/>
  <c r="E23" i="1"/>
  <c r="J22" i="1"/>
  <c r="L22" i="1" s="1"/>
  <c r="M22" i="1" s="1" a="1"/>
  <c r="M22" i="1" s="1"/>
  <c r="I22" i="1"/>
  <c r="H22" i="1"/>
  <c r="G22" i="1"/>
  <c r="F22" i="1"/>
  <c r="K22" i="1" s="1"/>
  <c r="E22" i="1"/>
  <c r="J21" i="1"/>
  <c r="L21" i="1" s="1"/>
  <c r="M21" i="1" s="1" a="1"/>
  <c r="M21" i="1" s="1"/>
  <c r="I21" i="1"/>
  <c r="H21" i="1"/>
  <c r="G21" i="1"/>
  <c r="E21" i="1"/>
  <c r="J20" i="1"/>
  <c r="L20" i="1" s="1"/>
  <c r="M20" i="1" s="1" a="1"/>
  <c r="M20" i="1" s="1"/>
  <c r="I20" i="1"/>
  <c r="H20" i="1"/>
  <c r="G20" i="1"/>
  <c r="F20" i="1" s="1"/>
  <c r="K20" i="1" s="1"/>
  <c r="E20" i="1"/>
  <c r="T19" i="1"/>
  <c r="J19" i="1"/>
  <c r="L19" i="1" s="1"/>
  <c r="M19" i="1" s="1" a="1"/>
  <c r="M19" i="1" s="1"/>
  <c r="I19" i="1"/>
  <c r="H19" i="1"/>
  <c r="G19" i="1"/>
  <c r="E19" i="1"/>
  <c r="L18" i="1"/>
  <c r="M18" i="1" s="1" a="1"/>
  <c r="M18" i="1" s="1"/>
  <c r="J18" i="1"/>
  <c r="I18" i="1"/>
  <c r="H18" i="1"/>
  <c r="G18" i="1"/>
  <c r="E18" i="1"/>
  <c r="J17" i="1"/>
  <c r="L17" i="1" s="1"/>
  <c r="M17" i="1" s="1" a="1"/>
  <c r="M17" i="1" s="1"/>
  <c r="I17" i="1"/>
  <c r="H17" i="1"/>
  <c r="G17" i="1"/>
  <c r="E17" i="1"/>
  <c r="J16" i="1"/>
  <c r="L16" i="1" s="1"/>
  <c r="M16" i="1" s="1" a="1"/>
  <c r="M16" i="1" s="1"/>
  <c r="I16" i="1"/>
  <c r="H16" i="1"/>
  <c r="G16" i="1"/>
  <c r="E16" i="1"/>
  <c r="J15" i="1"/>
  <c r="L15" i="1" s="1"/>
  <c r="M15" i="1" s="1" a="1"/>
  <c r="M15" i="1" s="1"/>
  <c r="I15" i="1"/>
  <c r="H15" i="1"/>
  <c r="G15" i="1"/>
  <c r="E15" i="1"/>
  <c r="L14" i="1"/>
  <c r="M14" i="1" s="1" a="1"/>
  <c r="M14" i="1" s="1"/>
  <c r="J14" i="1"/>
  <c r="I14" i="1"/>
  <c r="H14" i="1"/>
  <c r="G14" i="1"/>
  <c r="F14" i="1" s="1"/>
  <c r="K14" i="1" s="1"/>
  <c r="E14" i="1"/>
  <c r="L13" i="1"/>
  <c r="M13" i="1" s="1" a="1"/>
  <c r="M13" i="1" s="1"/>
  <c r="J13" i="1"/>
  <c r="I13" i="1"/>
  <c r="H13" i="1"/>
  <c r="G13" i="1"/>
  <c r="F13" i="1" s="1"/>
  <c r="K13" i="1" s="1"/>
  <c r="E13" i="1"/>
  <c r="L12" i="1"/>
  <c r="M12" i="1" s="1" a="1"/>
  <c r="M12" i="1" s="1"/>
  <c r="J12" i="1"/>
  <c r="I12" i="1"/>
  <c r="H12" i="1"/>
  <c r="G12" i="1"/>
  <c r="F12" i="1" s="1"/>
  <c r="K12" i="1" s="1"/>
  <c r="E12" i="1"/>
  <c r="L11" i="1"/>
  <c r="M11" i="1" s="1" a="1"/>
  <c r="M11" i="1" s="1"/>
  <c r="J11" i="1"/>
  <c r="I11" i="1"/>
  <c r="H11" i="1"/>
  <c r="G11" i="1"/>
  <c r="F11" i="1" s="1"/>
  <c r="K11" i="1" s="1"/>
  <c r="E11" i="1"/>
  <c r="J10" i="1"/>
  <c r="L10" i="1" s="1"/>
  <c r="M10" i="1" s="1" a="1"/>
  <c r="M10" i="1" s="1"/>
  <c r="I10" i="1"/>
  <c r="H10" i="1"/>
  <c r="G10" i="1"/>
  <c r="E10" i="1"/>
  <c r="J9" i="1"/>
  <c r="L9" i="1" s="1"/>
  <c r="M9" i="1" s="1" a="1"/>
  <c r="M9" i="1" s="1"/>
  <c r="I9" i="1"/>
  <c r="H9" i="1"/>
  <c r="G9" i="1"/>
  <c r="E9" i="1"/>
  <c r="J8" i="1"/>
  <c r="L8" i="1" s="1"/>
  <c r="M8" i="1" s="1" a="1"/>
  <c r="M8" i="1" s="1"/>
  <c r="I8" i="1"/>
  <c r="H8" i="1"/>
  <c r="G8" i="1"/>
  <c r="E8" i="1"/>
  <c r="J7" i="1"/>
  <c r="L7" i="1" s="1"/>
  <c r="M7" i="1" s="1" a="1"/>
  <c r="M7" i="1" s="1"/>
  <c r="I7" i="1"/>
  <c r="H7" i="1"/>
  <c r="G7" i="1"/>
  <c r="E7" i="1"/>
  <c r="J6" i="1"/>
  <c r="L6" i="1" s="1"/>
  <c r="M6" i="1" s="1" a="1"/>
  <c r="M6" i="1" s="1"/>
  <c r="I6" i="1"/>
  <c r="H6" i="1"/>
  <c r="G6" i="1"/>
  <c r="E6" i="1"/>
  <c r="J5" i="1"/>
  <c r="L5" i="1" s="1"/>
  <c r="M5" i="1" s="1" a="1"/>
  <c r="M5" i="1" s="1"/>
  <c r="I5" i="1"/>
  <c r="H5" i="1"/>
  <c r="G5" i="1"/>
  <c r="E5" i="1"/>
  <c r="J4" i="1"/>
  <c r="L4" i="1" s="1"/>
  <c r="M4" i="1" s="1" a="1"/>
  <c r="M4" i="1" s="1"/>
  <c r="I4" i="1"/>
  <c r="H4" i="1"/>
  <c r="G4" i="1"/>
  <c r="E4" i="1"/>
  <c r="J3" i="1"/>
  <c r="L3" i="1" s="1"/>
  <c r="M3" i="1" s="1" a="1"/>
  <c r="M3" i="1" s="1"/>
  <c r="I3" i="1"/>
  <c r="H3" i="1"/>
  <c r="G3" i="1"/>
  <c r="F3" i="1" s="1"/>
  <c r="K3" i="1" s="1"/>
  <c r="E3" i="1"/>
  <c r="J2" i="1"/>
  <c r="L2" i="1" s="1"/>
  <c r="M2" i="1" s="1" a="1"/>
  <c r="M2" i="1" s="1"/>
  <c r="I2" i="1"/>
  <c r="H2" i="1"/>
  <c r="G2" i="1"/>
  <c r="E2" i="1"/>
  <c r="F33" i="1" l="1"/>
  <c r="K33" i="1" s="1"/>
  <c r="F2" i="1"/>
  <c r="K2" i="1" s="1"/>
  <c r="F4" i="1"/>
  <c r="K4" i="1" s="1"/>
  <c r="F6" i="1"/>
  <c r="K6" i="1" s="1"/>
  <c r="F8" i="1"/>
  <c r="K8" i="1" s="1"/>
  <c r="F10" i="1"/>
  <c r="K10" i="1" s="1"/>
  <c r="F19" i="1"/>
  <c r="K19" i="1" s="1"/>
  <c r="F39" i="1"/>
  <c r="K39" i="1" s="1"/>
  <c r="F47" i="1"/>
  <c r="K47" i="1" s="1"/>
  <c r="F75" i="1"/>
  <c r="K75" i="1" s="1"/>
  <c r="F81" i="1"/>
  <c r="K81" i="1" s="1"/>
  <c r="F84" i="1"/>
  <c r="K84" i="1" s="1"/>
  <c r="F89" i="1"/>
  <c r="K89" i="1" s="1"/>
  <c r="F111" i="1"/>
  <c r="K111" i="1" s="1"/>
  <c r="F133" i="1"/>
  <c r="K133" i="1" s="1"/>
  <c r="F80" i="1"/>
  <c r="K80" i="1" s="1"/>
  <c r="F121" i="1"/>
  <c r="K121" i="1" s="1"/>
  <c r="F21" i="1"/>
  <c r="K21" i="1" s="1"/>
  <c r="F49" i="1"/>
  <c r="K49" i="1" s="1"/>
  <c r="F60" i="1"/>
  <c r="K60" i="1" s="1"/>
  <c r="F70" i="1"/>
  <c r="K70" i="1" s="1"/>
  <c r="F86" i="1"/>
  <c r="K86" i="1" s="1"/>
  <c r="F103" i="1"/>
  <c r="K103" i="1" s="1"/>
  <c r="F108" i="1"/>
  <c r="K108" i="1" s="1"/>
  <c r="F117" i="1"/>
  <c r="K117" i="1" s="1"/>
  <c r="F16" i="1"/>
  <c r="K16" i="1" s="1"/>
  <c r="F18" i="1"/>
  <c r="K18" i="1" s="1"/>
  <c r="F30" i="1"/>
  <c r="K30" i="1" s="1"/>
  <c r="F43" i="1"/>
  <c r="K43" i="1" s="1"/>
  <c r="F59" i="1"/>
  <c r="K59" i="1" s="1"/>
  <c r="F83" i="1"/>
  <c r="K83" i="1" s="1"/>
  <c r="F88" i="1"/>
  <c r="K88" i="1" s="1"/>
  <c r="F128" i="1"/>
  <c r="K128" i="1" s="1"/>
  <c r="F136" i="1"/>
  <c r="K136" i="1" s="1"/>
  <c r="F62" i="1"/>
  <c r="K62" i="1" s="1"/>
  <c r="F110" i="1"/>
  <c r="K110" i="1" s="1"/>
  <c r="F116" i="1"/>
  <c r="K116" i="1" s="1"/>
  <c r="F138" i="1"/>
  <c r="K138" i="1" s="1"/>
  <c r="F67" i="1"/>
  <c r="K67" i="1" s="1"/>
  <c r="F40" i="1"/>
  <c r="K40" i="1" s="1"/>
  <c r="F48" i="1"/>
  <c r="K48" i="1" s="1"/>
  <c r="F56" i="1"/>
  <c r="K56" i="1" s="1"/>
  <c r="F38" i="1"/>
  <c r="K38" i="1" s="1"/>
  <c r="F53" i="1"/>
  <c r="K53" i="1" s="1"/>
  <c r="F87" i="1"/>
  <c r="K87" i="1" s="1"/>
  <c r="F107" i="1"/>
  <c r="K107" i="1" s="1"/>
  <c r="F29" i="1"/>
  <c r="K29" i="1" s="1"/>
  <c r="F42" i="1"/>
  <c r="K42" i="1" s="1"/>
  <c r="F122" i="1"/>
  <c r="K122" i="1" s="1"/>
  <c r="F31" i="1"/>
  <c r="K31" i="1" s="1"/>
  <c r="F137" i="1"/>
  <c r="K137" i="1" s="1"/>
  <c r="F28" i="1"/>
  <c r="K28" i="1" s="1"/>
  <c r="F5" i="1"/>
  <c r="K5" i="1" s="1"/>
  <c r="F15" i="1"/>
  <c r="K15" i="1" s="1"/>
  <c r="F17" i="1"/>
  <c r="K17" i="1" s="1"/>
  <c r="F41" i="1"/>
  <c r="K41" i="1" s="1"/>
  <c r="F51" i="1"/>
  <c r="K51" i="1" s="1"/>
  <c r="F61" i="1"/>
  <c r="K61" i="1" s="1"/>
  <c r="F71" i="1"/>
  <c r="K71" i="1" s="1"/>
  <c r="F7" i="1"/>
  <c r="K7" i="1" s="1"/>
  <c r="F9" i="1"/>
  <c r="K9" i="1" s="1"/>
  <c r="F66" i="1"/>
  <c r="K66" i="1" s="1"/>
  <c r="F101" i="1"/>
  <c r="K101" i="1" s="1"/>
  <c r="F102" i="1"/>
  <c r="K102" i="1" s="1"/>
  <c r="F112" i="1"/>
  <c r="K112" i="1" s="1"/>
  <c r="F82" i="1"/>
  <c r="K82" i="1" s="1"/>
  <c r="F104" i="1"/>
  <c r="K104" i="1" s="1"/>
</calcChain>
</file>

<file path=xl/sharedStrings.xml><?xml version="1.0" encoding="utf-8"?>
<sst xmlns="http://schemas.openxmlformats.org/spreadsheetml/2006/main" count="1801" uniqueCount="738">
  <si>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</si>
  <si>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</si>
  <si>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</si>
  <si>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</si>
  <si>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</si>
  <si>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</si>
  <si>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</si>
  <si>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</si>
  <si>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</si>
  <si>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</si>
  <si>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</si>
  <si>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</si>
  <si>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</si>
  <si>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</si>
  <si>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</si>
  <si>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</si>
  <si>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</si>
  <si>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</si>
  <si>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</si>
  <si>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</si>
  <si>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</si>
  <si>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</si>
  <si>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</si>
  <si>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</si>
  <si>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</si>
  <si>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</si>
  <si>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</si>
  <si>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Sample type</t>
  </si>
  <si>
    <t>Method</t>
  </si>
  <si>
    <t>Collection</t>
  </si>
  <si>
    <t>Possible Traits</t>
  </si>
  <si>
    <t>Note</t>
  </si>
  <si>
    <t>Subcategory</t>
  </si>
  <si>
    <t>Flags pre-addressed</t>
  </si>
  <si>
    <t>Flags possible</t>
  </si>
  <si>
    <t>Flags active (skips)</t>
  </si>
  <si>
    <t>Taxon group</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</si>
  <si>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</si>
  <si>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</si>
  <si>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</si>
  <si>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</si>
  <si>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</si>
  <si>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</si>
  <si>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</si>
  <si>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</si>
  <si>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</si>
  <si>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</si>
  <si>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</si>
  <si>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</si>
  <si>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</si>
  <si>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</si>
  <si>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</si>
  <si>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</si>
  <si>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</si>
  <si>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</si>
  <si>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</si>
  <si>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</si>
  <si>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neuron number</t>
  </si>
  <si>
    <t>primary</t>
  </si>
  <si>
    <t>HH</t>
  </si>
  <si>
    <t>isotropic fractionator</t>
  </si>
  <si>
    <t>placental mammals</t>
  </si>
  <si>
    <t>Cetaceans &amp; other placental mammals</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</si>
  <si>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</si>
  <si>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</si>
  <si>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</si>
  <si>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</si>
  <si>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</si>
  <si>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histological sections</t>
  </si>
  <si>
    <t>Zilles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</si>
  <si>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</si>
  <si>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</si>
  <si>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</si>
  <si>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amygdala neuron populations</t>
  </si>
  <si>
    <t>cell count (amygdala)</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</si>
  <si>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</si>
  <si>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</si>
  <si>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</si>
  <si>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</si>
  <si>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</si>
  <si>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</si>
  <si>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vestibular nuclear complex volume</t>
  </si>
  <si>
    <t>Stephan</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</si>
  <si>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</si>
  <si>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</si>
  <si>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</si>
  <si>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</si>
  <si>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</si>
  <si>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</si>
  <si>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</si>
  <si>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</si>
  <si>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</si>
  <si>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</si>
  <si>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</si>
  <si>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</si>
  <si>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</si>
  <si>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</si>
  <si>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</si>
  <si>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</si>
  <si>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</si>
  <si>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</si>
  <si>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</si>
  <si>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</si>
  <si>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</si>
  <si>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</si>
  <si>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</si>
  <si>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</si>
  <si>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</si>
  <si>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</si>
  <si>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</si>
  <si>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</si>
  <si>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</si>
  <si>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</si>
  <si>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</si>
  <si>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</si>
  <si>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</si>
  <si>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</si>
  <si>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</si>
  <si>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</si>
  <si>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</si>
  <si>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Mammals</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</si>
  <si>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</si>
  <si>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</si>
  <si>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</si>
  <si>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</si>
  <si>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</si>
  <si>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</si>
  <si>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</si>
  <si>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</si>
  <si>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</si>
  <si>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Primates (+ other mammals)</t>
  </si>
  <si>
    <t>Table 1. Cellular composition of the spinal cord</t>
  </si>
  <si>
    <t>Burish_etal_2010_Table1_snapshot.csv</t>
  </si>
  <si>
    <t>Burish_etal_2010_Table1.csv</t>
  </si>
  <si>
    <t>https://doi.org/10.1159/000319019</t>
  </si>
  <si>
    <t>primary (averages)</t>
  </si>
  <si>
    <t>species-name-error: species-name typo corrected from paper text (in .R script).</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</si>
  <si>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</si>
  <si>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</si>
  <si>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</si>
  <si>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</si>
  <si>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</si>
  <si>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</si>
  <si>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</si>
  <si>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</si>
  <si>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</si>
  <si>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neocortex &amp; cerebellum grey/white volumes</t>
  </si>
  <si>
    <t>Allman</t>
  </si>
  <si>
    <t>AFIP</t>
  </si>
  <si>
    <t>mammals (incl. primates)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</si>
  <si>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</si>
  <si>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</si>
  <si>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</si>
  <si>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</si>
  <si>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</si>
  <si>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V1 grey, LGN, V1 surface, neocortex GM/WM</t>
  </si>
  <si>
    <t>volumetry/stereology</t>
  </si>
  <si>
    <t>primates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</si>
  <si>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</si>
  <si>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</si>
  <si>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</si>
  <si>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</si>
  <si>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</si>
  <si>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</si>
  <si>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</si>
  <si>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</si>
  <si>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</si>
  <si>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</si>
  <si>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</si>
  <si>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</si>
  <si>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</si>
  <si>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</si>
  <si>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</si>
  <si>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</si>
  <si>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</si>
  <si>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</si>
  <si>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</si>
  <si>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</si>
  <si>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</si>
  <si>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</si>
  <si>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</si>
  <si>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</si>
  <si>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</si>
  <si>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</si>
  <si>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</si>
  <si>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</si>
  <si>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</si>
  <si>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</si>
  <si>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</si>
  <si>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</si>
  <si>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</si>
  <si>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</si>
  <si>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</si>
  <si>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</si>
  <si>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</si>
  <si>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</si>
  <si>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</si>
  <si>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</si>
  <si>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</si>
  <si>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</si>
  <si>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</si>
  <si>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</si>
  <si>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</si>
  <si>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Table1</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</si>
  <si>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</si>
  <si>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</si>
  <si>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</si>
  <si>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</si>
  <si>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</si>
  <si>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</si>
  <si>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</si>
  <si>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LGN volume + parvocellular lamination + brain weight</t>
  </si>
  <si>
    <t>Stephan,Zilles</t>
  </si>
  <si>
    <t>Stephan, Zilles, AFIP, Sherwood, Hof</t>
  </si>
  <si>
    <t>catarrhine primates</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</si>
  <si>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</si>
  <si>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</si>
  <si>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</si>
  <si>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</si>
  <si>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</si>
  <si>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</si>
  <si>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</si>
  <si>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</si>
  <si>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</si>
  <si>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brain, neocortex, V1 (area striata), LGN mean volumes</t>
  </si>
  <si>
    <t>Online supplementary Table 2 (file 1-s2.0-S0047248410000023-mmc2.doc). Snapshot reproduces the published table verbatim incl. the error; cleaned CSV corrects it. See deSousa_etal_2010.ReadMe.md.</t>
  </si>
  <si>
    <t>value error (transcription) + species-name errors</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</si>
  <si>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</si>
  <si>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</si>
  <si>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Hominoid visual brain structure volumes (Table 1)</t>
  </si>
  <si>
    <t>visual brain structure volumes</t>
  </si>
  <si>
    <t>histological sections &amp; MRI</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</si>
  <si>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</si>
  <si>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</si>
  <si>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</si>
  <si>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</si>
  <si>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</si>
  <si>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</si>
  <si>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</si>
  <si>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</si>
  <si>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</si>
  <si>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</si>
  <si>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</si>
  <si>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</si>
  <si>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</si>
  <si>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</si>
  <si>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</si>
  <si>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</si>
  <si>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</si>
  <si>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</si>
  <si>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</si>
  <si>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</si>
  <si>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</si>
  <si>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Cell numbers, region size</t>
  </si>
  <si>
    <t>primary; secondary (compiled team data)</t>
  </si>
  <si>
    <t>microglia</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</si>
  <si>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</si>
  <si>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</si>
  <si>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</si>
  <si>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</si>
  <si>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</si>
  <si>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</si>
  <si>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</si>
  <si>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</si>
  <si>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</si>
  <si>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</si>
  <si>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</si>
  <si>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</si>
  <si>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</si>
  <si>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</si>
  <si>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</si>
  <si>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marsupials</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</si>
  <si>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</si>
  <si>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</si>
  <si>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</si>
  <si>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</si>
  <si>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</si>
  <si>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</si>
  <si>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</si>
  <si>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</si>
  <si>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</si>
  <si>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</si>
  <si>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</si>
  <si>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</si>
  <si>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</si>
  <si>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</si>
  <si>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</si>
  <si>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</si>
  <si>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</si>
  <si>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</si>
  <si>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</si>
  <si>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</si>
  <si>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</si>
  <si>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</si>
  <si>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</si>
  <si>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</si>
  <si>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</si>
  <si>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</si>
  <si>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</si>
  <si>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</si>
  <si>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</si>
  <si>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</si>
  <si>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</si>
  <si>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</si>
  <si>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</si>
  <si>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</si>
  <si>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</si>
  <si>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</si>
  <si>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</si>
  <si>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</si>
  <si>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</si>
  <si>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</si>
  <si>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</si>
  <si>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</si>
  <si>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</si>
  <si>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</si>
  <si>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</si>
  <si>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</si>
  <si>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</si>
  <si>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</si>
  <si>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</si>
  <si>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</si>
  <si>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</si>
  <si>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</si>
  <si>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</si>
  <si>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</si>
  <si>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</si>
  <si>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</si>
  <si>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</si>
  <si>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</si>
  <si>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Heffner, R. S., &amp; Masterton, R. B. (1983). The role of the corticospinal tract in the evolution of human digital dexterity. Brain Behav Evol, 23(3-4), 165-183. https://doi.org/10.1159/000121494</t>
  </si>
  <si>
    <t>Table I</t>
  </si>
  <si>
    <t>digital dexterity</t>
  </si>
  <si>
    <t>compare to 1975</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</si>
  <si>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</si>
  <si>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</si>
  <si>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</si>
  <si>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</si>
  <si>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mostly secondary</t>
  </si>
  <si>
    <t>area of pyramidal tract; deepest lamina</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</si>
  <si>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</si>
  <si>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</si>
  <si>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</si>
  <si>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</si>
  <si>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</si>
  <si>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</si>
  <si>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</si>
  <si>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</si>
  <si>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</si>
  <si>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</si>
  <si>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</si>
  <si>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</si>
  <si>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</si>
  <si>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</si>
  <si>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</si>
  <si>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</si>
  <si>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</si>
  <si>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</si>
  <si>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</si>
  <si>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</si>
  <si>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</si>
  <si>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</si>
  <si>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</si>
  <si>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</si>
  <si>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</si>
  <si>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</si>
  <si>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</si>
  <si>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</si>
  <si>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</si>
  <si>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</si>
  <si>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</si>
  <si>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</si>
  <si>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</si>
  <si>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</si>
  <si>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</si>
  <si>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</si>
  <si>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</si>
  <si>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</si>
  <si>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</si>
  <si>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</si>
  <si>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</si>
  <si>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region size</t>
  </si>
  <si>
    <t>bats</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</si>
  <si>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</si>
  <si>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</si>
  <si>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</si>
  <si>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</si>
  <si>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</si>
  <si>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</si>
  <si>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</si>
  <si>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</si>
  <si>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</si>
  <si>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</si>
  <si>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</si>
  <si>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</si>
  <si>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</si>
  <si>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</si>
  <si>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</si>
  <si>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</si>
  <si>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</si>
  <si>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</si>
  <si>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</si>
  <si>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</si>
  <si>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</si>
  <si>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</si>
  <si>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</si>
  <si>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</si>
  <si>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</si>
  <si>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</si>
  <si>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</si>
  <si>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</si>
  <si>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</si>
  <si>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</si>
  <si>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</si>
  <si>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</si>
  <si>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</si>
  <si>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</si>
  <si>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</si>
  <si>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</si>
  <si>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</si>
  <si>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</si>
  <si>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</si>
  <si>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</si>
  <si>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</si>
  <si>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</si>
  <si>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</si>
  <si>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</si>
  <si>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</si>
  <si>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</si>
  <si>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</si>
  <si>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</si>
  <si>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brain metabolic scaling</t>
  </si>
  <si>
    <t>meta-analysis</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</si>
  <si>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</si>
  <si>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</si>
  <si>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</si>
  <si>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</si>
  <si>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Number 3147447) [Ph.D., Washington University in St. Louis]. ProQuest Dissertations &amp; Theses Global. United States -- Missouri</t>
  </si>
  <si>
    <t>UMI:3147447</t>
  </si>
  <si>
    <t>brain/body scaling</t>
  </si>
  <si>
    <t>Doctoral dissertation (not in PubMed; no DOI). Use ProQuest Dissertations &amp; Theses number (or WashU OpenScholarship URI) as the identifier - add the actual number.</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</si>
  <si>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</si>
  <si>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</si>
  <si>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</si>
  <si>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</si>
  <si>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</si>
  <si>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</si>
  <si>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</si>
  <si>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Kverkova</t>
  </si>
  <si>
    <t>African mole-rats (Bathyergidae)</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</si>
  <si>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</si>
  <si>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</si>
  <si>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</si>
  <si>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</si>
  <si>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</si>
  <si>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</si>
  <si>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</si>
  <si>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</si>
  <si>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</si>
  <si>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</si>
  <si>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</si>
  <si>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</si>
  <si>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</si>
  <si>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</si>
  <si>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</si>
  <si>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</si>
  <si>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</si>
  <si>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</si>
  <si>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</si>
  <si>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</si>
  <si>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</si>
  <si>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</si>
  <si>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</si>
  <si>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</si>
  <si>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</si>
  <si>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</si>
  <si>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</si>
  <si>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</si>
  <si>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Rilling</t>
  </si>
  <si>
    <t>MRI</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</si>
  <si>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</si>
  <si>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</si>
  <si>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</si>
  <si>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</si>
  <si>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</si>
  <si>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</si>
  <si>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</si>
  <si>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</si>
  <si>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behavioural (cognition / vocalization)</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</si>
  <si>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</si>
  <si>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</si>
  <si>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</si>
  <si>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</si>
  <si>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</si>
  <si>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</si>
  <si>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</si>
  <si>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</si>
  <si>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</si>
  <si>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</si>
  <si>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</si>
  <si>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</si>
  <si>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</si>
  <si>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</si>
  <si>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</si>
  <si>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</si>
  <si>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</si>
  <si>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</si>
  <si>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</si>
  <si>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</si>
  <si>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</si>
  <si>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</si>
  <si>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</si>
  <si>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</si>
  <si>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</si>
  <si>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</si>
  <si>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</si>
  <si>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</si>
  <si>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</si>
  <si>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</si>
  <si>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</si>
  <si>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</si>
  <si>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</si>
  <si>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</si>
  <si>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</si>
  <si>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</si>
  <si>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</si>
  <si>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</si>
  <si>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</si>
  <si>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</si>
  <si>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</si>
  <si>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</si>
  <si>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</si>
  <si>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</si>
  <si>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</si>
  <si>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</si>
  <si>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</si>
  <si>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</si>
  <si>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</si>
  <si>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Exceptional expansion of prefrontal cortex (Table 1)</t>
  </si>
  <si>
    <t>prefrontal cortex size</t>
  </si>
  <si>
    <t>both (compilation)</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</si>
  <si>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</si>
  <si>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</si>
  <si>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</si>
  <si>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</si>
  <si>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</si>
  <si>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</si>
  <si>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</si>
  <si>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</si>
  <si>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</si>
  <si>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</si>
  <si>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</si>
  <si>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</si>
  <si>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ISBN: 0390672505</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</si>
  <si>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</si>
  <si>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</si>
  <si>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</si>
  <si>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</si>
  <si>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</si>
  <si>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</si>
  <si>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</si>
  <si>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</si>
  <si>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</si>
  <si>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</si>
  <si>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</si>
  <si>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</si>
  <si>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</si>
  <si>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</si>
  <si>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</si>
  <si>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</si>
  <si>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</si>
  <si>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</si>
  <si>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</si>
  <si>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</si>
  <si>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</si>
  <si>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</si>
  <si>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</si>
  <si>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New and revised data on volumes of brain structures (Table 1)</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</si>
  <si>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</si>
  <si>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</si>
  <si>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</si>
  <si>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</si>
  <si>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</si>
  <si>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</si>
  <si>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</si>
  <si>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</si>
  <si>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</si>
  <si>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</si>
  <si>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</si>
  <si>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</si>
  <si>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</si>
  <si>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</si>
  <si>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</si>
  <si>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</si>
  <si>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</si>
  <si>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</si>
  <si>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</si>
  <si>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</si>
  <si>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</si>
  <si>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</si>
  <si>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</si>
  <si>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</si>
  <si>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</si>
  <si>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</si>
  <si>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</si>
  <si>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</si>
  <si>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</si>
  <si>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</si>
  <si>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</si>
  <si>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</si>
  <si>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</si>
  <si>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</si>
  <si>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</si>
  <si>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</si>
  <si>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</si>
  <si>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</si>
  <si>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</si>
  <si>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</si>
  <si>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</si>
  <si>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</si>
  <si>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</si>
  <si>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</si>
  <si>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</si>
  <si>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</si>
  <si>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</si>
  <si>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</si>
  <si>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</si>
  <si>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</si>
  <si>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</si>
  <si>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</si>
  <si>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</si>
  <si>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</si>
  <si>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</si>
  <si>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</si>
  <si>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</si>
  <si>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</si>
  <si>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</si>
  <si>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</si>
  <si>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</si>
  <si>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</si>
  <si>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</si>
  <si>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</si>
  <si>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</si>
  <si>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</si>
  <si>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</si>
  <si>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</si>
  <si>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</si>
  <si>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</si>
  <si>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</si>
  <si>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cell density</t>
  </si>
  <si>
    <t>volumes</t>
  </si>
  <si>
    <t>cell number</t>
  </si>
  <si>
    <t>10.1002%2Fajpa.20684_TABLE1.tsv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</si>
  <si>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</si>
  <si>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</si>
  <si>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</si>
  <si>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</si>
  <si>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</si>
  <si>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</si>
  <si>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</si>
  <si>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</si>
  <si>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</si>
  <si>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10.1016%2Fj.cub.2017.01.020_TableS1part1volumes.tsv</t>
  </si>
  <si>
    <t>10.1016%2Fj.cub.2017.01.020_TableS1part2surfacearea.tsv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</si>
  <si>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</si>
  <si>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</si>
  <si>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</si>
  <si>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</si>
  <si>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</si>
  <si>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</si>
  <si>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</si>
  <si>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</si>
  <si>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10.1016%2Fj.jhevol.2012.12.003_Table2.tsv</t>
  </si>
  <si>
    <t>10.1016%2Fj.zool.2020.125753_SupplementaryTable.tsv</t>
  </si>
  <si>
    <t>10.1016%2Fs0047-2484(03)00028-9_.tsv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</si>
  <si>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</si>
  <si>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</si>
  <si>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</si>
  <si>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</si>
  <si>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</si>
  <si>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</si>
  <si>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</si>
  <si>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</si>
  <si>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</si>
  <si>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</si>
  <si>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</si>
  <si>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</si>
  <si>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</si>
  <si>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</si>
  <si>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10.1098%2Frspb.2015.1853_Table1.tsv</t>
  </si>
  <si>
    <t>10.1126%2Fscience.aaa9101_TableS1.tsv</t>
  </si>
  <si>
    <t>10.1159%2F000068880_Table1.tsv</t>
  </si>
  <si>
    <t>10.1159%2F000124401_TableI.tsv</t>
  </si>
  <si>
    <t>10.1159%2F000155963_Table1.tsv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</si>
  <si>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</si>
  <si>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</si>
  <si>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</si>
  <si>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</si>
  <si>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</si>
  <si>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</si>
  <si>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</si>
  <si>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</si>
  <si>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</si>
  <si>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</si>
  <si>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</si>
  <si>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</si>
  <si>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</si>
  <si>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</si>
  <si>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</si>
  <si>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</si>
  <si>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</si>
  <si>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</si>
  <si>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</si>
  <si>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</si>
  <si>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</si>
  <si>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</si>
  <si>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10.3389%2Ffnins.2021.632853_TABLE1.tsv</t>
  </si>
  <si>
    <t>10.6084%2Fm9.figshare.c.3899422.v1_Dataset1.tsv</t>
  </si>
  <si>
    <t>10.7554%2FeLife.77875_Supplementaryfile3.tsv</t>
  </si>
  <si>
    <t>10.7554%2FeLife.77875_Table1.tsv</t>
  </si>
  <si>
    <t>ISBN%3A9780195043716_Table12-2.tsv</t>
  </si>
  <si>
    <t>NA.tsv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</si>
  <si>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</si>
  <si>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</si>
  <si>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</si>
  <si>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</si>
  <si>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</si>
  <si>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</si>
  <si>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</si>
  <si>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</si>
  <si>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</si>
  <si>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</si>
  <si>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</si>
  <si>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</si>
  <si>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</si>
  <si>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Semendeferi_etal_1998_Table2.tsv</t>
  </si>
  <si>
    <t>Semendeferi_etal_2001_Table2.tsv</t>
  </si>
  <si>
    <t>Tables 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</si>
</sst>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font>
    <font>
      <sz val="12"/>
      <color rgb="FF3F3F76"/>
      <name val="Calibri"/>
      <family val="2"/>
      <scheme val="minor"/>
    </font>
    <font>
      <sz val="12"/>
      <color theme="1"/>
      <name val="Calibri"/>
      <family val="2"/>
    </font>
    <font>
      <i/>
      <sz val="12"/>
      <color theme="1"/>
      <name val="Calibri"/>
      <family val="2"/>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8">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0" borderId="0" xfId="0" applyFont="1" applyAlignment="1">
      <alignment wrapText="1"/>
    </xf>
    <xf numFmtId="0" fontId="3"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38"/>
  <sheetViews>
    <sheetView tabSelected="1" zoomScale="93" zoomScaleNormal="93" workbookViewId="0">
      <pane xSplit="2" ySplit="1" topLeftCell="C97" activePane="bottomRight" state="frozen"/>
      <selection pane="topRight" activeCell="B1" sqref="B1"/>
      <selection pane="bottomLeft" activeCell="A2" sqref="A2"/>
      <selection pane="bottomRight" activeCell="D124" sqref="D124"/>
    </sheetView>
  </sheetViews>
  <sheetFormatPr baseColWidth="10" defaultRowHeight="16" x14ac:dyDescent="0.2"/>
  <cols>
    <col min="1" max="1" width="38.5" customWidth="1"/>
    <col min="2" max="2" width="1.6640625" customWidth="1"/>
    <col min="3" max="3" width="3.5" customWidth="1"/>
    <col min="4" max="4" width="7.1640625" customWidth="1"/>
    <col min="5" max="5" width="1.5" customWidth="1"/>
    <col min="6" max="6" width="14.5" customWidth="1"/>
    <col min="7" max="8" width="10.33203125" customWidth="1"/>
    <col min="9" max="9" width="6.1640625" customWidth="1"/>
    <col min="10" max="10" width="14.5" customWidth="1"/>
    <col min="11" max="11" width="31.83203125" customWidth="1"/>
    <col min="12" max="12" width="49" customWidth="1"/>
    <col min="13" max="13" width="10.33203125" customWidth="1"/>
    <col min="14" max="39" width="7.33203125" customWidth="1"/>
  </cols>
  <sheetData>
    <row r="1" spans="1:39" ht="16" customHeight="1" x14ac:dyDescent="0.2">
      <c r="A1" s="2" t="s">
        <v>0</v>
      </c>
      <c r="B1" s="2" t="s">
        <v>1</v>
      </c>
      <c r="C1" s="2" t="s">
        <v>2</v>
      </c>
      <c r="D1" s="2" t="s">
        <v>3</v>
      </c>
      <c r="E1" s="1" t="s">
        <v>4</v>
      </c>
      <c r="F1" s="1" t="s">
        <v>5</v>
      </c>
      <c r="G1" s="1" t="s">
        <v>6</v>
      </c>
      <c r="H1" s="1" t="s">
        <v>7</v>
      </c>
      <c r="I1" s="1" t="s">
        <v>8</v>
      </c>
      <c r="J1" s="1" t="s">
        <v>9</v>
      </c>
      <c r="K1" s="1" t="s">
        <v>10</v>
      </c>
      <c r="L1" s="1" t="s">
        <v>11</v>
      </c>
      <c r="M1" s="1"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row>
    <row r="2" spans="1:39" ht="16" customHeight="1" x14ac:dyDescent="0.2">
      <c r="A2" s="2" t="s">
        <v>39</v>
      </c>
      <c r="D2" s="2" t="s">
        <v>40</v>
      </c>
      <c r="E2" t="str">
        <f t="shared" ref="E2:E39" si="0">RIGHT(A2,1)</f>
        <v>5</v>
      </c>
      <c r="F2" t="str">
        <f t="shared" ref="F2:F39" si="1">G2 &amp; IF(H2&lt;&gt;"", "_" &amp; H2, "_") &amp; IF(I2&lt;&gt;"", "_" &amp; I2, "_") &amp; IF(B2&lt;&gt;"", "_" &amp; B2, "")</f>
        <v>Andelin_etal_2019</v>
      </c>
      <c r="G2" t="str">
        <f t="shared" ref="G2:G39" si="2">SUBSTITUTE(SUBSTITUTE(_xlfn.TEXTBEFORE(A2,","), "-", ""), " ", "")</f>
        <v>Andelin</v>
      </c>
      <c r="H2" t="str">
        <f t="shared" ref="H2" si="3">IF(ISNUMBER(FIND("&amp;", A2)),
IF(LEN(A2)-LEN(SUBSTITUTE(A2, ",", ""))&gt;=6, "etal", MID(A2, SEARCH("&amp; ", A2)+2, SEARCH(",", A2, SEARCH("&amp; ", A2)+2) - SEARCH("&amp; ", A2)-2)),
""
)</f>
        <v>etal</v>
      </c>
      <c r="I2" t="str">
        <f t="shared" ref="I2:I39" si="4">_xlfn.TEXTBEFORE(_xlfn.TEXTAFTER(A2, "("), ")")</f>
        <v>2019</v>
      </c>
      <c r="J2" t="str">
        <f t="shared" ref="J2:J44" si="5">IF(C2&lt;&gt;"", C2, IF(C2="", _xlfn.TEXTAFTER(A2,"https://doi.org/"), C2))</f>
        <v>10.1093/cercor/bhy315</v>
      </c>
      <c r="K2" t="str">
        <f t="shared" ref="K2:K34" si="6">TRIM(_xlfn.TEXTJOIN("_",FALSE,F2,(SUBSTITUTE(SUBSTITUTE(D2," ",""), "_", ""))))</f>
        <v>Andelin_etal_2019_Table4</v>
      </c>
      <c r="L2" t="str">
        <f t="shared" ref="L2:L26" si="7">IF(ISBLANK(C2),TRIM(SUBSTITUTE(SUBSTITUTE(SUBSTITUTE(_xlfn.TEXTJOIN("_", FALSE, J2, SUBSTITUTE(D2,"_", "")), "/", "%2F"), ":", "%3A"), " ", "")),TRIM(SUBSTITUTE(SUBSTITUTE(SUBSTITUTE(_xlfn.TEXTJOIN("_", FALSE, C2, SUBSTITUTE(D2,"_", "")), "/", "%2F"), ":", "%3A"), " ", "")))</f>
        <v>10.1093%2Fcercor%2Fbhy315_Table4</v>
      </c>
      <c r="M2" t="str">
        <f t="array" ref="M2">IFERROR(INDEX(FileList!$A$1:$A$100, MATCH(L2, _xlfn.TEXTBEFORE(FileList!$A$1:$A$100, ".tsv"), 0)), "notfound")</f>
        <v>10.1093%2Fcercor%2Fbhy315_Table4.tsv</v>
      </c>
      <c r="V2" s="2" t="s">
        <v>41</v>
      </c>
      <c r="AK2" s="2" t="s">
        <v>42</v>
      </c>
      <c r="AL2" s="2" t="s">
        <v>42</v>
      </c>
      <c r="AM2" s="2" t="s">
        <v>42</v>
      </c>
    </row>
    <row r="3" spans="1:39" ht="16" customHeight="1" x14ac:dyDescent="0.2">
      <c r="A3" s="2" t="s">
        <v>43</v>
      </c>
      <c r="D3" s="2" t="s">
        <v>44</v>
      </c>
      <c r="E3" t="str">
        <f t="shared" ref="E3" si="8">RIGHT(A3,1)</f>
        <v>3</v>
      </c>
      <c r="F3" t="str">
        <f t="shared" ref="F3" si="9">G3 &amp; IF(H3&lt;&gt;"", "_" &amp; H3, "_") &amp; IF(I3&lt;&gt;"", "_" &amp; I3, "_") &amp; IF(B3&lt;&gt;"", "_" &amp; B3, "")</f>
        <v>Ashwell__2020</v>
      </c>
      <c r="G3" t="str">
        <f t="shared" ref="G3" si="10">SUBSTITUTE(SUBSTITUTE(_xlfn.TEXTBEFORE(A3,","), "-", ""), " ", "")</f>
        <v>Ashwell</v>
      </c>
      <c r="H3" t="str">
        <f t="shared" ref="H3" si="11">IF(ISNUMBER(FIND("&amp;", A3)),
IF(LEN(A3)-LEN(SUBSTITUTE(A3, ",", ""))&gt;=6, "etal", MID(A3, SEARCH("&amp; ", A3)+2, SEARCH(",", A3, SEARCH("&amp; ", A3)+2) - SEARCH("&amp; ", A3)-2)),
""
)</f>
        <v/>
      </c>
      <c r="I3" t="str">
        <f t="shared" ref="I3" si="12">_xlfn.TEXTBEFORE(_xlfn.TEXTAFTER(A3, "("), ")")</f>
        <v>2020</v>
      </c>
      <c r="J3" t="str">
        <f t="shared" ref="J3" si="13">IF(C3&lt;&gt;"", C3, IF(C3="", _xlfn.TEXTAFTER(A3,"https://doi.org/"), C3))</f>
        <v>10.1016/j.zool.2020.125753</v>
      </c>
      <c r="K3" t="str">
        <f t="shared" ref="K3" si="14">TRIM(_xlfn.TEXTJOIN("_",FALSE,F3,(SUBSTITUTE(SUBSTITUTE(D3," ",""), "_", ""))))</f>
        <v>Ashwell__2020_SupplementaryTable</v>
      </c>
      <c r="L3" t="str">
        <f t="shared" ref="L3" si="15">IF(ISBLANK(C3),TRIM(SUBSTITUTE(SUBSTITUTE(SUBSTITUTE(_xlfn.TEXTJOIN("_", FALSE, J3, SUBSTITUTE(D3,"_", "")), "/", "%2F"), ":", "%3A"), " ", "")),TRIM(SUBSTITUTE(SUBSTITUTE(SUBSTITUTE(_xlfn.TEXTJOIN("_", FALSE, C3, SUBSTITUTE(D3,"_", "")), "/", "%2F"), ":", "%3A"), " ", "")))</f>
        <v>10.1016%2Fj.zool.2020.125753_SupplementaryTable</v>
      </c>
      <c r="M3" t="str">
        <f t="array" ref="M3">IFERROR(INDEX(FileList!$A$1:$A$100, MATCH(L3, _xlfn.TEXTBEFORE(FileList!$A$1:$A$100, ".tsv"), 0)), "notfound")</f>
        <v>10.1016%2Fj.zool.2020.125753_SupplementaryTable.tsv</v>
      </c>
      <c r="N3" s="2" t="s">
        <v>45</v>
      </c>
    </row>
    <row r="4" spans="1:39" ht="16" customHeight="1" x14ac:dyDescent="0.2">
      <c r="A4" s="2" t="s">
        <v>46</v>
      </c>
      <c r="D4" s="2" t="s">
        <v>47</v>
      </c>
      <c r="E4" t="str">
        <f t="shared" si="0"/>
        <v>9</v>
      </c>
      <c r="F4" t="str">
        <f t="shared" si="1"/>
        <v>AvelinodeSouza_etal_2025</v>
      </c>
      <c r="G4" t="str">
        <f t="shared" si="2"/>
        <v>AvelinodeSouza</v>
      </c>
      <c r="H4" t="str">
        <f t="shared" ref="H4:H72" si="16">_xlfn.LET(_xlpm.authorPart,_xlfn.TEXTBEFORE(A4," ("),IFERROR(IF(ISNUMBER(FIND("&amp;",_xlpm.authorPart)),IF(LEN(A4)-LEN(SUBSTITUTE(A4,",",""))&gt;=6,"etal",_xlfn.TEXTBEFORE(_xlfn.TEXTAFTER(_xlpm.authorPart,"&amp; "),",")),""),""))</f>
        <v>etal</v>
      </c>
      <c r="I4" t="str">
        <f t="shared" si="4"/>
        <v>2025</v>
      </c>
      <c r="J4" t="str">
        <f t="shared" si="5"/>
        <v>10.1002/cne.70089</v>
      </c>
      <c r="K4" t="str">
        <f t="shared" si="6"/>
        <v>AvelinodeSouza_etal_2025_TABLE1</v>
      </c>
      <c r="L4" t="str">
        <f t="shared" si="7"/>
        <v>10.1002%2Fcne.70089_TABLE1</v>
      </c>
      <c r="M4" t="str">
        <f t="array" ref="M4">IFERROR(INDEX(FileList!$A$1:$A$100, MATCH(L4, _xlfn.TEXTBEFORE(FileList!$A$1:$A$100, ".tsv"), 0)), "notfound")</f>
        <v>10.1002%2Fcne.70089_TABLE1.tsv</v>
      </c>
      <c r="N4" s="2" t="s">
        <v>48</v>
      </c>
      <c r="P4" s="2" t="s">
        <v>49</v>
      </c>
      <c r="Q4" s="2" t="s">
        <v>50</v>
      </c>
      <c r="R4" s="2" t="s">
        <v>51</v>
      </c>
      <c r="S4" s="2" t="s">
        <v>52</v>
      </c>
      <c r="T4" s="2" t="s">
        <v>53</v>
      </c>
      <c r="U4" s="2" t="s">
        <v>54</v>
      </c>
      <c r="V4" s="2" t="s">
        <v>41</v>
      </c>
      <c r="W4" s="2" t="s">
        <v>55</v>
      </c>
      <c r="X4" s="2" t="s">
        <v>56</v>
      </c>
      <c r="Y4" s="2" t="s">
        <v>57</v>
      </c>
      <c r="Z4" s="2" t="s">
        <v>58</v>
      </c>
      <c r="AA4" s="2" t="s">
        <v>59</v>
      </c>
      <c r="AC4" s="2" t="s">
        <v>60</v>
      </c>
      <c r="AG4" s="2" t="s">
        <v>61</v>
      </c>
      <c r="AK4" s="2" t="s">
        <v>62</v>
      </c>
      <c r="AL4" s="2" t="s">
        <v>58</v>
      </c>
      <c r="AM4" s="2" t="s">
        <v>63</v>
      </c>
    </row>
    <row r="5" spans="1:39" ht="16" customHeight="1" x14ac:dyDescent="0.2">
      <c r="A5" s="2" t="s">
        <v>64</v>
      </c>
      <c r="D5" s="4" t="s">
        <v>650</v>
      </c>
      <c r="E5" t="str">
        <f t="shared" ref="E5:E6" si="17">RIGHT(A5,1)</f>
        <v>1</v>
      </c>
      <c r="F5" t="str">
        <f t="shared" ref="F5:F6" si="18">G5 &amp; IF(H5&lt;&gt;"", "_" &amp; H5, "_") &amp; IF(I5&lt;&gt;"", "_" &amp; I5, "_") &amp; IF(B5&lt;&gt;"", "_" &amp; B5, "")</f>
        <v>BarbeitoAndres_etal_2019</v>
      </c>
      <c r="G5" t="str">
        <f t="shared" ref="G5:G6" si="19">SUBSTITUTE(SUBSTITUTE(_xlfn.TEXTBEFORE(A5,","), "-", ""), " ", "")</f>
        <v>BarbeitoAndres</v>
      </c>
      <c r="H5" t="str">
        <f t="shared" ref="H5:H6" si="20">_xlfn.LET(_xlpm.authorPart,_xlfn.TEXTBEFORE(A5," ("),IFERROR(IF(ISNUMBER(FIND("&amp;",_xlpm.authorPart)),IF(LEN(A5)-LEN(SUBSTITUTE(A5,",",""))&gt;=6,"etal",_xlfn.TEXTBEFORE(_xlfn.TEXTAFTER(_xlpm.authorPart,"&amp; "),",")),""),""))</f>
        <v>etal</v>
      </c>
      <c r="I5" t="str">
        <f t="shared" ref="I5:I6" si="21">_xlfn.TEXTBEFORE(_xlfn.TEXTAFTER(A5, "("), ")")</f>
        <v>2019</v>
      </c>
      <c r="J5" t="str">
        <f t="shared" ref="J5:J6" si="22">IF(C5&lt;&gt;"", C5, IF(C5="", _xlfn.TEXTAFTER(A5,"https://doi.org/"), C5))</f>
        <v>10.1242/jeb.204651</v>
      </c>
      <c r="K5" t="str">
        <f t="shared" ref="K5:K6" si="23">TRIM(_xlfn.TEXTJOIN("_",FALSE,F5,(SUBSTITUTE(SUBSTITUTE(D5," ",""), "_", ""))))</f>
        <v>BarbeitoAndres_etal_2019_volumes</v>
      </c>
      <c r="L5" t="str">
        <f t="shared" ref="L5:L6" si="24">IF(ISBLANK(C5),TRIM(SUBSTITUTE(SUBSTITUTE(SUBSTITUTE(_xlfn.TEXTJOIN("_", FALSE, J5, SUBSTITUTE(D5,"_", "")), "/", "%2F"), ":", "%3A"), " ", "")),TRIM(SUBSTITUTE(SUBSTITUTE(SUBSTITUTE(_xlfn.TEXTJOIN("_", FALSE, C5, SUBSTITUTE(D5,"_", "")), "/", "%2F"), ":", "%3A"), " ", "")))</f>
        <v>10.1242%2Fjeb.204651_volumes</v>
      </c>
      <c r="M5" t="str">
        <f t="array" ref="M5">IFERROR(INDEX(FileList!$A$1:$A$100, MATCH(L5, _xlfn.TEXTBEFORE(FileList!$A$1:$A$100, ".tsv"), 0)), "notfound")</f>
        <v>notfound</v>
      </c>
      <c r="AC5" s="2" t="s">
        <v>60</v>
      </c>
      <c r="AK5" s="2" t="s">
        <v>42</v>
      </c>
      <c r="AL5" s="2" t="s">
        <v>42</v>
      </c>
      <c r="AM5" s="2" t="s">
        <v>42</v>
      </c>
    </row>
    <row r="6" spans="1:39" ht="16" customHeight="1" x14ac:dyDescent="0.2">
      <c r="A6" s="2" t="s">
        <v>64</v>
      </c>
      <c r="D6" s="2" t="s">
        <v>651</v>
      </c>
      <c r="E6" t="str">
        <f t="shared" si="17"/>
        <v>1</v>
      </c>
      <c r="F6" t="str">
        <f t="shared" si="18"/>
        <v>BarbeitoAndres_etal_2019</v>
      </c>
      <c r="G6" t="str">
        <f t="shared" si="19"/>
        <v>BarbeitoAndres</v>
      </c>
      <c r="H6" t="str">
        <f t="shared" si="20"/>
        <v>etal</v>
      </c>
      <c r="I6" t="str">
        <f t="shared" si="21"/>
        <v>2019</v>
      </c>
      <c r="J6" t="str">
        <f t="shared" si="22"/>
        <v>10.1242/jeb.204651</v>
      </c>
      <c r="K6" t="str">
        <f t="shared" si="23"/>
        <v>BarbeitoAndres_etal_2019_cellnumber</v>
      </c>
      <c r="L6" t="str">
        <f t="shared" si="24"/>
        <v>10.1242%2Fjeb.204651_cellnumber</v>
      </c>
      <c r="M6" t="str">
        <f t="array" ref="M6">IFERROR(INDEX(FileList!$A$1:$A$100, MATCH(L6, _xlfn.TEXTBEFORE(FileList!$A$1:$A$100, ".tsv"), 0)), "notfound")</f>
        <v>notfound</v>
      </c>
      <c r="AC6" s="2" t="s">
        <v>60</v>
      </c>
      <c r="AK6" s="2" t="s">
        <v>42</v>
      </c>
      <c r="AL6" s="2" t="s">
        <v>42</v>
      </c>
      <c r="AM6" s="2" t="s">
        <v>42</v>
      </c>
    </row>
    <row r="7" spans="1:39" ht="16" customHeight="1" x14ac:dyDescent="0.2">
      <c r="A7" s="2" t="s">
        <v>64</v>
      </c>
      <c r="D7" s="2" t="s">
        <v>649</v>
      </c>
      <c r="E7" t="str">
        <f t="shared" si="0"/>
        <v>1</v>
      </c>
      <c r="F7" t="str">
        <f t="shared" si="1"/>
        <v>BarbeitoAndres_etal_2019</v>
      </c>
      <c r="G7" t="str">
        <f t="shared" si="2"/>
        <v>BarbeitoAndres</v>
      </c>
      <c r="H7" t="str">
        <f t="shared" si="16"/>
        <v>etal</v>
      </c>
      <c r="I7" t="str">
        <f t="shared" si="4"/>
        <v>2019</v>
      </c>
      <c r="J7" t="str">
        <f t="shared" si="5"/>
        <v>10.1242/jeb.204651</v>
      </c>
      <c r="K7" t="str">
        <f t="shared" si="6"/>
        <v>BarbeitoAndres_etal_2019_celldensity</v>
      </c>
      <c r="L7" t="str">
        <f t="shared" si="7"/>
        <v>10.1242%2Fjeb.204651_celldensity</v>
      </c>
      <c r="M7" t="str">
        <f t="array" ref="M7">IFERROR(INDEX(FileList!$A$1:$A$100, MATCH(L7, _xlfn.TEXTBEFORE(FileList!$A$1:$A$100, ".tsv"), 0)), "notfound")</f>
        <v>notfound</v>
      </c>
      <c r="AC7" s="2" t="s">
        <v>60</v>
      </c>
      <c r="AK7" s="2" t="s">
        <v>42</v>
      </c>
      <c r="AL7" s="2" t="s">
        <v>42</v>
      </c>
      <c r="AM7" s="2" t="s">
        <v>42</v>
      </c>
    </row>
    <row r="8" spans="1:39" ht="16" customHeight="1" x14ac:dyDescent="0.2">
      <c r="A8" s="2" t="s">
        <v>65</v>
      </c>
      <c r="D8" s="2" t="s">
        <v>47</v>
      </c>
      <c r="E8" t="str">
        <f t="shared" si="0"/>
        <v>4</v>
      </c>
      <c r="F8" t="str">
        <f t="shared" si="1"/>
        <v>Barger_etal_2007</v>
      </c>
      <c r="G8" t="str">
        <f t="shared" si="2"/>
        <v>Barger</v>
      </c>
      <c r="H8" t="str">
        <f t="shared" si="16"/>
        <v>etal</v>
      </c>
      <c r="I8" t="str">
        <f t="shared" si="4"/>
        <v>2007</v>
      </c>
      <c r="J8" t="str">
        <f t="shared" si="5"/>
        <v>10.1002/ajpa.20684</v>
      </c>
      <c r="K8" t="str">
        <f t="shared" si="6"/>
        <v>Barger_etal_2007_TABLE1</v>
      </c>
      <c r="L8" t="str">
        <f t="shared" si="7"/>
        <v>10.1002%2Fajpa.20684_TABLE1</v>
      </c>
      <c r="M8" t="str">
        <f t="array" ref="M8">IFERROR(INDEX(FileList!$A$1:$A$100, MATCH(L8, _xlfn.TEXTBEFORE(FileList!$A$1:$A$100, ".tsv"), 0)), "notfound")</f>
        <v>10.1002%2Fajpa.20684_TABLE1.tsv</v>
      </c>
      <c r="N8" s="2" t="s">
        <v>66</v>
      </c>
      <c r="Y8" s="2" t="s">
        <v>67</v>
      </c>
      <c r="AB8" s="2" t="s">
        <v>68</v>
      </c>
      <c r="AC8" s="2" t="s">
        <v>69</v>
      </c>
      <c r="AD8" s="2" t="s">
        <v>69</v>
      </c>
      <c r="AK8" s="2" t="s">
        <v>70</v>
      </c>
      <c r="AL8" s="2" t="s">
        <v>58</v>
      </c>
      <c r="AM8" s="2" t="s">
        <v>71</v>
      </c>
    </row>
    <row r="9" spans="1:39" ht="16" customHeight="1" x14ac:dyDescent="0.2">
      <c r="A9" s="2" t="s">
        <v>72</v>
      </c>
      <c r="E9" t="str">
        <f t="shared" ref="E9:E10" si="25">RIGHT(A9,1)</f>
        <v>8</v>
      </c>
      <c r="F9" t="str">
        <f t="shared" ref="F9:F10" si="26">G9 &amp; IF(H9&lt;&gt;"", "_" &amp; H9, "_") &amp; IF(I9&lt;&gt;"", "_" &amp; I9, "_") &amp; IF(B9&lt;&gt;"", "_" &amp; B9, "")</f>
        <v>Barger_etal_2012</v>
      </c>
      <c r="G9" t="str">
        <f t="shared" ref="G9:G10" si="27">SUBSTITUTE(SUBSTITUTE(_xlfn.TEXTBEFORE(A9,","), "-", ""), " ", "")</f>
        <v>Barger</v>
      </c>
      <c r="H9" t="str">
        <f t="shared" ref="H9:H10" si="28">_xlfn.LET(_xlpm.authorPart,_xlfn.TEXTBEFORE(A9," ("),IFERROR(IF(ISNUMBER(FIND("&amp;",_xlpm.authorPart)),IF(LEN(A9)-LEN(SUBSTITUTE(A9,",",""))&gt;=6,"etal",_xlfn.TEXTBEFORE(_xlfn.TEXTAFTER(_xlpm.authorPart,"&amp; "),",")),""),""))</f>
        <v>etal</v>
      </c>
      <c r="I9" t="str">
        <f t="shared" ref="I9:I10" si="29">_xlfn.TEXTBEFORE(_xlfn.TEXTAFTER(A9, "("), ")")</f>
        <v>2012</v>
      </c>
      <c r="J9" t="str">
        <f t="shared" ref="J9:J10" si="30">IF(C9&lt;&gt;"", C9, IF(C9="", _xlfn.TEXTAFTER(A9,"https://doi.org/"), C9))</f>
        <v>10.1002/cne.23118</v>
      </c>
      <c r="K9" t="str">
        <f t="shared" ref="K9:K10" si="31">TRIM(_xlfn.TEXTJOIN("_",FALSE,F9,(SUBSTITUTE(SUBSTITUTE(D9," ",""), "_", ""))))</f>
        <v>Barger_etal_2012_</v>
      </c>
      <c r="L9" t="str">
        <f t="shared" ref="L9:L10" si="32">IF(ISBLANK(C9),TRIM(SUBSTITUTE(SUBSTITUTE(SUBSTITUTE(_xlfn.TEXTJOIN("_", FALSE, J9, SUBSTITUTE(D9,"_", "")), "/", "%2F"), ":", "%3A"), " ", "")),TRIM(SUBSTITUTE(SUBSTITUTE(SUBSTITUTE(_xlfn.TEXTJOIN("_", FALSE, C9, SUBSTITUTE(D9,"_", "")), "/", "%2F"), ":", "%3A"), " ", "")))</f>
        <v>10.1002%2Fcne.23118_</v>
      </c>
      <c r="M9" t="str">
        <f t="array" ref="M9">IFERROR(INDEX(FileList!$A$1:$A$100, MATCH(L9, _xlfn.TEXTBEFORE(FileList!$A$1:$A$100, ".tsv"), 0)), "notfound")</f>
        <v>notfound</v>
      </c>
      <c r="Y9" s="2" t="s">
        <v>73</v>
      </c>
      <c r="AD9" s="2" t="s">
        <v>69</v>
      </c>
      <c r="AK9" s="2" t="s">
        <v>70</v>
      </c>
      <c r="AL9" s="2" t="s">
        <v>58</v>
      </c>
      <c r="AM9" s="2" t="s">
        <v>74</v>
      </c>
    </row>
    <row r="10" spans="1:39" ht="16" customHeight="1" x14ac:dyDescent="0.2">
      <c r="A10" s="2" t="s">
        <v>75</v>
      </c>
      <c r="D10" s="3" t="s">
        <v>47</v>
      </c>
      <c r="E10" t="str">
        <f t="shared" si="25"/>
        <v>6</v>
      </c>
      <c r="F10" t="str">
        <f t="shared" si="26"/>
        <v>Barks_etal_2014</v>
      </c>
      <c r="G10" t="str">
        <f t="shared" si="27"/>
        <v>Barks</v>
      </c>
      <c r="H10" t="str">
        <f t="shared" si="28"/>
        <v>etal</v>
      </c>
      <c r="I10" t="str">
        <f t="shared" si="29"/>
        <v>2014</v>
      </c>
      <c r="J10" t="str">
        <f t="shared" si="30"/>
        <v>10.1002/ajpa.22646</v>
      </c>
      <c r="K10" t="str">
        <f t="shared" si="31"/>
        <v>Barks_etal_2014_TABLE1</v>
      </c>
      <c r="L10" t="str">
        <f t="shared" si="32"/>
        <v>10.1002%2Fajpa.22646_TABLE1</v>
      </c>
      <c r="M10" t="str">
        <f t="array" ref="M10">IFERROR(INDEX(FileList!$A$1:$A$100, MATCH(L10, _xlfn.TEXTBEFORE(FileList!$A$1:$A$100, ".tsv"), 0)), "notfound")</f>
        <v>notfound</v>
      </c>
      <c r="N10" s="2" t="s">
        <v>76</v>
      </c>
    </row>
    <row r="11" spans="1:39" ht="16" customHeight="1" x14ac:dyDescent="0.2">
      <c r="A11" s="2" t="s">
        <v>77</v>
      </c>
      <c r="C11" s="2" t="s">
        <v>78</v>
      </c>
      <c r="D11" s="2" t="s">
        <v>79</v>
      </c>
      <c r="E11" t="str">
        <f t="shared" si="0"/>
        <v>9</v>
      </c>
      <c r="F11" t="str">
        <f t="shared" si="1"/>
        <v>Baron_etal_1988</v>
      </c>
      <c r="G11" t="str">
        <f t="shared" si="2"/>
        <v>Baron</v>
      </c>
      <c r="H11" t="str">
        <f t="shared" si="16"/>
        <v>etal</v>
      </c>
      <c r="I11" t="str">
        <f t="shared" si="4"/>
        <v>1988</v>
      </c>
      <c r="J11" t="str">
        <f t="shared" si="5"/>
        <v>PMID:3216099</v>
      </c>
      <c r="K11" t="str">
        <f t="shared" si="6"/>
        <v>Baron_etal_1988_Table1</v>
      </c>
      <c r="L11" t="str">
        <f t="shared" si="7"/>
        <v>PMID%3A3216099_Table1</v>
      </c>
      <c r="M11" t="str">
        <f t="array" ref="M11">IFERROR(INDEX(FileList!$A$1:$A$100, MATCH(L11, _xlfn.TEXTBEFORE(FileList!$A$1:$A$100, ".tsv"), 0)), "notfound")</f>
        <v>PMID%3A3216099_Table1.tsv</v>
      </c>
      <c r="N11" s="2" t="s">
        <v>80</v>
      </c>
      <c r="Y11" s="2" t="s">
        <v>81</v>
      </c>
      <c r="AA11" s="2" t="s">
        <v>82</v>
      </c>
      <c r="AB11" s="2" t="s">
        <v>68</v>
      </c>
      <c r="AC11" s="2" t="s">
        <v>82</v>
      </c>
      <c r="AD11" s="2" t="s">
        <v>82</v>
      </c>
      <c r="AK11" s="2" t="s">
        <v>83</v>
      </c>
      <c r="AL11" s="2" t="s">
        <v>58</v>
      </c>
      <c r="AM11" s="2" t="s">
        <v>71</v>
      </c>
    </row>
    <row r="12" spans="1:39" ht="17" customHeight="1" x14ac:dyDescent="0.2">
      <c r="A12" s="2" t="s">
        <v>84</v>
      </c>
      <c r="C12" s="2" t="s">
        <v>85</v>
      </c>
      <c r="D12" s="2" t="s">
        <v>79</v>
      </c>
      <c r="E12" t="str">
        <f t="shared" si="0"/>
        <v>5</v>
      </c>
      <c r="F12" t="str">
        <f t="shared" si="1"/>
        <v>Baron_etal_1983</v>
      </c>
      <c r="G12" t="str">
        <f t="shared" si="2"/>
        <v>Baron</v>
      </c>
      <c r="H12" t="str">
        <f t="shared" si="16"/>
        <v>etal</v>
      </c>
      <c r="I12" t="str">
        <f t="shared" si="4"/>
        <v>1983</v>
      </c>
      <c r="J12" t="str">
        <f t="shared" si="5"/>
        <v>PMID:6663055</v>
      </c>
      <c r="K12" t="str">
        <f t="shared" si="6"/>
        <v>Baron_etal_1983_Table1</v>
      </c>
      <c r="L12" t="str">
        <f t="shared" si="7"/>
        <v>PMID%3A6663055_Table1</v>
      </c>
      <c r="M12" t="str">
        <f t="array" ref="M12">IFERROR(INDEX(FileList!$A$1:$A$100, MATCH(L12, _xlfn.TEXTBEFORE(FileList!$A$1:$A$100, ".tsv"), 0)), "notfound")</f>
        <v>PMID%3A6663055_Table1.tsv</v>
      </c>
      <c r="V12" s="2" t="s">
        <v>41</v>
      </c>
      <c r="W12" s="2" t="s">
        <v>86</v>
      </c>
      <c r="Y12" s="2" t="s">
        <v>87</v>
      </c>
      <c r="Z12" s="2" t="s">
        <v>58</v>
      </c>
      <c r="AB12" s="2" t="s">
        <v>68</v>
      </c>
      <c r="AC12" s="2" t="s">
        <v>82</v>
      </c>
      <c r="AD12" s="2" t="s">
        <v>82</v>
      </c>
      <c r="AK12" s="2" t="s">
        <v>83</v>
      </c>
      <c r="AL12" s="2" t="s">
        <v>58</v>
      </c>
      <c r="AM12" s="2" t="s">
        <v>71</v>
      </c>
    </row>
    <row r="13" spans="1:39" ht="17" customHeight="1" x14ac:dyDescent="0.2">
      <c r="A13" s="2" t="s">
        <v>88</v>
      </c>
      <c r="C13" s="2" t="s">
        <v>89</v>
      </c>
      <c r="D13" s="2" t="s">
        <v>79</v>
      </c>
      <c r="E13" t="str">
        <f t="shared" si="0"/>
        <v>6</v>
      </c>
      <c r="F13" t="str">
        <f t="shared" si="1"/>
        <v>Baron_etal_1987</v>
      </c>
      <c r="G13" t="str">
        <f t="shared" si="2"/>
        <v>Baron</v>
      </c>
      <c r="H13" t="str">
        <f t="shared" si="16"/>
        <v>etal</v>
      </c>
      <c r="I13" t="str">
        <f t="shared" si="4"/>
        <v>1987</v>
      </c>
      <c r="J13" t="str">
        <f t="shared" si="5"/>
        <v>PMID:3116076</v>
      </c>
      <c r="K13" t="str">
        <f t="shared" si="6"/>
        <v>Baron_etal_1987_Table1</v>
      </c>
      <c r="L13" t="str">
        <f t="shared" si="7"/>
        <v>PMID%3A3116076_Table1</v>
      </c>
      <c r="M13" t="str">
        <f t="array" ref="M13">IFERROR(INDEX(FileList!$A$1:$A$100, MATCH(L13, _xlfn.TEXTBEFORE(FileList!$A$1:$A$100, ".tsv"), 0)), "notfound")</f>
        <v>PMID%3A3116076_Table1.tsv</v>
      </c>
      <c r="V13" s="2" t="s">
        <v>41</v>
      </c>
      <c r="W13" s="2" t="s">
        <v>86</v>
      </c>
      <c r="Y13" s="2" t="s">
        <v>90</v>
      </c>
      <c r="Z13" s="2" t="s">
        <v>58</v>
      </c>
      <c r="AB13" s="2" t="s">
        <v>68</v>
      </c>
      <c r="AC13" s="2" t="s">
        <v>82</v>
      </c>
      <c r="AD13" s="2" t="s">
        <v>82</v>
      </c>
      <c r="AK13" s="2" t="s">
        <v>83</v>
      </c>
      <c r="AL13" s="2" t="s">
        <v>58</v>
      </c>
      <c r="AM13" s="2" t="s">
        <v>71</v>
      </c>
    </row>
    <row r="14" spans="1:39" ht="16" customHeight="1" x14ac:dyDescent="0.2">
      <c r="A14" s="2" t="s">
        <v>91</v>
      </c>
      <c r="C14" s="2" t="s">
        <v>92</v>
      </c>
      <c r="D14" s="2" t="s">
        <v>79</v>
      </c>
      <c r="E14" t="str">
        <f t="shared" si="0"/>
        <v>3</v>
      </c>
      <c r="F14" t="str">
        <f t="shared" si="1"/>
        <v>Baron_etal_1990</v>
      </c>
      <c r="G14" t="str">
        <f t="shared" si="2"/>
        <v>Baron</v>
      </c>
      <c r="H14" t="str">
        <f t="shared" si="16"/>
        <v>etal</v>
      </c>
      <c r="I14" t="str">
        <f t="shared" si="4"/>
        <v>1990</v>
      </c>
      <c r="J14" t="str">
        <f t="shared" si="5"/>
        <v>PMID:2358663</v>
      </c>
      <c r="K14" t="str">
        <f t="shared" si="6"/>
        <v>Baron_etal_1990_Table1</v>
      </c>
      <c r="L14" t="str">
        <f t="shared" si="7"/>
        <v>PMID%3A2358663_Table1</v>
      </c>
      <c r="M14" t="str">
        <f t="array" ref="M14">IFERROR(INDEX(FileList!$A$1:$A$100, MATCH(L14, _xlfn.TEXTBEFORE(FileList!$A$1:$A$100, ".tsv"), 0)), "notfound")</f>
        <v>PMID%3A2358663_Table1.tsv</v>
      </c>
      <c r="N14" s="2" t="s">
        <v>93</v>
      </c>
      <c r="V14" s="2" t="s">
        <v>41</v>
      </c>
      <c r="W14" s="2" t="s">
        <v>86</v>
      </c>
      <c r="Y14" s="2" t="s">
        <v>94</v>
      </c>
      <c r="Z14" s="2" t="s">
        <v>58</v>
      </c>
      <c r="AA14" s="2" t="s">
        <v>82</v>
      </c>
      <c r="AB14" s="2" t="s">
        <v>68</v>
      </c>
      <c r="AC14" s="2" t="s">
        <v>95</v>
      </c>
      <c r="AD14" s="2" t="s">
        <v>82</v>
      </c>
      <c r="AK14" s="2" t="s">
        <v>83</v>
      </c>
      <c r="AL14" s="2" t="s">
        <v>58</v>
      </c>
      <c r="AM14" s="2" t="s">
        <v>71</v>
      </c>
    </row>
    <row r="15" spans="1:39" ht="16" customHeight="1" x14ac:dyDescent="0.2">
      <c r="A15" s="2" t="s">
        <v>96</v>
      </c>
      <c r="D15" s="2" t="s">
        <v>79</v>
      </c>
      <c r="E15" t="str">
        <f t="shared" si="0"/>
        <v>3</v>
      </c>
      <c r="F15" t="str">
        <f t="shared" si="1"/>
        <v>Bauernfeind_etal_2013</v>
      </c>
      <c r="G15" t="str">
        <f t="shared" si="2"/>
        <v>Bauernfeind</v>
      </c>
      <c r="H15" t="str">
        <f t="shared" si="16"/>
        <v>etal</v>
      </c>
      <c r="I15" t="str">
        <f t="shared" si="4"/>
        <v>2013</v>
      </c>
      <c r="J15" t="str">
        <f t="shared" si="5"/>
        <v>10.1016/j.jhevol.2012.12.003</v>
      </c>
      <c r="K15" t="str">
        <f t="shared" si="6"/>
        <v>Bauernfeind_etal_2013_Table1</v>
      </c>
      <c r="L15" t="str">
        <f t="shared" si="7"/>
        <v>10.1016%2Fj.jhevol.2012.12.003_Table1</v>
      </c>
      <c r="M15" t="str">
        <f t="array" ref="M15">IFERROR(INDEX(FileList!$A$1:$A$100, MATCH(L15, _xlfn.TEXTBEFORE(FileList!$A$1:$A$100, ".tsv"), 0)), "notfound")</f>
        <v>10.1016%2Fj.jhevol.2012.12.003_Table1.tsv</v>
      </c>
      <c r="N15" s="2" t="s">
        <v>97</v>
      </c>
      <c r="V15" s="2" t="s">
        <v>41</v>
      </c>
      <c r="Y15" s="2" t="s">
        <v>98</v>
      </c>
      <c r="Z15" s="2" t="s">
        <v>58</v>
      </c>
      <c r="AA15" s="2" t="s">
        <v>99</v>
      </c>
      <c r="AB15" s="2" t="s">
        <v>68</v>
      </c>
      <c r="AC15" s="2" t="s">
        <v>95</v>
      </c>
      <c r="AK15" s="2" t="s">
        <v>100</v>
      </c>
      <c r="AL15" s="2" t="s">
        <v>58</v>
      </c>
      <c r="AM15" s="2" t="s">
        <v>71</v>
      </c>
    </row>
    <row r="16" spans="1:39" ht="16" customHeight="1" x14ac:dyDescent="0.2">
      <c r="A16" s="2" t="s">
        <v>96</v>
      </c>
      <c r="D16" s="2" t="s">
        <v>101</v>
      </c>
      <c r="E16" t="str">
        <f t="shared" si="0"/>
        <v>3</v>
      </c>
      <c r="F16" t="str">
        <f t="shared" si="1"/>
        <v>Bauernfeind_etal_2013</v>
      </c>
      <c r="G16" t="str">
        <f t="shared" si="2"/>
        <v>Bauernfeind</v>
      </c>
      <c r="H16" t="str">
        <f t="shared" si="16"/>
        <v>etal</v>
      </c>
      <c r="I16" t="str">
        <f t="shared" si="4"/>
        <v>2013</v>
      </c>
      <c r="J16" t="str">
        <f t="shared" si="5"/>
        <v>10.1016/j.jhevol.2012.12.003</v>
      </c>
      <c r="K16" t="str">
        <f t="shared" si="6"/>
        <v>Bauernfeind_etal_2013_Table2</v>
      </c>
      <c r="L16" t="str">
        <f t="shared" si="7"/>
        <v>10.1016%2Fj.jhevol.2012.12.003_Table2</v>
      </c>
      <c r="M16" t="str">
        <f t="array" ref="M16">IFERROR(INDEX(FileList!$A$1:$A$100, MATCH(L16, _xlfn.TEXTBEFORE(FileList!$A$1:$A$100, ".tsv"), 0)), "notfound")</f>
        <v>10.1016%2Fj.jhevol.2012.12.003_Table2.tsv</v>
      </c>
      <c r="V16" s="2" t="s">
        <v>41</v>
      </c>
      <c r="Y16" s="2" t="s">
        <v>98</v>
      </c>
      <c r="Z16" s="2" t="s">
        <v>58</v>
      </c>
      <c r="AA16" s="2" t="s">
        <v>99</v>
      </c>
      <c r="AB16" s="2" t="s">
        <v>68</v>
      </c>
      <c r="AC16" s="2" t="s">
        <v>95</v>
      </c>
      <c r="AK16" s="2" t="s">
        <v>100</v>
      </c>
      <c r="AL16" s="2" t="s">
        <v>58</v>
      </c>
      <c r="AM16" s="2" t="s">
        <v>71</v>
      </c>
    </row>
    <row r="17" spans="1:39" ht="16" customHeight="1" x14ac:dyDescent="0.2">
      <c r="A17" s="2" t="s">
        <v>96</v>
      </c>
      <c r="D17" s="2" t="s">
        <v>102</v>
      </c>
      <c r="E17" t="str">
        <f t="shared" ref="E17" si="33">RIGHT(A17,1)</f>
        <v>3</v>
      </c>
      <c r="F17" t="str">
        <f t="shared" ref="F17" si="34">G17 &amp; IF(H17&lt;&gt;"", "_" &amp; H17, "_") &amp; IF(I17&lt;&gt;"", "_" &amp; I17, "_") &amp; IF(B17&lt;&gt;"", "_" &amp; B17, "")</f>
        <v>Bauernfeind_etal_2013</v>
      </c>
      <c r="G17" t="str">
        <f t="shared" ref="G17" si="35">SUBSTITUTE(SUBSTITUTE(_xlfn.TEXTBEFORE(A17,","), "-", ""), " ", "")</f>
        <v>Bauernfeind</v>
      </c>
      <c r="H17" t="str">
        <f t="shared" ref="H17" si="36">_xlfn.LET(_xlpm.authorPart,_xlfn.TEXTBEFORE(A17," ("),IFERROR(IF(ISNUMBER(FIND("&amp;",_xlpm.authorPart)),IF(LEN(A17)-LEN(SUBSTITUTE(A17,",",""))&gt;=6,"etal",_xlfn.TEXTBEFORE(_xlfn.TEXTAFTER(_xlpm.authorPart,"&amp; "),",")),""),""))</f>
        <v>etal</v>
      </c>
      <c r="I17" t="str">
        <f t="shared" ref="I17" si="37">_xlfn.TEXTBEFORE(_xlfn.TEXTAFTER(A17, "("), ")")</f>
        <v>2013</v>
      </c>
      <c r="J17" t="str">
        <f t="shared" ref="J17" si="38">IF(C17&lt;&gt;"", C17, IF(C17="", _xlfn.TEXTAFTER(A17,"https://doi.org/"), C17))</f>
        <v>10.1016/j.jhevol.2012.12.003</v>
      </c>
      <c r="K17" t="str">
        <f t="shared" ref="K17" si="39">TRIM(_xlfn.TEXTJOIN("_",FALSE,F17,(SUBSTITUTE(SUBSTITUTE(D17," ",""), "_", ""))))</f>
        <v>Bauernfeind_etal_2013_Table3</v>
      </c>
      <c r="L17" t="str">
        <f t="shared" ref="L17" si="40">IF(ISBLANK(C17),TRIM(SUBSTITUTE(SUBSTITUTE(SUBSTITUTE(_xlfn.TEXTJOIN("_", FALSE, J17, SUBSTITUTE(D17,"_", "")), "/", "%2F"), ":", "%3A"), " ", "")),TRIM(SUBSTITUTE(SUBSTITUTE(SUBSTITUTE(_xlfn.TEXTJOIN("_", FALSE, C17, SUBSTITUTE(D17,"_", "")), "/", "%2F"), ":", "%3A"), " ", "")))</f>
        <v>10.1016%2Fj.jhevol.2012.12.003_Table3</v>
      </c>
      <c r="M17" t="str">
        <f t="array" ref="M17">IFERROR(INDEX(FileList!$A$1:$A$100, MATCH(L17, _xlfn.TEXTBEFORE(FileList!$A$1:$A$100, ".tsv"), 0)), "notfound")</f>
        <v>notfound</v>
      </c>
      <c r="V17" s="2" t="s">
        <v>41</v>
      </c>
      <c r="Y17" s="2" t="s">
        <v>98</v>
      </c>
      <c r="Z17" s="2" t="s">
        <v>58</v>
      </c>
      <c r="AA17" s="2" t="s">
        <v>99</v>
      </c>
      <c r="AB17" s="2" t="s">
        <v>68</v>
      </c>
      <c r="AC17" s="2" t="s">
        <v>95</v>
      </c>
      <c r="AK17" s="2" t="s">
        <v>100</v>
      </c>
      <c r="AL17" s="2" t="s">
        <v>58</v>
      </c>
      <c r="AM17" s="2" t="s">
        <v>71</v>
      </c>
    </row>
    <row r="18" spans="1:39" ht="16" customHeight="1" x14ac:dyDescent="0.2">
      <c r="A18" s="2" t="s">
        <v>103</v>
      </c>
      <c r="C18" s="2" t="s">
        <v>104</v>
      </c>
      <c r="D18" s="2" t="s">
        <v>105</v>
      </c>
      <c r="E18" t="str">
        <f t="shared" si="0"/>
        <v>0</v>
      </c>
      <c r="F18" t="str">
        <f t="shared" si="1"/>
        <v>Brodmann__1913</v>
      </c>
      <c r="G18" t="str">
        <f t="shared" si="2"/>
        <v>Brodmann</v>
      </c>
      <c r="H18" t="str">
        <f t="shared" si="16"/>
        <v/>
      </c>
      <c r="I18" t="str">
        <f t="shared" si="4"/>
        <v>1913</v>
      </c>
      <c r="J18" t="str">
        <f t="shared" si="5"/>
        <v>10.0000/placeholder</v>
      </c>
      <c r="K18" t="str">
        <f t="shared" si="6"/>
        <v>Brodmann__1913_Tabelle1</v>
      </c>
      <c r="L18" t="str">
        <f t="shared" si="7"/>
        <v>10.0000%2Fplaceholder_Tabelle1</v>
      </c>
      <c r="M18" t="str">
        <f t="array" ref="M18">IFERROR(INDEX(FileList!$A$1:$A$100, MATCH(L18, _xlfn.TEXTBEFORE(FileList!$A$1:$A$100, ".tsv"), 0)), "notfound")</f>
        <v>notfound</v>
      </c>
      <c r="Y18" s="2" t="s">
        <v>106</v>
      </c>
      <c r="AK18" s="2" t="s">
        <v>107</v>
      </c>
      <c r="AL18" s="2" t="s">
        <v>58</v>
      </c>
      <c r="AM18" s="2" t="s">
        <v>106</v>
      </c>
    </row>
    <row r="19" spans="1:39" ht="16" customHeight="1" x14ac:dyDescent="0.2">
      <c r="A19" s="2" t="s">
        <v>108</v>
      </c>
      <c r="D19" s="2" t="s">
        <v>109</v>
      </c>
      <c r="E19" t="str">
        <f t="shared" si="0"/>
        <v>3</v>
      </c>
      <c r="F19" t="str">
        <f t="shared" si="1"/>
        <v>Burger_etal_2019</v>
      </c>
      <c r="G19" t="str">
        <f t="shared" si="2"/>
        <v>Burger</v>
      </c>
      <c r="H19" t="str">
        <f t="shared" si="16"/>
        <v>etal</v>
      </c>
      <c r="I19" t="str">
        <f t="shared" si="4"/>
        <v>2019</v>
      </c>
      <c r="J19" t="str">
        <f t="shared" si="5"/>
        <v>10.1093/jmammal/gyz043</v>
      </c>
      <c r="K19" t="str">
        <f t="shared" si="6"/>
        <v>Burger_etal_2019_SupplementaryDataSD1</v>
      </c>
      <c r="L19" t="str">
        <f t="shared" si="7"/>
        <v>10.1093%2Fjmammal%2Fgyz043_SupplementaryDataSD1</v>
      </c>
      <c r="M19" t="str">
        <f t="array" ref="M19">IFERROR(INDEX(FileList!$A$1:$A$100, MATCH(L19, _xlfn.TEXTBEFORE(FileList!$A$1:$A$100, ".tsv"), 0)), "notfound")</f>
        <v>10.1093%2Fjmammal%2Fgyz043_SupplementaryDataSD1.tsv</v>
      </c>
      <c r="O19" s="2" t="s">
        <v>110</v>
      </c>
      <c r="P19" s="2" t="s">
        <v>49</v>
      </c>
      <c r="Q19" s="2" t="s">
        <v>111</v>
      </c>
      <c r="R19" s="2" t="s">
        <v>112</v>
      </c>
      <c r="S19" s="2" t="s">
        <v>113</v>
      </c>
      <c r="T19" s="2" t="str">
        <f>IF(S19="N", R19, "write file name")</f>
        <v>gyz043_suppl_Supplement_Data.csv</v>
      </c>
      <c r="U19" s="2" t="s">
        <v>114</v>
      </c>
      <c r="V19" s="2" t="s">
        <v>41</v>
      </c>
      <c r="W19" s="2" t="s">
        <v>115</v>
      </c>
      <c r="Y19" s="2" t="s">
        <v>116</v>
      </c>
      <c r="Z19" s="2" t="s">
        <v>117</v>
      </c>
      <c r="AF19" s="2" t="s">
        <v>118</v>
      </c>
      <c r="AG19" s="2" t="s">
        <v>119</v>
      </c>
      <c r="AK19" s="2" t="s">
        <v>120</v>
      </c>
      <c r="AL19" s="2" t="s">
        <v>117</v>
      </c>
      <c r="AM19" s="2" t="s">
        <v>121</v>
      </c>
    </row>
    <row r="20" spans="1:39" ht="16" customHeight="1" x14ac:dyDescent="0.2">
      <c r="A20" s="2" t="s">
        <v>122</v>
      </c>
      <c r="D20" s="2" t="s">
        <v>123</v>
      </c>
      <c r="E20" t="str">
        <f t="shared" si="0"/>
        <v>9</v>
      </c>
      <c r="F20" t="str">
        <f t="shared" si="1"/>
        <v>Burish_etal_2010</v>
      </c>
      <c r="G20" t="str">
        <f t="shared" si="2"/>
        <v>Burish</v>
      </c>
      <c r="H20" t="str">
        <f t="shared" si="16"/>
        <v>etal</v>
      </c>
      <c r="I20" t="str">
        <f t="shared" si="4"/>
        <v>2010</v>
      </c>
      <c r="J20" t="str">
        <f t="shared" si="5"/>
        <v>10.1159/000319019</v>
      </c>
      <c r="K20" t="str">
        <f t="shared" si="6"/>
        <v>Burish_etal_2010_SupplementaryTable1</v>
      </c>
      <c r="L20" t="str">
        <f t="shared" si="7"/>
        <v>10.1159%2F000319019_SupplementaryTable1</v>
      </c>
      <c r="M20" t="str">
        <f t="array" ref="M20">IFERROR(INDEX(FileList!$A$1:$A$100, MATCH(L20, _xlfn.TEXTBEFORE(FileList!$A$1:$A$100, ".tsv"), 0)), "notfound")</f>
        <v>10.1159%2F000319019_SupplementaryTable1.tsv</v>
      </c>
      <c r="N20" s="2" t="s">
        <v>124</v>
      </c>
      <c r="P20" s="2" t="s">
        <v>125</v>
      </c>
      <c r="R20" s="2" t="s">
        <v>126</v>
      </c>
      <c r="Z20" s="2" t="s">
        <v>127</v>
      </c>
      <c r="AA20" s="2" t="s">
        <v>59</v>
      </c>
      <c r="AC20" s="2" t="s">
        <v>60</v>
      </c>
      <c r="AD20" s="2" t="s">
        <v>59</v>
      </c>
      <c r="AE20" s="2" t="s">
        <v>128</v>
      </c>
      <c r="AG20" s="2" t="s">
        <v>129</v>
      </c>
      <c r="AK20" s="2" t="s">
        <v>130</v>
      </c>
      <c r="AL20" s="2" t="s">
        <v>42</v>
      </c>
      <c r="AM20" s="2" t="s">
        <v>42</v>
      </c>
    </row>
    <row r="21" spans="1:39" ht="16" customHeight="1" x14ac:dyDescent="0.2">
      <c r="A21" s="2" t="s">
        <v>122</v>
      </c>
      <c r="D21" s="2" t="s">
        <v>79</v>
      </c>
      <c r="E21" t="str">
        <f t="shared" si="0"/>
        <v>9</v>
      </c>
      <c r="F21" t="str">
        <f t="shared" si="1"/>
        <v>Burish_etal_2010</v>
      </c>
      <c r="G21" t="str">
        <f t="shared" si="2"/>
        <v>Burish</v>
      </c>
      <c r="H21" t="str">
        <f t="shared" si="16"/>
        <v>etal</v>
      </c>
      <c r="I21" t="str">
        <f t="shared" si="4"/>
        <v>2010</v>
      </c>
      <c r="J21" t="str">
        <f t="shared" si="5"/>
        <v>10.1159/000319019</v>
      </c>
      <c r="K21" t="str">
        <f t="shared" si="6"/>
        <v>Burish_etal_2010_Table1</v>
      </c>
      <c r="L21" t="str">
        <f t="shared" si="7"/>
        <v>10.1159%2F000319019_Table1</v>
      </c>
      <c r="M21" t="str">
        <f t="array" ref="M21">IFERROR(INDEX(FileList!$A$1:$A$100, MATCH(L21, _xlfn.TEXTBEFORE(FileList!$A$1:$A$100, ".tsv"), 0)), "notfound")</f>
        <v>10.1159%2F000319019_Table1.tsv</v>
      </c>
      <c r="N21" s="2" t="s">
        <v>131</v>
      </c>
      <c r="P21" s="2" t="s">
        <v>49</v>
      </c>
      <c r="Q21" s="2" t="s">
        <v>50</v>
      </c>
      <c r="R21" s="2" t="s">
        <v>132</v>
      </c>
      <c r="T21" s="2" t="s">
        <v>133</v>
      </c>
      <c r="U21" s="2" t="s">
        <v>54</v>
      </c>
      <c r="V21" s="2" t="s">
        <v>41</v>
      </c>
      <c r="X21" s="2" t="s">
        <v>134</v>
      </c>
      <c r="Z21" s="2" t="s">
        <v>135</v>
      </c>
      <c r="AA21" s="2" t="s">
        <v>59</v>
      </c>
      <c r="AC21" s="2" t="s">
        <v>60</v>
      </c>
      <c r="AD21" s="2" t="s">
        <v>59</v>
      </c>
      <c r="AE21" s="2" t="s">
        <v>128</v>
      </c>
      <c r="AG21" s="2" t="s">
        <v>129</v>
      </c>
      <c r="AH21" s="2" t="s">
        <v>136</v>
      </c>
      <c r="AK21" s="2" t="s">
        <v>130</v>
      </c>
      <c r="AL21" s="2" t="s">
        <v>42</v>
      </c>
      <c r="AM21" s="2" t="s">
        <v>42</v>
      </c>
    </row>
    <row r="22" spans="1:39" ht="16" customHeight="1" x14ac:dyDescent="0.2">
      <c r="A22" s="2" t="s">
        <v>137</v>
      </c>
      <c r="D22" s="2" t="s">
        <v>79</v>
      </c>
      <c r="E22" t="str">
        <f t="shared" si="0"/>
        <v>0</v>
      </c>
      <c r="F22" t="str">
        <f t="shared" si="1"/>
        <v>Bush_Allman_2003</v>
      </c>
      <c r="G22" t="str">
        <f t="shared" si="2"/>
        <v>Bush</v>
      </c>
      <c r="H22" t="str">
        <f t="shared" si="16"/>
        <v>Allman</v>
      </c>
      <c r="I22" t="str">
        <f t="shared" si="4"/>
        <v>2003</v>
      </c>
      <c r="J22" t="str">
        <f t="shared" si="5"/>
        <v>10.1159/000068880</v>
      </c>
      <c r="K22" t="str">
        <f t="shared" si="6"/>
        <v>Bush_Allman_2003_Table1</v>
      </c>
      <c r="L22" t="str">
        <f t="shared" si="7"/>
        <v>10.1159%2F000068880_Table1</v>
      </c>
      <c r="M22" t="str">
        <f t="array" ref="M22">IFERROR(INDEX(FileList!$A$1:$A$100, MATCH(L22, _xlfn.TEXTBEFORE(FileList!$A$1:$A$100, ".tsv"), 0)), "notfound")</f>
        <v>10.1159%2F000068880_Table1.tsv</v>
      </c>
      <c r="N22" s="2" t="s">
        <v>138</v>
      </c>
      <c r="P22" s="2" t="s">
        <v>139</v>
      </c>
    </row>
    <row r="23" spans="1:39" ht="16" customHeight="1" x14ac:dyDescent="0.2">
      <c r="A23" s="2" t="s">
        <v>140</v>
      </c>
      <c r="B23" s="2" t="s">
        <v>141</v>
      </c>
      <c r="D23" s="2" t="s">
        <v>101</v>
      </c>
      <c r="E23" t="str">
        <f t="shared" si="0"/>
        <v>1</v>
      </c>
      <c r="F23" t="str">
        <f t="shared" si="1"/>
        <v>Bush_Allman_2004_a</v>
      </c>
      <c r="G23" t="str">
        <f t="shared" si="2"/>
        <v>Bush</v>
      </c>
      <c r="H23" t="str">
        <f t="shared" si="16"/>
        <v>Allman</v>
      </c>
      <c r="I23" t="str">
        <f t="shared" si="4"/>
        <v>2004</v>
      </c>
      <c r="J23" t="str">
        <f t="shared" si="5"/>
        <v>10.1073/pnas.0305760101</v>
      </c>
      <c r="K23" t="str">
        <f t="shared" si="6"/>
        <v>Bush_Allman_2004_a_Table2</v>
      </c>
      <c r="L23" t="str">
        <f t="shared" si="7"/>
        <v>10.1073%2Fpnas.0305760101_Table2</v>
      </c>
      <c r="M23" t="str">
        <f t="array" ref="M23">IFERROR(INDEX(FileList!$A$1:$A$100, MATCH(L23, _xlfn.TEXTBEFORE(FileList!$A$1:$A$100, ".tsv"), 0)), "notfound")</f>
        <v>10.1073%2Fpnas.0305760101_Table2.tsv</v>
      </c>
      <c r="N23" s="2" t="s">
        <v>142</v>
      </c>
      <c r="P23" s="2" t="s">
        <v>143</v>
      </c>
      <c r="R23" s="2" t="s">
        <v>144</v>
      </c>
      <c r="S23" s="2" t="s">
        <v>52</v>
      </c>
      <c r="T23" s="2" t="s">
        <v>145</v>
      </c>
      <c r="U23" s="2" t="s">
        <v>54</v>
      </c>
      <c r="V23" s="2" t="s">
        <v>41</v>
      </c>
      <c r="Y23" s="2" t="s">
        <v>146</v>
      </c>
      <c r="Z23" s="2" t="s">
        <v>58</v>
      </c>
      <c r="AA23" s="2" t="s">
        <v>147</v>
      </c>
      <c r="AB23" s="2" t="s">
        <v>68</v>
      </c>
      <c r="AC23" s="2" t="s">
        <v>95</v>
      </c>
      <c r="AD23" s="2" t="s">
        <v>148</v>
      </c>
      <c r="AG23" s="2" t="s">
        <v>149</v>
      </c>
    </row>
    <row r="24" spans="1:39" ht="16" customHeight="1" x14ac:dyDescent="0.2">
      <c r="A24" s="2" t="s">
        <v>150</v>
      </c>
      <c r="B24" s="2" t="s">
        <v>151</v>
      </c>
      <c r="D24" s="2" t="s">
        <v>47</v>
      </c>
      <c r="E24" t="str">
        <f t="shared" si="0"/>
        <v>4</v>
      </c>
      <c r="F24" t="str">
        <f t="shared" si="1"/>
        <v>Bush_Allman_2004_b</v>
      </c>
      <c r="G24" t="str">
        <f t="shared" si="2"/>
        <v>Bush</v>
      </c>
      <c r="H24" t="str">
        <f t="shared" si="16"/>
        <v>Allman</v>
      </c>
      <c r="I24" t="str">
        <f t="shared" si="4"/>
        <v>2004</v>
      </c>
      <c r="J24" t="str">
        <f t="shared" si="5"/>
        <v>10.1002/ar.a.20114</v>
      </c>
      <c r="K24" t="str">
        <f t="shared" si="6"/>
        <v>Bush_Allman_2004_b_TABLE1</v>
      </c>
      <c r="L24" t="str">
        <f t="shared" si="7"/>
        <v>10.1002%2Far.a.20114_TABLE1</v>
      </c>
      <c r="M24" t="str">
        <f t="array" ref="M24">IFERROR(INDEX(FileList!$A$1:$A$100, MATCH(L24, _xlfn.TEXTBEFORE(FileList!$A$1:$A$100, ".tsv"), 0)), "notfound")</f>
        <v>10.1002%2Far.a.20114_Table1.tsv</v>
      </c>
      <c r="N24" s="2" t="s">
        <v>152</v>
      </c>
      <c r="P24" s="2" t="s">
        <v>143</v>
      </c>
      <c r="R24" s="2" t="s">
        <v>153</v>
      </c>
      <c r="S24" s="2" t="s">
        <v>52</v>
      </c>
      <c r="T24" s="2" t="s">
        <v>154</v>
      </c>
      <c r="U24" s="2" t="s">
        <v>54</v>
      </c>
      <c r="V24" s="2" t="s">
        <v>41</v>
      </c>
      <c r="Y24" s="2" t="s">
        <v>155</v>
      </c>
      <c r="Z24" s="2" t="s">
        <v>58</v>
      </c>
      <c r="AA24" s="2" t="s">
        <v>147</v>
      </c>
      <c r="AB24" s="2" t="s">
        <v>68</v>
      </c>
      <c r="AC24" s="2" t="s">
        <v>156</v>
      </c>
      <c r="AD24" s="2" t="s">
        <v>148</v>
      </c>
      <c r="AG24" s="2" t="s">
        <v>157</v>
      </c>
    </row>
    <row r="25" spans="1:39" ht="16" customHeight="1" x14ac:dyDescent="0.2">
      <c r="A25" s="2" t="s">
        <v>158</v>
      </c>
      <c r="D25" s="2" t="s">
        <v>159</v>
      </c>
      <c r="E25" t="str">
        <f t="shared" si="0"/>
        <v>5</v>
      </c>
      <c r="F25" t="str">
        <f t="shared" si="1"/>
        <v>Caspar_etal_2022</v>
      </c>
      <c r="G25" t="str">
        <f t="shared" si="2"/>
        <v>Caspar</v>
      </c>
      <c r="H25" t="str">
        <f t="shared" si="16"/>
        <v>etal</v>
      </c>
      <c r="I25" t="str">
        <f t="shared" si="4"/>
        <v>2022</v>
      </c>
      <c r="J25" t="str">
        <f t="shared" si="5"/>
        <v>10.7554/eLife.77875</v>
      </c>
      <c r="K25" t="str">
        <f t="shared" si="6"/>
        <v>Caspar_etal_2022_Supplementaryfile3</v>
      </c>
      <c r="L25" t="str">
        <f t="shared" si="7"/>
        <v>10.7554%2FeLife.77875_Supplementaryfile3</v>
      </c>
      <c r="M25" t="str">
        <f t="array" ref="M25">IFERROR(INDEX(FileList!$A$1:$A$100, MATCH(L25, _xlfn.TEXTBEFORE(FileList!$A$1:$A$100, ".tsv"), 0)), "notfound")</f>
        <v>10.7554%2FeLife.77875_Supplementaryfile3.tsv</v>
      </c>
      <c r="N25" s="2" t="s">
        <v>160</v>
      </c>
      <c r="P25" s="2" t="s">
        <v>49</v>
      </c>
      <c r="Q25" s="2" t="s">
        <v>50</v>
      </c>
      <c r="R25" s="2" t="s">
        <v>161</v>
      </c>
      <c r="S25" s="2" t="s">
        <v>113</v>
      </c>
      <c r="T25" s="2" t="str">
        <f>IF(S25="N", R25, "write file name")</f>
        <v>elife-77875-supp3-v1.xlsx</v>
      </c>
      <c r="U25" s="2" t="s">
        <v>162</v>
      </c>
      <c r="V25" s="2" t="s">
        <v>41</v>
      </c>
      <c r="W25" s="2" t="s">
        <v>163</v>
      </c>
      <c r="X25" s="2" t="s">
        <v>164</v>
      </c>
      <c r="Y25" s="2" t="s">
        <v>165</v>
      </c>
      <c r="Z25" s="2" t="s">
        <v>117</v>
      </c>
      <c r="AG25" s="2" t="s">
        <v>157</v>
      </c>
      <c r="AK25" s="2" t="s">
        <v>100</v>
      </c>
      <c r="AL25" s="2" t="s">
        <v>117</v>
      </c>
      <c r="AM25" s="2" t="s">
        <v>166</v>
      </c>
    </row>
    <row r="26" spans="1:39" ht="16" customHeight="1" x14ac:dyDescent="0.2">
      <c r="A26" s="2" t="s">
        <v>158</v>
      </c>
      <c r="D26" s="2" t="s">
        <v>79</v>
      </c>
      <c r="E26" t="str">
        <f t="shared" si="0"/>
        <v>5</v>
      </c>
      <c r="F26" t="str">
        <f t="shared" si="1"/>
        <v>Caspar_etal_2022</v>
      </c>
      <c r="G26" t="str">
        <f t="shared" si="2"/>
        <v>Caspar</v>
      </c>
      <c r="H26" t="str">
        <f t="shared" si="16"/>
        <v>etal</v>
      </c>
      <c r="I26" t="str">
        <f t="shared" si="4"/>
        <v>2022</v>
      </c>
      <c r="J26" t="str">
        <f t="shared" si="5"/>
        <v>10.7554/eLife.77875</v>
      </c>
      <c r="K26" t="str">
        <f t="shared" si="6"/>
        <v>Caspar_etal_2022_Table1</v>
      </c>
      <c r="L26" t="str">
        <f t="shared" si="7"/>
        <v>10.7554%2FeLife.77875_Table1</v>
      </c>
      <c r="M26" t="str">
        <f t="array" ref="M26">IFERROR(INDEX(FileList!$A$1:$A$100, MATCH(L26, _xlfn.TEXTBEFORE(FileList!$A$1:$A$100, ".tsv"), 0)), "notfound")</f>
        <v>10.7554%2FeLife.77875_Table1.tsv</v>
      </c>
      <c r="N26" s="2" t="s">
        <v>167</v>
      </c>
      <c r="P26" s="2" t="s">
        <v>49</v>
      </c>
      <c r="Q26" s="2" t="s">
        <v>50</v>
      </c>
      <c r="R26" s="2" t="s">
        <v>168</v>
      </c>
      <c r="S26" s="2" t="s">
        <v>52</v>
      </c>
      <c r="T26" s="2" t="s">
        <v>169</v>
      </c>
      <c r="U26" s="2" t="s">
        <v>54</v>
      </c>
      <c r="V26" s="2" t="s">
        <v>41</v>
      </c>
      <c r="W26" s="2" t="s">
        <v>170</v>
      </c>
      <c r="X26" s="2" t="s">
        <v>171</v>
      </c>
      <c r="Y26" s="2" t="s">
        <v>172</v>
      </c>
      <c r="Z26" s="2" t="s">
        <v>173</v>
      </c>
      <c r="AF26" s="2" t="s">
        <v>174</v>
      </c>
      <c r="AG26" s="2" t="s">
        <v>157</v>
      </c>
      <c r="AK26" s="2" t="s">
        <v>100</v>
      </c>
      <c r="AL26" s="2" t="s">
        <v>117</v>
      </c>
      <c r="AM26" s="2" t="s">
        <v>175</v>
      </c>
    </row>
    <row r="27" spans="1:39" ht="16" customHeight="1" x14ac:dyDescent="0.2">
      <c r="A27" s="2" t="s">
        <v>176</v>
      </c>
      <c r="D27" s="2" t="s">
        <v>177</v>
      </c>
      <c r="E27" t="str">
        <f t="shared" si="0"/>
        <v>5</v>
      </c>
      <c r="F27" t="str">
        <f t="shared" si="1"/>
        <v>Changizi__2001</v>
      </c>
      <c r="G27" t="str">
        <f t="shared" si="2"/>
        <v>Changizi</v>
      </c>
      <c r="H27" t="str">
        <f t="shared" si="16"/>
        <v/>
      </c>
      <c r="I27" t="str">
        <f t="shared" si="4"/>
        <v>2001</v>
      </c>
      <c r="J27" t="str">
        <f t="shared" si="5"/>
        <v>10.1007/s004220000205</v>
      </c>
      <c r="K27" t="str">
        <f t="shared" si="6"/>
        <v>Changizi__2001_Figure3</v>
      </c>
      <c r="L27" t="str">
        <f t="shared" ref="L27:L34" si="41">IF(ISBLANK(C27),TRIM(SUBSTITUTE(SUBSTITUTE(SUBSTITUTE(_xlfn.TEXTJOIN("_", FALSE, J27, SUBSTITUTE(D27,"_", "")), "/", "%2F"), ":", "%3A"), " ", "")),TRIM(SUBSTITUTE(SUBSTITUTE(SUBSTITUTE(_xlfn.TEXTJOIN("_", FALSE, C27, SUBSTITUTE(D27,"_", "")), "/", "%2F"), ":", "%3A"), " ", "")))</f>
        <v>10.1007%2Fs004220000205_Figure3</v>
      </c>
      <c r="M27" t="str">
        <f t="array" ref="M27">IFERROR(INDEX(FileList!$A$1:$A$100, MATCH(L27, _xlfn.TEXTBEFORE(FileList!$A$1:$A$100, ".tsv"), 0)), "notfound")</f>
        <v>10.1007%2Fs004220000205_Figure3.tsv</v>
      </c>
      <c r="P27" s="2" t="s">
        <v>178</v>
      </c>
      <c r="Q27" s="2" t="s">
        <v>179</v>
      </c>
      <c r="R27" s="2" t="s">
        <v>180</v>
      </c>
      <c r="S27" s="2" t="s">
        <v>52</v>
      </c>
      <c r="T27" s="2" t="s">
        <v>181</v>
      </c>
      <c r="U27" s="2" t="s">
        <v>54</v>
      </c>
      <c r="V27" s="2" t="s">
        <v>182</v>
      </c>
      <c r="W27" s="2" t="s">
        <v>183</v>
      </c>
      <c r="Y27" s="2" t="s">
        <v>184</v>
      </c>
      <c r="Z27" s="2" t="s">
        <v>185</v>
      </c>
      <c r="AF27" s="2" t="s">
        <v>186</v>
      </c>
      <c r="AK27" s="2" t="s">
        <v>120</v>
      </c>
      <c r="AL27" s="2" t="s">
        <v>117</v>
      </c>
      <c r="AM27" s="2" t="s">
        <v>187</v>
      </c>
    </row>
    <row r="28" spans="1:39" ht="16" customHeight="1" x14ac:dyDescent="0.2">
      <c r="A28" s="2" t="s">
        <v>188</v>
      </c>
      <c r="D28" s="2" t="s">
        <v>189</v>
      </c>
      <c r="E28" t="str">
        <f t="shared" si="0"/>
        <v>3</v>
      </c>
      <c r="F28" t="str">
        <f t="shared" si="1"/>
        <v>Chen_Wiens_2020</v>
      </c>
      <c r="G28" t="str">
        <f t="shared" si="2"/>
        <v>Chen</v>
      </c>
      <c r="H28" t="str">
        <f t="shared" si="16"/>
        <v>Wiens</v>
      </c>
      <c r="I28" t="str">
        <f t="shared" si="4"/>
        <v>2020</v>
      </c>
      <c r="J28" t="str">
        <f t="shared" si="5"/>
        <v>10.1038/s41467-020-14356-3</v>
      </c>
      <c r="K28" t="str">
        <f t="shared" si="6"/>
        <v>Chen_Wiens_2020_SupplementaryData3</v>
      </c>
      <c r="L28" t="str">
        <f t="shared" si="41"/>
        <v>10.1038%2Fs41467-020-14356-3_SupplementaryData3</v>
      </c>
      <c r="M28" t="str">
        <f t="array" ref="M28">IFERROR(INDEX(FileList!$A$1:$A$100, MATCH(L28, _xlfn.TEXTBEFORE(FileList!$A$1:$A$100, ".tsv"), 0)), "notfound")</f>
        <v>10.1038%2Fs41467-020-14356-3_SupplementaryData3.tsv</v>
      </c>
      <c r="P28" s="2" t="s">
        <v>49</v>
      </c>
      <c r="Q28" s="2" t="s">
        <v>50</v>
      </c>
      <c r="R28" s="2" t="s">
        <v>190</v>
      </c>
      <c r="S28" s="2" t="s">
        <v>113</v>
      </c>
      <c r="T28" s="2" t="str">
        <f>IF(S28="N", R28, "write file name")</f>
        <v>41467_2020_14356_MOESM6_ESM.xlsx</v>
      </c>
      <c r="U28" s="2" t="s">
        <v>162</v>
      </c>
      <c r="V28" s="2" t="s">
        <v>41</v>
      </c>
      <c r="W28" s="2" t="s">
        <v>163</v>
      </c>
      <c r="X28" s="2" t="s">
        <v>191</v>
      </c>
      <c r="Y28" s="2" t="s">
        <v>192</v>
      </c>
      <c r="Z28" s="2" t="s">
        <v>117</v>
      </c>
      <c r="AE28" s="2" t="s">
        <v>193</v>
      </c>
      <c r="AF28" s="2" t="s">
        <v>194</v>
      </c>
      <c r="AG28" s="2" t="s">
        <v>195</v>
      </c>
      <c r="AK28" s="2" t="s">
        <v>196</v>
      </c>
      <c r="AL28" s="2" t="s">
        <v>117</v>
      </c>
      <c r="AM28" s="2" t="s">
        <v>197</v>
      </c>
    </row>
    <row r="29" spans="1:39" ht="16" customHeight="1" x14ac:dyDescent="0.2">
      <c r="A29" s="2" t="s">
        <v>198</v>
      </c>
      <c r="D29" s="2" t="s">
        <v>199</v>
      </c>
      <c r="E29" t="str">
        <f t="shared" si="0"/>
        <v>7</v>
      </c>
      <c r="F29" t="str">
        <f t="shared" si="1"/>
        <v>Collins_etal_2010</v>
      </c>
      <c r="G29" t="str">
        <f t="shared" si="2"/>
        <v>Collins</v>
      </c>
      <c r="H29" t="str">
        <f t="shared" si="16"/>
        <v>etal</v>
      </c>
      <c r="I29" t="str">
        <f t="shared" si="4"/>
        <v>2010</v>
      </c>
      <c r="J29" t="str">
        <f t="shared" si="5"/>
        <v>10.1073/pnas.1010356107</v>
      </c>
      <c r="K29" t="str">
        <f t="shared" si="6"/>
        <v>Collins_etal_2010_DatasetS1</v>
      </c>
      <c r="L29" t="str">
        <f t="shared" si="41"/>
        <v>10.1073%2Fpnas.1010356107_DatasetS1</v>
      </c>
      <c r="M29" t="str">
        <f t="array" ref="M29">IFERROR(INDEX(FileList!$A$1:$A$100, MATCH(L29, _xlfn.TEXTBEFORE(FileList!$A$1:$A$100, ".tsv"), 0)), "notfound")</f>
        <v>notfound</v>
      </c>
      <c r="Y29" s="2" t="s">
        <v>200</v>
      </c>
      <c r="Z29" s="2" t="s">
        <v>58</v>
      </c>
      <c r="AA29" s="2" t="s">
        <v>201</v>
      </c>
      <c r="AK29" s="2" t="s">
        <v>100</v>
      </c>
      <c r="AL29" s="2" t="s">
        <v>58</v>
      </c>
      <c r="AM29" s="2" t="s">
        <v>106</v>
      </c>
    </row>
    <row r="30" spans="1:39" ht="16" customHeight="1" x14ac:dyDescent="0.2">
      <c r="A30" s="2" t="s">
        <v>202</v>
      </c>
      <c r="D30" s="2" t="s">
        <v>203</v>
      </c>
      <c r="E30" t="str">
        <f t="shared" si="0"/>
        <v>3</v>
      </c>
      <c r="F30" t="str">
        <f t="shared" si="1"/>
        <v>Collins_etal_2016</v>
      </c>
      <c r="G30" t="str">
        <f t="shared" si="2"/>
        <v>Collins</v>
      </c>
      <c r="H30" t="str">
        <f t="shared" si="16"/>
        <v>etal</v>
      </c>
      <c r="I30" t="str">
        <f t="shared" si="4"/>
        <v>2016</v>
      </c>
      <c r="J30" t="str">
        <f t="shared" si="5"/>
        <v>10.1073/pnas.1524208113</v>
      </c>
      <c r="K30" t="str">
        <f t="shared" si="6"/>
        <v>Collins_etal_2016_Table1</v>
      </c>
      <c r="L30" t="str">
        <f t="shared" si="41"/>
        <v>10.1073%2Fpnas.1524208113_Table1</v>
      </c>
      <c r="M30" t="str">
        <f t="array" ref="M30">IFERROR(INDEX(FileList!$A$1:$A$100, MATCH(L30, _xlfn.TEXTBEFORE(FileList!$A$1:$A$100, ".tsv"), 0)), "notfound")</f>
        <v>notfound</v>
      </c>
      <c r="N30" s="2" t="s">
        <v>204</v>
      </c>
      <c r="V30" s="2" t="s">
        <v>41</v>
      </c>
      <c r="Y30" s="2" t="s">
        <v>205</v>
      </c>
      <c r="Z30" s="2" t="s">
        <v>58</v>
      </c>
      <c r="AA30" s="2" t="s">
        <v>201</v>
      </c>
      <c r="AC30" s="2" t="s">
        <v>60</v>
      </c>
      <c r="AD30" s="2" t="s">
        <v>59</v>
      </c>
      <c r="AK30" s="2" t="s">
        <v>100</v>
      </c>
      <c r="AL30" s="2" t="s">
        <v>58</v>
      </c>
      <c r="AM30" s="2" t="s">
        <v>206</v>
      </c>
    </row>
    <row r="31" spans="1:39" ht="16" customHeight="1" x14ac:dyDescent="0.2">
      <c r="A31" s="2" t="s">
        <v>207</v>
      </c>
      <c r="D31" s="2" t="s">
        <v>203</v>
      </c>
      <c r="E31" t="str">
        <f t="shared" si="0"/>
        <v>5</v>
      </c>
      <c r="F31" t="str">
        <f t="shared" si="1"/>
        <v>deSousa_etal_2013</v>
      </c>
      <c r="G31" t="str">
        <f t="shared" si="2"/>
        <v>deSousa</v>
      </c>
      <c r="H31" t="str">
        <f t="shared" si="16"/>
        <v>etal</v>
      </c>
      <c r="I31" t="str">
        <f t="shared" si="4"/>
        <v>2013</v>
      </c>
      <c r="J31" t="str">
        <f t="shared" si="5"/>
        <v>10.1159/000346495</v>
      </c>
      <c r="K31" t="str">
        <f t="shared" si="6"/>
        <v>deSousa_etal_2013_Table1</v>
      </c>
      <c r="L31" t="str">
        <f t="shared" si="41"/>
        <v>10.1159%2F000346495_Table1</v>
      </c>
      <c r="M31" t="str">
        <f t="array" ref="M31">IFERROR(INDEX(FileList!$A$1:$A$100, MATCH(L31, _xlfn.TEXTBEFORE(FileList!$A$1:$A$100, ".tsv"), 0)), "notfound")</f>
        <v>10.1159%2F000346495_Table1.tsv</v>
      </c>
      <c r="N31" s="2" t="s">
        <v>208</v>
      </c>
      <c r="P31" s="2" t="s">
        <v>143</v>
      </c>
      <c r="R31" s="2" t="s">
        <v>209</v>
      </c>
      <c r="S31" s="2" t="s">
        <v>52</v>
      </c>
      <c r="T31" s="2" t="s">
        <v>210</v>
      </c>
      <c r="U31" s="2" t="s">
        <v>54</v>
      </c>
      <c r="V31" s="2" t="s">
        <v>41</v>
      </c>
      <c r="Y31" s="2" t="s">
        <v>211</v>
      </c>
      <c r="Z31" s="2" t="s">
        <v>58</v>
      </c>
      <c r="AA31" s="2" t="s">
        <v>212</v>
      </c>
      <c r="AB31" s="2" t="s">
        <v>68</v>
      </c>
      <c r="AC31" s="2" t="s">
        <v>95</v>
      </c>
      <c r="AD31" s="2" t="s">
        <v>213</v>
      </c>
      <c r="AG31" s="2" t="s">
        <v>214</v>
      </c>
      <c r="AK31" s="2" t="s">
        <v>215</v>
      </c>
      <c r="AL31" s="2" t="s">
        <v>58</v>
      </c>
      <c r="AM31" s="2" t="s">
        <v>71</v>
      </c>
    </row>
    <row r="32" spans="1:39" ht="16" customHeight="1" x14ac:dyDescent="0.2">
      <c r="A32" s="2" t="s">
        <v>216</v>
      </c>
      <c r="D32" s="2" t="s">
        <v>217</v>
      </c>
      <c r="E32" t="str">
        <f t="shared" si="0"/>
        <v>1</v>
      </c>
      <c r="F32" t="str">
        <f t="shared" si="1"/>
        <v>deSousa_etal_2010</v>
      </c>
      <c r="G32" t="str">
        <f t="shared" si="2"/>
        <v>deSousa</v>
      </c>
      <c r="H32" t="str">
        <f t="shared" si="16"/>
        <v>etal</v>
      </c>
      <c r="I32" t="str">
        <f t="shared" si="4"/>
        <v>2010</v>
      </c>
      <c r="J32" t="str">
        <f t="shared" si="5"/>
        <v>10.1016/j.jhevol.2009.11.011</v>
      </c>
      <c r="K32" t="str">
        <f t="shared" si="6"/>
        <v>deSousa_etal_2010_SupTable2</v>
      </c>
      <c r="L32" t="str">
        <f t="shared" si="41"/>
        <v>10.1016%2Fj.jhevol.2009.11.011_SupTable2</v>
      </c>
      <c r="M32" t="str">
        <f t="array" ref="M32">IFERROR(INDEX(FileList!$A$1:$A$100, MATCH(L32, _xlfn.TEXTBEFORE(FileList!$A$1:$A$100, ".tsv"), 0)), "notfound")</f>
        <v>notfound</v>
      </c>
      <c r="N32" s="2" t="s">
        <v>218</v>
      </c>
      <c r="O32" s="2" t="s">
        <v>219</v>
      </c>
      <c r="P32" s="2" t="s">
        <v>49</v>
      </c>
      <c r="R32" s="2" t="s">
        <v>220</v>
      </c>
      <c r="S32" s="2" t="s">
        <v>52</v>
      </c>
      <c r="T32" s="2" t="s">
        <v>221</v>
      </c>
      <c r="V32" s="2" t="s">
        <v>222</v>
      </c>
      <c r="X32" s="2" t="s">
        <v>223</v>
      </c>
      <c r="Y32" s="2" t="s">
        <v>224</v>
      </c>
      <c r="Z32" s="2" t="s">
        <v>58</v>
      </c>
      <c r="AA32" s="2" t="s">
        <v>212</v>
      </c>
      <c r="AB32" s="2" t="s">
        <v>68</v>
      </c>
      <c r="AC32" s="2" t="s">
        <v>95</v>
      </c>
      <c r="AD32" s="2" t="s">
        <v>213</v>
      </c>
      <c r="AF32" s="2" t="s">
        <v>225</v>
      </c>
      <c r="AG32" s="2" t="s">
        <v>226</v>
      </c>
      <c r="AH32" s="2" t="s">
        <v>227</v>
      </c>
      <c r="AI32" s="2" t="s">
        <v>228</v>
      </c>
      <c r="AK32" s="2" t="s">
        <v>215</v>
      </c>
      <c r="AL32" s="2" t="s">
        <v>58</v>
      </c>
      <c r="AM32" s="2" t="s">
        <v>71</v>
      </c>
    </row>
    <row r="33" spans="1:39" ht="16" customHeight="1" x14ac:dyDescent="0.2">
      <c r="A33" s="2" t="s">
        <v>216</v>
      </c>
      <c r="D33" s="2" t="s">
        <v>203</v>
      </c>
      <c r="E33" t="str">
        <f t="shared" si="0"/>
        <v>1</v>
      </c>
      <c r="F33" t="str">
        <f t="shared" si="1"/>
        <v>deSousa_etal_2010</v>
      </c>
      <c r="G33" t="str">
        <f t="shared" si="2"/>
        <v>deSousa</v>
      </c>
      <c r="H33" t="str">
        <f t="shared" si="16"/>
        <v>etal</v>
      </c>
      <c r="I33" t="str">
        <f t="shared" si="4"/>
        <v>2010</v>
      </c>
      <c r="J33" t="str">
        <f t="shared" si="5"/>
        <v>10.1016/j.jhevol.2009.11.011</v>
      </c>
      <c r="K33" t="str">
        <f t="shared" si="6"/>
        <v>deSousa_etal_2010_Table1</v>
      </c>
      <c r="L33" t="str">
        <f t="shared" si="41"/>
        <v>10.1016%2Fj.jhevol.2009.11.011_Table1</v>
      </c>
      <c r="M33" t="str">
        <f t="array" ref="M33">IFERROR(INDEX(FileList!$A$1:$A$100, MATCH(L33, _xlfn.TEXTBEFORE(FileList!$A$1:$A$100, ".tsv"), 0)), "notfound")</f>
        <v>10.1016%2Fj.jhevol.2009.11.011_Table1.tsv</v>
      </c>
      <c r="N33" s="2" t="s">
        <v>229</v>
      </c>
      <c r="V33" s="2" t="s">
        <v>41</v>
      </c>
      <c r="Y33" s="2" t="s">
        <v>230</v>
      </c>
      <c r="Z33" s="2" t="s">
        <v>58</v>
      </c>
      <c r="AA33" s="2" t="s">
        <v>212</v>
      </c>
      <c r="AB33" s="2" t="s">
        <v>231</v>
      </c>
      <c r="AC33" s="2" t="s">
        <v>95</v>
      </c>
      <c r="AD33" s="2" t="s">
        <v>213</v>
      </c>
      <c r="AK33" s="2" t="s">
        <v>215</v>
      </c>
      <c r="AL33" s="2" t="s">
        <v>58</v>
      </c>
      <c r="AM33" s="2" t="s">
        <v>71</v>
      </c>
    </row>
    <row r="34" spans="1:39" ht="16" customHeight="1" x14ac:dyDescent="0.2">
      <c r="A34" s="2" t="s">
        <v>232</v>
      </c>
      <c r="D34" s="2" t="s">
        <v>233</v>
      </c>
      <c r="E34" t="str">
        <f t="shared" si="0"/>
        <v>0</v>
      </c>
      <c r="F34" t="str">
        <f t="shared" si="1"/>
        <v>DeCasien_Higham_2019</v>
      </c>
      <c r="G34" t="str">
        <f t="shared" si="2"/>
        <v>DeCasien</v>
      </c>
      <c r="H34" t="str">
        <f t="shared" si="16"/>
        <v>Higham</v>
      </c>
      <c r="I34" t="str">
        <f t="shared" si="4"/>
        <v>2019</v>
      </c>
      <c r="J34" t="str">
        <f t="shared" si="5"/>
        <v>10.1038/s41559-019-0969-0</v>
      </c>
      <c r="K34" t="str">
        <f t="shared" si="6"/>
        <v>DeCasien_Higham_2019_SupplementaryData1-BrainRegion</v>
      </c>
      <c r="L34" t="str">
        <f t="shared" si="41"/>
        <v>10.1038%2Fs41559-019-0969-0_SupplementaryData1-BrainRegion</v>
      </c>
      <c r="M34" t="str">
        <f t="array" ref="M34">IFERROR(INDEX(FileList!$A$1:$A$100, MATCH(L34, _xlfn.TEXTBEFORE(FileList!$A$1:$A$100, ".tsv"), 0)), "notfound")</f>
        <v>notfound</v>
      </c>
      <c r="N34" s="2" t="s">
        <v>234</v>
      </c>
      <c r="U34" s="2" t="s">
        <v>162</v>
      </c>
      <c r="V34" s="2" t="s">
        <v>235</v>
      </c>
      <c r="W34" s="2" t="s">
        <v>163</v>
      </c>
      <c r="X34" s="2" t="s">
        <v>236</v>
      </c>
      <c r="Y34" s="2" t="s">
        <v>237</v>
      </c>
      <c r="Z34" s="2" t="s">
        <v>117</v>
      </c>
      <c r="AB34" s="2" t="s">
        <v>68</v>
      </c>
      <c r="AF34" s="2" t="s">
        <v>238</v>
      </c>
      <c r="AG34" s="2" t="s">
        <v>157</v>
      </c>
      <c r="AK34" s="2" t="s">
        <v>100</v>
      </c>
      <c r="AL34" s="2" t="s">
        <v>117</v>
      </c>
      <c r="AM34" s="2" t="s">
        <v>71</v>
      </c>
    </row>
    <row r="35" spans="1:39" ht="16" customHeight="1" x14ac:dyDescent="0.2">
      <c r="A35" s="2" t="s">
        <v>232</v>
      </c>
      <c r="D35" s="2" t="s">
        <v>239</v>
      </c>
      <c r="E35" t="str">
        <f t="shared" si="0"/>
        <v>0</v>
      </c>
      <c r="F35" t="str">
        <f t="shared" si="1"/>
        <v>DeCasien_Higham_2019</v>
      </c>
      <c r="G35" t="str">
        <f t="shared" si="2"/>
        <v>DeCasien</v>
      </c>
      <c r="H35" t="str">
        <f t="shared" si="16"/>
        <v>Higham</v>
      </c>
      <c r="I35" t="str">
        <f t="shared" si="4"/>
        <v>2019</v>
      </c>
      <c r="J35" t="str">
        <f t="shared" si="5"/>
        <v>10.1038/s41559-019-0969-0</v>
      </c>
      <c r="K35" t="str">
        <f>TRIM(_xlfn.TEXTJOIN("_",FALSE,F35,(SUBSTITUTE(SUBSTITUTE(D36," ",""), "_", ""))))</f>
        <v>DeCasien_Higham_2019_SupplementaryData1-Diet</v>
      </c>
      <c r="L35" t="str">
        <f>IF(ISBLANK(C35),TRIM(SUBSTITUTE(SUBSTITUTE(SUBSTITUTE(_xlfn.TEXTJOIN("_", FALSE, J35, SUBSTITUTE(D36,"_", "")), "/", "%2F"), ":", "%3A"), " ", "")),TRIM(SUBSTITUTE(SUBSTITUTE(SUBSTITUTE(_xlfn.TEXTJOIN("_", FALSE, C35, SUBSTITUTE(D36,"_", "")), "/", "%2F"), ":", "%3A"), " ", "")))</f>
        <v>10.1038%2Fs41559-019-0969-0_SupplementaryData1-Diet</v>
      </c>
      <c r="M35" t="str">
        <f t="array" ref="M35">IFERROR(INDEX(FileList!$A$1:$A$100, MATCH(L35, _xlfn.TEXTBEFORE(FileList!$A$1:$A$100, ".tsv"), 0)), "notfound")</f>
        <v>notfound</v>
      </c>
      <c r="N35" s="2" t="s">
        <v>234</v>
      </c>
      <c r="U35" s="2" t="s">
        <v>162</v>
      </c>
      <c r="V35" s="2" t="s">
        <v>235</v>
      </c>
      <c r="W35" s="2" t="s">
        <v>163</v>
      </c>
      <c r="X35" s="2" t="s">
        <v>236</v>
      </c>
      <c r="Y35" s="2" t="s">
        <v>240</v>
      </c>
      <c r="Z35" s="2" t="s">
        <v>117</v>
      </c>
      <c r="AB35" s="2" t="s">
        <v>68</v>
      </c>
      <c r="AG35" s="2" t="s">
        <v>157</v>
      </c>
      <c r="AK35" s="2" t="s">
        <v>100</v>
      </c>
      <c r="AL35" s="2" t="s">
        <v>117</v>
      </c>
      <c r="AM35" s="2" t="s">
        <v>241</v>
      </c>
    </row>
    <row r="36" spans="1:39" ht="15" customHeight="1" x14ac:dyDescent="0.2">
      <c r="A36" s="2" t="s">
        <v>232</v>
      </c>
      <c r="D36" s="2" t="s">
        <v>242</v>
      </c>
      <c r="E36" t="str">
        <f t="shared" si="0"/>
        <v>0</v>
      </c>
      <c r="F36" t="str">
        <f t="shared" si="1"/>
        <v>DeCasien_Higham_2019</v>
      </c>
      <c r="G36" t="str">
        <f t="shared" si="2"/>
        <v>DeCasien</v>
      </c>
      <c r="H36" t="str">
        <f t="shared" si="16"/>
        <v>Higham</v>
      </c>
      <c r="I36" t="str">
        <f t="shared" si="4"/>
        <v>2019</v>
      </c>
      <c r="J36" t="str">
        <f t="shared" si="5"/>
        <v>10.1038/s41559-019-0969-0</v>
      </c>
      <c r="K36" t="str">
        <f>TRIM(_xlfn.TEXTJOIN("_",FALSE,F36,(SUBSTITUTE(SUBSTITUTE(D37," ",""), "_", ""))))</f>
        <v>DeCasien_Higham_2019_SupplementaryData1-SocialSystem</v>
      </c>
      <c r="L36" t="str">
        <f>IF(ISBLANK(C36),TRIM(SUBSTITUTE(SUBSTITUTE(SUBSTITUTE(_xlfn.TEXTJOIN("_", FALSE, J36, SUBSTITUTE(D37,"_", "")), "/", "%2F"), ":", "%3A"), " ", "")),TRIM(SUBSTITUTE(SUBSTITUTE(SUBSTITUTE(_xlfn.TEXTJOIN("_", FALSE, C36, SUBSTITUTE(D37,"_", "")), "/", "%2F"), ":", "%3A"), " ", "")))</f>
        <v>10.1038%2Fs41559-019-0969-0_SupplementaryData1-SocialSystem</v>
      </c>
      <c r="M36" t="str">
        <f t="array" ref="M36">IFERROR(INDEX(FileList!$A$1:$A$100, MATCH(L36, _xlfn.TEXTBEFORE(FileList!$A$1:$A$100, ".tsv"), 0)), "notfound")</f>
        <v>notfound</v>
      </c>
      <c r="N36" s="2" t="s">
        <v>234</v>
      </c>
      <c r="U36" s="2" t="s">
        <v>162</v>
      </c>
      <c r="V36" s="2" t="s">
        <v>235</v>
      </c>
      <c r="W36" s="2" t="s">
        <v>163</v>
      </c>
      <c r="X36" s="2" t="s">
        <v>236</v>
      </c>
      <c r="Y36" s="2" t="s">
        <v>243</v>
      </c>
      <c r="Z36" s="2" t="s">
        <v>117</v>
      </c>
      <c r="AB36" s="2" t="s">
        <v>68</v>
      </c>
      <c r="AG36" s="2" t="s">
        <v>157</v>
      </c>
      <c r="AK36" s="2" t="s">
        <v>100</v>
      </c>
      <c r="AL36" s="2" t="s">
        <v>117</v>
      </c>
      <c r="AM36" s="2" t="s">
        <v>244</v>
      </c>
    </row>
    <row r="37" spans="1:39" ht="16" customHeight="1" x14ac:dyDescent="0.2">
      <c r="A37" s="2" t="s">
        <v>232</v>
      </c>
      <c r="D37" s="2" t="s">
        <v>245</v>
      </c>
      <c r="E37" t="str">
        <f t="shared" si="0"/>
        <v>0</v>
      </c>
      <c r="F37" t="str">
        <f t="shared" si="1"/>
        <v>DeCasien_Higham_2019</v>
      </c>
      <c r="G37" t="str">
        <f t="shared" si="2"/>
        <v>DeCasien</v>
      </c>
      <c r="H37" t="str">
        <f t="shared" si="16"/>
        <v>Higham</v>
      </c>
      <c r="I37" t="str">
        <f t="shared" si="4"/>
        <v>2019</v>
      </c>
      <c r="J37" t="str">
        <f t="shared" si="5"/>
        <v>10.1038/s41559-019-0969-0</v>
      </c>
      <c r="K37" t="str">
        <f t="shared" ref="K37:K44" si="42">TRIM(_xlfn.TEXTJOIN("_",FALSE,F37,(SUBSTITUTE(SUBSTITUTE(D37," ",""), "_", ""))))</f>
        <v>DeCasien_Higham_2019_SupplementaryData1-SocialSystem</v>
      </c>
      <c r="L37" t="str">
        <f t="shared" ref="L37:L44" si="43">IF(ISBLANK(C37),TRIM(SUBSTITUTE(SUBSTITUTE(SUBSTITUTE(_xlfn.TEXTJOIN("_", FALSE, J37, SUBSTITUTE(D37,"_", "")), "/", "%2F"), ":", "%3A"), " ", "")),TRIM(SUBSTITUTE(SUBSTITUTE(SUBSTITUTE(_xlfn.TEXTJOIN("_", FALSE, C37, SUBSTITUTE(D37,"_", "")), "/", "%2F"), ":", "%3A"), " ", "")))</f>
        <v>10.1038%2Fs41559-019-0969-0_SupplementaryData1-SocialSystem</v>
      </c>
      <c r="M37" t="str">
        <f t="array" ref="M37">IFERROR(INDEX(FileList!$A$1:$A$100, MATCH(L37, _xlfn.TEXTBEFORE(FileList!$A$1:$A$100, ".tsv"), 0)), "notfound")</f>
        <v>notfound</v>
      </c>
      <c r="N37" s="2" t="s">
        <v>234</v>
      </c>
      <c r="U37" s="2" t="s">
        <v>162</v>
      </c>
      <c r="V37" s="2" t="s">
        <v>235</v>
      </c>
      <c r="W37" s="2" t="s">
        <v>163</v>
      </c>
      <c r="X37" s="2" t="s">
        <v>236</v>
      </c>
      <c r="Y37" s="2" t="s">
        <v>246</v>
      </c>
      <c r="Z37" s="2" t="s">
        <v>117</v>
      </c>
      <c r="AB37" s="2" t="s">
        <v>68</v>
      </c>
      <c r="AG37" s="2" t="s">
        <v>157</v>
      </c>
      <c r="AK37" s="2" t="s">
        <v>100</v>
      </c>
      <c r="AL37" s="2" t="s">
        <v>117</v>
      </c>
      <c r="AM37" s="2" t="s">
        <v>247</v>
      </c>
    </row>
    <row r="38" spans="1:39" ht="16" customHeight="1" x14ac:dyDescent="0.2">
      <c r="A38" s="2" t="s">
        <v>248</v>
      </c>
      <c r="D38" s="2" t="s">
        <v>79</v>
      </c>
      <c r="E38" t="str">
        <f t="shared" si="0"/>
        <v>0</v>
      </c>
      <c r="F38" t="str">
        <f t="shared" si="1"/>
        <v>DosSantos_etal_2020</v>
      </c>
      <c r="G38" t="str">
        <f t="shared" si="2"/>
        <v>DosSantos</v>
      </c>
      <c r="H38" t="str">
        <f t="shared" si="16"/>
        <v>etal</v>
      </c>
      <c r="I38" t="str">
        <f t="shared" si="4"/>
        <v>2020</v>
      </c>
      <c r="J38" t="str">
        <f t="shared" si="5"/>
        <v>10.1523/JNEUROSCI.2339-19.2020</v>
      </c>
      <c r="K38" t="str">
        <f t="shared" si="42"/>
        <v>DosSantos_etal_2020_Table1</v>
      </c>
      <c r="L38" t="str">
        <f t="shared" si="43"/>
        <v>10.1523%2FJNEUROSCI.2339-19.2020_Table1</v>
      </c>
      <c r="M38" t="str">
        <f t="array" ref="M38">IFERROR(INDEX(FileList!$A$1:$A$100, MATCH(L38, _xlfn.TEXTBEFORE(FileList!$A$1:$A$100, ".tsv"), 0)), "notfound")</f>
        <v>10.1523%2FJNEUROSCI.2339-19.2020_Table1.tsv</v>
      </c>
      <c r="O38" s="2" t="s">
        <v>249</v>
      </c>
      <c r="P38" s="2" t="s">
        <v>49</v>
      </c>
      <c r="Q38" s="2" t="s">
        <v>50</v>
      </c>
      <c r="R38" s="2" t="s">
        <v>250</v>
      </c>
      <c r="S38" s="2" t="s">
        <v>52</v>
      </c>
      <c r="T38" s="2" t="s">
        <v>251</v>
      </c>
      <c r="U38" s="2" t="s">
        <v>252</v>
      </c>
      <c r="V38" s="2" t="s">
        <v>41</v>
      </c>
      <c r="Y38" s="2" t="s">
        <v>253</v>
      </c>
      <c r="Z38" s="2" t="s">
        <v>254</v>
      </c>
      <c r="AA38" s="2" t="s">
        <v>59</v>
      </c>
      <c r="AC38" s="2" t="s">
        <v>60</v>
      </c>
      <c r="AD38" s="2" t="s">
        <v>59</v>
      </c>
      <c r="AG38" s="2" t="s">
        <v>255</v>
      </c>
      <c r="AH38" s="2" t="s">
        <v>256</v>
      </c>
      <c r="AJ38" s="2" t="s">
        <v>257</v>
      </c>
      <c r="AK38" s="2" t="s">
        <v>120</v>
      </c>
      <c r="AL38" s="2" t="s">
        <v>58</v>
      </c>
      <c r="AM38" s="2" t="s">
        <v>258</v>
      </c>
    </row>
    <row r="39" spans="1:39" ht="16" customHeight="1" x14ac:dyDescent="0.2">
      <c r="A39" s="2" t="s">
        <v>248</v>
      </c>
      <c r="D39" s="2" t="s">
        <v>259</v>
      </c>
      <c r="E39" t="str">
        <f t="shared" si="0"/>
        <v>0</v>
      </c>
      <c r="F39" t="str">
        <f t="shared" si="1"/>
        <v>DosSantos_etal_2020</v>
      </c>
      <c r="G39" t="str">
        <f t="shared" si="2"/>
        <v>DosSantos</v>
      </c>
      <c r="H39" t="str">
        <f t="shared" si="16"/>
        <v>etal</v>
      </c>
      <c r="I39" t="str">
        <f t="shared" si="4"/>
        <v>2020</v>
      </c>
      <c r="J39" t="str">
        <f t="shared" si="5"/>
        <v>10.1523/JNEUROSCI.2339-19.2020</v>
      </c>
      <c r="K39" t="str">
        <f t="shared" si="42"/>
        <v>DosSantos_etal_2020_unpublished</v>
      </c>
      <c r="L39" t="str">
        <f t="shared" si="43"/>
        <v>10.1523%2FJNEUROSCI.2339-19.2020_unpublished</v>
      </c>
      <c r="M39" t="str">
        <f t="array" ref="M39">IFERROR(INDEX(FileList!$A$1:$A$100, MATCH(L39, _xlfn.TEXTBEFORE(FileList!$A$1:$A$100, ".tsv"), 0)), "notfound")</f>
        <v>10.1523%2FJNEUROSCI.2339-19.2020_unpublished.tsv</v>
      </c>
      <c r="O39" s="2" t="s">
        <v>260</v>
      </c>
      <c r="P39" s="2" t="s">
        <v>49</v>
      </c>
      <c r="Q39" s="2" t="s">
        <v>50</v>
      </c>
      <c r="R39" s="2" t="s">
        <v>250</v>
      </c>
      <c r="S39" s="2" t="s">
        <v>52</v>
      </c>
      <c r="T39" s="2" t="s">
        <v>251</v>
      </c>
      <c r="U39" s="2" t="s">
        <v>252</v>
      </c>
      <c r="V39" s="2" t="s">
        <v>41</v>
      </c>
      <c r="X39" s="2" t="s">
        <v>261</v>
      </c>
      <c r="Y39" s="2" t="s">
        <v>253</v>
      </c>
      <c r="Z39" s="2" t="s">
        <v>254</v>
      </c>
      <c r="AA39" s="2" t="s">
        <v>59</v>
      </c>
      <c r="AC39" s="2" t="s">
        <v>60</v>
      </c>
      <c r="AD39" s="2" t="s">
        <v>59</v>
      </c>
      <c r="AG39" s="2" t="s">
        <v>255</v>
      </c>
      <c r="AH39" s="2" t="s">
        <v>262</v>
      </c>
      <c r="AK39" s="2" t="s">
        <v>120</v>
      </c>
      <c r="AL39" s="2" t="s">
        <v>58</v>
      </c>
      <c r="AM39" s="2" t="s">
        <v>258</v>
      </c>
    </row>
    <row r="40" spans="1:39" ht="16" customHeight="1" x14ac:dyDescent="0.2">
      <c r="A40" s="2" t="s">
        <v>263</v>
      </c>
      <c r="D40" s="2" t="s">
        <v>264</v>
      </c>
      <c r="E40" t="str">
        <f t="shared" ref="E40:E71" si="44">RIGHT(A40,1)</f>
        <v>6</v>
      </c>
      <c r="F40" t="str">
        <f t="shared" ref="F40:F71" si="45">G40 &amp; IF(H40&lt;&gt;"", "_" &amp; H40, "_") &amp; IF(I40&lt;&gt;"", "_" &amp; I40, "_") &amp; IF(B40&lt;&gt;"", "_" &amp; B40, "")</f>
        <v>DosSantos_etal_2017</v>
      </c>
      <c r="G40" t="str">
        <f t="shared" ref="G40:G71" si="46">SUBSTITUTE(SUBSTITUTE(_xlfn.TEXTBEFORE(A40,","), "-", ""), " ", "")</f>
        <v>DosSantos</v>
      </c>
      <c r="H40" t="str">
        <f t="shared" si="16"/>
        <v>etal</v>
      </c>
      <c r="I40" t="str">
        <f t="shared" ref="I40:I71" si="47">_xlfn.TEXTBEFORE(_xlfn.TEXTAFTER(A40, "("), ")")</f>
        <v>2017</v>
      </c>
      <c r="J40" t="str">
        <f t="shared" si="5"/>
        <v>10.1159/000452856</v>
      </c>
      <c r="K40" t="str">
        <f t="shared" si="42"/>
        <v>DosSantos_etal_2017_TableS1</v>
      </c>
      <c r="L40" t="str">
        <f t="shared" si="43"/>
        <v>10.1159%2F000452856_TableS1</v>
      </c>
      <c r="M40" t="str">
        <f t="array" ref="M40">IFERROR(INDEX(FileList!$A$1:$A$100, MATCH(L40, _xlfn.TEXTBEFORE(FileList!$A$1:$A$100, ".tsv"), 0)), "notfound")</f>
        <v>10.1159%2F000452856_TableS1.tsv</v>
      </c>
      <c r="O40" s="2" t="s">
        <v>265</v>
      </c>
      <c r="P40" s="2" t="s">
        <v>49</v>
      </c>
      <c r="Q40" s="2" t="s">
        <v>50</v>
      </c>
      <c r="R40" s="2" t="s">
        <v>266</v>
      </c>
      <c r="S40" s="2" t="s">
        <v>52</v>
      </c>
      <c r="T40" s="2" t="s">
        <v>267</v>
      </c>
      <c r="U40" s="2" t="s">
        <v>268</v>
      </c>
      <c r="V40" s="2" t="s">
        <v>269</v>
      </c>
      <c r="W40" s="2" t="s">
        <v>163</v>
      </c>
      <c r="X40" s="2" t="s">
        <v>270</v>
      </c>
      <c r="Y40" s="2" t="s">
        <v>253</v>
      </c>
      <c r="Z40" s="2" t="s">
        <v>58</v>
      </c>
      <c r="AA40" s="2" t="s">
        <v>59</v>
      </c>
      <c r="AC40" s="2" t="s">
        <v>60</v>
      </c>
      <c r="AD40" s="2" t="s">
        <v>59</v>
      </c>
      <c r="AG40" s="2" t="s">
        <v>271</v>
      </c>
      <c r="AH40" s="2" t="s">
        <v>272</v>
      </c>
      <c r="AK40" s="2" t="s">
        <v>273</v>
      </c>
      <c r="AL40" s="2" t="s">
        <v>58</v>
      </c>
      <c r="AM40" s="2" t="s">
        <v>63</v>
      </c>
    </row>
    <row r="41" spans="1:39" ht="16" customHeight="1" x14ac:dyDescent="0.2">
      <c r="A41" s="2" t="s">
        <v>274</v>
      </c>
      <c r="D41" s="2" t="s">
        <v>47</v>
      </c>
      <c r="E41" t="str">
        <f t="shared" si="44"/>
        <v>3</v>
      </c>
      <c r="F41" t="str">
        <f t="shared" si="45"/>
        <v>Eagleman_Vaughn_2021</v>
      </c>
      <c r="G41" t="str">
        <f t="shared" si="46"/>
        <v>Eagleman</v>
      </c>
      <c r="H41" t="str">
        <f t="shared" si="16"/>
        <v>Vaughn</v>
      </c>
      <c r="I41" t="str">
        <f t="shared" si="47"/>
        <v>2021</v>
      </c>
      <c r="J41" t="str">
        <f t="shared" si="5"/>
        <v>10.3389/fnins.2021.632853</v>
      </c>
      <c r="K41" t="str">
        <f t="shared" si="42"/>
        <v>Eagleman_Vaughn_2021_TABLE1</v>
      </c>
      <c r="L41" t="str">
        <f t="shared" si="43"/>
        <v>10.3389%2Ffnins.2021.632853_TABLE1</v>
      </c>
      <c r="M41" t="str">
        <f t="array" ref="M41">IFERROR(INDEX(FileList!$A$1:$A$100, MATCH(L41, _xlfn.TEXTBEFORE(FileList!$A$1:$A$100, ".tsv"), 0)), "notfound")</f>
        <v>10.3389%2Ffnins.2021.632853_TABLE1.tsv</v>
      </c>
      <c r="N41" s="2" t="s">
        <v>275</v>
      </c>
      <c r="U41" s="2" t="s">
        <v>54</v>
      </c>
      <c r="Y41" s="2" t="s">
        <v>276</v>
      </c>
      <c r="Z41" s="2" t="s">
        <v>117</v>
      </c>
      <c r="AK41" s="2" t="s">
        <v>120</v>
      </c>
      <c r="AL41" s="2" t="s">
        <v>117</v>
      </c>
      <c r="AM41" s="2" t="s">
        <v>277</v>
      </c>
    </row>
    <row r="42" spans="1:39" ht="16" customHeight="1" x14ac:dyDescent="0.2">
      <c r="A42" s="2" t="s">
        <v>278</v>
      </c>
      <c r="D42" s="2" t="s">
        <v>47</v>
      </c>
      <c r="E42" t="str">
        <f t="shared" si="44"/>
        <v>5</v>
      </c>
      <c r="F42" t="str">
        <f t="shared" si="45"/>
        <v>Falcone_etal_2019</v>
      </c>
      <c r="G42" t="str">
        <f t="shared" si="46"/>
        <v>Falcone</v>
      </c>
      <c r="H42" t="str">
        <f t="shared" si="16"/>
        <v>etal</v>
      </c>
      <c r="I42" t="str">
        <f t="shared" si="47"/>
        <v>2019</v>
      </c>
      <c r="J42" t="str">
        <f t="shared" si="5"/>
        <v>10.1002/cne.24605</v>
      </c>
      <c r="K42" t="str">
        <f t="shared" si="42"/>
        <v>Falcone_etal_2019_TABLE1</v>
      </c>
      <c r="L42" t="str">
        <f t="shared" si="43"/>
        <v>10.1002%2Fcne.24605_TABLE1</v>
      </c>
      <c r="M42" t="str">
        <f t="array" ref="M42">IFERROR(INDEX(FileList!$A$1:$A$100, MATCH(L42, _xlfn.TEXTBEFORE(FileList!$A$1:$A$100, ".tsv"), 0)), "notfound")</f>
        <v>10.1002%2Fcne.24605_TABLE1.tsv</v>
      </c>
      <c r="N42" s="2" t="s">
        <v>279</v>
      </c>
      <c r="U42" s="2" t="s">
        <v>54</v>
      </c>
      <c r="Y42" s="2" t="s">
        <v>280</v>
      </c>
      <c r="Z42" s="2" t="s">
        <v>58</v>
      </c>
      <c r="AK42" s="2" t="s">
        <v>281</v>
      </c>
      <c r="AL42" s="2" t="s">
        <v>58</v>
      </c>
      <c r="AM42" s="2" t="s">
        <v>282</v>
      </c>
    </row>
    <row r="43" spans="1:39" ht="16" customHeight="1" x14ac:dyDescent="0.2">
      <c r="A43" s="2" t="s">
        <v>278</v>
      </c>
      <c r="D43" s="2" t="s">
        <v>283</v>
      </c>
      <c r="E43" t="str">
        <f t="shared" si="44"/>
        <v>5</v>
      </c>
      <c r="F43" t="str">
        <f t="shared" si="45"/>
        <v>Falcone_etal_2019</v>
      </c>
      <c r="G43" t="str">
        <f t="shared" si="46"/>
        <v>Falcone</v>
      </c>
      <c r="H43" t="str">
        <f t="shared" si="16"/>
        <v>etal</v>
      </c>
      <c r="I43" t="str">
        <f t="shared" si="47"/>
        <v>2019</v>
      </c>
      <c r="J43" t="str">
        <f t="shared" si="5"/>
        <v>10.1002/cne.24605</v>
      </c>
      <c r="K43" t="str">
        <f t="shared" si="42"/>
        <v>Falcone_etal_2019_TABLE2</v>
      </c>
      <c r="L43" t="str">
        <f t="shared" si="43"/>
        <v>10.1002%2Fcne.24605_TABLE2</v>
      </c>
      <c r="M43" t="str">
        <f t="array" ref="M43">IFERROR(INDEX(FileList!$A$1:$A$100, MATCH(L43, _xlfn.TEXTBEFORE(FileList!$A$1:$A$100, ".tsv"), 0)), "notfound")</f>
        <v>10.1002%2Fcne.24605_TABLE2.tsv</v>
      </c>
      <c r="N43" s="2" t="s">
        <v>284</v>
      </c>
      <c r="U43" s="2" t="s">
        <v>54</v>
      </c>
      <c r="Y43" s="2" t="s">
        <v>280</v>
      </c>
      <c r="Z43" s="2" t="s">
        <v>58</v>
      </c>
      <c r="AK43" s="2" t="s">
        <v>281</v>
      </c>
      <c r="AL43" s="2" t="s">
        <v>58</v>
      </c>
      <c r="AM43" s="2" t="s">
        <v>282</v>
      </c>
    </row>
    <row r="44" spans="1:39" ht="16" customHeight="1" x14ac:dyDescent="0.2">
      <c r="A44" s="2" t="s">
        <v>285</v>
      </c>
      <c r="D44" s="2" t="s">
        <v>286</v>
      </c>
      <c r="E44" t="str">
        <f t="shared" si="44"/>
        <v>6</v>
      </c>
      <c r="F44" t="str">
        <f t="shared" si="45"/>
        <v>Finlay_etal_2006</v>
      </c>
      <c r="G44" t="str">
        <f t="shared" si="46"/>
        <v>Finlay</v>
      </c>
      <c r="H44" t="str">
        <f t="shared" si="16"/>
        <v>etal</v>
      </c>
      <c r="I44" t="str">
        <f t="shared" si="47"/>
        <v>2006</v>
      </c>
      <c r="J44" t="str">
        <f t="shared" si="5"/>
        <v>10.1093/oso/9780198568742.003.0006</v>
      </c>
      <c r="K44" t="str">
        <f t="shared" si="42"/>
        <v>Finlay_etal_2006_Table6.1</v>
      </c>
      <c r="L44" t="str">
        <f t="shared" si="43"/>
        <v>10.1093%2Foso%2F9780198568742.003.0006_Table6.1</v>
      </c>
      <c r="M44" t="str">
        <f t="array" ref="M44">IFERROR(INDEX(FileList!$A$1:$A$100, MATCH(L44, _xlfn.TEXTBEFORE(FileList!$A$1:$A$100, ".tsv"), 0)), "notfound")</f>
        <v>10.1093%2Foso%2F9780198568742.003.0006_Table6.1.tsv</v>
      </c>
      <c r="P44" s="2" t="s">
        <v>178</v>
      </c>
      <c r="Q44" s="2" t="s">
        <v>179</v>
      </c>
      <c r="R44" s="2" t="s">
        <v>287</v>
      </c>
      <c r="S44" s="2" t="s">
        <v>52</v>
      </c>
      <c r="T44" s="2" t="s">
        <v>288</v>
      </c>
      <c r="U44" s="2" t="s">
        <v>54</v>
      </c>
      <c r="V44" s="2" t="s">
        <v>41</v>
      </c>
      <c r="W44" s="2" t="s">
        <v>170</v>
      </c>
      <c r="X44" s="2" t="s">
        <v>289</v>
      </c>
      <c r="Y44" s="2" t="s">
        <v>290</v>
      </c>
      <c r="Z44" s="2" t="s">
        <v>185</v>
      </c>
      <c r="AF44" s="2" t="s">
        <v>186</v>
      </c>
      <c r="AG44" s="2" t="s">
        <v>119</v>
      </c>
      <c r="AK44" s="2" t="s">
        <v>120</v>
      </c>
      <c r="AL44" s="2" t="s">
        <v>117</v>
      </c>
      <c r="AM44" s="2" t="s">
        <v>291</v>
      </c>
    </row>
    <row r="45" spans="1:39" ht="16" customHeight="1" x14ac:dyDescent="0.2">
      <c r="A45" s="2" t="s">
        <v>292</v>
      </c>
      <c r="C45" s="2" t="s">
        <v>293</v>
      </c>
      <c r="D45" s="2" t="s">
        <v>101</v>
      </c>
      <c r="E45" t="str">
        <f t="shared" si="44"/>
        <v>8</v>
      </c>
      <c r="F45" t="str">
        <f t="shared" ref="F45" si="48">G45 &amp; IF(H45&lt;&gt;"", "_" &amp; H45, "_") &amp; IF(I45&lt;&gt;"", "_" &amp; I45, "_") &amp; IF(B45&lt;&gt;"", "_" &amp; B45, "")</f>
        <v>Frahm_Zilles_1994</v>
      </c>
      <c r="G45" t="str">
        <f t="shared" ref="G45" si="49">SUBSTITUTE(SUBSTITUTE(_xlfn.TEXTBEFORE(A45,","), "-", ""), " ", "")</f>
        <v>Frahm</v>
      </c>
      <c r="H45" t="str">
        <f t="shared" si="16"/>
        <v>Zilles</v>
      </c>
      <c r="I45" t="str">
        <f t="shared" ref="I45" si="50">_xlfn.TEXTBEFORE(_xlfn.TEXTAFTER(A45, "("), ")")</f>
        <v>1994</v>
      </c>
      <c r="J45" t="str">
        <f t="shared" ref="J45" si="51">IF(C45&lt;&gt;"", C45, IF(C45="", _xlfn.TEXTAFTER(A45,"https://doi.org/"), C45))</f>
        <v>PMID:7983368</v>
      </c>
      <c r="K45" t="str">
        <f t="shared" ref="K45" si="52">TRIM(_xlfn.TEXTJOIN("_",FALSE,F45,(SUBSTITUTE(SUBSTITUTE(D45," ",""), "_", ""))))</f>
        <v>Frahm_Zilles_1994_Table2</v>
      </c>
      <c r="L45" t="str">
        <f t="shared" ref="L45" si="53">IF(ISBLANK(C45),TRIM(SUBSTITUTE(SUBSTITUTE(SUBSTITUTE(_xlfn.TEXTJOIN("_", FALSE, J45, SUBSTITUTE(D45,"_", "")), "/", "%2F"), ":", "%3A"), " ", "")),TRIM(SUBSTITUTE(SUBSTITUTE(SUBSTITUTE(_xlfn.TEXTJOIN("_", FALSE, C45, SUBSTITUTE(D45,"_", "")), "/", "%2F"), ":", "%3A"), " ", "")))</f>
        <v>PMID%3A7983368_Table2</v>
      </c>
      <c r="M45" t="str">
        <f t="array" ref="M45">IFERROR(INDEX(FileList!$A$1:$A$100, MATCH(L45, _xlfn.TEXTBEFORE(FileList!$A$1:$A$100, ".tsv"), 0)), "notfound")</f>
        <v>notfound</v>
      </c>
    </row>
    <row r="46" spans="1:39" ht="16" customHeight="1" x14ac:dyDescent="0.2">
      <c r="A46" s="2" t="s">
        <v>292</v>
      </c>
      <c r="C46" s="2" t="s">
        <v>293</v>
      </c>
      <c r="D46" s="2" t="s">
        <v>203</v>
      </c>
      <c r="E46" t="str">
        <f t="shared" si="44"/>
        <v>8</v>
      </c>
      <c r="F46" t="str">
        <f t="shared" si="45"/>
        <v>Frahm_Zilles_1994</v>
      </c>
      <c r="G46" t="str">
        <f t="shared" si="46"/>
        <v>Frahm</v>
      </c>
      <c r="H46" t="str">
        <f t="shared" si="16"/>
        <v>Zilles</v>
      </c>
      <c r="I46" t="str">
        <f t="shared" si="47"/>
        <v>1994</v>
      </c>
      <c r="J46" t="str">
        <f t="shared" ref="J46:J77" si="54">IF(C46&lt;&gt;"", C46, IF(C46="", _xlfn.TEXTAFTER(A46,"https://doi.org/"), C46))</f>
        <v>PMID:7983368</v>
      </c>
      <c r="K46" t="str">
        <f t="shared" ref="K46:K77" si="55">TRIM(_xlfn.TEXTJOIN("_",FALSE,F46,(SUBSTITUTE(SUBSTITUTE(D46," ",""), "_", ""))))</f>
        <v>Frahm_Zilles_1994_Table1</v>
      </c>
      <c r="L46" t="str">
        <f t="shared" ref="L46:L77" si="56">IF(ISBLANK(C46),TRIM(SUBSTITUTE(SUBSTITUTE(SUBSTITUTE(_xlfn.TEXTJOIN("_", FALSE, J46, SUBSTITUTE(D46,"_", "")), "/", "%2F"), ":", "%3A"), " ", "")),TRIM(SUBSTITUTE(SUBSTITUTE(SUBSTITUTE(_xlfn.TEXTJOIN("_", FALSE, C46, SUBSTITUTE(D46,"_", "")), "/", "%2F"), ":", "%3A"), " ", "")))</f>
        <v>PMID%3A7983368_Table1</v>
      </c>
      <c r="M46" t="str">
        <f t="array" ref="M46">IFERROR(INDEX(FileList!$A$1:$A$100, MATCH(L46, _xlfn.TEXTBEFORE(FileList!$A$1:$A$100, ".tsv"), 0)), "notfound")</f>
        <v>PMID%3A7983368_Table1.tsv</v>
      </c>
      <c r="N46" s="2" t="s">
        <v>294</v>
      </c>
      <c r="V46" s="2" t="s">
        <v>41</v>
      </c>
      <c r="W46" s="2" t="s">
        <v>86</v>
      </c>
      <c r="Y46" s="2" t="s">
        <v>295</v>
      </c>
      <c r="Z46" s="2" t="s">
        <v>58</v>
      </c>
      <c r="AA46" s="2" t="s">
        <v>82</v>
      </c>
      <c r="AB46" s="2" t="s">
        <v>68</v>
      </c>
      <c r="AC46" s="2" t="s">
        <v>95</v>
      </c>
      <c r="AK46" s="2" t="s">
        <v>83</v>
      </c>
      <c r="AL46" s="2" t="s">
        <v>58</v>
      </c>
      <c r="AM46" s="2" t="s">
        <v>71</v>
      </c>
    </row>
    <row r="47" spans="1:39" ht="16" customHeight="1" x14ac:dyDescent="0.2">
      <c r="A47" s="2" t="s">
        <v>296</v>
      </c>
      <c r="C47" s="2" t="s">
        <v>297</v>
      </c>
      <c r="D47" s="2" t="s">
        <v>203</v>
      </c>
      <c r="E47" t="str">
        <f t="shared" si="44"/>
        <v>3</v>
      </c>
      <c r="F47" t="str">
        <f t="shared" si="45"/>
        <v>Frahm_etal_1997</v>
      </c>
      <c r="G47" t="str">
        <f t="shared" si="46"/>
        <v>Frahm</v>
      </c>
      <c r="H47" t="str">
        <f t="shared" si="16"/>
        <v>etal</v>
      </c>
      <c r="I47" t="str">
        <f t="shared" si="47"/>
        <v>1997</v>
      </c>
      <c r="J47" t="str">
        <f t="shared" si="54"/>
        <v>PMID:9176733</v>
      </c>
      <c r="K47" t="str">
        <f t="shared" si="55"/>
        <v>Frahm_etal_1997_Table1</v>
      </c>
      <c r="L47" t="str">
        <f t="shared" si="56"/>
        <v>PMID%3A9176733_Table1</v>
      </c>
      <c r="M47" t="str">
        <f t="array" ref="M47">IFERROR(INDEX(FileList!$A$1:$A$100, MATCH(L47, _xlfn.TEXTBEFORE(FileList!$A$1:$A$100, ".tsv"), 0)), "notfound")</f>
        <v>PMID%3A9176733_Table1.tsv</v>
      </c>
      <c r="N47" s="2" t="s">
        <v>298</v>
      </c>
      <c r="V47" s="2" t="s">
        <v>41</v>
      </c>
      <c r="W47" s="2" t="s">
        <v>86</v>
      </c>
      <c r="Y47" s="2" t="s">
        <v>299</v>
      </c>
      <c r="Z47" s="2" t="s">
        <v>58</v>
      </c>
      <c r="AA47" s="2" t="s">
        <v>82</v>
      </c>
      <c r="AB47" s="2" t="s">
        <v>68</v>
      </c>
      <c r="AC47" s="2" t="s">
        <v>95</v>
      </c>
      <c r="AK47" s="2" t="s">
        <v>83</v>
      </c>
      <c r="AL47" s="2" t="s">
        <v>58</v>
      </c>
      <c r="AM47" s="2" t="s">
        <v>71</v>
      </c>
    </row>
    <row r="48" spans="1:39" ht="19" customHeight="1" x14ac:dyDescent="0.2">
      <c r="A48" s="2" t="s">
        <v>300</v>
      </c>
      <c r="C48" s="2" t="s">
        <v>301</v>
      </c>
      <c r="D48" s="2" t="s">
        <v>79</v>
      </c>
      <c r="E48" t="str">
        <f t="shared" si="44"/>
        <v>9</v>
      </c>
      <c r="F48" t="str">
        <f t="shared" si="45"/>
        <v>Frahm_etal_1984</v>
      </c>
      <c r="G48" t="str">
        <f t="shared" si="46"/>
        <v>Frahm</v>
      </c>
      <c r="H48" t="str">
        <f t="shared" si="16"/>
        <v>etal</v>
      </c>
      <c r="I48" t="str">
        <f t="shared" si="47"/>
        <v>1984</v>
      </c>
      <c r="J48" t="str">
        <f t="shared" si="54"/>
        <v>PMID:6501869</v>
      </c>
      <c r="K48" t="str">
        <f t="shared" si="55"/>
        <v>Frahm_etal_1984_Table1</v>
      </c>
      <c r="L48" t="str">
        <f t="shared" si="56"/>
        <v>PMID%3A6501869_Table1</v>
      </c>
      <c r="M48" t="str">
        <f t="array" ref="M48">IFERROR(INDEX(FileList!$A$1:$A$100, MATCH(L48, _xlfn.TEXTBEFORE(FileList!$A$1:$A$100, ".tsv"), 0)), "notfound")</f>
        <v>PMID%3A6501869_Table1.tsv</v>
      </c>
      <c r="N48" s="2" t="s">
        <v>302</v>
      </c>
      <c r="V48" s="2" t="s">
        <v>41</v>
      </c>
      <c r="W48" s="2" t="s">
        <v>86</v>
      </c>
      <c r="Y48" s="2" t="s">
        <v>303</v>
      </c>
      <c r="Z48" s="2" t="s">
        <v>58</v>
      </c>
      <c r="AA48" s="2" t="s">
        <v>82</v>
      </c>
      <c r="AB48" s="2" t="s">
        <v>68</v>
      </c>
      <c r="AC48" s="2" t="s">
        <v>95</v>
      </c>
      <c r="AK48" s="2" t="s">
        <v>83</v>
      </c>
      <c r="AL48" s="2" t="s">
        <v>58</v>
      </c>
      <c r="AM48" s="2" t="s">
        <v>71</v>
      </c>
    </row>
    <row r="49" spans="1:39" ht="17" customHeight="1" x14ac:dyDescent="0.2">
      <c r="A49" s="2" t="s">
        <v>304</v>
      </c>
      <c r="C49" s="2" t="s">
        <v>305</v>
      </c>
      <c r="D49" s="2" t="s">
        <v>101</v>
      </c>
      <c r="E49" t="str">
        <f t="shared" si="44"/>
        <v>7</v>
      </c>
      <c r="F49" t="str">
        <f t="shared" si="45"/>
        <v>Frahm_etal_1982</v>
      </c>
      <c r="G49" t="str">
        <f t="shared" si="46"/>
        <v>Frahm</v>
      </c>
      <c r="H49" t="str">
        <f t="shared" si="16"/>
        <v>etal</v>
      </c>
      <c r="I49" t="str">
        <f t="shared" si="47"/>
        <v>1982</v>
      </c>
      <c r="J49" t="str">
        <f t="shared" si="54"/>
        <v>PMID:7161477</v>
      </c>
      <c r="K49" t="str">
        <f t="shared" si="55"/>
        <v>Frahm_etal_1982_Table2</v>
      </c>
      <c r="L49" t="str">
        <f t="shared" si="56"/>
        <v>PMID%3A7161477_Table2</v>
      </c>
      <c r="M49" t="str">
        <f t="array" ref="M49">IFERROR(INDEX(FileList!$A$1:$A$100, MATCH(L49, _xlfn.TEXTBEFORE(FileList!$A$1:$A$100, ".tsv"), 0)), "notfound")</f>
        <v>PMID%3A7161477_Table2.tsv</v>
      </c>
      <c r="N49" s="2" t="s">
        <v>306</v>
      </c>
      <c r="V49" s="2" t="s">
        <v>41</v>
      </c>
      <c r="W49" s="2" t="s">
        <v>86</v>
      </c>
      <c r="Y49" s="2" t="s">
        <v>307</v>
      </c>
      <c r="Z49" s="2" t="s">
        <v>58</v>
      </c>
      <c r="AA49" s="2" t="s">
        <v>82</v>
      </c>
      <c r="AB49" s="2" t="s">
        <v>68</v>
      </c>
      <c r="AC49" s="2" t="s">
        <v>95</v>
      </c>
      <c r="AK49" s="2" t="s">
        <v>83</v>
      </c>
      <c r="AL49" s="2" t="s">
        <v>58</v>
      </c>
      <c r="AM49" s="2" t="s">
        <v>71</v>
      </c>
    </row>
    <row r="50" spans="1:39" ht="17" customHeight="1" x14ac:dyDescent="0.2">
      <c r="A50" s="2" t="s">
        <v>308</v>
      </c>
      <c r="C50" s="2" t="s">
        <v>309</v>
      </c>
      <c r="D50" s="2" t="s">
        <v>203</v>
      </c>
      <c r="E50" t="str">
        <f t="shared" si="44"/>
        <v>0</v>
      </c>
      <c r="F50" t="str">
        <f t="shared" si="45"/>
        <v>Frahm_etal_1998</v>
      </c>
      <c r="G50" t="str">
        <f t="shared" si="46"/>
        <v>Frahm</v>
      </c>
      <c r="H50" t="str">
        <f t="shared" si="16"/>
        <v>etal</v>
      </c>
      <c r="I50" t="str">
        <f t="shared" si="47"/>
        <v>1998</v>
      </c>
      <c r="J50" t="str">
        <f t="shared" si="54"/>
        <v>PMID:9672110</v>
      </c>
      <c r="K50" t="str">
        <f t="shared" si="55"/>
        <v>Frahm_etal_1998_Table1</v>
      </c>
      <c r="L50" t="str">
        <f t="shared" si="56"/>
        <v>PMID%3A9672110_Table1</v>
      </c>
      <c r="M50" t="str">
        <f t="array" ref="M50">IFERROR(INDEX(FileList!$A$1:$A$100, MATCH(L50, _xlfn.TEXTBEFORE(FileList!$A$1:$A$100, ".tsv"), 0)), "notfound")</f>
        <v>PMID%3A9672110_Table1.tsv</v>
      </c>
      <c r="N50" s="2" t="s">
        <v>310</v>
      </c>
      <c r="V50" s="2" t="s">
        <v>41</v>
      </c>
      <c r="W50" s="2" t="s">
        <v>86</v>
      </c>
      <c r="Y50" s="2" t="s">
        <v>311</v>
      </c>
      <c r="Z50" s="2" t="s">
        <v>58</v>
      </c>
      <c r="AA50" s="2" t="s">
        <v>82</v>
      </c>
      <c r="AB50" s="2" t="s">
        <v>68</v>
      </c>
      <c r="AC50" s="2" t="s">
        <v>95</v>
      </c>
      <c r="AK50" s="2" t="s">
        <v>83</v>
      </c>
      <c r="AL50" s="2" t="s">
        <v>58</v>
      </c>
      <c r="AM50" s="2" t="s">
        <v>71</v>
      </c>
    </row>
    <row r="51" spans="1:39" ht="17" customHeight="1" x14ac:dyDescent="0.2">
      <c r="A51" s="2" t="s">
        <v>312</v>
      </c>
      <c r="D51" s="2" t="s">
        <v>79</v>
      </c>
      <c r="E51" t="str">
        <f t="shared" si="44"/>
        <v>x</v>
      </c>
      <c r="F51" t="str">
        <f t="shared" si="45"/>
        <v>Fu_etal_2013</v>
      </c>
      <c r="G51" t="str">
        <f t="shared" si="46"/>
        <v>Fu</v>
      </c>
      <c r="H51" t="str">
        <f t="shared" si="16"/>
        <v>etal</v>
      </c>
      <c r="I51" t="str">
        <f t="shared" si="47"/>
        <v>2013</v>
      </c>
      <c r="J51" t="str">
        <f t="shared" si="54"/>
        <v>10.1007/s00429-012-0462-x</v>
      </c>
      <c r="K51" t="str">
        <f t="shared" si="55"/>
        <v>Fu_etal_2013_Table1</v>
      </c>
      <c r="L51" t="str">
        <f t="shared" si="56"/>
        <v>10.1007%2Fs00429-012-0462-x_Table1</v>
      </c>
      <c r="M51" t="str">
        <f t="array" ref="M51">IFERROR(INDEX(FileList!$A$1:$A$100, MATCH(L51, _xlfn.TEXTBEFORE(FileList!$A$1:$A$100, ".tsv"), 0)), "notfound")</f>
        <v>notfound</v>
      </c>
      <c r="N51" s="2" t="s">
        <v>313</v>
      </c>
      <c r="P51" s="2" t="s">
        <v>314</v>
      </c>
      <c r="Z51" s="2" t="s">
        <v>315</v>
      </c>
      <c r="AE51" s="2" t="s">
        <v>128</v>
      </c>
      <c r="AK51" s="2" t="s">
        <v>42</v>
      </c>
      <c r="AL51" s="2" t="s">
        <v>42</v>
      </c>
      <c r="AM51" s="2" t="s">
        <v>42</v>
      </c>
    </row>
    <row r="52" spans="1:39" ht="17" customHeight="1" x14ac:dyDescent="0.2">
      <c r="A52" s="2" t="s">
        <v>316</v>
      </c>
      <c r="D52" s="2" t="s">
        <v>264</v>
      </c>
      <c r="E52" t="str">
        <f t="shared" si="44"/>
        <v>6</v>
      </c>
      <c r="F52" t="str">
        <f t="shared" si="45"/>
        <v>Garwicz_etal_2009</v>
      </c>
      <c r="G52" t="str">
        <f t="shared" si="46"/>
        <v>Garwicz</v>
      </c>
      <c r="H52" t="str">
        <f t="shared" si="16"/>
        <v>etal</v>
      </c>
      <c r="I52" t="str">
        <f t="shared" si="47"/>
        <v>2009</v>
      </c>
      <c r="J52" t="str">
        <f t="shared" si="54"/>
        <v>10.1073/pnas.0905777106</v>
      </c>
      <c r="K52" t="str">
        <f t="shared" si="55"/>
        <v>Garwicz_etal_2009_TableS1</v>
      </c>
      <c r="L52" t="str">
        <f t="shared" si="56"/>
        <v>10.1073%2Fpnas.0905777106_TableS1</v>
      </c>
      <c r="M52" t="str">
        <f t="array" ref="M52">IFERROR(INDEX(FileList!$A$1:$A$100, MATCH(L52, _xlfn.TEXTBEFORE(FileList!$A$1:$A$100, ".tsv"), 0)), "notfound")</f>
        <v>10.1073%2Fpnas.0905777106_TableS1.tsv</v>
      </c>
      <c r="N52" s="2" t="s">
        <v>317</v>
      </c>
      <c r="U52" s="2" t="s">
        <v>54</v>
      </c>
      <c r="W52" s="2" t="s">
        <v>163</v>
      </c>
      <c r="X52" s="2" t="s">
        <v>318</v>
      </c>
      <c r="AK52" s="2" t="s">
        <v>120</v>
      </c>
      <c r="AL52" s="2" t="s">
        <v>117</v>
      </c>
      <c r="AM52" s="2" t="s">
        <v>319</v>
      </c>
    </row>
    <row r="53" spans="1:39" ht="17" customHeight="1" x14ac:dyDescent="0.2">
      <c r="A53" s="2" t="s">
        <v>316</v>
      </c>
      <c r="D53" s="2" t="s">
        <v>320</v>
      </c>
      <c r="E53" t="str">
        <f t="shared" si="44"/>
        <v>6</v>
      </c>
      <c r="F53" t="str">
        <f t="shared" si="45"/>
        <v>Garwicz_etal_2009</v>
      </c>
      <c r="G53" t="str">
        <f t="shared" si="46"/>
        <v>Garwicz</v>
      </c>
      <c r="H53" t="str">
        <f t="shared" si="16"/>
        <v>etal</v>
      </c>
      <c r="I53" t="str">
        <f t="shared" si="47"/>
        <v>2009</v>
      </c>
      <c r="J53" t="str">
        <f t="shared" si="54"/>
        <v>10.1073/pnas.0905777106</v>
      </c>
      <c r="K53" t="str">
        <f t="shared" si="55"/>
        <v>Garwicz_etal_2009_TableS2</v>
      </c>
      <c r="L53" t="str">
        <f t="shared" si="56"/>
        <v>10.1073%2Fpnas.0905777106_TableS2</v>
      </c>
      <c r="M53" t="str">
        <f t="array" ref="M53">IFERROR(INDEX(FileList!$A$1:$A$100, MATCH(L53, _xlfn.TEXTBEFORE(FileList!$A$1:$A$100, ".tsv"), 0)), "notfound")</f>
        <v>notfound</v>
      </c>
      <c r="N53" s="2" t="s">
        <v>321</v>
      </c>
      <c r="U53" s="2" t="s">
        <v>54</v>
      </c>
      <c r="W53" s="2" t="s">
        <v>163</v>
      </c>
      <c r="X53" s="2" t="s">
        <v>318</v>
      </c>
      <c r="AK53" s="2" t="s">
        <v>120</v>
      </c>
      <c r="AL53" s="2" t="s">
        <v>117</v>
      </c>
      <c r="AM53" s="2" t="s">
        <v>319</v>
      </c>
    </row>
    <row r="54" spans="1:39" ht="16" customHeight="1" x14ac:dyDescent="0.2">
      <c r="A54" s="2" t="s">
        <v>322</v>
      </c>
      <c r="D54" s="2" t="s">
        <v>320</v>
      </c>
      <c r="E54" t="str">
        <f t="shared" si="44"/>
        <v>0</v>
      </c>
      <c r="F54" t="str">
        <f t="shared" si="45"/>
        <v>Genoud_etal_2018</v>
      </c>
      <c r="G54" t="str">
        <f t="shared" si="46"/>
        <v>Genoud</v>
      </c>
      <c r="H54" t="str">
        <f t="shared" si="16"/>
        <v>etal</v>
      </c>
      <c r="I54" t="str">
        <f t="shared" si="47"/>
        <v>2018</v>
      </c>
      <c r="J54" t="str">
        <f t="shared" si="54"/>
        <v>10.1111/brv.12350</v>
      </c>
      <c r="K54" t="str">
        <f t="shared" si="55"/>
        <v>Genoud_etal_2018_TableS2</v>
      </c>
      <c r="L54" t="str">
        <f t="shared" si="56"/>
        <v>10.1111%2Fbrv.12350_TableS2</v>
      </c>
      <c r="M54" t="str">
        <f t="array" ref="M54">IFERROR(INDEX(FileList!$A$1:$A$100, MATCH(L54, _xlfn.TEXTBEFORE(FileList!$A$1:$A$100, ".tsv"), 0)), "notfound")</f>
        <v>notfound</v>
      </c>
      <c r="N54" s="2" t="s">
        <v>323</v>
      </c>
      <c r="P54" s="2" t="s">
        <v>314</v>
      </c>
      <c r="AE54" s="2" t="s">
        <v>324</v>
      </c>
      <c r="AK54" s="2" t="s">
        <v>42</v>
      </c>
      <c r="AL54" s="2" t="s">
        <v>42</v>
      </c>
      <c r="AM54" s="2" t="s">
        <v>42</v>
      </c>
    </row>
    <row r="55" spans="1:39" ht="16" customHeight="1" x14ac:dyDescent="0.2">
      <c r="A55" s="2" t="s">
        <v>325</v>
      </c>
      <c r="D55" s="2" t="s">
        <v>264</v>
      </c>
      <c r="E55" t="str">
        <f t="shared" si="44"/>
        <v>8</v>
      </c>
      <c r="F55" t="str">
        <f t="shared" si="45"/>
        <v>Granatosky__2018</v>
      </c>
      <c r="G55" t="str">
        <f t="shared" si="46"/>
        <v>Granatosky</v>
      </c>
      <c r="H55" t="str">
        <f t="shared" si="16"/>
        <v/>
      </c>
      <c r="I55" t="str">
        <f t="shared" si="47"/>
        <v>2018</v>
      </c>
      <c r="J55" t="str">
        <f t="shared" si="54"/>
        <v>10.1111/jzo.12608</v>
      </c>
      <c r="K55" t="str">
        <f t="shared" si="55"/>
        <v>Granatosky__2018_TableS1</v>
      </c>
      <c r="L55" t="str">
        <f t="shared" si="56"/>
        <v>10.1111%2Fjzo.12608_TableS1</v>
      </c>
      <c r="M55" t="str">
        <f t="array" ref="M55">IFERROR(INDEX(FileList!$A$1:$A$100, MATCH(L55, _xlfn.TEXTBEFORE(FileList!$A$1:$A$100, ".tsv"), 0)), "notfound")</f>
        <v>notfound</v>
      </c>
      <c r="N55" s="2" t="s">
        <v>326</v>
      </c>
      <c r="P55" s="2" t="s">
        <v>314</v>
      </c>
      <c r="X55" s="2" t="s">
        <v>327</v>
      </c>
      <c r="AK55" s="2" t="s">
        <v>120</v>
      </c>
      <c r="AL55" s="2" t="s">
        <v>117</v>
      </c>
      <c r="AM55" s="2" t="s">
        <v>328</v>
      </c>
    </row>
    <row r="56" spans="1:39" ht="16" customHeight="1" x14ac:dyDescent="0.2">
      <c r="A56" s="2" t="s">
        <v>329</v>
      </c>
      <c r="E56" t="str">
        <f t="shared" si="44"/>
        <v>7</v>
      </c>
      <c r="F56" t="str">
        <f t="shared" si="45"/>
        <v>Haarlem_etal_2026</v>
      </c>
      <c r="G56" t="str">
        <f t="shared" si="46"/>
        <v>Haarlem</v>
      </c>
      <c r="H56" t="str">
        <f t="shared" si="16"/>
        <v>etal</v>
      </c>
      <c r="I56" t="str">
        <f t="shared" si="47"/>
        <v>2026</v>
      </c>
      <c r="J56" t="str">
        <f t="shared" si="54"/>
        <v>10.1038/s41559-026-02994-7</v>
      </c>
      <c r="K56" t="str">
        <f t="shared" si="55"/>
        <v>Haarlem_etal_2026_</v>
      </c>
      <c r="L56" t="str">
        <f t="shared" si="56"/>
        <v>10.1038%2Fs41559-026-02994-7_</v>
      </c>
      <c r="M56" t="str">
        <f t="array" ref="M56">IFERROR(INDEX(FileList!$A$1:$A$100, MATCH(L56, _xlfn.TEXTBEFORE(FileList!$A$1:$A$100, ".tsv"), 0)), "notfound")</f>
        <v>notfound</v>
      </c>
      <c r="X56" s="2" t="s">
        <v>327</v>
      </c>
      <c r="AK56" s="2" t="s">
        <v>42</v>
      </c>
      <c r="AL56" s="2" t="s">
        <v>42</v>
      </c>
      <c r="AM56" s="2" t="s">
        <v>42</v>
      </c>
    </row>
    <row r="57" spans="1:39" ht="16" customHeight="1" x14ac:dyDescent="0.2">
      <c r="A57" s="2" t="s">
        <v>330</v>
      </c>
      <c r="D57" s="2" t="s">
        <v>331</v>
      </c>
      <c r="E57" t="str">
        <f t="shared" si="44"/>
        <v>4</v>
      </c>
      <c r="F57" t="str">
        <f t="shared" si="45"/>
        <v>Heffner_Masterton_1983</v>
      </c>
      <c r="G57" t="str">
        <f t="shared" si="46"/>
        <v>Heffner</v>
      </c>
      <c r="H57" t="str">
        <f t="shared" si="16"/>
        <v>Masterton</v>
      </c>
      <c r="I57" t="str">
        <f t="shared" si="47"/>
        <v>1983</v>
      </c>
      <c r="J57" t="str">
        <f t="shared" si="54"/>
        <v>10.1159/000121494</v>
      </c>
      <c r="K57" t="str">
        <f t="shared" si="55"/>
        <v>Heffner_Masterton_1983_TableI</v>
      </c>
      <c r="L57" t="str">
        <f t="shared" si="56"/>
        <v>10.1159%2F000121494_TableI</v>
      </c>
      <c r="M57" t="str">
        <f t="array" ref="M57">IFERROR(INDEX(FileList!$A$1:$A$100, MATCH(L57, _xlfn.TEXTBEFORE(FileList!$A$1:$A$100, ".tsv"), 0)), "notfound")</f>
        <v>notfound</v>
      </c>
      <c r="P57" s="2" t="s">
        <v>314</v>
      </c>
      <c r="Q57" s="2" t="s">
        <v>179</v>
      </c>
      <c r="T57" s="2" t="str">
        <f>IF(S57="N", R57, "write file name")</f>
        <v>write file name</v>
      </c>
      <c r="U57" s="2" t="s">
        <v>54</v>
      </c>
      <c r="V57" s="2" t="s">
        <v>41</v>
      </c>
      <c r="W57" s="2" t="s">
        <v>183</v>
      </c>
      <c r="X57" s="2" t="s">
        <v>327</v>
      </c>
      <c r="Y57" s="2" t="s">
        <v>332</v>
      </c>
      <c r="AG57" s="2" t="s">
        <v>119</v>
      </c>
      <c r="AI57" s="2" t="s">
        <v>333</v>
      </c>
      <c r="AK57" s="2" t="s">
        <v>120</v>
      </c>
      <c r="AL57" s="2" t="s">
        <v>117</v>
      </c>
      <c r="AM57" s="2" t="s">
        <v>334</v>
      </c>
    </row>
    <row r="58" spans="1:39" ht="16" customHeight="1" x14ac:dyDescent="0.2">
      <c r="A58" s="2" t="s">
        <v>335</v>
      </c>
      <c r="D58" s="2" t="s">
        <v>331</v>
      </c>
      <c r="E58" t="str">
        <f t="shared" si="44"/>
        <v>1</v>
      </c>
      <c r="F58" t="str">
        <f t="shared" si="45"/>
        <v>Heffner_Masterton_1975</v>
      </c>
      <c r="G58" t="str">
        <f t="shared" si="46"/>
        <v>Heffner</v>
      </c>
      <c r="H58" t="str">
        <f t="shared" si="16"/>
        <v>Masterton</v>
      </c>
      <c r="I58" t="str">
        <f t="shared" si="47"/>
        <v>1975</v>
      </c>
      <c r="J58" t="str">
        <f t="shared" si="54"/>
        <v>10.1159/000124401</v>
      </c>
      <c r="K58" t="str">
        <f t="shared" si="55"/>
        <v>Heffner_Masterton_1975_TableI</v>
      </c>
      <c r="L58" t="str">
        <f t="shared" si="56"/>
        <v>10.1159%2F000124401_TableI</v>
      </c>
      <c r="M58" t="str">
        <f t="array" ref="M58">IFERROR(INDEX(FileList!$A$1:$A$100, MATCH(L58, _xlfn.TEXTBEFORE(FileList!$A$1:$A$100, ".tsv"), 0)), "notfound")</f>
        <v>10.1159%2F000124401_TableI.tsv</v>
      </c>
      <c r="P58" s="2" t="s">
        <v>49</v>
      </c>
      <c r="Q58" s="2" t="s">
        <v>50</v>
      </c>
      <c r="R58" s="2" t="s">
        <v>336</v>
      </c>
      <c r="S58" s="2" t="s">
        <v>52</v>
      </c>
      <c r="T58" s="2" t="s">
        <v>337</v>
      </c>
      <c r="U58" s="2" t="s">
        <v>54</v>
      </c>
      <c r="V58" s="2" t="s">
        <v>41</v>
      </c>
      <c r="W58" s="2" t="s">
        <v>183</v>
      </c>
      <c r="X58" s="2" t="s">
        <v>327</v>
      </c>
      <c r="Y58" s="2" t="s">
        <v>332</v>
      </c>
      <c r="Z58" s="2" t="s">
        <v>338</v>
      </c>
      <c r="AE58" s="2" t="s">
        <v>339</v>
      </c>
      <c r="AG58" s="2" t="s">
        <v>119</v>
      </c>
      <c r="AK58" s="2" t="s">
        <v>120</v>
      </c>
      <c r="AL58" s="2" t="s">
        <v>340</v>
      </c>
      <c r="AM58" s="2" t="s">
        <v>341</v>
      </c>
    </row>
    <row r="59" spans="1:39" ht="16" customHeight="1" x14ac:dyDescent="0.2">
      <c r="A59" s="2" t="s">
        <v>342</v>
      </c>
      <c r="C59" s="2" t="s">
        <v>343</v>
      </c>
      <c r="D59" s="2" t="s">
        <v>47</v>
      </c>
      <c r="E59" t="str">
        <f t="shared" si="44"/>
        <v>8</v>
      </c>
      <c r="F59" t="str">
        <f t="shared" si="45"/>
        <v>Heiss_etal_2004</v>
      </c>
      <c r="G59" t="str">
        <f t="shared" si="46"/>
        <v>Heiss</v>
      </c>
      <c r="H59" t="str">
        <f t="shared" si="16"/>
        <v>etal</v>
      </c>
      <c r="I59" t="str">
        <f t="shared" si="47"/>
        <v>2004</v>
      </c>
      <c r="J59" t="str">
        <f t="shared" si="54"/>
        <v>PMID:15534048</v>
      </c>
      <c r="K59" t="str">
        <f t="shared" si="55"/>
        <v>Heiss_etal_2004_TABLE1</v>
      </c>
      <c r="L59" t="str">
        <f t="shared" si="56"/>
        <v>PMID%3A15534048_TABLE1</v>
      </c>
      <c r="M59" t="str">
        <f t="array" ref="M59">IFERROR(INDEX(FileList!$A$1:$A$100, MATCH(L59, _xlfn.TEXTBEFORE(FileList!$A$1:$A$100, ".tsv"), 0)), "notfound")</f>
        <v>PMID%3A15534048_TABLE1.tsv</v>
      </c>
      <c r="N59" s="2" t="s">
        <v>344</v>
      </c>
      <c r="X59" s="2" t="s">
        <v>327</v>
      </c>
      <c r="Y59" s="2" t="s">
        <v>345</v>
      </c>
      <c r="AK59" s="2" t="s">
        <v>346</v>
      </c>
      <c r="AL59" s="2" t="s">
        <v>58</v>
      </c>
      <c r="AM59" s="2" t="s">
        <v>347</v>
      </c>
    </row>
    <row r="60" spans="1:39" ht="16" customHeight="1" x14ac:dyDescent="0.2">
      <c r="A60" s="2" t="s">
        <v>348</v>
      </c>
      <c r="D60" s="2" t="s">
        <v>264</v>
      </c>
      <c r="E60" t="str">
        <f t="shared" si="44"/>
        <v>8</v>
      </c>
      <c r="F60" t="str">
        <f t="shared" si="45"/>
        <v>Heldstab_etal_2016</v>
      </c>
      <c r="G60" t="str">
        <f t="shared" si="46"/>
        <v>Heldstab</v>
      </c>
      <c r="H60" t="str">
        <f t="shared" si="16"/>
        <v>etal</v>
      </c>
      <c r="I60" t="str">
        <f t="shared" si="47"/>
        <v>2016</v>
      </c>
      <c r="J60" t="str">
        <f t="shared" si="54"/>
        <v>10.1038/srep24528</v>
      </c>
      <c r="K60" t="str">
        <f t="shared" si="55"/>
        <v>Heldstab_etal_2016_TableS1</v>
      </c>
      <c r="L60" t="str">
        <f t="shared" si="56"/>
        <v>10.1038%2Fsrep24528_TableS1</v>
      </c>
      <c r="M60" t="str">
        <f t="array" ref="M60">IFERROR(INDEX(FileList!$A$1:$A$100, MATCH(L60, _xlfn.TEXTBEFORE(FileList!$A$1:$A$100, ".tsv"), 0)), "notfound")</f>
        <v>notfound</v>
      </c>
      <c r="P60" s="2" t="s">
        <v>314</v>
      </c>
      <c r="Q60" s="2" t="s">
        <v>179</v>
      </c>
      <c r="T60" s="2" t="str">
        <f>IF(S60="N", R60, "write file name")</f>
        <v>write file name</v>
      </c>
      <c r="U60" s="2" t="s">
        <v>54</v>
      </c>
      <c r="V60" s="2" t="s">
        <v>41</v>
      </c>
      <c r="X60" s="2" t="s">
        <v>327</v>
      </c>
      <c r="Y60" s="2" t="s">
        <v>349</v>
      </c>
      <c r="AG60" s="2" t="s">
        <v>157</v>
      </c>
      <c r="AK60" s="2" t="s">
        <v>100</v>
      </c>
      <c r="AL60" s="2" t="s">
        <v>117</v>
      </c>
      <c r="AM60" s="2" t="s">
        <v>350</v>
      </c>
    </row>
    <row r="61" spans="1:39" ht="16" customHeight="1" x14ac:dyDescent="0.2">
      <c r="A61" s="2" t="s">
        <v>351</v>
      </c>
      <c r="D61" s="2" t="s">
        <v>79</v>
      </c>
      <c r="E61" t="str">
        <f t="shared" si="44"/>
        <v>3</v>
      </c>
      <c r="F61" t="str">
        <f t="shared" si="45"/>
        <v>HerculanoHouzel__2015</v>
      </c>
      <c r="G61" t="str">
        <f t="shared" si="46"/>
        <v>HerculanoHouzel</v>
      </c>
      <c r="H61" t="str">
        <f t="shared" si="16"/>
        <v/>
      </c>
      <c r="I61" t="str">
        <f t="shared" si="47"/>
        <v>2015</v>
      </c>
      <c r="J61" t="str">
        <f t="shared" si="54"/>
        <v>10.1098/rspb.2015.1853</v>
      </c>
      <c r="K61" t="str">
        <f t="shared" si="55"/>
        <v>HerculanoHouzel__2015_Table1</v>
      </c>
      <c r="L61" t="str">
        <f t="shared" si="56"/>
        <v>10.1098%2Frspb.2015.1853_Table1</v>
      </c>
      <c r="M61" t="str">
        <f t="array" ref="M61">IFERROR(INDEX(FileList!$A$1:$A$100, MATCH(L61, _xlfn.TEXTBEFORE(FileList!$A$1:$A$100, ".tsv"), 0)), "notfound")</f>
        <v>10.1098%2Frspb.2015.1853_Table1.tsv</v>
      </c>
      <c r="U61" s="2" t="s">
        <v>54</v>
      </c>
      <c r="V61" s="2" t="s">
        <v>41</v>
      </c>
      <c r="Y61" s="2" t="s">
        <v>352</v>
      </c>
      <c r="AK61" s="2" t="s">
        <v>120</v>
      </c>
      <c r="AL61" s="2" t="s">
        <v>340</v>
      </c>
      <c r="AM61" s="2" t="s">
        <v>353</v>
      </c>
    </row>
    <row r="62" spans="1:39" ht="16" customHeight="1" x14ac:dyDescent="0.2">
      <c r="A62" s="2" t="s">
        <v>351</v>
      </c>
      <c r="D62" s="2" t="s">
        <v>101</v>
      </c>
      <c r="E62" t="str">
        <f t="shared" si="44"/>
        <v>3</v>
      </c>
      <c r="F62" t="str">
        <f t="shared" si="45"/>
        <v>HerculanoHouzel__2015</v>
      </c>
      <c r="G62" t="str">
        <f t="shared" si="46"/>
        <v>HerculanoHouzel</v>
      </c>
      <c r="H62" t="str">
        <f t="shared" si="16"/>
        <v/>
      </c>
      <c r="I62" t="str">
        <f t="shared" si="47"/>
        <v>2015</v>
      </c>
      <c r="J62" t="str">
        <f t="shared" si="54"/>
        <v>10.1098/rspb.2015.1853</v>
      </c>
      <c r="K62" t="str">
        <f t="shared" si="55"/>
        <v>HerculanoHouzel__2015_Table2</v>
      </c>
      <c r="L62" t="str">
        <f t="shared" si="56"/>
        <v>10.1098%2Frspb.2015.1853_Table2</v>
      </c>
      <c r="M62" t="str">
        <f t="array" ref="M62">IFERROR(INDEX(FileList!$A$1:$A$100, MATCH(L62, _xlfn.TEXTBEFORE(FileList!$A$1:$A$100, ".tsv"), 0)), "notfound")</f>
        <v>notfound</v>
      </c>
      <c r="N62" s="2" t="s">
        <v>354</v>
      </c>
      <c r="U62" s="2" t="s">
        <v>54</v>
      </c>
      <c r="V62" s="2" t="s">
        <v>41</v>
      </c>
      <c r="Y62" s="2" t="s">
        <v>355</v>
      </c>
      <c r="Z62" s="2" t="s">
        <v>117</v>
      </c>
      <c r="AK62" s="2" t="s">
        <v>120</v>
      </c>
      <c r="AL62" s="2" t="s">
        <v>340</v>
      </c>
      <c r="AM62" s="2" t="s">
        <v>356</v>
      </c>
    </row>
    <row r="63" spans="1:39" ht="16" customHeight="1" x14ac:dyDescent="0.2">
      <c r="A63" s="2" t="s">
        <v>357</v>
      </c>
      <c r="D63" s="2" t="s">
        <v>79</v>
      </c>
      <c r="E63" t="str">
        <f t="shared" si="44"/>
        <v>3</v>
      </c>
      <c r="F63" t="str">
        <f t="shared" si="45"/>
        <v>HerculanoHouzel_etal_2015</v>
      </c>
      <c r="G63" t="str">
        <f t="shared" si="46"/>
        <v>HerculanoHouzel</v>
      </c>
      <c r="H63" t="str">
        <f t="shared" si="16"/>
        <v>etal</v>
      </c>
      <c r="I63" t="str">
        <f t="shared" si="47"/>
        <v>2015</v>
      </c>
      <c r="J63" t="str">
        <f t="shared" si="54"/>
        <v>10.1159/000437413</v>
      </c>
      <c r="K63" t="str">
        <f t="shared" si="55"/>
        <v>HerculanoHouzel_etal_2015_Table1</v>
      </c>
      <c r="L63" t="str">
        <f t="shared" si="56"/>
        <v>10.1159%2F000437413_Table1</v>
      </c>
      <c r="M63" t="str">
        <f t="array" ref="M63">IFERROR(INDEX(FileList!$A$1:$A$100, MATCH(L63, _xlfn.TEXTBEFORE(FileList!$A$1:$A$100, ".tsv"), 0)), "notfound")</f>
        <v>10.1159%2F000437413_Table1.tsv</v>
      </c>
      <c r="N63" s="2" t="s">
        <v>358</v>
      </c>
      <c r="P63" s="2" t="s">
        <v>49</v>
      </c>
      <c r="Q63" s="2" t="s">
        <v>50</v>
      </c>
      <c r="R63" s="2" t="s">
        <v>359</v>
      </c>
      <c r="S63" s="2" t="s">
        <v>52</v>
      </c>
      <c r="T63" s="2" t="s">
        <v>360</v>
      </c>
      <c r="U63" s="2" t="s">
        <v>54</v>
      </c>
      <c r="V63" s="2" t="s">
        <v>41</v>
      </c>
      <c r="W63" s="2" t="s">
        <v>170</v>
      </c>
      <c r="X63" s="2" t="s">
        <v>327</v>
      </c>
      <c r="Y63" s="2" t="s">
        <v>253</v>
      </c>
      <c r="AA63" s="2" t="s">
        <v>59</v>
      </c>
      <c r="AC63" s="2" t="s">
        <v>60</v>
      </c>
      <c r="AD63" s="2" t="s">
        <v>59</v>
      </c>
      <c r="AG63" s="2" t="s">
        <v>61</v>
      </c>
      <c r="AH63" s="2" t="s">
        <v>361</v>
      </c>
      <c r="AK63" s="2" t="s">
        <v>362</v>
      </c>
      <c r="AL63" s="2" t="s">
        <v>58</v>
      </c>
      <c r="AM63" s="2" t="s">
        <v>63</v>
      </c>
    </row>
    <row r="64" spans="1:39" ht="16" customHeight="1" x14ac:dyDescent="0.2">
      <c r="A64" s="2" t="s">
        <v>357</v>
      </c>
      <c r="D64" s="2" t="s">
        <v>101</v>
      </c>
      <c r="E64" t="str">
        <f t="shared" si="44"/>
        <v>3</v>
      </c>
      <c r="F64" t="str">
        <f t="shared" si="45"/>
        <v>HerculanoHouzel_etal_2015</v>
      </c>
      <c r="G64" t="str">
        <f t="shared" si="46"/>
        <v>HerculanoHouzel</v>
      </c>
      <c r="H64" t="str">
        <f t="shared" si="16"/>
        <v>etal</v>
      </c>
      <c r="I64" t="str">
        <f t="shared" si="47"/>
        <v>2015</v>
      </c>
      <c r="J64" t="str">
        <f t="shared" si="54"/>
        <v>10.1159/000437413</v>
      </c>
      <c r="K64" t="str">
        <f t="shared" si="55"/>
        <v>HerculanoHouzel_etal_2015_Table2</v>
      </c>
      <c r="L64" t="str">
        <f t="shared" si="56"/>
        <v>10.1159%2F000437413_Table2</v>
      </c>
      <c r="M64" t="str">
        <f t="array" ref="M64">IFERROR(INDEX(FileList!$A$1:$A$100, MATCH(L64, _xlfn.TEXTBEFORE(FileList!$A$1:$A$100, ".tsv"), 0)), "notfound")</f>
        <v>10.1159%2F000437413_Table2.tsv</v>
      </c>
      <c r="N64" s="2" t="s">
        <v>363</v>
      </c>
      <c r="P64" s="2" t="s">
        <v>49</v>
      </c>
      <c r="Q64" s="2" t="s">
        <v>50</v>
      </c>
      <c r="R64" s="2" t="s">
        <v>364</v>
      </c>
      <c r="S64" s="2" t="s">
        <v>52</v>
      </c>
      <c r="T64" s="2" t="s">
        <v>365</v>
      </c>
      <c r="U64" s="2" t="s">
        <v>54</v>
      </c>
      <c r="V64" s="2" t="s">
        <v>41</v>
      </c>
      <c r="W64" s="2" t="s">
        <v>170</v>
      </c>
      <c r="X64" s="2" t="s">
        <v>327</v>
      </c>
      <c r="Y64" s="2" t="s">
        <v>253</v>
      </c>
      <c r="AA64" s="2" t="s">
        <v>59</v>
      </c>
      <c r="AC64" s="2" t="s">
        <v>60</v>
      </c>
      <c r="AD64" s="2" t="s">
        <v>59</v>
      </c>
      <c r="AG64" s="2" t="s">
        <v>61</v>
      </c>
      <c r="AK64" s="2" t="s">
        <v>362</v>
      </c>
      <c r="AL64" s="2" t="s">
        <v>58</v>
      </c>
      <c r="AM64" s="2" t="s">
        <v>63</v>
      </c>
    </row>
    <row r="65" spans="1:39" ht="16" customHeight="1" x14ac:dyDescent="0.2">
      <c r="A65" s="2" t="s">
        <v>357</v>
      </c>
      <c r="D65" s="2" t="s">
        <v>102</v>
      </c>
      <c r="E65" t="str">
        <f t="shared" si="44"/>
        <v>3</v>
      </c>
      <c r="F65" t="str">
        <f t="shared" si="45"/>
        <v>HerculanoHouzel_etal_2015</v>
      </c>
      <c r="G65" t="str">
        <f t="shared" si="46"/>
        <v>HerculanoHouzel</v>
      </c>
      <c r="H65" t="str">
        <f t="shared" si="16"/>
        <v>etal</v>
      </c>
      <c r="I65" t="str">
        <f t="shared" si="47"/>
        <v>2015</v>
      </c>
      <c r="J65" t="str">
        <f t="shared" si="54"/>
        <v>10.1159/000437413</v>
      </c>
      <c r="K65" t="str">
        <f t="shared" si="55"/>
        <v>HerculanoHouzel_etal_2015_Table3</v>
      </c>
      <c r="L65" t="str">
        <f t="shared" si="56"/>
        <v>10.1159%2F000437413_Table3</v>
      </c>
      <c r="M65" t="str">
        <f t="array" ref="M65">IFERROR(INDEX(FileList!$A$1:$A$100, MATCH(L65, _xlfn.TEXTBEFORE(FileList!$A$1:$A$100, ".tsv"), 0)), "notfound")</f>
        <v>10.1159%2F000437413_Table3.tsv</v>
      </c>
      <c r="N65" s="2" t="s">
        <v>366</v>
      </c>
      <c r="P65" s="2" t="s">
        <v>49</v>
      </c>
      <c r="Q65" s="2" t="s">
        <v>50</v>
      </c>
      <c r="R65" s="2" t="s">
        <v>367</v>
      </c>
      <c r="S65" s="2" t="s">
        <v>52</v>
      </c>
      <c r="T65" s="2" t="s">
        <v>368</v>
      </c>
      <c r="U65" s="2" t="s">
        <v>54</v>
      </c>
      <c r="V65" s="2" t="s">
        <v>41</v>
      </c>
      <c r="W65" s="2" t="s">
        <v>170</v>
      </c>
      <c r="X65" s="2" t="s">
        <v>327</v>
      </c>
      <c r="Y65" s="2" t="s">
        <v>253</v>
      </c>
      <c r="AA65" s="2" t="s">
        <v>59</v>
      </c>
      <c r="AC65" s="2" t="s">
        <v>60</v>
      </c>
      <c r="AD65" s="2" t="s">
        <v>59</v>
      </c>
      <c r="AG65" s="2" t="s">
        <v>61</v>
      </c>
      <c r="AK65" s="2" t="s">
        <v>362</v>
      </c>
      <c r="AL65" s="2" t="s">
        <v>58</v>
      </c>
      <c r="AM65" s="2" t="s">
        <v>63</v>
      </c>
    </row>
    <row r="66" spans="1:39" ht="16" customHeight="1" x14ac:dyDescent="0.2">
      <c r="A66" s="2" t="s">
        <v>357</v>
      </c>
      <c r="D66" s="2" t="s">
        <v>40</v>
      </c>
      <c r="E66" t="str">
        <f t="shared" si="44"/>
        <v>3</v>
      </c>
      <c r="F66" t="str">
        <f t="shared" si="45"/>
        <v>HerculanoHouzel_etal_2015</v>
      </c>
      <c r="G66" t="str">
        <f t="shared" si="46"/>
        <v>HerculanoHouzel</v>
      </c>
      <c r="H66" t="str">
        <f t="shared" si="16"/>
        <v>etal</v>
      </c>
      <c r="I66" t="str">
        <f t="shared" si="47"/>
        <v>2015</v>
      </c>
      <c r="J66" t="str">
        <f t="shared" si="54"/>
        <v>10.1159/000437413</v>
      </c>
      <c r="K66" t="str">
        <f t="shared" si="55"/>
        <v>HerculanoHouzel_etal_2015_Table4</v>
      </c>
      <c r="L66" t="str">
        <f t="shared" si="56"/>
        <v>10.1159%2F000437413_Table4</v>
      </c>
      <c r="M66" t="str">
        <f t="array" ref="M66">IFERROR(INDEX(FileList!$A$1:$A$100, MATCH(L66, _xlfn.TEXTBEFORE(FileList!$A$1:$A$100, ".tsv"), 0)), "notfound")</f>
        <v>10.1159%2F000437413_Table4.tsv</v>
      </c>
      <c r="N66" s="2" t="s">
        <v>369</v>
      </c>
      <c r="P66" s="2" t="s">
        <v>49</v>
      </c>
      <c r="Q66" s="2" t="s">
        <v>50</v>
      </c>
      <c r="R66" s="2" t="s">
        <v>370</v>
      </c>
      <c r="S66" s="2" t="s">
        <v>52</v>
      </c>
      <c r="T66" s="2" t="s">
        <v>371</v>
      </c>
      <c r="U66" s="2" t="s">
        <v>54</v>
      </c>
      <c r="V66" s="2" t="s">
        <v>41</v>
      </c>
      <c r="W66" s="2" t="s">
        <v>170</v>
      </c>
      <c r="X66" s="2" t="s">
        <v>327</v>
      </c>
      <c r="Y66" s="2" t="s">
        <v>253</v>
      </c>
      <c r="AA66" s="2" t="s">
        <v>59</v>
      </c>
      <c r="AC66" s="2" t="s">
        <v>60</v>
      </c>
      <c r="AD66" s="2" t="s">
        <v>59</v>
      </c>
      <c r="AG66" s="2" t="s">
        <v>61</v>
      </c>
      <c r="AK66" s="2" t="s">
        <v>362</v>
      </c>
      <c r="AL66" s="2" t="s">
        <v>58</v>
      </c>
      <c r="AM66" s="2" t="s">
        <v>63</v>
      </c>
    </row>
    <row r="67" spans="1:39" ht="16" customHeight="1" x14ac:dyDescent="0.2">
      <c r="A67" s="2" t="s">
        <v>357</v>
      </c>
      <c r="D67" s="2" t="s">
        <v>372</v>
      </c>
      <c r="E67" t="str">
        <f t="shared" si="44"/>
        <v>3</v>
      </c>
      <c r="F67" t="str">
        <f t="shared" si="45"/>
        <v>HerculanoHouzel_etal_2015</v>
      </c>
      <c r="G67" t="str">
        <f t="shared" si="46"/>
        <v>HerculanoHouzel</v>
      </c>
      <c r="H67" t="str">
        <f t="shared" si="16"/>
        <v>etal</v>
      </c>
      <c r="I67" t="str">
        <f t="shared" si="47"/>
        <v>2015</v>
      </c>
      <c r="J67" t="str">
        <f t="shared" si="54"/>
        <v>10.1159/000437413</v>
      </c>
      <c r="K67" t="str">
        <f t="shared" si="55"/>
        <v>HerculanoHouzel_etal_2015_Table5</v>
      </c>
      <c r="L67" t="str">
        <f t="shared" si="56"/>
        <v>10.1159%2F000437413_Table5</v>
      </c>
      <c r="M67" t="str">
        <f t="array" ref="M67">IFERROR(INDEX(FileList!$A$1:$A$100, MATCH(L67, _xlfn.TEXTBEFORE(FileList!$A$1:$A$100, ".tsv"), 0)), "notfound")</f>
        <v>10.1159%2F000437413_Table5.tsv</v>
      </c>
      <c r="N67" s="2" t="s">
        <v>373</v>
      </c>
      <c r="P67" s="2" t="s">
        <v>49</v>
      </c>
      <c r="Q67" s="2" t="s">
        <v>50</v>
      </c>
      <c r="R67" s="2" t="s">
        <v>374</v>
      </c>
      <c r="S67" s="2" t="s">
        <v>52</v>
      </c>
      <c r="T67" s="2" t="s">
        <v>375</v>
      </c>
      <c r="U67" s="2" t="s">
        <v>54</v>
      </c>
      <c r="V67" s="2" t="s">
        <v>41</v>
      </c>
      <c r="W67" s="2" t="s">
        <v>170</v>
      </c>
      <c r="X67" s="2" t="s">
        <v>327</v>
      </c>
      <c r="Y67" s="2" t="s">
        <v>253</v>
      </c>
      <c r="AA67" s="2" t="s">
        <v>59</v>
      </c>
      <c r="AC67" s="2" t="s">
        <v>60</v>
      </c>
      <c r="AD67" s="2" t="s">
        <v>59</v>
      </c>
      <c r="AG67" s="2" t="s">
        <v>61</v>
      </c>
      <c r="AK67" s="2" t="s">
        <v>362</v>
      </c>
      <c r="AL67" s="2" t="s">
        <v>58</v>
      </c>
      <c r="AM67" s="2" t="s">
        <v>63</v>
      </c>
    </row>
    <row r="68" spans="1:39" ht="16" customHeight="1" x14ac:dyDescent="0.2">
      <c r="A68" s="2" t="s">
        <v>376</v>
      </c>
      <c r="D68" s="2" t="s">
        <v>47</v>
      </c>
      <c r="E68" t="str">
        <f t="shared" si="44"/>
        <v>5</v>
      </c>
      <c r="F68" t="str">
        <f t="shared" si="45"/>
        <v>HerculanoHouzel_etal_2020</v>
      </c>
      <c r="G68" t="str">
        <f t="shared" si="46"/>
        <v>HerculanoHouzel</v>
      </c>
      <c r="H68" t="str">
        <f t="shared" si="16"/>
        <v>etal</v>
      </c>
      <c r="I68" t="str">
        <f t="shared" si="47"/>
        <v>2020</v>
      </c>
      <c r="J68" t="str">
        <f t="shared" si="54"/>
        <v>10.1002/cne.24985</v>
      </c>
      <c r="K68" t="str">
        <f t="shared" si="55"/>
        <v>HerculanoHouzel_etal_2020_TABLE1</v>
      </c>
      <c r="L68" t="str">
        <f t="shared" si="56"/>
        <v>10.1002%2Fcne.24985_TABLE1</v>
      </c>
      <c r="M68" t="str">
        <f t="array" ref="M68">IFERROR(INDEX(FileList!$A$1:$A$100, MATCH(L68, _xlfn.TEXTBEFORE(FileList!$A$1:$A$100, ".tsv"), 0)), "notfound")</f>
        <v>10.1002%2Fcne.24985_TABLE1.tsv</v>
      </c>
      <c r="N68" s="2" t="s">
        <v>377</v>
      </c>
      <c r="P68" s="2" t="s">
        <v>49</v>
      </c>
      <c r="Q68" s="2" t="s">
        <v>50</v>
      </c>
      <c r="R68" s="2" t="s">
        <v>378</v>
      </c>
      <c r="S68" s="2" t="s">
        <v>52</v>
      </c>
      <c r="T68" s="2" t="s">
        <v>379</v>
      </c>
      <c r="U68" s="2" t="s">
        <v>54</v>
      </c>
      <c r="V68" s="2" t="s">
        <v>41</v>
      </c>
      <c r="W68" s="2" t="s">
        <v>183</v>
      </c>
      <c r="X68" s="2" t="s">
        <v>380</v>
      </c>
      <c r="Y68" s="2" t="s">
        <v>381</v>
      </c>
      <c r="AA68" s="2" t="s">
        <v>59</v>
      </c>
      <c r="AC68" s="2" t="s">
        <v>60</v>
      </c>
      <c r="AD68" s="2" t="s">
        <v>59</v>
      </c>
      <c r="AG68" s="2" t="s">
        <v>382</v>
      </c>
      <c r="AH68" s="2" t="s">
        <v>136</v>
      </c>
      <c r="AK68" s="2" t="s">
        <v>383</v>
      </c>
      <c r="AL68" s="2" t="s">
        <v>58</v>
      </c>
      <c r="AM68" s="2" t="s">
        <v>384</v>
      </c>
    </row>
    <row r="69" spans="1:39" ht="16" customHeight="1" x14ac:dyDescent="0.2">
      <c r="A69" s="2" t="s">
        <v>376</v>
      </c>
      <c r="D69" s="2" t="s">
        <v>283</v>
      </c>
      <c r="E69" t="str">
        <f t="shared" si="44"/>
        <v>5</v>
      </c>
      <c r="F69" t="str">
        <f t="shared" si="45"/>
        <v>HerculanoHouzel_etal_2020</v>
      </c>
      <c r="G69" t="str">
        <f t="shared" si="46"/>
        <v>HerculanoHouzel</v>
      </c>
      <c r="H69" t="str">
        <f t="shared" si="16"/>
        <v>etal</v>
      </c>
      <c r="I69" t="str">
        <f t="shared" si="47"/>
        <v>2020</v>
      </c>
      <c r="J69" t="str">
        <f t="shared" si="54"/>
        <v>10.1002/cne.24985</v>
      </c>
      <c r="K69" t="str">
        <f t="shared" si="55"/>
        <v>HerculanoHouzel_etal_2020_TABLE2</v>
      </c>
      <c r="L69" t="str">
        <f t="shared" si="56"/>
        <v>10.1002%2Fcne.24985_TABLE2</v>
      </c>
      <c r="M69" t="str">
        <f t="array" ref="M69">IFERROR(INDEX(FileList!$A$1:$A$100, MATCH(L69, _xlfn.TEXTBEFORE(FileList!$A$1:$A$100, ".tsv"), 0)), "notfound")</f>
        <v>10.1002%2Fcne.24985_TABLE2.tsv</v>
      </c>
      <c r="N69" s="2" t="s">
        <v>385</v>
      </c>
      <c r="P69" s="2" t="s">
        <v>49</v>
      </c>
      <c r="Q69" s="2" t="s">
        <v>50</v>
      </c>
      <c r="R69" s="2" t="s">
        <v>386</v>
      </c>
      <c r="S69" s="2" t="s">
        <v>52</v>
      </c>
      <c r="T69" s="2" t="s">
        <v>387</v>
      </c>
      <c r="U69" s="2" t="s">
        <v>54</v>
      </c>
      <c r="V69" s="2" t="s">
        <v>41</v>
      </c>
      <c r="W69" s="2" t="s">
        <v>183</v>
      </c>
      <c r="X69" s="2" t="s">
        <v>380</v>
      </c>
      <c r="Y69" s="2" t="s">
        <v>388</v>
      </c>
      <c r="AA69" s="2" t="s">
        <v>59</v>
      </c>
      <c r="AC69" s="2" t="s">
        <v>60</v>
      </c>
      <c r="AD69" s="2" t="s">
        <v>59</v>
      </c>
      <c r="AG69" s="2" t="s">
        <v>382</v>
      </c>
      <c r="AH69" s="2" t="s">
        <v>136</v>
      </c>
      <c r="AK69" s="2" t="s">
        <v>383</v>
      </c>
      <c r="AL69" s="2" t="s">
        <v>58</v>
      </c>
      <c r="AM69" s="2" t="s">
        <v>63</v>
      </c>
    </row>
    <row r="70" spans="1:39" ht="16" customHeight="1" x14ac:dyDescent="0.2">
      <c r="A70" s="2" t="s">
        <v>389</v>
      </c>
      <c r="D70" s="2" t="s">
        <v>390</v>
      </c>
      <c r="E70" t="str">
        <f t="shared" si="44"/>
        <v>5</v>
      </c>
      <c r="F70" t="str">
        <f t="shared" si="45"/>
        <v>HerculanoHouzel_etal_2013</v>
      </c>
      <c r="G70" t="str">
        <f t="shared" si="46"/>
        <v>HerculanoHouzel</v>
      </c>
      <c r="H70" t="str">
        <f t="shared" si="16"/>
        <v>etal</v>
      </c>
      <c r="I70" t="str">
        <f t="shared" si="47"/>
        <v>2013</v>
      </c>
      <c r="J70" t="str">
        <f t="shared" si="54"/>
        <v>10.3389/fnana.2013.00035</v>
      </c>
      <c r="K70" t="str">
        <f t="shared" si="55"/>
        <v>HerculanoHouzel_etal_2013_Figure2TopLeft</v>
      </c>
      <c r="L70" t="str">
        <f t="shared" si="56"/>
        <v>10.3389%2Ffnana.2013.00035_Figure2TopLeft</v>
      </c>
      <c r="M70" t="str">
        <f t="array" ref="M70">IFERROR(INDEX(FileList!$A$1:$A$100, MATCH(L70, _xlfn.TEXTBEFORE(FileList!$A$1:$A$100, ".tsv"), 0)), "notfound")</f>
        <v>10.3389%2Ffnana.2013.00035_Figure2TopLeft.tsv</v>
      </c>
      <c r="Q70" s="2" t="s">
        <v>111</v>
      </c>
      <c r="Y70" s="2" t="s">
        <v>391</v>
      </c>
      <c r="AA70" s="2" t="s">
        <v>59</v>
      </c>
      <c r="AC70" s="2" t="s">
        <v>60</v>
      </c>
      <c r="AD70" s="2" t="s">
        <v>59</v>
      </c>
      <c r="AK70" s="2" t="s">
        <v>120</v>
      </c>
      <c r="AL70" s="2" t="s">
        <v>58</v>
      </c>
      <c r="AM70" s="2" t="s">
        <v>63</v>
      </c>
    </row>
    <row r="71" spans="1:39" ht="16" customHeight="1" x14ac:dyDescent="0.2">
      <c r="A71" s="2" t="s">
        <v>389</v>
      </c>
      <c r="D71" s="2" t="s">
        <v>392</v>
      </c>
      <c r="E71" t="str">
        <f t="shared" si="44"/>
        <v>5</v>
      </c>
      <c r="F71" t="str">
        <f t="shared" si="45"/>
        <v>HerculanoHouzel_etal_2013</v>
      </c>
      <c r="G71" t="str">
        <f t="shared" si="46"/>
        <v>HerculanoHouzel</v>
      </c>
      <c r="H71" t="str">
        <f t="shared" si="16"/>
        <v>etal</v>
      </c>
      <c r="I71" t="str">
        <f t="shared" si="47"/>
        <v>2013</v>
      </c>
      <c r="J71" t="str">
        <f t="shared" si="54"/>
        <v>10.3389/fnana.2013.00035</v>
      </c>
      <c r="K71" t="str">
        <f t="shared" si="55"/>
        <v>HerculanoHouzel_etal_2013_Table1-a</v>
      </c>
      <c r="L71" t="str">
        <f t="shared" si="56"/>
        <v>10.3389%2Ffnana.2013.00035_Table1-a</v>
      </c>
      <c r="M71" t="str">
        <f t="array" ref="M71">IFERROR(INDEX(FileList!$A$1:$A$100, MATCH(L71, _xlfn.TEXTBEFORE(FileList!$A$1:$A$100, ".tsv"), 0)), "notfound")</f>
        <v>10.3389%2Ffnana.2013.00035_Table1-a.tsv</v>
      </c>
      <c r="Q71" s="2" t="s">
        <v>111</v>
      </c>
      <c r="Y71" s="2" t="s">
        <v>391</v>
      </c>
      <c r="AA71" s="2" t="s">
        <v>59</v>
      </c>
      <c r="AC71" s="2" t="s">
        <v>60</v>
      </c>
      <c r="AD71" s="2" t="s">
        <v>59</v>
      </c>
      <c r="AK71" s="2" t="s">
        <v>120</v>
      </c>
      <c r="AL71" s="2" t="s">
        <v>58</v>
      </c>
      <c r="AM71" s="2" t="s">
        <v>63</v>
      </c>
    </row>
    <row r="72" spans="1:39" ht="16" customHeight="1" x14ac:dyDescent="0.2">
      <c r="A72" s="2" t="s">
        <v>389</v>
      </c>
      <c r="D72" s="2" t="s">
        <v>393</v>
      </c>
      <c r="E72" t="str">
        <f t="shared" ref="E72:E104" si="57">RIGHT(A72,1)</f>
        <v>5</v>
      </c>
      <c r="F72" t="str">
        <f t="shared" ref="F72:F104" si="58">G72 &amp; IF(H72&lt;&gt;"", "_" &amp; H72, "_") &amp; IF(I72&lt;&gt;"", "_" &amp; I72, "_") &amp; IF(B72&lt;&gt;"", "_" &amp; B72, "")</f>
        <v>HerculanoHouzel_etal_2013</v>
      </c>
      <c r="G72" t="str">
        <f t="shared" ref="G72:G104" si="59">SUBSTITUTE(SUBSTITUTE(_xlfn.TEXTBEFORE(A72,","), "-", ""), " ", "")</f>
        <v>HerculanoHouzel</v>
      </c>
      <c r="H72" t="str">
        <f t="shared" si="16"/>
        <v>etal</v>
      </c>
      <c r="I72" t="str">
        <f t="shared" ref="I72:I104" si="60">_xlfn.TEXTBEFORE(_xlfn.TEXTAFTER(A72, "("), ")")</f>
        <v>2013</v>
      </c>
      <c r="J72" t="str">
        <f t="shared" si="54"/>
        <v>10.3389/fnana.2013.00035</v>
      </c>
      <c r="K72" t="str">
        <f t="shared" si="55"/>
        <v>HerculanoHouzel_etal_2013_Table1-b</v>
      </c>
      <c r="L72" t="str">
        <f t="shared" si="56"/>
        <v>10.3389%2Ffnana.2013.00035_Table1-b</v>
      </c>
      <c r="M72" t="str">
        <f t="array" ref="M72">IFERROR(INDEX(FileList!$A$1:$A$100, MATCH(L72, _xlfn.TEXTBEFORE(FileList!$A$1:$A$100, ".tsv"), 0)), "notfound")</f>
        <v>10.3389%2Ffnana.2013.00035_Table1-b.tsv</v>
      </c>
      <c r="Q72" s="2" t="s">
        <v>111</v>
      </c>
      <c r="Y72" s="2" t="s">
        <v>391</v>
      </c>
      <c r="AA72" s="2" t="s">
        <v>59</v>
      </c>
      <c r="AC72" s="2" t="s">
        <v>60</v>
      </c>
      <c r="AD72" s="2" t="s">
        <v>59</v>
      </c>
      <c r="AK72" s="2" t="s">
        <v>120</v>
      </c>
      <c r="AL72" s="2" t="s">
        <v>58</v>
      </c>
      <c r="AM72" s="2" t="s">
        <v>63</v>
      </c>
    </row>
    <row r="73" spans="1:39" ht="16" customHeight="1" x14ac:dyDescent="0.2">
      <c r="A73" s="2" t="s">
        <v>394</v>
      </c>
      <c r="D73" s="2" t="s">
        <v>101</v>
      </c>
      <c r="E73" t="str">
        <f t="shared" si="57"/>
        <v>4</v>
      </c>
      <c r="F73" t="str">
        <f t="shared" si="58"/>
        <v>Isler_etal_2008</v>
      </c>
      <c r="G73" t="str">
        <f t="shared" si="59"/>
        <v>Isler</v>
      </c>
      <c r="H73" t="str">
        <f t="shared" ref="H73:H88" si="61">_xlfn.LET(_xlpm.authorPart,_xlfn.TEXTBEFORE(A73," ("),IFERROR(IF(ISNUMBER(FIND("&amp;",_xlpm.authorPart)),IF(LEN(A73)-LEN(SUBSTITUTE(A73,",",""))&gt;=6,"etal",_xlfn.TEXTBEFORE(_xlfn.TEXTAFTER(_xlpm.authorPart,"&amp; "),",")),""),""))</f>
        <v>etal</v>
      </c>
      <c r="I73" t="str">
        <f t="shared" si="60"/>
        <v>2008</v>
      </c>
      <c r="J73" t="str">
        <f t="shared" si="54"/>
        <v>10.1016/j.jhevol.2008.08.004</v>
      </c>
      <c r="K73" t="str">
        <f t="shared" si="55"/>
        <v>Isler_etal_2008_Table2</v>
      </c>
      <c r="L73" t="str">
        <f t="shared" si="56"/>
        <v>10.1016%2Fj.jhevol.2008.08.004_Table2</v>
      </c>
      <c r="M73" t="str">
        <f t="array" ref="M73">IFERROR(INDEX(FileList!$A$1:$A$100, MATCH(L73, _xlfn.TEXTBEFORE(FileList!$A$1:$A$100, ".tsv"), 0)), "notfound")</f>
        <v>10.1016%2Fj.jhevol.2008.08.004_Table2.tsv</v>
      </c>
      <c r="Q73" s="2" t="s">
        <v>111</v>
      </c>
      <c r="Y73" s="2" t="s">
        <v>395</v>
      </c>
      <c r="AK73" s="2" t="s">
        <v>100</v>
      </c>
      <c r="AL73" s="2" t="s">
        <v>117</v>
      </c>
      <c r="AM73" s="2" t="s">
        <v>396</v>
      </c>
    </row>
    <row r="74" spans="1:39" ht="16" customHeight="1" x14ac:dyDescent="0.2">
      <c r="A74" s="2" t="s">
        <v>394</v>
      </c>
      <c r="D74" s="2" t="s">
        <v>397</v>
      </c>
      <c r="E74" t="str">
        <f t="shared" si="57"/>
        <v>4</v>
      </c>
      <c r="F74" t="str">
        <f t="shared" si="58"/>
        <v>Isler_etal_2008</v>
      </c>
      <c r="G74" t="str">
        <f t="shared" si="59"/>
        <v>Isler</v>
      </c>
      <c r="H74" t="str">
        <f t="shared" si="61"/>
        <v>etal</v>
      </c>
      <c r="I74" t="str">
        <f t="shared" si="60"/>
        <v>2008</v>
      </c>
      <c r="J74" t="str">
        <f t="shared" si="54"/>
        <v>10.1016/j.jhevol.2008.08.004</v>
      </c>
      <c r="K74" t="str">
        <f t="shared" si="55"/>
        <v>Isler_etal_2008_Table7</v>
      </c>
      <c r="L74" t="str">
        <f t="shared" si="56"/>
        <v>10.1016%2Fj.jhevol.2008.08.004_Table7</v>
      </c>
      <c r="M74" t="str">
        <f t="array" ref="M74">IFERROR(INDEX(FileList!$A$1:$A$100, MATCH(L74, _xlfn.TEXTBEFORE(FileList!$A$1:$A$100, ".tsv"), 0)), "notfound")</f>
        <v>10.1016%2Fj.jhevol.2008.08.004_Table7.tsv</v>
      </c>
      <c r="Q74" s="2" t="s">
        <v>111</v>
      </c>
      <c r="Y74" s="2" t="s">
        <v>395</v>
      </c>
      <c r="AK74" s="2" t="s">
        <v>100</v>
      </c>
      <c r="AL74" s="2" t="s">
        <v>117</v>
      </c>
      <c r="AM74" s="2" t="s">
        <v>396</v>
      </c>
    </row>
    <row r="75" spans="1:39" ht="16" customHeight="1" x14ac:dyDescent="0.2">
      <c r="A75" s="2" t="s">
        <v>394</v>
      </c>
      <c r="D75" s="2" t="s">
        <v>264</v>
      </c>
      <c r="E75" t="str">
        <f t="shared" si="57"/>
        <v>4</v>
      </c>
      <c r="F75" t="str">
        <f t="shared" si="58"/>
        <v>Isler_etal_2008</v>
      </c>
      <c r="G75" t="str">
        <f t="shared" si="59"/>
        <v>Isler</v>
      </c>
      <c r="H75" t="str">
        <f t="shared" si="61"/>
        <v>etal</v>
      </c>
      <c r="I75" t="str">
        <f t="shared" si="60"/>
        <v>2008</v>
      </c>
      <c r="J75" t="str">
        <f t="shared" si="54"/>
        <v>10.1016/j.jhevol.2008.08.004</v>
      </c>
      <c r="K75" t="str">
        <f t="shared" si="55"/>
        <v>Isler_etal_2008_TableS1</v>
      </c>
      <c r="L75" t="str">
        <f t="shared" si="56"/>
        <v>10.1016%2Fj.jhevol.2008.08.004_TableS1</v>
      </c>
      <c r="M75" t="str">
        <f t="array" ref="M75">IFERROR(INDEX(FileList!$A$1:$A$100, MATCH(L75, _xlfn.TEXTBEFORE(FileList!$A$1:$A$100, ".tsv"), 0)), "notfound")</f>
        <v>10.1016%2Fj.jhevol.2008.08.004_TableS1.tsv</v>
      </c>
      <c r="Q75" s="2" t="s">
        <v>111</v>
      </c>
      <c r="Y75" s="2" t="s">
        <v>395</v>
      </c>
      <c r="AK75" s="2" t="s">
        <v>100</v>
      </c>
      <c r="AL75" s="2" t="s">
        <v>117</v>
      </c>
      <c r="AM75" s="2" t="s">
        <v>396</v>
      </c>
    </row>
    <row r="76" spans="1:39" ht="16" customHeight="1" x14ac:dyDescent="0.2">
      <c r="A76" s="2" t="s">
        <v>394</v>
      </c>
      <c r="D76" s="2" t="s">
        <v>320</v>
      </c>
      <c r="E76" t="str">
        <f t="shared" si="57"/>
        <v>4</v>
      </c>
      <c r="F76" t="str">
        <f t="shared" si="58"/>
        <v>Isler_etal_2008</v>
      </c>
      <c r="G76" t="str">
        <f t="shared" si="59"/>
        <v>Isler</v>
      </c>
      <c r="H76" t="str">
        <f t="shared" si="61"/>
        <v>etal</v>
      </c>
      <c r="I76" t="str">
        <f t="shared" si="60"/>
        <v>2008</v>
      </c>
      <c r="J76" t="str">
        <f t="shared" si="54"/>
        <v>10.1016/j.jhevol.2008.08.004</v>
      </c>
      <c r="K76" t="str">
        <f t="shared" si="55"/>
        <v>Isler_etal_2008_TableS2</v>
      </c>
      <c r="L76" t="str">
        <f t="shared" si="56"/>
        <v>10.1016%2Fj.jhevol.2008.08.004_TableS2</v>
      </c>
      <c r="M76" t="str">
        <f t="array" ref="M76">IFERROR(INDEX(FileList!$A$1:$A$100, MATCH(L76, _xlfn.TEXTBEFORE(FileList!$A$1:$A$100, ".tsv"), 0)), "notfound")</f>
        <v>10.1016%2Fj.jhevol.2008.08.004_TableS2.tsv</v>
      </c>
      <c r="Q76" s="2" t="s">
        <v>111</v>
      </c>
      <c r="Y76" s="2" t="s">
        <v>395</v>
      </c>
      <c r="AK76" s="2" t="s">
        <v>100</v>
      </c>
      <c r="AL76" s="2" t="s">
        <v>117</v>
      </c>
      <c r="AM76" s="2" t="s">
        <v>396</v>
      </c>
    </row>
    <row r="77" spans="1:39" ht="16" customHeight="1" x14ac:dyDescent="0.2">
      <c r="A77" s="2" t="s">
        <v>394</v>
      </c>
      <c r="D77" s="2" t="s">
        <v>398</v>
      </c>
      <c r="E77" t="str">
        <f t="shared" si="57"/>
        <v>4</v>
      </c>
      <c r="F77" t="str">
        <f t="shared" si="58"/>
        <v>Isler_etal_2008</v>
      </c>
      <c r="G77" t="str">
        <f t="shared" si="59"/>
        <v>Isler</v>
      </c>
      <c r="H77" t="str">
        <f t="shared" si="61"/>
        <v>etal</v>
      </c>
      <c r="I77" t="str">
        <f t="shared" si="60"/>
        <v>2008</v>
      </c>
      <c r="J77" t="str">
        <f t="shared" si="54"/>
        <v>10.1016/j.jhevol.2008.08.004</v>
      </c>
      <c r="K77" t="str">
        <f t="shared" si="55"/>
        <v>Isler_etal_2008_TableS3</v>
      </c>
      <c r="L77" t="str">
        <f t="shared" si="56"/>
        <v>10.1016%2Fj.jhevol.2008.08.004_TableS3</v>
      </c>
      <c r="M77" t="str">
        <f t="array" ref="M77">IFERROR(INDEX(FileList!$A$1:$A$100, MATCH(L77, _xlfn.TEXTBEFORE(FileList!$A$1:$A$100, ".tsv"), 0)), "notfound")</f>
        <v>10.1016%2Fj.jhevol.2008.08.004_TableS3.tsv</v>
      </c>
      <c r="Q77" s="2" t="s">
        <v>111</v>
      </c>
      <c r="Y77" s="2" t="s">
        <v>395</v>
      </c>
      <c r="AK77" s="2" t="s">
        <v>100</v>
      </c>
      <c r="AL77" s="2" t="s">
        <v>117</v>
      </c>
      <c r="AM77" s="2" t="s">
        <v>396</v>
      </c>
    </row>
    <row r="78" spans="1:39" ht="16" customHeight="1" x14ac:dyDescent="0.2">
      <c r="A78" s="2" t="s">
        <v>394</v>
      </c>
      <c r="D78" s="2" t="s">
        <v>399</v>
      </c>
      <c r="E78" t="str">
        <f t="shared" si="57"/>
        <v>4</v>
      </c>
      <c r="F78" t="str">
        <f t="shared" si="58"/>
        <v>Isler_etal_2008</v>
      </c>
      <c r="G78" t="str">
        <f t="shared" si="59"/>
        <v>Isler</v>
      </c>
      <c r="H78" t="str">
        <f t="shared" si="61"/>
        <v>etal</v>
      </c>
      <c r="I78" t="str">
        <f t="shared" si="60"/>
        <v>2008</v>
      </c>
      <c r="J78" t="str">
        <f t="shared" ref="J78:J112" si="62">IF(C78&lt;&gt;"", C78, IF(C78="", _xlfn.TEXTAFTER(A78,"https://doi.org/"), C78))</f>
        <v>10.1016/j.jhevol.2008.08.004</v>
      </c>
      <c r="K78" t="str">
        <f t="shared" ref="K78:K112" si="63">TRIM(_xlfn.TEXTJOIN("_",FALSE,F78,(SUBSTITUTE(SUBSTITUTE(D78," ",""), "_", ""))))</f>
        <v>Isler_etal_2008_Tree.nex</v>
      </c>
      <c r="L78" t="str">
        <f t="shared" ref="L78:L112" si="64">IF(ISBLANK(C78),TRIM(SUBSTITUTE(SUBSTITUTE(SUBSTITUTE(_xlfn.TEXTJOIN("_", FALSE, J78, SUBSTITUTE(D78,"_", "")), "/", "%2F"), ":", "%3A"), " ", "")),TRIM(SUBSTITUTE(SUBSTITUTE(SUBSTITUTE(_xlfn.TEXTJOIN("_", FALSE, C78, SUBSTITUTE(D78,"_", "")), "/", "%2F"), ":", "%3A"), " ", "")))</f>
        <v>10.1016%2Fj.jhevol.2008.08.004_Tree.nex</v>
      </c>
      <c r="M78" t="str">
        <f t="array" ref="M78">IFERROR(INDEX(FileList!$A$1:$A$100, MATCH(L78, _xlfn.TEXTBEFORE(FileList!$A$1:$A$100, ".tsv"), 0)), "notfound")</f>
        <v>notfound</v>
      </c>
      <c r="Q78" s="2" t="s">
        <v>111</v>
      </c>
      <c r="Y78" s="2" t="s">
        <v>400</v>
      </c>
      <c r="AK78" s="2" t="s">
        <v>100</v>
      </c>
      <c r="AL78" s="2" t="s">
        <v>117</v>
      </c>
      <c r="AM78" s="2" t="s">
        <v>401</v>
      </c>
    </row>
    <row r="79" spans="1:39" ht="15.75" customHeight="1" x14ac:dyDescent="0.2">
      <c r="A79" s="2" t="s">
        <v>402</v>
      </c>
      <c r="D79" s="2" t="s">
        <v>79</v>
      </c>
      <c r="E79" t="str">
        <f t="shared" si="57"/>
        <v>9</v>
      </c>
      <c r="F79" t="str">
        <f t="shared" si="58"/>
        <v>Iwaniuk_etal_2001</v>
      </c>
      <c r="G79" t="str">
        <f t="shared" si="59"/>
        <v>Iwaniuk</v>
      </c>
      <c r="H79" t="str">
        <f t="shared" si="61"/>
        <v>etal</v>
      </c>
      <c r="I79" t="str">
        <f t="shared" si="60"/>
        <v>2001</v>
      </c>
      <c r="J79" t="str">
        <f t="shared" si="62"/>
        <v>10.1037/0735-7036.115.1.29</v>
      </c>
      <c r="K79" t="str">
        <f t="shared" si="63"/>
        <v>Iwaniuk_etal_2001_Table1</v>
      </c>
      <c r="L79" t="str">
        <f t="shared" si="64"/>
        <v>10.1037%2F0735-7036.115.1.29_Table1</v>
      </c>
      <c r="M79" t="str">
        <f t="array" ref="M79">IFERROR(INDEX(FileList!$A$1:$A$100, MATCH(L79, _xlfn.TEXTBEFORE(FileList!$A$1:$A$100, ".tsv"), 0)), "notfound")</f>
        <v>10.1037%2F0735-7036.115.1.29_Table1.tsv</v>
      </c>
      <c r="N79" s="2" t="s">
        <v>403</v>
      </c>
      <c r="P79" s="2" t="s">
        <v>404</v>
      </c>
      <c r="Q79" s="2" t="s">
        <v>179</v>
      </c>
      <c r="T79" s="2" t="str">
        <f>IF(S79="N", R79, "write file name")</f>
        <v>write file name</v>
      </c>
      <c r="U79" s="2" t="s">
        <v>54</v>
      </c>
      <c r="V79" s="2" t="s">
        <v>41</v>
      </c>
      <c r="Y79" s="2" t="s">
        <v>405</v>
      </c>
      <c r="AG79" s="2" t="s">
        <v>406</v>
      </c>
      <c r="AK79" s="2" t="s">
        <v>120</v>
      </c>
      <c r="AL79" s="2" t="s">
        <v>117</v>
      </c>
      <c r="AM79" s="2" t="s">
        <v>407</v>
      </c>
    </row>
    <row r="80" spans="1:39" ht="15.75" customHeight="1" x14ac:dyDescent="0.2">
      <c r="A80" s="2" t="s">
        <v>402</v>
      </c>
      <c r="D80" s="2" t="s">
        <v>101</v>
      </c>
      <c r="E80" t="str">
        <f t="shared" si="57"/>
        <v>9</v>
      </c>
      <c r="F80" t="str">
        <f t="shared" si="58"/>
        <v>Iwaniuk_etal_2001</v>
      </c>
      <c r="G80" t="str">
        <f t="shared" si="59"/>
        <v>Iwaniuk</v>
      </c>
      <c r="H80" t="str">
        <f t="shared" si="61"/>
        <v>etal</v>
      </c>
      <c r="I80" t="str">
        <f t="shared" si="60"/>
        <v>2001</v>
      </c>
      <c r="J80" t="str">
        <f t="shared" si="62"/>
        <v>10.1037/0735-7036.115.1.29</v>
      </c>
      <c r="K80" t="str">
        <f t="shared" si="63"/>
        <v>Iwaniuk_etal_2001_Table2</v>
      </c>
      <c r="L80" t="str">
        <f t="shared" si="64"/>
        <v>10.1037%2F0735-7036.115.1.29_Table2</v>
      </c>
      <c r="M80" t="str">
        <f t="array" ref="M80">IFERROR(INDEX(FileList!$A$1:$A$100, MATCH(L80, _xlfn.TEXTBEFORE(FileList!$A$1:$A$100, ".tsv"), 0)), "notfound")</f>
        <v>10.1037%2F0735-7036.115.1.29_Table2.tsv</v>
      </c>
      <c r="N80" s="2" t="s">
        <v>408</v>
      </c>
      <c r="P80" s="2" t="s">
        <v>404</v>
      </c>
      <c r="Q80" s="2" t="s">
        <v>179</v>
      </c>
      <c r="T80" s="2" t="str">
        <f>IF(S80="N", R80, "write file name")</f>
        <v>write file name</v>
      </c>
      <c r="U80" s="2" t="s">
        <v>54</v>
      </c>
      <c r="V80" s="2" t="s">
        <v>41</v>
      </c>
      <c r="Y80" s="2" t="s">
        <v>405</v>
      </c>
      <c r="AG80" s="2" t="s">
        <v>406</v>
      </c>
      <c r="AK80" s="2" t="s">
        <v>120</v>
      </c>
      <c r="AL80" s="2" t="s">
        <v>117</v>
      </c>
      <c r="AM80" s="2" t="s">
        <v>407</v>
      </c>
    </row>
    <row r="81" spans="1:39" ht="15.75" customHeight="1" x14ac:dyDescent="0.2">
      <c r="A81" s="2" t="s">
        <v>402</v>
      </c>
      <c r="D81" s="2" t="s">
        <v>102</v>
      </c>
      <c r="E81" t="str">
        <f t="shared" si="57"/>
        <v>9</v>
      </c>
      <c r="F81" t="str">
        <f t="shared" si="58"/>
        <v>Iwaniuk_etal_2001</v>
      </c>
      <c r="G81" t="str">
        <f t="shared" si="59"/>
        <v>Iwaniuk</v>
      </c>
      <c r="H81" t="str">
        <f t="shared" si="61"/>
        <v>etal</v>
      </c>
      <c r="I81" t="str">
        <f t="shared" si="60"/>
        <v>2001</v>
      </c>
      <c r="J81" t="str">
        <f t="shared" si="62"/>
        <v>10.1037/0735-7036.115.1.29</v>
      </c>
      <c r="K81" t="str">
        <f t="shared" si="63"/>
        <v>Iwaniuk_etal_2001_Table3</v>
      </c>
      <c r="L81" t="str">
        <f t="shared" si="64"/>
        <v>10.1037%2F0735-7036.115.1.29_Table3</v>
      </c>
      <c r="M81" t="str">
        <f t="array" ref="M81">IFERROR(INDEX(FileList!$A$1:$A$100, MATCH(L81, _xlfn.TEXTBEFORE(FileList!$A$1:$A$100, ".tsv"), 0)), "notfound")</f>
        <v>10.1037%2F0735-7036.115.1.29_Table3.tsv</v>
      </c>
      <c r="N81" s="2" t="s">
        <v>409</v>
      </c>
      <c r="P81" s="2" t="s">
        <v>404</v>
      </c>
      <c r="Q81" s="2" t="s">
        <v>179</v>
      </c>
      <c r="T81" s="2" t="str">
        <f>IF(S81="N", R81, "write file name")</f>
        <v>write file name</v>
      </c>
      <c r="U81" s="2" t="s">
        <v>54</v>
      </c>
      <c r="V81" s="2" t="s">
        <v>41</v>
      </c>
      <c r="Y81" s="2" t="s">
        <v>405</v>
      </c>
      <c r="AG81" s="2" t="s">
        <v>406</v>
      </c>
      <c r="AK81" s="2" t="s">
        <v>120</v>
      </c>
      <c r="AL81" s="2" t="s">
        <v>117</v>
      </c>
      <c r="AM81" s="2" t="s">
        <v>407</v>
      </c>
    </row>
    <row r="82" spans="1:39" ht="15.75" customHeight="1" x14ac:dyDescent="0.2">
      <c r="A82" s="2" t="s">
        <v>402</v>
      </c>
      <c r="D82" s="2" t="s">
        <v>40</v>
      </c>
      <c r="E82" t="str">
        <f t="shared" si="57"/>
        <v>9</v>
      </c>
      <c r="F82" t="str">
        <f t="shared" si="58"/>
        <v>Iwaniuk_etal_2001</v>
      </c>
      <c r="G82" t="str">
        <f t="shared" si="59"/>
        <v>Iwaniuk</v>
      </c>
      <c r="H82" t="str">
        <f t="shared" si="61"/>
        <v>etal</v>
      </c>
      <c r="I82" t="str">
        <f t="shared" si="60"/>
        <v>2001</v>
      </c>
      <c r="J82" t="str">
        <f t="shared" si="62"/>
        <v>10.1037/0735-7036.115.1.29</v>
      </c>
      <c r="K82" t="str">
        <f t="shared" si="63"/>
        <v>Iwaniuk_etal_2001_Table4</v>
      </c>
      <c r="L82" t="str">
        <f t="shared" si="64"/>
        <v>10.1037%2F0735-7036.115.1.29_Table4</v>
      </c>
      <c r="M82" t="str">
        <f t="array" ref="M82">IFERROR(INDEX(FileList!$A$1:$A$100, MATCH(L82, _xlfn.TEXTBEFORE(FileList!$A$1:$A$100, ".tsv"), 0)), "notfound")</f>
        <v>10.1037%2F0735-7036.115.1.29_Table4.tsv</v>
      </c>
      <c r="N82" s="2" t="s">
        <v>410</v>
      </c>
      <c r="P82" s="2" t="s">
        <v>404</v>
      </c>
      <c r="Q82" s="2" t="s">
        <v>179</v>
      </c>
      <c r="T82" s="2" t="str">
        <f>IF(S82="N", R82, "write file name")</f>
        <v>write file name</v>
      </c>
      <c r="U82" s="2" t="s">
        <v>54</v>
      </c>
      <c r="V82" s="2" t="s">
        <v>41</v>
      </c>
      <c r="Y82" s="2" t="s">
        <v>405</v>
      </c>
      <c r="AG82" s="2" t="s">
        <v>406</v>
      </c>
      <c r="AK82" s="2" t="s">
        <v>120</v>
      </c>
      <c r="AL82" s="2" t="s">
        <v>117</v>
      </c>
      <c r="AM82" s="2" t="s">
        <v>407</v>
      </c>
    </row>
    <row r="83" spans="1:39" ht="15.75" customHeight="1" x14ac:dyDescent="0.2">
      <c r="A83" s="2" t="s">
        <v>411</v>
      </c>
      <c r="D83" s="2" t="s">
        <v>412</v>
      </c>
      <c r="E83" t="str">
        <f t="shared" si="57"/>
        <v>x</v>
      </c>
      <c r="F83" t="str">
        <f t="shared" si="58"/>
        <v>Iwaniuk_etal_1999</v>
      </c>
      <c r="G83" t="str">
        <f t="shared" si="59"/>
        <v>Iwaniuk</v>
      </c>
      <c r="H83" t="str">
        <f t="shared" si="61"/>
        <v>etal</v>
      </c>
      <c r="I83" t="str">
        <f t="shared" si="60"/>
        <v>1999</v>
      </c>
      <c r="J83" t="str">
        <f t="shared" si="62"/>
        <v>10.1016/s0166-4328(98)00151-x</v>
      </c>
      <c r="K83" t="str">
        <f t="shared" si="63"/>
        <v>Iwaniuk_etal_1999_References</v>
      </c>
      <c r="L83" t="str">
        <f t="shared" si="64"/>
        <v>10.1016%2Fs0166-4328(98)00151-x_References</v>
      </c>
      <c r="M83" t="str">
        <f t="array" ref="M83">IFERROR(INDEX(FileList!$A$1:$A$100, MATCH(L83, _xlfn.TEXTBEFORE(FileList!$A$1:$A$100, ".tsv"), 0)), "notfound")</f>
        <v>notfound</v>
      </c>
      <c r="N83" s="2" t="s">
        <v>412</v>
      </c>
      <c r="P83" s="2" t="s">
        <v>314</v>
      </c>
      <c r="V83" s="2" t="s">
        <v>413</v>
      </c>
      <c r="W83" s="2" t="s">
        <v>183</v>
      </c>
      <c r="Y83" s="2" t="s">
        <v>414</v>
      </c>
      <c r="AK83" s="2" t="s">
        <v>120</v>
      </c>
      <c r="AL83" s="2" t="s">
        <v>117</v>
      </c>
      <c r="AM83" s="2" t="s">
        <v>415</v>
      </c>
    </row>
    <row r="84" spans="1:39" ht="15.75" customHeight="1" x14ac:dyDescent="0.2">
      <c r="A84" s="2" t="s">
        <v>411</v>
      </c>
      <c r="D84" s="2" t="s">
        <v>79</v>
      </c>
      <c r="E84" t="str">
        <f t="shared" si="57"/>
        <v>x</v>
      </c>
      <c r="F84" t="str">
        <f t="shared" si="58"/>
        <v>Iwaniuk_etal_1999</v>
      </c>
      <c r="G84" t="str">
        <f t="shared" si="59"/>
        <v>Iwaniuk</v>
      </c>
      <c r="H84" t="str">
        <f t="shared" si="61"/>
        <v>etal</v>
      </c>
      <c r="I84" t="str">
        <f t="shared" si="60"/>
        <v>1999</v>
      </c>
      <c r="J84" t="str">
        <f t="shared" si="62"/>
        <v>10.1016/s0166-4328(98)00151-x</v>
      </c>
      <c r="K84" t="str">
        <f t="shared" si="63"/>
        <v>Iwaniuk_etal_1999_Table1</v>
      </c>
      <c r="L84" t="str">
        <f t="shared" si="64"/>
        <v>10.1016%2Fs0166-4328(98)00151-x_Table1</v>
      </c>
      <c r="M84" t="str">
        <f t="array" ref="M84">IFERROR(INDEX(FileList!$A$1:$A$100, MATCH(L84, _xlfn.TEXTBEFORE(FileList!$A$1:$A$100, ".tsv"), 0)), "notfound")</f>
        <v>10.1016%2Fs0166-4328(98)00151-x_Table1.tsv</v>
      </c>
      <c r="N84" s="2" t="s">
        <v>416</v>
      </c>
      <c r="P84" s="2" t="s">
        <v>314</v>
      </c>
      <c r="V84" s="2" t="s">
        <v>41</v>
      </c>
      <c r="W84" s="2" t="s">
        <v>183</v>
      </c>
      <c r="Y84" s="2" t="s">
        <v>414</v>
      </c>
      <c r="AK84" s="2" t="s">
        <v>120</v>
      </c>
      <c r="AL84" s="2" t="s">
        <v>117</v>
      </c>
      <c r="AM84" s="2" t="s">
        <v>415</v>
      </c>
    </row>
    <row r="85" spans="1:39" ht="15.75" customHeight="1" x14ac:dyDescent="0.2">
      <c r="A85" s="2" t="s">
        <v>417</v>
      </c>
      <c r="D85" s="2" t="s">
        <v>79</v>
      </c>
      <c r="E85" t="str">
        <f t="shared" si="57"/>
        <v>8</v>
      </c>
      <c r="F85" t="str">
        <f t="shared" si="58"/>
        <v>JardimMesseder_etal_2017</v>
      </c>
      <c r="G85" t="str">
        <f t="shared" si="59"/>
        <v>JardimMesseder</v>
      </c>
      <c r="H85" t="str">
        <f t="shared" si="61"/>
        <v>etal</v>
      </c>
      <c r="I85" t="str">
        <f t="shared" si="60"/>
        <v>2017</v>
      </c>
      <c r="J85" t="str">
        <f t="shared" si="62"/>
        <v>10.3389/fnana.2017.00118</v>
      </c>
      <c r="K85" t="str">
        <f t="shared" si="63"/>
        <v>JardimMesseder_etal_2017_Table1</v>
      </c>
      <c r="L85" t="str">
        <f t="shared" si="64"/>
        <v>10.3389%2Ffnana.2017.00118_Table1</v>
      </c>
      <c r="M85" t="str">
        <f t="array" ref="M85">IFERROR(INDEX(FileList!$A$1:$A$100, MATCH(L85, _xlfn.TEXTBEFORE(FileList!$A$1:$A$100, ".tsv"), 0)), "notfound")</f>
        <v>10.3389%2Ffnana.2017.00118_Table1.tsv</v>
      </c>
      <c r="N85" s="2" t="s">
        <v>418</v>
      </c>
      <c r="P85" s="2" t="s">
        <v>49</v>
      </c>
      <c r="Q85" s="2" t="s">
        <v>50</v>
      </c>
      <c r="R85" s="2" t="s">
        <v>419</v>
      </c>
      <c r="S85" s="2" t="s">
        <v>52</v>
      </c>
      <c r="T85" s="2" t="s">
        <v>420</v>
      </c>
      <c r="U85" s="2" t="s">
        <v>54</v>
      </c>
      <c r="V85" s="2" t="s">
        <v>41</v>
      </c>
      <c r="W85" s="2" t="s">
        <v>170</v>
      </c>
      <c r="X85" s="2" t="s">
        <v>421</v>
      </c>
      <c r="Y85" s="2" t="s">
        <v>253</v>
      </c>
      <c r="Z85" s="2" t="s">
        <v>58</v>
      </c>
      <c r="AA85" s="2" t="s">
        <v>59</v>
      </c>
      <c r="AC85" s="2" t="s">
        <v>60</v>
      </c>
      <c r="AD85" s="2" t="s">
        <v>59</v>
      </c>
      <c r="AG85" s="2" t="s">
        <v>422</v>
      </c>
      <c r="AK85" s="2" t="s">
        <v>423</v>
      </c>
      <c r="AL85" s="2" t="s">
        <v>58</v>
      </c>
      <c r="AM85" s="2" t="s">
        <v>63</v>
      </c>
    </row>
    <row r="86" spans="1:39" ht="15.75" customHeight="1" x14ac:dyDescent="0.2">
      <c r="A86" s="2" t="s">
        <v>424</v>
      </c>
      <c r="D86" s="2" t="s">
        <v>101</v>
      </c>
      <c r="E86" t="str">
        <f t="shared" si="57"/>
        <v>4</v>
      </c>
      <c r="F86" t="str">
        <f t="shared" si="58"/>
        <v>Johansen_etal_2024</v>
      </c>
      <c r="G86" t="str">
        <f t="shared" si="59"/>
        <v>Johansen</v>
      </c>
      <c r="H86" t="str">
        <f t="shared" si="61"/>
        <v>etal</v>
      </c>
      <c r="I86" t="str">
        <f t="shared" si="60"/>
        <v>2024</v>
      </c>
      <c r="J86" t="str">
        <f t="shared" si="62"/>
        <v>10.1523/JNEUROSCI.1750-23.2024</v>
      </c>
      <c r="K86" t="str">
        <f t="shared" si="63"/>
        <v>Johansen_etal_2024_Table2</v>
      </c>
      <c r="L86" t="str">
        <f t="shared" si="64"/>
        <v>10.1523%2FJNEUROSCI.1750-23.2024_Table2</v>
      </c>
      <c r="M86" t="str">
        <f t="array" ref="M86">IFERROR(INDEX(FileList!$A$1:$A$100, MATCH(L86, _xlfn.TEXTBEFORE(FileList!$A$1:$A$100, ".tsv"), 0)), "notfound")</f>
        <v>notfound</v>
      </c>
      <c r="N86" s="2" t="s">
        <v>425</v>
      </c>
      <c r="Y86" s="2" t="s">
        <v>426</v>
      </c>
      <c r="AK86" s="2" t="s">
        <v>427</v>
      </c>
      <c r="AL86" s="2" t="s">
        <v>58</v>
      </c>
      <c r="AM86" s="2" t="s">
        <v>428</v>
      </c>
    </row>
    <row r="87" spans="1:39" ht="15.75" customHeight="1" x14ac:dyDescent="0.2">
      <c r="A87" s="2" t="s">
        <v>429</v>
      </c>
      <c r="D87" s="2" t="s">
        <v>79</v>
      </c>
      <c r="E87" t="str">
        <f t="shared" si="57"/>
        <v>8</v>
      </c>
      <c r="F87" t="str">
        <f>G80</f>
        <v>Iwaniuk</v>
      </c>
      <c r="G87" t="str">
        <f t="shared" si="59"/>
        <v>Karbowski</v>
      </c>
      <c r="H87" t="str">
        <f t="shared" si="61"/>
        <v/>
      </c>
      <c r="I87" t="str">
        <f t="shared" si="60"/>
        <v>2007</v>
      </c>
      <c r="J87" t="str">
        <f t="shared" si="62"/>
        <v>10.1186/1741-7007-5-18</v>
      </c>
      <c r="K87" t="str">
        <f t="shared" si="63"/>
        <v>Iwaniuk_Table1</v>
      </c>
      <c r="L87" t="str">
        <f t="shared" si="64"/>
        <v>10.1186%2F1741-7007-5-18_Table1</v>
      </c>
      <c r="M87" t="str">
        <f t="array" ref="M87">IFERROR(INDEX(FileList!$A$1:$A$100, MATCH(L87, _xlfn.TEXTBEFORE(FileList!$A$1:$A$100, ".tsv"), 0)), "notfound")</f>
        <v>notfound</v>
      </c>
      <c r="N87" s="2" t="s">
        <v>430</v>
      </c>
      <c r="V87" s="2" t="s">
        <v>41</v>
      </c>
      <c r="Y87" s="2" t="s">
        <v>431</v>
      </c>
      <c r="Z87" s="2" t="s">
        <v>58</v>
      </c>
      <c r="AC87" s="2" t="s">
        <v>432</v>
      </c>
      <c r="AK87" s="2" t="s">
        <v>120</v>
      </c>
      <c r="AL87" s="2" t="s">
        <v>117</v>
      </c>
      <c r="AM87" s="2" t="s">
        <v>433</v>
      </c>
    </row>
    <row r="88" spans="1:39" x14ac:dyDescent="0.2">
      <c r="A88" s="2" t="s">
        <v>434</v>
      </c>
      <c r="D88" s="2" t="s">
        <v>47</v>
      </c>
      <c r="E88" t="str">
        <f t="shared" si="57"/>
        <v>9</v>
      </c>
      <c r="F88" t="str">
        <f t="shared" si="58"/>
        <v>Karl_etal_2024</v>
      </c>
      <c r="G88" t="str">
        <f t="shared" si="59"/>
        <v>Karl</v>
      </c>
      <c r="H88" t="str">
        <f t="shared" si="61"/>
        <v>etal</v>
      </c>
      <c r="I88" t="str">
        <f t="shared" si="60"/>
        <v>2024</v>
      </c>
      <c r="J88" t="str">
        <f t="shared" si="62"/>
        <v>10.1002/cne.25669</v>
      </c>
      <c r="K88" t="str">
        <f t="shared" si="63"/>
        <v>Karl_etal_2024_TABLE1</v>
      </c>
      <c r="L88" t="str">
        <f t="shared" si="64"/>
        <v>10.1002%2Fcne.25669_TABLE1</v>
      </c>
      <c r="M88" t="str">
        <f t="array" ref="M88">IFERROR(INDEX(FileList!$A$1:$A$100, MATCH(L88, _xlfn.TEXTBEFORE(FileList!$A$1:$A$100, ".tsv"), 0)), "notfound")</f>
        <v>10.1002%2Fcne.25669_TABLE1.tsv</v>
      </c>
      <c r="N88" s="2" t="s">
        <v>435</v>
      </c>
      <c r="U88" s="2" t="s">
        <v>54</v>
      </c>
      <c r="V88" s="2" t="s">
        <v>41</v>
      </c>
      <c r="W88" s="2" t="s">
        <v>183</v>
      </c>
      <c r="Y88" s="2" t="s">
        <v>436</v>
      </c>
      <c r="Z88" s="2" t="s">
        <v>58</v>
      </c>
      <c r="AK88" s="2" t="s">
        <v>120</v>
      </c>
      <c r="AL88" s="2" t="s">
        <v>58</v>
      </c>
      <c r="AM88" s="2" t="s">
        <v>436</v>
      </c>
    </row>
    <row r="89" spans="1:39" ht="15.75" customHeight="1" x14ac:dyDescent="0.2">
      <c r="A89" s="2" t="s">
        <v>437</v>
      </c>
      <c r="C89" s="2" t="s">
        <v>438</v>
      </c>
      <c r="D89" s="2" t="s">
        <v>79</v>
      </c>
      <c r="E89" t="str">
        <f t="shared" ref="E89" si="65">RIGHT(A89,1)</f>
        <v>i</v>
      </c>
      <c r="F89" t="str">
        <f t="shared" ref="F89" si="66">G89 &amp; IF(H89&lt;&gt;"", "_" &amp; H89, "_") &amp; IF(I89&lt;&gt;"", "_" &amp; I89, "_") &amp; IF(B89&lt;&gt;"", "_" &amp; B89, "")</f>
        <v>Kaufman__2004</v>
      </c>
      <c r="G89" t="str">
        <f t="shared" ref="G89" si="67">SUBSTITUTE(SUBSTITUTE(_xlfn.TEXTBEFORE(A89,","), "-", ""), " ", "")</f>
        <v>Kaufman</v>
      </c>
      <c r="H89" t="str">
        <f>_xlfn.LET(_xlpm.authorPart,_xlfn.TEXTBEFORE(A89," ("),IFERROR(IF(ISNUMBER(FIND("&amp;",_xlpm.authorPart)),IF(LEN(A89)-LEN(SUBSTITUTE(A89,",",""))&gt;=6,"etal",_xlfn.TEXTBEFORE(_xlfn.TEXTAFTER(_xlpm.authorPart,"&amp; "),",")),""),""))</f>
        <v/>
      </c>
      <c r="I89" t="str">
        <f t="shared" ref="I89" si="68">_xlfn.TEXTBEFORE(_xlfn.TEXTAFTER(A89, "("), ")")</f>
        <v>2004</v>
      </c>
      <c r="J89" t="str">
        <f t="shared" ref="J89" si="69">IF(C89&lt;&gt;"", C89, IF(C89="", _xlfn.TEXTAFTER(A89,"https://doi.org/"), C89))</f>
        <v>UMI:3147447</v>
      </c>
      <c r="K89" t="str">
        <f t="shared" ref="K89" si="70">TRIM(_xlfn.TEXTJOIN("_",FALSE,F89,(SUBSTITUTE(SUBSTITUTE(D89," ",""), "_", ""))))</f>
        <v>Kaufman__2004_Table1</v>
      </c>
      <c r="L89" t="str">
        <f t="shared" ref="L89" si="71">IF(ISBLANK(C89),TRIM(SUBSTITUTE(SUBSTITUTE(SUBSTITUTE(_xlfn.TEXTJOIN("_", FALSE, J89, SUBSTITUTE(D89,"_", "")), "/", "%2F"), ":", "%3A"), " ", "")),TRIM(SUBSTITUTE(SUBSTITUTE(SUBSTITUTE(_xlfn.TEXTJOIN("_", FALSE, C89, SUBSTITUTE(D89,"_", "")), "/", "%2F"), ":", "%3A"), " ", "")))</f>
        <v>UMI%3A3147447_Table1</v>
      </c>
      <c r="M89" t="str">
        <f t="array" ref="M89">IFERROR(INDEX(FileList!$A$1:$A$100, MATCH(L89, _xlfn.TEXTBEFORE(FileList!$A$1:$A$100, ".tsv"), 0)), "notfound")</f>
        <v>notfound</v>
      </c>
      <c r="V89" s="2" t="s">
        <v>41</v>
      </c>
      <c r="Y89" s="2" t="s">
        <v>439</v>
      </c>
      <c r="Z89" s="2" t="s">
        <v>58</v>
      </c>
      <c r="AF89" s="2" t="s">
        <v>440</v>
      </c>
      <c r="AK89" s="2" t="s">
        <v>120</v>
      </c>
      <c r="AL89" s="2" t="s">
        <v>117</v>
      </c>
      <c r="AM89" s="2" t="s">
        <v>441</v>
      </c>
    </row>
    <row r="90" spans="1:39" ht="15.75" customHeight="1" x14ac:dyDescent="0.2">
      <c r="A90" s="2" t="s">
        <v>442</v>
      </c>
      <c r="D90" s="2" t="s">
        <v>79</v>
      </c>
      <c r="E90" t="str">
        <f t="shared" si="57"/>
        <v>8</v>
      </c>
      <c r="F90" t="str">
        <f t="shared" si="58"/>
        <v>Kverkova_etal_2018</v>
      </c>
      <c r="G90" t="str">
        <f t="shared" si="59"/>
        <v>Kverkova</v>
      </c>
      <c r="H90" t="str">
        <f t="shared" ref="H90:H138" si="72">_xlfn.LET(_xlpm.authorPart,_xlfn.TEXTBEFORE(A90," ("),IFERROR(IF(ISNUMBER(FIND("&amp;",_xlpm.authorPart)),IF(LEN(A90)-LEN(SUBSTITUTE(A90,",",""))&gt;=6,"etal",_xlfn.TEXTBEFORE(_xlfn.TEXTAFTER(_xlpm.authorPart,"&amp; "),",")),""),""))</f>
        <v>etal</v>
      </c>
      <c r="I90" t="str">
        <f t="shared" si="60"/>
        <v>2018</v>
      </c>
      <c r="J90" t="str">
        <f t="shared" si="62"/>
        <v>10.1038/s41598-018-26062-8</v>
      </c>
      <c r="K90" t="str">
        <f t="shared" si="63"/>
        <v>Kverkova_etal_2018_Table1</v>
      </c>
      <c r="L90" t="str">
        <f t="shared" si="64"/>
        <v>10.1038%2Fs41598-018-26062-8_Table1</v>
      </c>
      <c r="M90" t="str">
        <f t="array" ref="M90">IFERROR(INDEX(FileList!$A$1:$A$100, MATCH(L90, _xlfn.TEXTBEFORE(FileList!$A$1:$A$100, ".tsv"), 0)), "notfound")</f>
        <v>10.1038%2Fs41598-018-26062-8_Table1.tsv</v>
      </c>
      <c r="N90" s="2" t="s">
        <v>443</v>
      </c>
      <c r="P90" s="2" t="s">
        <v>49</v>
      </c>
      <c r="Q90" s="2" t="s">
        <v>50</v>
      </c>
      <c r="R90" s="2" t="s">
        <v>444</v>
      </c>
      <c r="S90" s="2" t="s">
        <v>52</v>
      </c>
      <c r="T90" s="2" t="s">
        <v>445</v>
      </c>
      <c r="U90" s="2" t="s">
        <v>446</v>
      </c>
      <c r="V90" s="2" t="s">
        <v>41</v>
      </c>
      <c r="Y90" s="2" t="s">
        <v>447</v>
      </c>
      <c r="Z90" s="2" t="s">
        <v>58</v>
      </c>
      <c r="AA90" s="2" t="s">
        <v>448</v>
      </c>
      <c r="AD90" s="2" t="s">
        <v>448</v>
      </c>
      <c r="AG90" s="2" t="s">
        <v>449</v>
      </c>
      <c r="AK90" s="2" t="s">
        <v>450</v>
      </c>
      <c r="AL90" s="2" t="s">
        <v>58</v>
      </c>
      <c r="AM90" s="2" t="s">
        <v>451</v>
      </c>
    </row>
    <row r="91" spans="1:39" x14ac:dyDescent="0.2">
      <c r="A91" s="2" t="s">
        <v>442</v>
      </c>
      <c r="D91" s="2" t="s">
        <v>264</v>
      </c>
      <c r="E91" t="str">
        <f t="shared" si="57"/>
        <v>8</v>
      </c>
      <c r="F91" t="str">
        <f t="shared" si="58"/>
        <v>Kverkova_etal_2018</v>
      </c>
      <c r="G91" t="str">
        <f t="shared" si="59"/>
        <v>Kverkova</v>
      </c>
      <c r="H91" t="str">
        <f t="shared" si="72"/>
        <v>etal</v>
      </c>
      <c r="I91" t="str">
        <f t="shared" si="60"/>
        <v>2018</v>
      </c>
      <c r="J91" t="str">
        <f t="shared" si="62"/>
        <v>10.1038/s41598-018-26062-8</v>
      </c>
      <c r="K91" t="str">
        <f t="shared" si="63"/>
        <v>Kverkova_etal_2018_TableS1</v>
      </c>
      <c r="L91" t="str">
        <f t="shared" si="64"/>
        <v>10.1038%2Fs41598-018-26062-8_TableS1</v>
      </c>
      <c r="M91" t="str">
        <f t="array" ref="M91">IFERROR(INDEX(FileList!$A$1:$A$100, MATCH(L91, _xlfn.TEXTBEFORE(FileList!$A$1:$A$100, ".tsv"), 0)), "notfound")</f>
        <v>10.1038%2Fs41598-018-26062-8_TableS1.tsv</v>
      </c>
      <c r="N91" s="2" t="s">
        <v>452</v>
      </c>
      <c r="P91" s="2" t="s">
        <v>49</v>
      </c>
      <c r="Q91" s="2" t="s">
        <v>50</v>
      </c>
      <c r="R91" s="2" t="s">
        <v>453</v>
      </c>
      <c r="S91" s="2" t="s">
        <v>52</v>
      </c>
      <c r="T91" s="2" t="s">
        <v>445</v>
      </c>
      <c r="U91" s="2" t="s">
        <v>446</v>
      </c>
      <c r="V91" s="2" t="s">
        <v>41</v>
      </c>
      <c r="W91" s="2" t="s">
        <v>170</v>
      </c>
      <c r="X91" s="2" t="s">
        <v>454</v>
      </c>
      <c r="Y91" s="2" t="s">
        <v>381</v>
      </c>
      <c r="Z91" s="2" t="s">
        <v>455</v>
      </c>
      <c r="AA91" s="2" t="s">
        <v>448</v>
      </c>
      <c r="AD91" s="2" t="s">
        <v>448</v>
      </c>
      <c r="AG91" s="2" t="s">
        <v>449</v>
      </c>
      <c r="AK91" s="2" t="s">
        <v>450</v>
      </c>
      <c r="AL91" s="2" t="s">
        <v>58</v>
      </c>
      <c r="AM91" s="2" t="s">
        <v>384</v>
      </c>
    </row>
    <row r="92" spans="1:39" x14ac:dyDescent="0.2">
      <c r="A92" s="2" t="s">
        <v>442</v>
      </c>
      <c r="D92" s="2" t="s">
        <v>456</v>
      </c>
      <c r="E92" t="str">
        <f t="shared" si="57"/>
        <v>8</v>
      </c>
      <c r="F92" t="str">
        <f t="shared" si="58"/>
        <v>Kverkova_etal_2018</v>
      </c>
      <c r="G92" t="str">
        <f t="shared" si="59"/>
        <v>Kverkova</v>
      </c>
      <c r="H92" t="str">
        <f t="shared" si="72"/>
        <v>etal</v>
      </c>
      <c r="I92" t="str">
        <f t="shared" si="60"/>
        <v>2018</v>
      </c>
      <c r="J92" t="str">
        <f t="shared" si="62"/>
        <v>10.1038/s41598-018-26062-8</v>
      </c>
      <c r="K92" t="str">
        <f t="shared" si="63"/>
        <v>Kverkova_etal_2018_TableS5</v>
      </c>
      <c r="L92" t="str">
        <f t="shared" si="64"/>
        <v>10.1038%2Fs41598-018-26062-8_TableS5</v>
      </c>
      <c r="M92" t="str">
        <f t="array" ref="M92">IFERROR(INDEX(FileList!$A$1:$A$100, MATCH(L92, _xlfn.TEXTBEFORE(FileList!$A$1:$A$100, ".tsv"), 0)), "notfound")</f>
        <v>10.1038%2Fs41598-018-26062-8_TableS5.tsv</v>
      </c>
      <c r="N92" s="2" t="s">
        <v>457</v>
      </c>
      <c r="P92" s="2" t="s">
        <v>49</v>
      </c>
      <c r="Q92" s="2" t="s">
        <v>50</v>
      </c>
      <c r="R92" s="2" t="s">
        <v>458</v>
      </c>
      <c r="S92" s="2" t="s">
        <v>52</v>
      </c>
      <c r="T92" s="2" t="s">
        <v>459</v>
      </c>
      <c r="U92" s="2" t="s">
        <v>460</v>
      </c>
      <c r="V92" s="2" t="s">
        <v>41</v>
      </c>
      <c r="W92" s="2" t="s">
        <v>170</v>
      </c>
      <c r="X92" s="2" t="s">
        <v>454</v>
      </c>
      <c r="Y92" s="2" t="s">
        <v>388</v>
      </c>
      <c r="Z92" s="2" t="s">
        <v>58</v>
      </c>
      <c r="AA92" s="2" t="s">
        <v>448</v>
      </c>
      <c r="AC92" s="2" t="s">
        <v>60</v>
      </c>
      <c r="AD92" s="2" t="s">
        <v>448</v>
      </c>
      <c r="AG92" s="2" t="s">
        <v>449</v>
      </c>
      <c r="AK92" s="2" t="s">
        <v>450</v>
      </c>
      <c r="AL92" s="2" t="s">
        <v>58</v>
      </c>
      <c r="AM92" s="2" t="s">
        <v>63</v>
      </c>
    </row>
    <row r="93" spans="1:39" x14ac:dyDescent="0.2">
      <c r="A93" s="2" t="s">
        <v>461</v>
      </c>
      <c r="D93" s="2" t="s">
        <v>462</v>
      </c>
      <c r="E93" t="str">
        <f t="shared" si="57"/>
        <v>4</v>
      </c>
      <c r="F93" t="str">
        <f t="shared" si="58"/>
        <v>Lewitus_etal_2013</v>
      </c>
      <c r="G93" t="str">
        <f t="shared" si="59"/>
        <v>Lewitus</v>
      </c>
      <c r="H93" t="str">
        <f t="shared" si="72"/>
        <v>etal</v>
      </c>
      <c r="I93" t="str">
        <f t="shared" si="60"/>
        <v>2013</v>
      </c>
      <c r="J93" t="str">
        <f t="shared" si="62"/>
        <v>10.3389/fnhum.2013.00424</v>
      </c>
      <c r="K93" t="str">
        <f t="shared" si="63"/>
        <v>Lewitus_etal_2013_TableS2partial</v>
      </c>
      <c r="L93" t="str">
        <f t="shared" si="64"/>
        <v>10.3389%2Ffnhum.2013.00424_TableS2partial</v>
      </c>
      <c r="M93" t="str">
        <f t="array" ref="M93">IFERROR(INDEX(FileList!$A$1:$A$100, MATCH(L93, _xlfn.TEXTBEFORE(FileList!$A$1:$A$100, ".tsv"), 0)), "notfound")</f>
        <v>10.3389%2Ffnhum.2013.00424_TableS2partial.tsv</v>
      </c>
      <c r="Q93" s="2" t="s">
        <v>111</v>
      </c>
      <c r="Y93" s="2" t="s">
        <v>463</v>
      </c>
      <c r="AK93" s="2" t="s">
        <v>120</v>
      </c>
      <c r="AL93" s="2" t="s">
        <v>58</v>
      </c>
      <c r="AM93" s="2" t="s">
        <v>464</v>
      </c>
    </row>
    <row r="94" spans="1:39" x14ac:dyDescent="0.2">
      <c r="A94" s="2" t="s">
        <v>465</v>
      </c>
      <c r="D94" s="2" t="s">
        <v>264</v>
      </c>
      <c r="E94" t="str">
        <f t="shared" si="57"/>
        <v>0</v>
      </c>
      <c r="F94" t="str">
        <f t="shared" si="58"/>
        <v>Lewitus_etal_2014</v>
      </c>
      <c r="G94" t="str">
        <f t="shared" si="59"/>
        <v>Lewitus</v>
      </c>
      <c r="H94" t="str">
        <f t="shared" si="72"/>
        <v>etal</v>
      </c>
      <c r="I94" t="str">
        <f t="shared" si="60"/>
        <v>2014</v>
      </c>
      <c r="J94" t="str">
        <f t="shared" si="62"/>
        <v>10.1371/journal.pbio.1002000</v>
      </c>
      <c r="K94" t="str">
        <f t="shared" si="63"/>
        <v>Lewitus_etal_2014_TableS1</v>
      </c>
      <c r="L94" t="str">
        <f t="shared" si="64"/>
        <v>10.1371%2Fjournal.pbio.1002000_TableS1</v>
      </c>
      <c r="M94" t="str">
        <f t="array" ref="M94">IFERROR(INDEX(FileList!$A$1:$A$100, MATCH(L94, _xlfn.TEXTBEFORE(FileList!$A$1:$A$100, ".tsv"), 0)), "notfound")</f>
        <v>10.1371%2Fjournal.pbio.1002000_TableS1.tsv</v>
      </c>
      <c r="N94" s="2" t="s">
        <v>466</v>
      </c>
      <c r="Q94" s="2" t="s">
        <v>111</v>
      </c>
      <c r="Y94" s="2" t="s">
        <v>467</v>
      </c>
      <c r="AK94" s="2" t="s">
        <v>120</v>
      </c>
      <c r="AL94" s="2" t="s">
        <v>117</v>
      </c>
      <c r="AM94" s="2" t="s">
        <v>468</v>
      </c>
    </row>
    <row r="95" spans="1:39" x14ac:dyDescent="0.2">
      <c r="A95" s="2" t="s">
        <v>465</v>
      </c>
      <c r="D95" s="2" t="s">
        <v>469</v>
      </c>
      <c r="E95" t="str">
        <f t="shared" si="57"/>
        <v>0</v>
      </c>
      <c r="F95" t="str">
        <f t="shared" si="58"/>
        <v>Lewitus_etal_2014</v>
      </c>
      <c r="G95" t="str">
        <f t="shared" si="59"/>
        <v>Lewitus</v>
      </c>
      <c r="H95" t="str">
        <f t="shared" si="72"/>
        <v>etal</v>
      </c>
      <c r="I95" t="str">
        <f t="shared" si="60"/>
        <v>2014</v>
      </c>
      <c r="J95" t="str">
        <f t="shared" si="62"/>
        <v>10.1371/journal.pbio.1002000</v>
      </c>
      <c r="K95" t="str">
        <f t="shared" si="63"/>
        <v>Lewitus_etal_2014_TableS8</v>
      </c>
      <c r="L95" t="str">
        <f t="shared" si="64"/>
        <v>10.1371%2Fjournal.pbio.1002000_TableS8</v>
      </c>
      <c r="M95" t="str">
        <f t="array" ref="M95">IFERROR(INDEX(FileList!$A$1:$A$100, MATCH(L95, _xlfn.TEXTBEFORE(FileList!$A$1:$A$100, ".tsv"), 0)), "notfound")</f>
        <v>10.1371%2Fjournal.pbio.1002000_TableS8.tsv</v>
      </c>
      <c r="N95" s="2" t="s">
        <v>470</v>
      </c>
      <c r="Q95" s="2" t="s">
        <v>111</v>
      </c>
      <c r="Y95" s="2" t="s">
        <v>467</v>
      </c>
      <c r="AK95" s="2" t="s">
        <v>120</v>
      </c>
      <c r="AL95" s="2" t="s">
        <v>117</v>
      </c>
      <c r="AM95" s="2" t="s">
        <v>468</v>
      </c>
    </row>
    <row r="96" spans="1:39" x14ac:dyDescent="0.2">
      <c r="A96" s="2" t="s">
        <v>471</v>
      </c>
      <c r="D96" s="2" t="s">
        <v>79</v>
      </c>
      <c r="E96" t="str">
        <f t="shared" si="57"/>
        <v>5</v>
      </c>
      <c r="F96" t="str">
        <f t="shared" si="58"/>
        <v>MacLarnon__1996</v>
      </c>
      <c r="G96" t="str">
        <f t="shared" si="59"/>
        <v>MacLarnon</v>
      </c>
      <c r="H96" t="str">
        <f t="shared" si="72"/>
        <v/>
      </c>
      <c r="I96" t="str">
        <f t="shared" si="60"/>
        <v>1996</v>
      </c>
      <c r="J96" t="str">
        <f t="shared" si="62"/>
        <v>10.1006/jhev.1996.0005</v>
      </c>
      <c r="K96" t="str">
        <f t="shared" si="63"/>
        <v>MacLarnon__1996_Table1</v>
      </c>
      <c r="L96" t="str">
        <f t="shared" si="64"/>
        <v>10.1006%2Fjhev.1996.0005_Table1</v>
      </c>
      <c r="M96" t="str">
        <f t="array" ref="M96">IFERROR(INDEX(FileList!$A$1:$A$100, MATCH(L96, _xlfn.TEXTBEFORE(FileList!$A$1:$A$100, ".tsv"), 0)), "notfound")</f>
        <v>10.1006%2Fjhev.1996.0005_Table1.tsv</v>
      </c>
      <c r="N96" s="2" t="s">
        <v>472</v>
      </c>
      <c r="P96" s="2" t="s">
        <v>314</v>
      </c>
      <c r="Y96" s="2" t="s">
        <v>473</v>
      </c>
      <c r="AK96" s="2" t="s">
        <v>100</v>
      </c>
      <c r="AL96" s="2" t="s">
        <v>58</v>
      </c>
      <c r="AM96" s="2" t="s">
        <v>474</v>
      </c>
    </row>
    <row r="97" spans="1:39" x14ac:dyDescent="0.2">
      <c r="A97" s="2" t="s">
        <v>475</v>
      </c>
      <c r="D97" s="4" t="s">
        <v>79</v>
      </c>
      <c r="E97" t="str">
        <f t="shared" si="57"/>
        <v>9</v>
      </c>
      <c r="F97" t="str">
        <f t="shared" si="58"/>
        <v>MacLeod_etal_2003</v>
      </c>
      <c r="G97" t="str">
        <f t="shared" si="59"/>
        <v>MacLeod</v>
      </c>
      <c r="H97" t="str">
        <f t="shared" si="72"/>
        <v>etal</v>
      </c>
      <c r="I97" t="str">
        <f t="shared" si="60"/>
        <v>2003</v>
      </c>
      <c r="J97" t="str">
        <f t="shared" si="62"/>
        <v>10.1016/s0047-2484(03)00028-9</v>
      </c>
      <c r="K97" t="str">
        <f t="shared" si="63"/>
        <v>MacLeod_etal_2003_Table1</v>
      </c>
      <c r="L97" t="str">
        <f t="shared" si="64"/>
        <v>10.1016%2Fs0047-2484(03)00028-9_Table1</v>
      </c>
      <c r="M97" t="str">
        <f t="array" ref="M97">IFERROR(INDEX(FileList!$A$1:$A$100, MATCH(L97, _xlfn.TEXTBEFORE(FileList!$A$1:$A$100, ".tsv"), 0)), "notfound")</f>
        <v>notfound</v>
      </c>
      <c r="N97" s="2" t="s">
        <v>476</v>
      </c>
      <c r="Y97" s="2" t="s">
        <v>477</v>
      </c>
      <c r="Z97" s="2" t="s">
        <v>58</v>
      </c>
      <c r="AA97" s="2" t="s">
        <v>478</v>
      </c>
      <c r="AB97" s="2" t="s">
        <v>479</v>
      </c>
      <c r="AC97" s="2" t="s">
        <v>95</v>
      </c>
      <c r="AD97" s="2" t="s">
        <v>478</v>
      </c>
      <c r="AK97" s="2" t="s">
        <v>100</v>
      </c>
      <c r="AL97" s="2" t="s">
        <v>58</v>
      </c>
      <c r="AM97" s="2" t="s">
        <v>71</v>
      </c>
    </row>
    <row r="98" spans="1:39" x14ac:dyDescent="0.2">
      <c r="A98" s="2" t="s">
        <v>475</v>
      </c>
      <c r="D98" s="4" t="s">
        <v>101</v>
      </c>
      <c r="E98" t="str">
        <f t="shared" ref="E98" si="73">RIGHT(A98,1)</f>
        <v>9</v>
      </c>
      <c r="F98" t="str">
        <f t="shared" ref="F98" si="74">G98 &amp; IF(H98&lt;&gt;"", "_" &amp; H98, "_") &amp; IF(I98&lt;&gt;"", "_" &amp; I98, "_") &amp; IF(B98&lt;&gt;"", "_" &amp; B98, "")</f>
        <v>MacLeod_etal_2003</v>
      </c>
      <c r="G98" t="str">
        <f t="shared" ref="G98" si="75">SUBSTITUTE(SUBSTITUTE(_xlfn.TEXTBEFORE(A98,","), "-", ""), " ", "")</f>
        <v>MacLeod</v>
      </c>
      <c r="H98" t="str">
        <f t="shared" ref="H98" si="76">_xlfn.LET(_xlpm.authorPart,_xlfn.TEXTBEFORE(A98," ("),IFERROR(IF(ISNUMBER(FIND("&amp;",_xlpm.authorPart)),IF(LEN(A98)-LEN(SUBSTITUTE(A98,",",""))&gt;=6,"etal",_xlfn.TEXTBEFORE(_xlfn.TEXTAFTER(_xlpm.authorPart,"&amp; "),",")),""),""))</f>
        <v>etal</v>
      </c>
      <c r="I98" t="str">
        <f t="shared" ref="I98" si="77">_xlfn.TEXTBEFORE(_xlfn.TEXTAFTER(A98, "("), ")")</f>
        <v>2003</v>
      </c>
      <c r="J98" t="str">
        <f t="shared" ref="J98" si="78">IF(C98&lt;&gt;"", C98, IF(C98="", _xlfn.TEXTAFTER(A98,"https://doi.org/"), C98))</f>
        <v>10.1016/s0047-2484(03)00028-9</v>
      </c>
      <c r="K98" t="str">
        <f t="shared" ref="K98" si="79">TRIM(_xlfn.TEXTJOIN("_",FALSE,F98,(SUBSTITUTE(SUBSTITUTE(D98," ",""), "_", ""))))</f>
        <v>MacLeod_etal_2003_Table2</v>
      </c>
      <c r="L98" t="str">
        <f t="shared" ref="L98" si="80">IF(ISBLANK(C98),TRIM(SUBSTITUTE(SUBSTITUTE(SUBSTITUTE(_xlfn.TEXTJOIN("_", FALSE, J98, SUBSTITUTE(D98,"_", "")), "/", "%2F"), ":", "%3A"), " ", "")),TRIM(SUBSTITUTE(SUBSTITUTE(SUBSTITUTE(_xlfn.TEXTJOIN("_", FALSE, C98, SUBSTITUTE(D98,"_", "")), "/", "%2F"), ":", "%3A"), " ", "")))</f>
        <v>10.1016%2Fs0047-2484(03)00028-9_Table2</v>
      </c>
      <c r="M98" t="str">
        <f t="array" ref="M98">IFERROR(INDEX(FileList!$A$1:$A$100, MATCH(L98, _xlfn.TEXTBEFORE(FileList!$A$1:$A$100, ".tsv"), 0)), "notfound")</f>
        <v>notfound</v>
      </c>
      <c r="N98" s="2" t="s">
        <v>480</v>
      </c>
      <c r="Y98" s="2" t="s">
        <v>477</v>
      </c>
      <c r="Z98" s="2" t="s">
        <v>58</v>
      </c>
      <c r="AA98" s="2" t="s">
        <v>481</v>
      </c>
      <c r="AB98" s="2" t="s">
        <v>68</v>
      </c>
      <c r="AC98" s="2" t="s">
        <v>95</v>
      </c>
      <c r="AD98" s="2" t="s">
        <v>481</v>
      </c>
      <c r="AK98" s="2" t="s">
        <v>100</v>
      </c>
      <c r="AL98" s="2" t="s">
        <v>58</v>
      </c>
      <c r="AM98" s="2" t="s">
        <v>71</v>
      </c>
    </row>
    <row r="99" spans="1:39" x14ac:dyDescent="0.2">
      <c r="A99" s="2" t="s">
        <v>482</v>
      </c>
      <c r="D99" s="2" t="s">
        <v>483</v>
      </c>
      <c r="E99" t="str">
        <f t="shared" si="57"/>
        <v>2</v>
      </c>
      <c r="F99" t="str">
        <f t="shared" si="58"/>
        <v>ManyPrimates__2022</v>
      </c>
      <c r="G99" t="str">
        <f t="shared" si="59"/>
        <v>ManyPrimates</v>
      </c>
      <c r="H99" t="str">
        <f t="shared" si="72"/>
        <v/>
      </c>
      <c r="I99" t="str">
        <f t="shared" si="60"/>
        <v>2022</v>
      </c>
      <c r="J99" t="str">
        <f t="shared" si="62"/>
        <v>10.26451/abc.09.04.06.2022</v>
      </c>
      <c r="K99" t="str">
        <f t="shared" si="63"/>
        <v>ManyPrimates__2022_data/speciespredictors.xlsx</v>
      </c>
      <c r="L99" t="str">
        <f t="shared" si="64"/>
        <v>10.26451%2Fabc.09.04.06.2022_data%2Fspeciespredictors.xlsx</v>
      </c>
      <c r="M99" t="str">
        <f t="array" ref="M99">IFERROR(INDEX(FileList!$A$1:$A$100, MATCH(L99, _xlfn.TEXTBEFORE(FileList!$A$1:$A$100, ".tsv"), 0)), "notfound")</f>
        <v>notfound</v>
      </c>
      <c r="P99" s="2" t="s">
        <v>484</v>
      </c>
      <c r="Q99" s="2" t="s">
        <v>179</v>
      </c>
      <c r="T99" s="2" t="str">
        <f>IF(S99="N", R99, "write file name")</f>
        <v>write file name</v>
      </c>
      <c r="U99" s="2" t="s">
        <v>162</v>
      </c>
      <c r="V99" s="2" t="s">
        <v>41</v>
      </c>
      <c r="W99" s="2" t="s">
        <v>163</v>
      </c>
      <c r="X99" s="2" t="s">
        <v>485</v>
      </c>
      <c r="Y99" s="2" t="s">
        <v>486</v>
      </c>
      <c r="Z99" s="2" t="s">
        <v>117</v>
      </c>
      <c r="AE99" s="2" t="s">
        <v>487</v>
      </c>
      <c r="AG99" s="2" t="s">
        <v>157</v>
      </c>
      <c r="AK99" s="2" t="s">
        <v>100</v>
      </c>
      <c r="AL99" s="2" t="s">
        <v>58</v>
      </c>
      <c r="AM99" s="2" t="s">
        <v>488</v>
      </c>
    </row>
    <row r="100" spans="1:39" x14ac:dyDescent="0.2">
      <c r="A100" s="2" t="s">
        <v>489</v>
      </c>
      <c r="B100" s="2" t="s">
        <v>141</v>
      </c>
      <c r="D100" s="2" t="s">
        <v>79</v>
      </c>
      <c r="E100" t="str">
        <f t="shared" si="57"/>
        <v>2</v>
      </c>
      <c r="F100" t="str">
        <f t="shared" si="58"/>
        <v>Matano_etal_1985_a</v>
      </c>
      <c r="G100" t="str">
        <f t="shared" si="59"/>
        <v>Matano</v>
      </c>
      <c r="H100" t="str">
        <f t="shared" si="72"/>
        <v>etal</v>
      </c>
      <c r="I100" t="str">
        <f t="shared" si="60"/>
        <v>1985</v>
      </c>
      <c r="J100" t="str">
        <f t="shared" si="62"/>
        <v>10.1159/000156212</v>
      </c>
      <c r="K100" t="str">
        <f t="shared" si="63"/>
        <v>Matano_etal_1985_a_Table1</v>
      </c>
      <c r="L100" t="str">
        <f t="shared" si="64"/>
        <v>10.1159%2F000156212_Table1</v>
      </c>
      <c r="M100" t="str">
        <f t="array" ref="M100">IFERROR(INDEX(FileList!$A$1:$A$100, MATCH(L100, _xlfn.TEXTBEFORE(FileList!$A$1:$A$100, ".tsv"), 0)), "notfound")</f>
        <v>10.1159%2F000156212_Table1.tsv</v>
      </c>
      <c r="N100" s="2" t="s">
        <v>490</v>
      </c>
      <c r="V100" s="2" t="s">
        <v>41</v>
      </c>
      <c r="Y100" s="2" t="s">
        <v>491</v>
      </c>
      <c r="Z100" s="2" t="s">
        <v>58</v>
      </c>
      <c r="AA100" s="2" t="s">
        <v>82</v>
      </c>
      <c r="AB100" s="2" t="s">
        <v>68</v>
      </c>
      <c r="AC100" s="2" t="s">
        <v>95</v>
      </c>
      <c r="AD100" s="2" t="s">
        <v>82</v>
      </c>
      <c r="AK100" s="2" t="s">
        <v>83</v>
      </c>
      <c r="AL100" s="2" t="s">
        <v>58</v>
      </c>
      <c r="AM100" s="2" t="s">
        <v>71</v>
      </c>
    </row>
    <row r="101" spans="1:39" x14ac:dyDescent="0.2">
      <c r="A101" s="2" t="s">
        <v>492</v>
      </c>
      <c r="B101" s="2" t="s">
        <v>151</v>
      </c>
      <c r="D101" s="2" t="s">
        <v>79</v>
      </c>
      <c r="E101" t="str">
        <f t="shared" si="57"/>
        <v>1</v>
      </c>
      <c r="F101" t="str">
        <f t="shared" si="58"/>
        <v>Matano_etal_1985_b</v>
      </c>
      <c r="G101" t="str">
        <f t="shared" si="59"/>
        <v>Matano</v>
      </c>
      <c r="H101" t="str">
        <f t="shared" si="72"/>
        <v>etal</v>
      </c>
      <c r="I101" t="str">
        <f t="shared" si="60"/>
        <v>1985</v>
      </c>
      <c r="J101" t="str">
        <f t="shared" si="62"/>
        <v>10.1159/000156211</v>
      </c>
      <c r="K101" t="str">
        <f t="shared" si="63"/>
        <v>Matano_etal_1985_b_Table1</v>
      </c>
      <c r="L101" t="str">
        <f t="shared" si="64"/>
        <v>10.1159%2F000156211_Table1</v>
      </c>
      <c r="M101" t="str">
        <f t="array" ref="M101">IFERROR(INDEX(FileList!$A$1:$A$100, MATCH(L101, _xlfn.TEXTBEFORE(FileList!$A$1:$A$100, ".tsv"), 0)), "notfound")</f>
        <v>10.1159%2F000156211_Table1.tsv</v>
      </c>
      <c r="AA101" s="2" t="s">
        <v>82</v>
      </c>
      <c r="AB101" s="2" t="s">
        <v>68</v>
      </c>
      <c r="AD101" s="2" t="s">
        <v>82</v>
      </c>
    </row>
    <row r="102" spans="1:39" x14ac:dyDescent="0.2">
      <c r="A102" s="2" t="s">
        <v>493</v>
      </c>
      <c r="D102" s="2" t="s">
        <v>264</v>
      </c>
      <c r="E102" t="str">
        <f t="shared" si="57"/>
        <v>1</v>
      </c>
      <c r="F102" t="str">
        <f t="shared" si="58"/>
        <v>Mota_etal_2015</v>
      </c>
      <c r="G102" t="str">
        <f t="shared" si="59"/>
        <v>Mota</v>
      </c>
      <c r="H102" t="str">
        <f t="shared" si="72"/>
        <v>etal</v>
      </c>
      <c r="I102" t="str">
        <f t="shared" si="60"/>
        <v>2015</v>
      </c>
      <c r="J102" t="str">
        <f t="shared" si="62"/>
        <v>10.1126/science.aaa9101</v>
      </c>
      <c r="K102" t="str">
        <f t="shared" si="63"/>
        <v>Mota_etal_2015_TableS1</v>
      </c>
      <c r="L102" t="str">
        <f t="shared" si="64"/>
        <v>10.1126%2Fscience.aaa9101_TableS1</v>
      </c>
      <c r="M102" t="str">
        <f t="array" ref="M102">IFERROR(INDEX(FileList!$A$1:$A$100, MATCH(L102, _xlfn.TEXTBEFORE(FileList!$A$1:$A$100, ".tsv"), 0)), "notfound")</f>
        <v>10.1126%2Fscience.aaa9101_TableS1.tsv</v>
      </c>
      <c r="Q102" s="2" t="s">
        <v>111</v>
      </c>
      <c r="Y102" s="2" t="s">
        <v>494</v>
      </c>
      <c r="AK102" s="2" t="s">
        <v>120</v>
      </c>
      <c r="AL102" s="2" t="s">
        <v>340</v>
      </c>
      <c r="AM102" s="2" t="s">
        <v>494</v>
      </c>
    </row>
    <row r="103" spans="1:39" x14ac:dyDescent="0.2">
      <c r="A103" s="2" t="s">
        <v>495</v>
      </c>
      <c r="D103" s="2" t="s">
        <v>496</v>
      </c>
      <c r="E103" t="str">
        <f t="shared" si="57"/>
        <v>6</v>
      </c>
      <c r="F103" t="str">
        <f t="shared" si="58"/>
        <v>Mota_etal_2019</v>
      </c>
      <c r="G103" t="str">
        <f t="shared" si="59"/>
        <v>Mota</v>
      </c>
      <c r="H103" t="str">
        <f t="shared" si="72"/>
        <v>etal</v>
      </c>
      <c r="I103" t="str">
        <f t="shared" si="60"/>
        <v>2019</v>
      </c>
      <c r="J103" t="str">
        <f t="shared" si="62"/>
        <v>10.1073/pnas.1716956116</v>
      </c>
      <c r="K103" t="str">
        <f t="shared" si="63"/>
        <v>Mota_etal_2019_SupplementaryTableS1</v>
      </c>
      <c r="L103" t="str">
        <f t="shared" si="64"/>
        <v>10.1073%2Fpnas.1716956116_SupplementaryTableS1</v>
      </c>
      <c r="M103" t="str">
        <f t="array" ref="M103">IFERROR(INDEX(FileList!$A$1:$A$100, MATCH(L103, _xlfn.TEXTBEFORE(FileList!$A$1:$A$100, ".tsv"), 0)), "notfound")</f>
        <v>notfound</v>
      </c>
      <c r="N103" s="2" t="s">
        <v>497</v>
      </c>
      <c r="P103" s="2" t="s">
        <v>314</v>
      </c>
      <c r="Y103" s="2" t="s">
        <v>498</v>
      </c>
      <c r="AE103" s="2" t="s">
        <v>499</v>
      </c>
      <c r="AK103" s="2" t="s">
        <v>120</v>
      </c>
      <c r="AL103" s="2" t="s">
        <v>340</v>
      </c>
      <c r="AM103" s="2" t="s">
        <v>500</v>
      </c>
    </row>
    <row r="104" spans="1:39" x14ac:dyDescent="0.2">
      <c r="A104" s="2" t="s">
        <v>501</v>
      </c>
      <c r="C104" s="2" t="s">
        <v>502</v>
      </c>
      <c r="D104" s="2" t="s">
        <v>503</v>
      </c>
      <c r="E104" t="str">
        <f t="shared" si="57"/>
        <v>5</v>
      </c>
      <c r="F104" t="str">
        <f t="shared" si="58"/>
        <v>Powell_etal_2017</v>
      </c>
      <c r="G104" t="str">
        <f t="shared" si="59"/>
        <v>Powell</v>
      </c>
      <c r="H104" t="str">
        <f t="shared" si="72"/>
        <v>etal</v>
      </c>
      <c r="I104" t="str">
        <f t="shared" si="60"/>
        <v>2017</v>
      </c>
      <c r="J104" t="str">
        <f t="shared" si="62"/>
        <v>10.6084/m9.figshare.c.3899422.v1</v>
      </c>
      <c r="K104" t="str">
        <f t="shared" si="63"/>
        <v>Powell_etal_2017_Dataset1</v>
      </c>
      <c r="L104" t="str">
        <f t="shared" si="64"/>
        <v>10.6084%2Fm9.figshare.c.3899422.v1_Dataset1</v>
      </c>
      <c r="M104" t="str">
        <f t="array" ref="M104">IFERROR(INDEX(FileList!$A$1:$A$100, MATCH(L104, _xlfn.TEXTBEFORE(FileList!$A$1:$A$100, ".tsv"), 0)), "notfound")</f>
        <v>10.6084%2Fm9.figshare.c.3899422.v1_Dataset1.tsv</v>
      </c>
      <c r="P104" s="2" t="s">
        <v>314</v>
      </c>
      <c r="Q104" s="2" t="s">
        <v>179</v>
      </c>
      <c r="T104" s="2" t="str">
        <f>IF(S104="N", R104, "write file name")</f>
        <v>write file name</v>
      </c>
      <c r="U104" s="2" t="s">
        <v>162</v>
      </c>
      <c r="V104" s="2" t="s">
        <v>41</v>
      </c>
      <c r="W104" s="2" t="s">
        <v>163</v>
      </c>
      <c r="X104" s="2" t="s">
        <v>504</v>
      </c>
      <c r="Y104" s="2" t="s">
        <v>505</v>
      </c>
      <c r="Z104" s="2" t="s">
        <v>117</v>
      </c>
      <c r="AE104" s="2" t="s">
        <v>116</v>
      </c>
      <c r="AG104" s="2" t="s">
        <v>157</v>
      </c>
      <c r="AK104" s="2" t="s">
        <v>100</v>
      </c>
      <c r="AL104" s="2" t="s">
        <v>117</v>
      </c>
      <c r="AM104" s="2" t="s">
        <v>505</v>
      </c>
    </row>
    <row r="105" spans="1:39" x14ac:dyDescent="0.2">
      <c r="A105" s="2" t="s">
        <v>506</v>
      </c>
      <c r="C105" s="3"/>
      <c r="D105" s="3" t="s">
        <v>79</v>
      </c>
      <c r="E105" t="str">
        <f t="shared" ref="E105" si="81">RIGHT(A105,1)</f>
        <v>5</v>
      </c>
      <c r="F105" t="str">
        <f t="shared" ref="F105" si="82">G105 &amp; IF(H105&lt;&gt;"", "_" &amp; H105, "_") &amp; IF(I105&lt;&gt;"", "_" &amp; I105, "_") &amp; IF(B105&lt;&gt;"", "_" &amp; B105, "")</f>
        <v>Rilling_etal_1998</v>
      </c>
      <c r="G105" t="str">
        <f t="shared" ref="G105" si="83">SUBSTITUTE(SUBSTITUTE(_xlfn.TEXTBEFORE(A105,","), "-", ""), " ", "")</f>
        <v>Rilling</v>
      </c>
      <c r="H105" t="str">
        <f t="shared" ref="H105" si="84">_xlfn.LET(_xlpm.authorPart,_xlfn.TEXTBEFORE(A105," ("),IFERROR(IF(ISNUMBER(FIND("&amp;",_xlpm.authorPart)),IF(LEN(A105)-LEN(SUBSTITUTE(A105,",",""))&gt;=6,"etal",_xlfn.TEXTBEFORE(_xlfn.TEXTAFTER(_xlpm.authorPart,"&amp; "),",")),""),""))</f>
        <v>etal</v>
      </c>
      <c r="I105" t="str">
        <f t="shared" ref="I105" si="85">_xlfn.TEXTBEFORE(_xlfn.TEXTAFTER(A105, "("), ")")</f>
        <v>1998</v>
      </c>
      <c r="J105" t="str">
        <f t="shared" ref="J105" si="86">IF(C105&lt;&gt;"", C105, IF(C105="", _xlfn.TEXTAFTER(A105,"https://doi.org/"), C105))</f>
        <v>10.1159/000006575</v>
      </c>
      <c r="K105" t="str">
        <f t="shared" ref="K105" si="87">TRIM(_xlfn.TEXTJOIN("_",FALSE,F105,(SUBSTITUTE(SUBSTITUTE(D105," ",""), "_", ""))))</f>
        <v>Rilling_etal_1998_Table1</v>
      </c>
      <c r="L105" t="str">
        <f t="shared" ref="L105" si="88">IF(ISBLANK(C105),TRIM(SUBSTITUTE(SUBSTITUTE(SUBSTITUTE(_xlfn.TEXTJOIN("_", FALSE, J105, SUBSTITUTE(D105,"_", "")), "/", "%2F"), ":", "%3A"), " ", "")),TRIM(SUBSTITUTE(SUBSTITUTE(SUBSTITUTE(_xlfn.TEXTJOIN("_", FALSE, C105, SUBSTITUTE(D105,"_", "")), "/", "%2F"), ":", "%3A"), " ", "")))</f>
        <v>10.1159%2F000006575_Table1</v>
      </c>
      <c r="M105" t="str">
        <f t="array" ref="M105">IFERROR(INDEX(FileList!$A$1:$A$100, MATCH(L105, _xlfn.TEXTBEFORE(FileList!$A$1:$A$100, ".tsv"), 0)), "notfound")</f>
        <v>notfound</v>
      </c>
      <c r="N105" s="2" t="s">
        <v>507</v>
      </c>
      <c r="AB105" s="2" t="s">
        <v>479</v>
      </c>
      <c r="AC105" s="2" t="s">
        <v>95</v>
      </c>
      <c r="AD105" s="2" t="s">
        <v>478</v>
      </c>
    </row>
    <row r="106" spans="1:39" x14ac:dyDescent="0.2">
      <c r="A106" s="2" t="s">
        <v>508</v>
      </c>
      <c r="D106" s="3" t="s">
        <v>283</v>
      </c>
      <c r="E106" t="str">
        <f t="shared" ref="E106:E138" si="89">RIGHT(A106,1)</f>
        <v>L</v>
      </c>
      <c r="F106" t="str">
        <f t="shared" ref="F106:F138" si="90">G106 &amp; IF(H106&lt;&gt;"", "_" &amp; H106, "_") &amp; IF(I106&lt;&gt;"", "_" &amp; I106, "_") &amp; IF(B106&lt;&gt;"", "_" &amp; B106, "")</f>
        <v>Semendeferi_etal_1998</v>
      </c>
      <c r="G106" t="str">
        <f t="shared" ref="G106:G138" si="91">SUBSTITUTE(SUBSTITUTE(_xlfn.TEXTBEFORE(A106,","), "-", ""), " ", "")</f>
        <v>Semendeferi</v>
      </c>
      <c r="H106" t="str">
        <f t="shared" si="72"/>
        <v>etal</v>
      </c>
      <c r="I106" t="str">
        <f t="shared" ref="I106:I138" si="92">_xlfn.TEXTBEFORE(_xlfn.TEXTAFTER(A106, "("), ")")</f>
        <v>1998</v>
      </c>
      <c r="J106" t="str">
        <f t="shared" si="62"/>
        <v>10.1002/(SICI)1096-8644(199806)106:2&lt;129::AID-AJPA3&gt;3.0.CO;2-L</v>
      </c>
      <c r="K106" t="str">
        <f t="shared" si="63"/>
        <v>Semendeferi_etal_1998_TABLE2</v>
      </c>
      <c r="L106" t="str">
        <f t="shared" si="64"/>
        <v>10.1002%2F(SICI)1096-8644(199806)106%3A2&lt;129%3A%3AAID-AJPA3&gt;3.0.CO;2-L_TABLE2</v>
      </c>
      <c r="M106" t="str">
        <f t="array" ref="M106">IFERROR(INDEX(FileList!$A$1:$A$100, MATCH(L106, _xlfn.TEXTBEFORE(FileList!$A$1:$A$100, ".tsv"), 0)), "notfound")</f>
        <v>notfound</v>
      </c>
      <c r="N106" s="2" t="s">
        <v>509</v>
      </c>
      <c r="Y106" s="2" t="s">
        <v>510</v>
      </c>
      <c r="Z106" s="2" t="s">
        <v>58</v>
      </c>
      <c r="AA106" s="2" t="s">
        <v>69</v>
      </c>
      <c r="AB106" s="2" t="s">
        <v>68</v>
      </c>
      <c r="AC106" s="2" t="s">
        <v>95</v>
      </c>
      <c r="AK106" s="2" t="s">
        <v>70</v>
      </c>
      <c r="AL106" s="2" t="s">
        <v>58</v>
      </c>
      <c r="AM106" s="2" t="s">
        <v>71</v>
      </c>
    </row>
    <row r="107" spans="1:39" x14ac:dyDescent="0.2">
      <c r="A107" s="2" t="s">
        <v>511</v>
      </c>
      <c r="D107" s="3" t="s">
        <v>283</v>
      </c>
      <c r="E107" t="str">
        <f t="shared" si="89"/>
        <v>I</v>
      </c>
      <c r="F107" t="str">
        <f t="shared" si="90"/>
        <v>Semendeferi_etal_2001</v>
      </c>
      <c r="G107" t="str">
        <f t="shared" si="91"/>
        <v>Semendeferi</v>
      </c>
      <c r="H107" t="str">
        <f t="shared" si="72"/>
        <v>etal</v>
      </c>
      <c r="I107" t="str">
        <f t="shared" si="92"/>
        <v>2001</v>
      </c>
      <c r="J107" t="str">
        <f t="shared" si="62"/>
        <v>10.1002/1096-8644(200103)114:3&lt;224::AID-AJPA1022&gt;3.0.CO;2-I</v>
      </c>
      <c r="K107" t="str">
        <f t="shared" si="63"/>
        <v>Semendeferi_etal_2001_TABLE2</v>
      </c>
      <c r="L107" t="str">
        <f t="shared" si="64"/>
        <v>10.1002%2F1096-8644(200103)114%3A3&lt;224%3A%3AAID-AJPA1022&gt;3.0.CO;2-I_TABLE2</v>
      </c>
      <c r="M107" t="str">
        <f t="array" ref="M107">IFERROR(INDEX(FileList!$A$1:$A$100, MATCH(L107, _xlfn.TEXTBEFORE(FileList!$A$1:$A$100, ".tsv"), 0)), "notfound")</f>
        <v>notfound</v>
      </c>
      <c r="N107" s="2" t="s">
        <v>512</v>
      </c>
      <c r="Y107" s="2" t="s">
        <v>513</v>
      </c>
      <c r="Z107" s="2" t="s">
        <v>58</v>
      </c>
      <c r="AA107" s="2" t="s">
        <v>69</v>
      </c>
      <c r="AB107" s="2" t="s">
        <v>68</v>
      </c>
      <c r="AC107" s="2" t="s">
        <v>95</v>
      </c>
      <c r="AK107" s="2" t="s">
        <v>70</v>
      </c>
      <c r="AL107" s="2" t="s">
        <v>58</v>
      </c>
      <c r="AM107" s="2" t="s">
        <v>71</v>
      </c>
    </row>
    <row r="108" spans="1:39" x14ac:dyDescent="0.2">
      <c r="A108" s="2" t="s">
        <v>514</v>
      </c>
      <c r="D108" s="3" t="s">
        <v>79</v>
      </c>
      <c r="E108" t="str">
        <f t="shared" si="89"/>
        <v>4</v>
      </c>
      <c r="F108" t="str">
        <f t="shared" si="90"/>
        <v>Semendeferi_etal_2002</v>
      </c>
      <c r="G108" t="str">
        <f t="shared" si="91"/>
        <v>Semendeferi</v>
      </c>
      <c r="H108" t="str">
        <f t="shared" si="72"/>
        <v>etal</v>
      </c>
      <c r="I108" t="str">
        <f t="shared" si="92"/>
        <v>2002</v>
      </c>
      <c r="J108" t="str">
        <f t="shared" si="62"/>
        <v>10.1038/nn814</v>
      </c>
      <c r="K108" t="str">
        <f t="shared" si="63"/>
        <v>Semendeferi_etal_2002_Table1</v>
      </c>
      <c r="L108" t="str">
        <f t="shared" si="64"/>
        <v>10.1038%2Fnn814_Table1</v>
      </c>
      <c r="M108" t="str">
        <f t="array" ref="M108">IFERROR(INDEX(FileList!$A$1:$A$100, MATCH(L108, _xlfn.TEXTBEFORE(FileList!$A$1:$A$100, ".tsv"), 0)), "notfound")</f>
        <v>notfound</v>
      </c>
      <c r="N108" s="2" t="s">
        <v>515</v>
      </c>
      <c r="Y108" s="2" t="s">
        <v>516</v>
      </c>
      <c r="Z108" s="2" t="s">
        <v>58</v>
      </c>
      <c r="AA108" s="2" t="s">
        <v>69</v>
      </c>
      <c r="AB108" s="2" t="s">
        <v>68</v>
      </c>
      <c r="AC108" s="2" t="s">
        <v>95</v>
      </c>
      <c r="AK108" s="2" t="s">
        <v>70</v>
      </c>
      <c r="AL108" s="2" t="s">
        <v>58</v>
      </c>
      <c r="AM108" s="2" t="s">
        <v>71</v>
      </c>
    </row>
    <row r="109" spans="1:39" x14ac:dyDescent="0.2">
      <c r="A109" s="2" t="s">
        <v>517</v>
      </c>
      <c r="D109" s="2" t="s">
        <v>79</v>
      </c>
      <c r="E109" t="str">
        <f t="shared" si="89"/>
        <v>3</v>
      </c>
      <c r="F109" t="str">
        <f t="shared" si="90"/>
        <v>Sherwood_etal_2005</v>
      </c>
      <c r="G109" t="str">
        <f t="shared" si="91"/>
        <v>Sherwood</v>
      </c>
      <c r="H109" t="str">
        <f t="shared" si="72"/>
        <v>etal</v>
      </c>
      <c r="I109" t="str">
        <f t="shared" si="92"/>
        <v>2005</v>
      </c>
      <c r="J109" t="str">
        <f t="shared" si="62"/>
        <v>10.1016/j.jhevol.2004.10.003</v>
      </c>
      <c r="K109" t="str">
        <f t="shared" si="63"/>
        <v>Sherwood_etal_2005_Table1</v>
      </c>
      <c r="L109" t="str">
        <f t="shared" si="64"/>
        <v>10.1016%2Fj.jhevol.2004.10.003_Table1</v>
      </c>
      <c r="M109" t="str">
        <f t="array" ref="M109">IFERROR(INDEX(FileList!$A$1:$A$100, MATCH(L109, _xlfn.TEXTBEFORE(FileList!$A$1:$A$100, ".tsv"), 0)), "notfound")</f>
        <v>10.1016%2Fj.jhevol.2004.10.003_Table1.tsv</v>
      </c>
      <c r="N109" s="2" t="s">
        <v>518</v>
      </c>
      <c r="V109" s="2" t="s">
        <v>41</v>
      </c>
      <c r="Y109" s="2" t="s">
        <v>519</v>
      </c>
      <c r="Z109" s="2" t="s">
        <v>58</v>
      </c>
      <c r="AA109" s="2" t="s">
        <v>82</v>
      </c>
      <c r="AB109" s="2" t="s">
        <v>68</v>
      </c>
      <c r="AC109" s="2" t="s">
        <v>95</v>
      </c>
      <c r="AD109" s="2" t="s">
        <v>481</v>
      </c>
      <c r="AK109" s="2" t="s">
        <v>130</v>
      </c>
      <c r="AL109" s="2" t="s">
        <v>58</v>
      </c>
      <c r="AM109" s="2" t="s">
        <v>71</v>
      </c>
    </row>
    <row r="110" spans="1:39" x14ac:dyDescent="0.2">
      <c r="A110" s="2" t="s">
        <v>520</v>
      </c>
      <c r="B110" s="2" t="s">
        <v>521</v>
      </c>
      <c r="D110" s="2" t="s">
        <v>40</v>
      </c>
      <c r="E110" t="str">
        <f t="shared" si="89"/>
        <v>2</v>
      </c>
      <c r="F110" t="str">
        <f t="shared" si="90"/>
        <v>Sherwood_etal_2004_I</v>
      </c>
      <c r="G110" t="str">
        <f t="shared" si="91"/>
        <v>Sherwood</v>
      </c>
      <c r="H110" t="str">
        <f t="shared" si="72"/>
        <v>etal</v>
      </c>
      <c r="I110" t="str">
        <f t="shared" si="92"/>
        <v>2004</v>
      </c>
      <c r="J110" t="str">
        <f t="shared" si="62"/>
        <v>10.1159/000075672</v>
      </c>
      <c r="K110" t="str">
        <f t="shared" si="63"/>
        <v>Sherwood_etal_2004_I_Table4</v>
      </c>
      <c r="L110" t="str">
        <f t="shared" si="64"/>
        <v>10.1159%2F000075672_Table4</v>
      </c>
      <c r="M110" t="str">
        <f t="array" ref="M110">IFERROR(INDEX(FileList!$A$1:$A$100, MATCH(L110, _xlfn.TEXTBEFORE(FileList!$A$1:$A$100, ".tsv"), 0)), "notfound")</f>
        <v>notfound</v>
      </c>
      <c r="N110" s="2" t="s">
        <v>522</v>
      </c>
      <c r="P110" s="2" t="s">
        <v>484</v>
      </c>
      <c r="Q110" s="2" t="s">
        <v>179</v>
      </c>
      <c r="T110" s="2" t="str">
        <f>IF(S110="N", R110, "write file name")</f>
        <v>write file name</v>
      </c>
      <c r="U110" s="2" t="s">
        <v>54</v>
      </c>
      <c r="V110" s="2" t="s">
        <v>523</v>
      </c>
      <c r="Y110" s="2" t="s">
        <v>524</v>
      </c>
      <c r="Z110" s="2" t="s">
        <v>58</v>
      </c>
      <c r="AB110" s="2" t="s">
        <v>68</v>
      </c>
      <c r="AC110" s="2" t="s">
        <v>69</v>
      </c>
      <c r="AG110" s="2" t="s">
        <v>157</v>
      </c>
      <c r="AK110" s="2" t="s">
        <v>100</v>
      </c>
      <c r="AL110" s="2" t="s">
        <v>58</v>
      </c>
      <c r="AM110" s="2" t="s">
        <v>525</v>
      </c>
    </row>
    <row r="111" spans="1:39" x14ac:dyDescent="0.2">
      <c r="A111" s="2" t="s">
        <v>526</v>
      </c>
      <c r="B111" s="2"/>
      <c r="D111" s="2" t="s">
        <v>527</v>
      </c>
      <c r="E111" t="str">
        <f t="shared" ref="E111" si="93">RIGHT(A111,1)</f>
        <v>8</v>
      </c>
      <c r="F111" t="str">
        <f t="shared" ref="F111" si="94">G111 &amp; IF(H111&lt;&gt;"", "_" &amp; H111, "_") &amp; IF(I111&lt;&gt;"", "_" &amp; I111, "_") &amp; IF(B111&lt;&gt;"", "_" &amp; B111, "")</f>
        <v>Sherwood_etal_2004</v>
      </c>
      <c r="G111" t="str">
        <f t="shared" ref="G111" si="95">SUBSTITUTE(SUBSTITUTE(_xlfn.TEXTBEFORE(A111,","), "-", ""), " ", "")</f>
        <v>Sherwood</v>
      </c>
      <c r="H111" t="str">
        <f t="shared" ref="H111" si="96">_xlfn.LET(_xlpm.authorPart,_xlfn.TEXTBEFORE(A111," ("),IFERROR(IF(ISNUMBER(FIND("&amp;",_xlpm.authorPart)),IF(LEN(A111)-LEN(SUBSTITUTE(A111,",",""))&gt;=6,"etal",_xlfn.TEXTBEFORE(_xlfn.TEXTAFTER(_xlpm.authorPart,"&amp; "),",")),""),""))</f>
        <v>etal</v>
      </c>
      <c r="I111" t="str">
        <f t="shared" ref="I111" si="97">_xlfn.TEXTBEFORE(_xlfn.TEXTAFTER(A111, "("), ")")</f>
        <v>2004</v>
      </c>
      <c r="J111" t="str">
        <f t="shared" ref="J111" si="98">IF(C111&lt;&gt;"", C111, IF(C111="", _xlfn.TEXTAFTER(A111,"https://doi.org/"), C111))</f>
        <v>10.1002/ajp.20048</v>
      </c>
      <c r="K111" t="str">
        <f t="shared" ref="K111" si="99">TRIM(_xlfn.TEXTJOIN("_",FALSE,F111,(SUBSTITUTE(SUBSTITUTE(D111," ",""), "_", ""))))</f>
        <v>Sherwood_etal_2004_TABLEI</v>
      </c>
      <c r="L111" t="str">
        <f t="shared" ref="L111" si="100">IF(ISBLANK(C111),TRIM(SUBSTITUTE(SUBSTITUTE(SUBSTITUTE(_xlfn.TEXTJOIN("_", FALSE, J111, SUBSTITUTE(D111,"_", "")), "/", "%2F"), ":", "%3A"), " ", "")),TRIM(SUBSTITUTE(SUBSTITUTE(SUBSTITUTE(_xlfn.TEXTJOIN("_", FALSE, C111, SUBSTITUTE(D111,"_", "")), "/", "%2F"), ":", "%3A"), " ", "")))</f>
        <v>10.1002%2Fajp.20048_TABLEI</v>
      </c>
      <c r="M111" t="str">
        <f t="array" ref="M111">IFERROR(INDEX(FileList!$A$1:$A$100, MATCH(L111, _xlfn.TEXTBEFORE(FileList!$A$1:$A$100, ".tsv"), 0)), "notfound")</f>
        <v>notfound</v>
      </c>
      <c r="N111" s="2" t="s">
        <v>528</v>
      </c>
      <c r="Z111" s="2" t="s">
        <v>58</v>
      </c>
      <c r="AB111" s="2" t="s">
        <v>479</v>
      </c>
      <c r="AC111" s="2" t="s">
        <v>95</v>
      </c>
      <c r="AD111" s="2" t="s">
        <v>529</v>
      </c>
    </row>
    <row r="112" spans="1:39" x14ac:dyDescent="0.2">
      <c r="A112" s="2" t="s">
        <v>520</v>
      </c>
      <c r="B112" s="2" t="s">
        <v>521</v>
      </c>
      <c r="D112" s="2" t="s">
        <v>372</v>
      </c>
      <c r="E112" t="str">
        <f t="shared" si="89"/>
        <v>2</v>
      </c>
      <c r="F112" t="str">
        <f t="shared" si="90"/>
        <v>Sherwood_etal_2004_I</v>
      </c>
      <c r="G112" t="str">
        <f t="shared" si="91"/>
        <v>Sherwood</v>
      </c>
      <c r="H112" t="str">
        <f t="shared" si="72"/>
        <v>etal</v>
      </c>
      <c r="I112" t="str">
        <f t="shared" si="92"/>
        <v>2004</v>
      </c>
      <c r="J112" t="str">
        <f t="shared" si="62"/>
        <v>10.1159/000075672</v>
      </c>
      <c r="K112" t="str">
        <f t="shared" si="63"/>
        <v>Sherwood_etal_2004_I_Table5</v>
      </c>
      <c r="L112" t="str">
        <f t="shared" si="64"/>
        <v>10.1159%2F000075672_Table5</v>
      </c>
      <c r="M112" t="str">
        <f t="array" ref="M112">IFERROR(INDEX(FileList!$A$1:$A$100, MATCH(L112, _xlfn.TEXTBEFORE(FileList!$A$1:$A$100, ".tsv"), 0)), "notfound")</f>
        <v>notfound</v>
      </c>
      <c r="N112" s="2" t="s">
        <v>530</v>
      </c>
      <c r="P112" s="2" t="s">
        <v>484</v>
      </c>
      <c r="Q112" s="2" t="s">
        <v>179</v>
      </c>
      <c r="T112" s="2" t="str">
        <f>IF(S112="N", R112, "write file name")</f>
        <v>write file name</v>
      </c>
      <c r="U112" s="2" t="s">
        <v>54</v>
      </c>
      <c r="V112" s="2" t="s">
        <v>523</v>
      </c>
      <c r="Y112" s="2" t="s">
        <v>524</v>
      </c>
      <c r="Z112" s="2" t="s">
        <v>58</v>
      </c>
      <c r="AB112" s="2" t="s">
        <v>68</v>
      </c>
      <c r="AC112" s="2" t="s">
        <v>95</v>
      </c>
      <c r="AD112" s="2" t="s">
        <v>481</v>
      </c>
      <c r="AG112" s="2" t="s">
        <v>157</v>
      </c>
      <c r="AK112" s="2" t="s">
        <v>100</v>
      </c>
      <c r="AL112" s="2" t="s">
        <v>58</v>
      </c>
      <c r="AM112" s="2" t="s">
        <v>525</v>
      </c>
    </row>
    <row r="113" spans="1:39" x14ac:dyDescent="0.2">
      <c r="A113" s="2" t="s">
        <v>531</v>
      </c>
      <c r="C113" s="2" t="s">
        <v>532</v>
      </c>
      <c r="D113" s="2" t="s">
        <v>533</v>
      </c>
      <c r="E113" t="str">
        <f t="shared" si="89"/>
        <v>9</v>
      </c>
      <c r="F113" t="str">
        <f t="shared" si="90"/>
        <v>Smaers_etal_2013</v>
      </c>
      <c r="G113" t="str">
        <f t="shared" si="91"/>
        <v>Smaers</v>
      </c>
      <c r="H113" t="str">
        <f t="shared" si="72"/>
        <v>etal</v>
      </c>
      <c r="I113" t="str">
        <f t="shared" si="92"/>
        <v>2013</v>
      </c>
      <c r="J113" t="str">
        <f t="shared" ref="J113:J138" si="101">IF(C113&lt;&gt;"", C113, IF(C113="", _xlfn.TEXTAFTER(A113,"https://doi.org/"), C113))</f>
        <v>10.1098/rspb.2013.0269</v>
      </c>
      <c r="K113" t="str">
        <f t="shared" ref="K113:K138" si="102">TRIM(_xlfn.TEXTJOIN("_",FALSE,F113,(SUBSTITUTE(SUBSTITUTE(D113," ",""), "_", ""))))</f>
        <v>Smaers_etal_2013_Supplement</v>
      </c>
      <c r="L113" t="str">
        <f t="shared" ref="L113:L138" si="103">IF(ISBLANK(C113),TRIM(SUBSTITUTE(SUBSTITUTE(SUBSTITUTE(_xlfn.TEXTJOIN("_", FALSE, J113, SUBSTITUTE(D113,"_", "")), "/", "%2F"), ":", "%3A"), " ", "")),TRIM(SUBSTITUTE(SUBSTITUTE(SUBSTITUTE(_xlfn.TEXTJOIN("_", FALSE, C113, SUBSTITUTE(D113,"_", "")), "/", "%2F"), ":", "%3A"), " ", "")))</f>
        <v>10.1098%2Frspb.2013.0269_Supplement</v>
      </c>
      <c r="M113" t="str">
        <f t="array" ref="M113">IFERROR(INDEX(FileList!$A$1:$A$100, MATCH(L113, _xlfn.TEXTBEFORE(FileList!$A$1:$A$100, ".tsv"), 0)), "notfound")</f>
        <v>notfound</v>
      </c>
      <c r="N113" s="2" t="s">
        <v>534</v>
      </c>
      <c r="Y113" s="2" t="s">
        <v>535</v>
      </c>
      <c r="AB113" s="2" t="s">
        <v>68</v>
      </c>
      <c r="AC113" s="2" t="s">
        <v>95</v>
      </c>
      <c r="AK113" s="2" t="s">
        <v>536</v>
      </c>
      <c r="AL113" s="2" t="s">
        <v>340</v>
      </c>
      <c r="AM113" s="2" t="s">
        <v>71</v>
      </c>
    </row>
    <row r="114" spans="1:39" x14ac:dyDescent="0.2">
      <c r="A114" s="2" t="s">
        <v>537</v>
      </c>
      <c r="D114" s="2" t="s">
        <v>79</v>
      </c>
      <c r="E114" t="str">
        <f t="shared" si="89"/>
        <v>0</v>
      </c>
      <c r="F114" t="str">
        <f t="shared" si="90"/>
        <v>Smaers_etal_2017</v>
      </c>
      <c r="G114" t="str">
        <f t="shared" si="91"/>
        <v>Smaers</v>
      </c>
      <c r="H114" t="str">
        <f t="shared" si="72"/>
        <v>etal</v>
      </c>
      <c r="I114" t="str">
        <f t="shared" si="92"/>
        <v>2017</v>
      </c>
      <c r="J114" t="str">
        <f t="shared" si="101"/>
        <v>10.1016/j.cub.2017.01.020</v>
      </c>
      <c r="K114" t="str">
        <f t="shared" si="102"/>
        <v>Smaers_etal_2017_Table1</v>
      </c>
      <c r="L114" t="str">
        <f t="shared" si="103"/>
        <v>10.1016%2Fj.cub.2017.01.020_Table1</v>
      </c>
      <c r="M114" t="str">
        <f t="array" ref="M114">IFERROR(INDEX(FileList!$A$1:$A$100, MATCH(L114, _xlfn.TEXTBEFORE(FileList!$A$1:$A$100, ".tsv"), 0)), "notfound")</f>
        <v>notfound</v>
      </c>
      <c r="N114" s="2" t="s">
        <v>538</v>
      </c>
      <c r="V114" s="2" t="s">
        <v>41</v>
      </c>
      <c r="Y114" s="2" t="s">
        <v>539</v>
      </c>
      <c r="Z114" s="2" t="s">
        <v>540</v>
      </c>
      <c r="AA114" s="2" t="s">
        <v>541</v>
      </c>
      <c r="AB114" s="2" t="s">
        <v>68</v>
      </c>
      <c r="AC114" s="2" t="s">
        <v>95</v>
      </c>
      <c r="AD114" s="2" t="s">
        <v>481</v>
      </c>
      <c r="AH114" s="2" t="s">
        <v>542</v>
      </c>
      <c r="AK114" s="2" t="s">
        <v>100</v>
      </c>
      <c r="AL114" s="2" t="s">
        <v>340</v>
      </c>
      <c r="AM114" s="2" t="s">
        <v>71</v>
      </c>
    </row>
    <row r="115" spans="1:39" x14ac:dyDescent="0.2">
      <c r="A115" s="2" t="s">
        <v>543</v>
      </c>
      <c r="D115" s="2" t="s">
        <v>544</v>
      </c>
      <c r="E115" t="str">
        <f t="shared" si="89"/>
        <v>1</v>
      </c>
      <c r="F115" t="str">
        <f t="shared" si="90"/>
        <v>Smaers_etal_2011</v>
      </c>
      <c r="G115" t="str">
        <f t="shared" si="91"/>
        <v>Smaers</v>
      </c>
      <c r="H115" t="str">
        <f t="shared" si="72"/>
        <v>etal</v>
      </c>
      <c r="I115" t="str">
        <f t="shared" si="92"/>
        <v>2011</v>
      </c>
      <c r="J115" t="str">
        <f t="shared" si="101"/>
        <v>10.1159/000323671</v>
      </c>
      <c r="K115" t="str">
        <f t="shared" si="102"/>
        <v>Smaers_etal_2011_SupplementaryTable1</v>
      </c>
      <c r="L115" t="str">
        <f t="shared" si="103"/>
        <v>10.1159%2F000323671_SupplementaryTable1</v>
      </c>
      <c r="M115" t="str">
        <f t="array" ref="M115">IFERROR(INDEX(FileList!$A$1:$A$100, MATCH(L115, _xlfn.TEXTBEFORE(FileList!$A$1:$A$100, ".tsv"), 0)), "notfound")</f>
        <v>10.1159%2F000323671_SupplementaryTable1.tsv</v>
      </c>
      <c r="Q115" s="2" t="s">
        <v>111</v>
      </c>
      <c r="Y115" s="2" t="s">
        <v>545</v>
      </c>
      <c r="AB115" s="2" t="s">
        <v>68</v>
      </c>
      <c r="AC115" s="2" t="s">
        <v>95</v>
      </c>
      <c r="AD115" s="2" t="s">
        <v>481</v>
      </c>
      <c r="AK115" s="2" t="s">
        <v>100</v>
      </c>
      <c r="AL115" s="2" t="s">
        <v>340</v>
      </c>
      <c r="AM115" s="2" t="s">
        <v>71</v>
      </c>
    </row>
    <row r="116" spans="1:39" x14ac:dyDescent="0.2">
      <c r="A116" s="2" t="s">
        <v>543</v>
      </c>
      <c r="D116" s="2" t="s">
        <v>546</v>
      </c>
      <c r="E116" t="str">
        <f t="shared" si="89"/>
        <v>1</v>
      </c>
      <c r="F116" t="str">
        <f t="shared" si="90"/>
        <v>Smaers_etal_2011</v>
      </c>
      <c r="G116" t="str">
        <f t="shared" si="91"/>
        <v>Smaers</v>
      </c>
      <c r="H116" t="str">
        <f t="shared" si="72"/>
        <v>etal</v>
      </c>
      <c r="I116" t="str">
        <f t="shared" si="92"/>
        <v>2011</v>
      </c>
      <c r="J116" t="str">
        <f t="shared" si="101"/>
        <v>10.1159/000323671</v>
      </c>
      <c r="K116" t="str">
        <f t="shared" si="102"/>
        <v>Smaers_etal_2011_SupplementaryTable2</v>
      </c>
      <c r="L116" t="str">
        <f t="shared" si="103"/>
        <v>10.1159%2F000323671_SupplementaryTable2</v>
      </c>
      <c r="M116" t="str">
        <f t="array" ref="M116">IFERROR(INDEX(FileList!$A$1:$A$100, MATCH(L116, _xlfn.TEXTBEFORE(FileList!$A$1:$A$100, ".tsv"), 0)), "notfound")</f>
        <v>10.1159%2F000323671_SupplementaryTable2.tsv</v>
      </c>
      <c r="Q116" s="2" t="s">
        <v>111</v>
      </c>
      <c r="Y116" s="2" t="s">
        <v>545</v>
      </c>
      <c r="AB116" s="2" t="s">
        <v>68</v>
      </c>
      <c r="AC116" s="2" t="s">
        <v>95</v>
      </c>
      <c r="AD116" s="2" t="s">
        <v>481</v>
      </c>
      <c r="AK116" s="2" t="s">
        <v>100</v>
      </c>
      <c r="AL116" s="2" t="s">
        <v>340</v>
      </c>
      <c r="AM116" s="2" t="s">
        <v>71</v>
      </c>
    </row>
    <row r="117" spans="1:39" x14ac:dyDescent="0.2">
      <c r="A117" s="2" t="s">
        <v>547</v>
      </c>
      <c r="C117" s="2" t="s">
        <v>548</v>
      </c>
      <c r="D117" s="2" t="s">
        <v>549</v>
      </c>
      <c r="E117" t="str">
        <f t="shared" si="89"/>
        <v>6</v>
      </c>
      <c r="F117" t="str">
        <f t="shared" si="90"/>
        <v>Smaers_etal_2018</v>
      </c>
      <c r="G117" t="str">
        <f t="shared" si="91"/>
        <v>Smaers</v>
      </c>
      <c r="H117" t="str">
        <f t="shared" si="72"/>
        <v>etal</v>
      </c>
      <c r="I117" t="str">
        <f t="shared" si="92"/>
        <v>2018</v>
      </c>
      <c r="J117" t="str">
        <f t="shared" si="101"/>
        <v>10.7554/eLife.35696</v>
      </c>
      <c r="K117" t="str">
        <f t="shared" si="102"/>
        <v>Smaers_etal_2018_Figure2-data1</v>
      </c>
      <c r="L117" t="str">
        <f t="shared" si="103"/>
        <v>10.7554%2FeLife.35696_Figure2-data1</v>
      </c>
      <c r="M117" t="str">
        <f t="array" ref="M117">IFERROR(INDEX(FileList!$A$1:$A$100, MATCH(L117, _xlfn.TEXTBEFORE(FileList!$A$1:$A$100, ".tsv"), 0)), "notfound")</f>
        <v>notfound</v>
      </c>
      <c r="N117" s="2" t="s">
        <v>550</v>
      </c>
      <c r="Y117" s="2" t="s">
        <v>551</v>
      </c>
      <c r="AB117" s="2" t="s">
        <v>68</v>
      </c>
      <c r="AC117" s="2" t="s">
        <v>95</v>
      </c>
      <c r="AD117" s="2" t="s">
        <v>481</v>
      </c>
      <c r="AK117" s="2" t="s">
        <v>120</v>
      </c>
      <c r="AL117" s="2" t="s">
        <v>340</v>
      </c>
      <c r="AM117" s="2" t="s">
        <v>71</v>
      </c>
    </row>
    <row r="118" spans="1:39" x14ac:dyDescent="0.2">
      <c r="A118" s="2" t="s">
        <v>552</v>
      </c>
      <c r="C118" s="2" t="s">
        <v>553</v>
      </c>
      <c r="D118" s="2" t="s">
        <v>47</v>
      </c>
      <c r="E118" t="str">
        <f t="shared" si="89"/>
        <v>s</v>
      </c>
      <c r="F118" t="str">
        <f t="shared" si="90"/>
        <v>Stephan_etal_1970</v>
      </c>
      <c r="G118" t="str">
        <f t="shared" si="91"/>
        <v>Stephan</v>
      </c>
      <c r="H118" t="str">
        <f t="shared" si="72"/>
        <v>etal</v>
      </c>
      <c r="I118" t="str">
        <f t="shared" si="92"/>
        <v>1970</v>
      </c>
      <c r="J118" t="str">
        <f t="shared" si="101"/>
        <v>ISBN: 0390672505</v>
      </c>
      <c r="K118" t="str">
        <f t="shared" si="102"/>
        <v>Stephan_etal_1970_TABLE1</v>
      </c>
      <c r="L118" t="str">
        <f t="shared" si="103"/>
        <v>ISBN%3A0390672505_TABLE1</v>
      </c>
      <c r="M118" t="str">
        <f t="array" ref="M118">IFERROR(INDEX(FileList!$A$1:$A$100, MATCH(L118, _xlfn.TEXTBEFORE(FileList!$A$1:$A$100, ".tsv"), 0)), "notfound")</f>
        <v>notfound</v>
      </c>
      <c r="N118" s="2" t="s">
        <v>554</v>
      </c>
      <c r="AB118" s="2" t="s">
        <v>68</v>
      </c>
      <c r="AC118" s="2" t="s">
        <v>95</v>
      </c>
      <c r="AD118" s="2" t="s">
        <v>82</v>
      </c>
      <c r="AK118" s="2" t="s">
        <v>83</v>
      </c>
      <c r="AL118" s="2" t="s">
        <v>58</v>
      </c>
      <c r="AM118" s="2" t="s">
        <v>71</v>
      </c>
    </row>
    <row r="119" spans="1:39" x14ac:dyDescent="0.2">
      <c r="A119" s="2" t="s">
        <v>552</v>
      </c>
      <c r="C119" s="2" t="s">
        <v>553</v>
      </c>
      <c r="D119" s="2" t="s">
        <v>283</v>
      </c>
      <c r="E119" t="str">
        <f t="shared" si="89"/>
        <v>s</v>
      </c>
      <c r="F119" t="str">
        <f t="shared" si="90"/>
        <v>Stephan_etal_1970</v>
      </c>
      <c r="G119" t="str">
        <f t="shared" si="91"/>
        <v>Stephan</v>
      </c>
      <c r="H119" t="str">
        <f t="shared" si="72"/>
        <v>etal</v>
      </c>
      <c r="I119" t="str">
        <f t="shared" si="92"/>
        <v>1970</v>
      </c>
      <c r="J119" t="str">
        <f t="shared" si="101"/>
        <v>ISBN: 0390672505</v>
      </c>
      <c r="K119" t="str">
        <f t="shared" si="102"/>
        <v>Stephan_etal_1970_TABLE2</v>
      </c>
      <c r="L119" t="str">
        <f t="shared" si="103"/>
        <v>ISBN%3A0390672505_TABLE2</v>
      </c>
      <c r="M119" t="str">
        <f t="array" ref="M119">IFERROR(INDEX(FileList!$A$1:$A$100, MATCH(L119, _xlfn.TEXTBEFORE(FileList!$A$1:$A$100, ".tsv"), 0)), "notfound")</f>
        <v>notfound</v>
      </c>
      <c r="N119" s="2" t="s">
        <v>555</v>
      </c>
      <c r="AB119" s="2" t="s">
        <v>68</v>
      </c>
      <c r="AC119" s="2" t="s">
        <v>95</v>
      </c>
      <c r="AD119" s="2" t="s">
        <v>82</v>
      </c>
      <c r="AK119" s="2" t="s">
        <v>83</v>
      </c>
      <c r="AL119" s="2" t="s">
        <v>58</v>
      </c>
      <c r="AM119" s="2" t="s">
        <v>71</v>
      </c>
    </row>
    <row r="120" spans="1:39" x14ac:dyDescent="0.2">
      <c r="A120" s="2" t="s">
        <v>552</v>
      </c>
      <c r="C120" s="2" t="s">
        <v>553</v>
      </c>
      <c r="D120" s="2" t="s">
        <v>556</v>
      </c>
      <c r="E120" t="str">
        <f t="shared" si="89"/>
        <v>s</v>
      </c>
      <c r="F120" t="str">
        <f t="shared" si="90"/>
        <v>Stephan_etal_1970</v>
      </c>
      <c r="G120" t="str">
        <f t="shared" si="91"/>
        <v>Stephan</v>
      </c>
      <c r="H120" t="str">
        <f t="shared" si="72"/>
        <v>etal</v>
      </c>
      <c r="I120" t="str">
        <f t="shared" si="92"/>
        <v>1970</v>
      </c>
      <c r="J120" t="str">
        <f t="shared" si="101"/>
        <v>ISBN: 0390672505</v>
      </c>
      <c r="K120" t="str">
        <f t="shared" si="102"/>
        <v>Stephan_etal_1970_TABLE3</v>
      </c>
      <c r="L120" t="str">
        <f t="shared" si="103"/>
        <v>ISBN%3A0390672505_TABLE3</v>
      </c>
      <c r="M120" t="str">
        <f t="array" ref="M120">IFERROR(INDEX(FileList!$A$1:$A$100, MATCH(L120, _xlfn.TEXTBEFORE(FileList!$A$1:$A$100, ".tsv"), 0)), "notfound")</f>
        <v>notfound</v>
      </c>
      <c r="N120" s="2" t="s">
        <v>557</v>
      </c>
      <c r="AB120" s="2" t="s">
        <v>68</v>
      </c>
      <c r="AC120" s="2" t="s">
        <v>95</v>
      </c>
      <c r="AD120" s="2" t="s">
        <v>82</v>
      </c>
      <c r="AK120" s="2" t="s">
        <v>83</v>
      </c>
      <c r="AL120" s="2" t="s">
        <v>58</v>
      </c>
      <c r="AM120" s="2" t="s">
        <v>71</v>
      </c>
    </row>
    <row r="121" spans="1:39" x14ac:dyDescent="0.2">
      <c r="A121" s="2" t="s">
        <v>552</v>
      </c>
      <c r="C121" s="2" t="s">
        <v>553</v>
      </c>
      <c r="D121" s="2" t="s">
        <v>558</v>
      </c>
      <c r="E121" t="str">
        <f t="shared" si="89"/>
        <v>s</v>
      </c>
      <c r="F121" t="str">
        <f t="shared" si="90"/>
        <v>Stephan_etal_1970</v>
      </c>
      <c r="G121" t="str">
        <f t="shared" si="91"/>
        <v>Stephan</v>
      </c>
      <c r="H121" t="str">
        <f t="shared" si="72"/>
        <v>etal</v>
      </c>
      <c r="I121" t="str">
        <f t="shared" si="92"/>
        <v>1970</v>
      </c>
      <c r="J121" t="str">
        <f t="shared" si="101"/>
        <v>ISBN: 0390672505</v>
      </c>
      <c r="K121" t="str">
        <f t="shared" si="102"/>
        <v>Stephan_etal_1970_TABLE4</v>
      </c>
      <c r="L121" t="str">
        <f t="shared" si="103"/>
        <v>ISBN%3A0390672505_TABLE4</v>
      </c>
      <c r="M121" t="str">
        <f t="array" ref="M121">IFERROR(INDEX(FileList!$A$1:$A$100, MATCH(L121, _xlfn.TEXTBEFORE(FileList!$A$1:$A$100, ".tsv"), 0)), "notfound")</f>
        <v>notfound</v>
      </c>
      <c r="N121" s="2" t="s">
        <v>559</v>
      </c>
      <c r="AB121" s="2" t="s">
        <v>68</v>
      </c>
      <c r="AC121" s="2" t="s">
        <v>95</v>
      </c>
      <c r="AD121" s="2" t="s">
        <v>82</v>
      </c>
      <c r="AK121" s="2" t="s">
        <v>83</v>
      </c>
      <c r="AL121" s="2" t="s">
        <v>58</v>
      </c>
      <c r="AM121" s="2" t="s">
        <v>71</v>
      </c>
    </row>
    <row r="122" spans="1:39" x14ac:dyDescent="0.2">
      <c r="A122" s="2" t="s">
        <v>552</v>
      </c>
      <c r="C122" s="2" t="s">
        <v>553</v>
      </c>
      <c r="D122" s="2" t="s">
        <v>560</v>
      </c>
      <c r="E122" t="str">
        <f t="shared" si="89"/>
        <v>s</v>
      </c>
      <c r="F122" t="str">
        <f t="shared" si="90"/>
        <v>Stephan_etal_1970</v>
      </c>
      <c r="G122" t="str">
        <f t="shared" si="91"/>
        <v>Stephan</v>
      </c>
      <c r="H122" t="str">
        <f t="shared" si="72"/>
        <v>etal</v>
      </c>
      <c r="I122" t="str">
        <f t="shared" si="92"/>
        <v>1970</v>
      </c>
      <c r="J122" t="str">
        <f t="shared" si="101"/>
        <v>ISBN: 0390672505</v>
      </c>
      <c r="K122" t="str">
        <f t="shared" si="102"/>
        <v>Stephan_etal_1970_TABLE5</v>
      </c>
      <c r="L122" t="str">
        <f t="shared" si="103"/>
        <v>ISBN%3A0390672505_TABLE5</v>
      </c>
      <c r="M122" t="str">
        <f t="array" ref="M122">IFERROR(INDEX(FileList!$A$1:$A$100, MATCH(L122, _xlfn.TEXTBEFORE(FileList!$A$1:$A$100, ".tsv"), 0)), "notfound")</f>
        <v>notfound</v>
      </c>
      <c r="N122" s="2" t="s">
        <v>561</v>
      </c>
      <c r="AB122" s="2" t="s">
        <v>68</v>
      </c>
      <c r="AC122" s="2" t="s">
        <v>95</v>
      </c>
      <c r="AD122" s="2" t="s">
        <v>82</v>
      </c>
      <c r="AK122" s="2" t="s">
        <v>83</v>
      </c>
      <c r="AL122" s="2" t="s">
        <v>58</v>
      </c>
      <c r="AM122" s="2" t="s">
        <v>71</v>
      </c>
    </row>
    <row r="123" spans="1:39" x14ac:dyDescent="0.2">
      <c r="A123" s="2" t="s">
        <v>552</v>
      </c>
      <c r="C123" s="2" t="s">
        <v>553</v>
      </c>
      <c r="D123" s="2" t="s">
        <v>562</v>
      </c>
      <c r="E123" t="str">
        <f t="shared" ref="E123" si="104">RIGHT(A123,1)</f>
        <v>s</v>
      </c>
      <c r="F123" t="str">
        <f t="shared" ref="F123" si="105">G123 &amp; IF(H123&lt;&gt;"", "_" &amp; H123, "_") &amp; IF(I123&lt;&gt;"", "_" &amp; I123, "_") &amp; IF(B123&lt;&gt;"", "_" &amp; B123, "")</f>
        <v>Stephan_etal_1970</v>
      </c>
      <c r="G123" t="str">
        <f t="shared" ref="G123" si="106">SUBSTITUTE(SUBSTITUTE(_xlfn.TEXTBEFORE(A123,","), "-", ""), " ", "")</f>
        <v>Stephan</v>
      </c>
      <c r="H123" t="str">
        <f t="shared" ref="H123" si="107">_xlfn.LET(_xlpm.authorPart,_xlfn.TEXTBEFORE(A123," ("),IFERROR(IF(ISNUMBER(FIND("&amp;",_xlpm.authorPart)),IF(LEN(A123)-LEN(SUBSTITUTE(A123,",",""))&gt;=6,"etal",_xlfn.TEXTBEFORE(_xlfn.TEXTAFTER(_xlpm.authorPart,"&amp; "),",")),""),""))</f>
        <v>etal</v>
      </c>
      <c r="I123" t="str">
        <f t="shared" ref="I123" si="108">_xlfn.TEXTBEFORE(_xlfn.TEXTAFTER(A123, "("), ")")</f>
        <v>1970</v>
      </c>
      <c r="J123" t="str">
        <f t="shared" ref="J123" si="109">IF(C123&lt;&gt;"", C123, IF(C123="", _xlfn.TEXTAFTER(A123,"https://doi.org/"), C123))</f>
        <v>ISBN: 0390672505</v>
      </c>
      <c r="K123" t="str">
        <f t="shared" ref="K123" si="110">TRIM(_xlfn.TEXTJOIN("_",FALSE,F123,(SUBSTITUTE(SUBSTITUTE(D123," ",""), "_", ""))))</f>
        <v>Stephan_etal_1970_TABLE6</v>
      </c>
      <c r="L123" t="str">
        <f t="shared" ref="L123" si="111">IF(ISBLANK(C123),TRIM(SUBSTITUTE(SUBSTITUTE(SUBSTITUTE(_xlfn.TEXTJOIN("_", FALSE, J123, SUBSTITUTE(D123,"_", "")), "/", "%2F"), ":", "%3A"), " ", "")),TRIM(SUBSTITUTE(SUBSTITUTE(SUBSTITUTE(_xlfn.TEXTJOIN("_", FALSE, C123, SUBSTITUTE(D123,"_", "")), "/", "%2F"), ":", "%3A"), " ", "")))</f>
        <v>ISBN%3A0390672505_TABLE6</v>
      </c>
      <c r="M123" t="str">
        <f t="array" ref="M123">IFERROR(INDEX(FileList!$A$1:$A$100, MATCH(L123, _xlfn.TEXTBEFORE(FileList!$A$1:$A$100, ".tsv"), 0)), "notfound")</f>
        <v>notfound</v>
      </c>
      <c r="N123" s="2" t="s">
        <v>563</v>
      </c>
      <c r="AB123" s="2" t="s">
        <v>68</v>
      </c>
      <c r="AC123" s="2" t="s">
        <v>95</v>
      </c>
      <c r="AD123" s="2" t="s">
        <v>82</v>
      </c>
      <c r="AK123" s="2" t="s">
        <v>83</v>
      </c>
      <c r="AL123" s="2" t="s">
        <v>58</v>
      </c>
      <c r="AM123" s="2" t="s">
        <v>71</v>
      </c>
    </row>
    <row r="124" spans="1:39" x14ac:dyDescent="0.2">
      <c r="A124" s="2" t="s">
        <v>552</v>
      </c>
      <c r="C124" s="2" t="s">
        <v>553</v>
      </c>
      <c r="D124" s="2" t="s">
        <v>737</v>
      </c>
      <c r="E124" t="str">
        <f t="shared" ref="E124" si="112">RIGHT(A124,1)</f>
        <v>s</v>
      </c>
      <c r="F124" t="str">
        <f t="shared" ref="F124" si="113">G124 &amp; IF(H124&lt;&gt;"", "_" &amp; H124, "_") &amp; IF(I124&lt;&gt;"", "_" &amp; I124, "_") &amp; IF(B124&lt;&gt;"", "_" &amp; B124, "")</f>
        <v>Stephan_etal_1970</v>
      </c>
      <c r="G124" t="str">
        <f t="shared" ref="G124" si="114">SUBSTITUTE(SUBSTITUTE(_xlfn.TEXTBEFORE(A124,","), "-", ""), " ", "")</f>
        <v>Stephan</v>
      </c>
      <c r="H124" t="str">
        <f t="shared" ref="H124" si="115">_xlfn.LET(_xlpm.authorPart,_xlfn.TEXTBEFORE(A124," ("),IFERROR(IF(ISNUMBER(FIND("&amp;",_xlpm.authorPart)),IF(LEN(A124)-LEN(SUBSTITUTE(A124,",",""))&gt;=6,"etal",_xlfn.TEXTBEFORE(_xlfn.TEXTAFTER(_xlpm.authorPart,"&amp; "),",")),""),""))</f>
        <v>etal</v>
      </c>
      <c r="I124" t="str">
        <f t="shared" ref="I124" si="116">_xlfn.TEXTBEFORE(_xlfn.TEXTAFTER(A124, "("), ")")</f>
        <v>1970</v>
      </c>
      <c r="J124" t="str">
        <f t="shared" ref="J124" si="117">IF(C124&lt;&gt;"", C124, IF(C124="", _xlfn.TEXTAFTER(A124,"https://doi.org/"), C124))</f>
        <v>ISBN: 0390672505</v>
      </c>
      <c r="K124" t="str">
        <f t="shared" ref="K124" si="118">TRIM(_xlfn.TEXTJOIN("_",FALSE,F124,(SUBSTITUTE(SUBSTITUTE(D124," ",""), "_", ""))))</f>
        <v>Stephan_etal_1970_Tables1-6</v>
      </c>
      <c r="L124" t="str">
        <f t="shared" ref="L124" si="119">IF(ISBLANK(C124),TRIM(SUBSTITUTE(SUBSTITUTE(SUBSTITUTE(_xlfn.TEXTJOIN("_", FALSE, J124, SUBSTITUTE(D124,"_", "")), "/", "%2F"), ":", "%3A"), " ", "")),TRIM(SUBSTITUTE(SUBSTITUTE(SUBSTITUTE(_xlfn.TEXTJOIN("_", FALSE, C124, SUBSTITUTE(D124,"_", "")), "/", "%2F"), ":", "%3A"), " ", "")))</f>
        <v>ISBN%3A0390672505_Tables1-6</v>
      </c>
      <c r="M124" t="str">
        <f t="array" ref="M124">IFERROR(INDEX(FileList!$A$1:$A$100, MATCH(L124, _xlfn.TEXTBEFORE(FileList!$A$1:$A$100, ".tsv"), 0)), "notfound")</f>
        <v>notfound</v>
      </c>
      <c r="N124" s="2" t="str">
        <f>_xlfn.TEXTJOIN("; ",,N118,N119,N120,N121,N122,N123)</f>
        <v>TABLE 1 Data on body and brain weight (in g and mg) and volume of the fundemental brain sections (in mm3) in Insectivores; TABLE 2 Data on body and brain weight (in g and mg) and volume of the fundemental brain sections (in mm3) in Prosimians; TABLE 3 Data on body and brain weight (in g and mg) and volume of the fundemental brain sections (in mm3) in Simians; TABLE 4 Volume of the various components of the telencephalon in Insectivores (in mm3); TABLE 5 Volume of the various components of the telencephalon in Prosimians (in mm3); TABLE 6 Volume of the various components of the telencephalon in Simians (in mm3)</v>
      </c>
      <c r="AB124" s="2" t="s">
        <v>68</v>
      </c>
      <c r="AC124" s="2" t="s">
        <v>95</v>
      </c>
      <c r="AD124" s="2" t="s">
        <v>82</v>
      </c>
      <c r="AK124" s="2" t="s">
        <v>83</v>
      </c>
      <c r="AL124" s="2" t="s">
        <v>58</v>
      </c>
      <c r="AM124" s="2" t="s">
        <v>71</v>
      </c>
    </row>
    <row r="125" spans="1:39" x14ac:dyDescent="0.2">
      <c r="A125" s="2" t="s">
        <v>564</v>
      </c>
      <c r="C125" s="2" t="s">
        <v>565</v>
      </c>
      <c r="D125" s="2" t="s">
        <v>79</v>
      </c>
      <c r="E125" t="str">
        <f t="shared" si="89"/>
        <v>3</v>
      </c>
      <c r="F125" t="str">
        <f t="shared" si="90"/>
        <v>Stephan_etal_1982</v>
      </c>
      <c r="G125" t="str">
        <f t="shared" si="91"/>
        <v>Stephan</v>
      </c>
      <c r="H125" t="str">
        <f t="shared" si="72"/>
        <v>etal</v>
      </c>
      <c r="I125" t="str">
        <f t="shared" si="92"/>
        <v>1982</v>
      </c>
      <c r="J125" t="str">
        <f t="shared" si="101"/>
        <v>PMID:7161483</v>
      </c>
      <c r="K125" t="str">
        <f t="shared" si="102"/>
        <v>Stephan_etal_1982_Table1</v>
      </c>
      <c r="L125" t="str">
        <f t="shared" si="103"/>
        <v>PMID%3A7161483_Table1</v>
      </c>
      <c r="M125" t="str">
        <f t="array" ref="M125">IFERROR(INDEX(FileList!$A$1:$A$100, MATCH(L125, _xlfn.TEXTBEFORE(FileList!$A$1:$A$100, ".tsv"), 0)), "notfound")</f>
        <v>PMID%3A7161483_Table1.tsv</v>
      </c>
      <c r="N125" s="2" t="s">
        <v>566</v>
      </c>
      <c r="V125" s="2" t="s">
        <v>41</v>
      </c>
      <c r="W125" s="2" t="s">
        <v>86</v>
      </c>
      <c r="Y125" s="2" t="s">
        <v>567</v>
      </c>
      <c r="Z125" s="2" t="s">
        <v>58</v>
      </c>
      <c r="AA125" s="2" t="s">
        <v>82</v>
      </c>
      <c r="AB125" s="2" t="s">
        <v>68</v>
      </c>
      <c r="AC125" s="2" t="s">
        <v>95</v>
      </c>
      <c r="AD125" s="2" t="s">
        <v>82</v>
      </c>
      <c r="AK125" s="2" t="s">
        <v>83</v>
      </c>
      <c r="AL125" s="2" t="s">
        <v>58</v>
      </c>
      <c r="AM125" s="2" t="s">
        <v>71</v>
      </c>
    </row>
    <row r="126" spans="1:39" x14ac:dyDescent="0.2">
      <c r="A126" s="2" t="s">
        <v>568</v>
      </c>
      <c r="C126" s="2" t="s">
        <v>569</v>
      </c>
      <c r="D126" s="2" t="s">
        <v>79</v>
      </c>
      <c r="E126" t="str">
        <f t="shared" si="89"/>
        <v>4</v>
      </c>
      <c r="F126" t="str">
        <f t="shared" si="90"/>
        <v>Stephan_etal_1984</v>
      </c>
      <c r="G126" t="str">
        <f t="shared" si="91"/>
        <v>Stephan</v>
      </c>
      <c r="H126" t="str">
        <f t="shared" si="72"/>
        <v>etal</v>
      </c>
      <c r="I126" t="str">
        <f t="shared" si="92"/>
        <v>1984</v>
      </c>
      <c r="J126" t="str">
        <f t="shared" si="101"/>
        <v>PMID:6481154</v>
      </c>
      <c r="K126" t="str">
        <f t="shared" si="102"/>
        <v>Stephan_etal_1984_Table1</v>
      </c>
      <c r="L126" t="str">
        <f t="shared" si="103"/>
        <v>PMID%3A6481154_Table1</v>
      </c>
      <c r="M126" t="str">
        <f t="array" ref="M126">IFERROR(INDEX(FileList!$A$1:$A$100, MATCH(L126, _xlfn.TEXTBEFORE(FileList!$A$1:$A$100, ".tsv"), 0)), "notfound")</f>
        <v>PMID%3A6481154_Table1.tsv</v>
      </c>
      <c r="N126" s="2" t="s">
        <v>570</v>
      </c>
      <c r="V126" s="2" t="s">
        <v>41</v>
      </c>
      <c r="W126" s="2" t="s">
        <v>86</v>
      </c>
      <c r="Y126" s="2" t="s">
        <v>571</v>
      </c>
      <c r="Z126" s="2" t="s">
        <v>58</v>
      </c>
      <c r="AA126" s="2" t="s">
        <v>82</v>
      </c>
      <c r="AB126" s="2" t="s">
        <v>68</v>
      </c>
      <c r="AC126" s="2" t="s">
        <v>95</v>
      </c>
      <c r="AD126" s="2" t="s">
        <v>82</v>
      </c>
      <c r="AK126" s="2" t="s">
        <v>83</v>
      </c>
      <c r="AL126" s="2" t="s">
        <v>58</v>
      </c>
      <c r="AM126" s="2" t="s">
        <v>71</v>
      </c>
    </row>
    <row r="127" spans="1:39" x14ac:dyDescent="0.2">
      <c r="A127" s="2" t="s">
        <v>572</v>
      </c>
      <c r="C127" s="2" t="s">
        <v>573</v>
      </c>
      <c r="D127" s="2" t="s">
        <v>79</v>
      </c>
      <c r="E127" t="str">
        <f t="shared" si="89"/>
        <v>5</v>
      </c>
      <c r="F127" t="str">
        <f t="shared" si="90"/>
        <v>Stephan_etal_1987</v>
      </c>
      <c r="G127" t="str">
        <f t="shared" si="91"/>
        <v>Stephan</v>
      </c>
      <c r="H127" t="str">
        <f t="shared" si="72"/>
        <v>etal</v>
      </c>
      <c r="I127" t="str">
        <f t="shared" si="92"/>
        <v>1987</v>
      </c>
      <c r="J127" t="str">
        <f t="shared" si="101"/>
        <v>PMID:3693895</v>
      </c>
      <c r="K127" t="str">
        <f t="shared" si="102"/>
        <v>Stephan_etal_1987_Table1</v>
      </c>
      <c r="L127" t="str">
        <f t="shared" si="103"/>
        <v>PMID%3A3693895_Table1</v>
      </c>
      <c r="M127" t="str">
        <f t="array" ref="M127">IFERROR(INDEX(FileList!$A$1:$A$100, MATCH(L127, _xlfn.TEXTBEFORE(FileList!$A$1:$A$100, ".tsv"), 0)), "notfound")</f>
        <v>PMID%3A3693895_Table1.tsv</v>
      </c>
      <c r="N127" s="2" t="s">
        <v>574</v>
      </c>
      <c r="V127" s="2" t="s">
        <v>41</v>
      </c>
      <c r="W127" s="2" t="s">
        <v>86</v>
      </c>
      <c r="Y127" s="2" t="s">
        <v>575</v>
      </c>
      <c r="Z127" s="2" t="s">
        <v>58</v>
      </c>
      <c r="AA127" s="2" t="s">
        <v>82</v>
      </c>
      <c r="AB127" s="2" t="s">
        <v>68</v>
      </c>
      <c r="AC127" s="2" t="s">
        <v>95</v>
      </c>
      <c r="AD127" s="2" t="s">
        <v>82</v>
      </c>
      <c r="AK127" s="2" t="s">
        <v>83</v>
      </c>
      <c r="AL127" s="2" t="s">
        <v>58</v>
      </c>
      <c r="AM127" s="2" t="s">
        <v>71</v>
      </c>
    </row>
    <row r="128" spans="1:39" x14ac:dyDescent="0.2">
      <c r="A128" s="2" t="s">
        <v>576</v>
      </c>
      <c r="D128" s="2" t="s">
        <v>79</v>
      </c>
      <c r="E128" t="str">
        <f t="shared" si="89"/>
        <v>3</v>
      </c>
      <c r="F128" t="str">
        <f t="shared" si="90"/>
        <v>Stephan_etal_1981</v>
      </c>
      <c r="G128" t="str">
        <f t="shared" si="91"/>
        <v>Stephan</v>
      </c>
      <c r="H128" t="str">
        <f t="shared" si="72"/>
        <v>etal</v>
      </c>
      <c r="I128" t="str">
        <f t="shared" si="92"/>
        <v>1981</v>
      </c>
      <c r="J128" t="str">
        <f t="shared" si="101"/>
        <v>10.1159/000155963</v>
      </c>
      <c r="K128" t="str">
        <f t="shared" si="102"/>
        <v>Stephan_etal_1981_Table1</v>
      </c>
      <c r="L128" t="str">
        <f t="shared" si="103"/>
        <v>10.1159%2F000155963_Table1</v>
      </c>
      <c r="M128" t="str">
        <f t="array" ref="M128">IFERROR(INDEX(FileList!$A$1:$A$100, MATCH(L128, _xlfn.TEXTBEFORE(FileList!$A$1:$A$100, ".tsv"), 0)), "notfound")</f>
        <v>10.1159%2F000155963_Table1.tsv</v>
      </c>
      <c r="N128" s="2" t="s">
        <v>577</v>
      </c>
      <c r="V128" s="2" t="s">
        <v>41</v>
      </c>
      <c r="Y128" s="2" t="s">
        <v>578</v>
      </c>
      <c r="Z128" s="2" t="s">
        <v>58</v>
      </c>
      <c r="AA128" s="2" t="s">
        <v>82</v>
      </c>
      <c r="AB128" s="2" t="s">
        <v>68</v>
      </c>
      <c r="AC128" s="2" t="s">
        <v>95</v>
      </c>
      <c r="AD128" s="2" t="s">
        <v>82</v>
      </c>
      <c r="AK128" s="2" t="s">
        <v>83</v>
      </c>
      <c r="AL128" s="2" t="s">
        <v>58</v>
      </c>
      <c r="AM128" s="2" t="s">
        <v>71</v>
      </c>
    </row>
    <row r="129" spans="1:39" x14ac:dyDescent="0.2">
      <c r="A129" s="2" t="s">
        <v>579</v>
      </c>
      <c r="D129" s="2" t="s">
        <v>580</v>
      </c>
      <c r="E129" t="str">
        <f t="shared" ref="E129:E130" si="120">RIGHT(A129,1)</f>
        <v>8</v>
      </c>
      <c r="F129" t="str">
        <f t="shared" ref="F129:F130" si="121">G129 &amp; IF(H129&lt;&gt;"", "_" &amp; H129, "_") &amp; IF(I129&lt;&gt;"", "_" &amp; I129, "_") &amp; IF(B129&lt;&gt;"", "_" &amp; B129, "")</f>
        <v>Stimpson_etal_2015</v>
      </c>
      <c r="G129" t="str">
        <f t="shared" ref="G129:G130" si="122">SUBSTITUTE(SUBSTITUTE(_xlfn.TEXTBEFORE(A129,","), "-", ""), " ", "")</f>
        <v>Stimpson</v>
      </c>
      <c r="H129" t="str">
        <f t="shared" ref="H129:H130" si="123">_xlfn.LET(_xlpm.authorPart,_xlfn.TEXTBEFORE(A129," ("),IFERROR(IF(ISNUMBER(FIND("&amp;",_xlpm.authorPart)),IF(LEN(A129)-LEN(SUBSTITUTE(A129,",",""))&gt;=6,"etal",_xlfn.TEXTBEFORE(_xlfn.TEXTAFTER(_xlpm.authorPart,"&amp; "),",")),""),""))</f>
        <v>etal</v>
      </c>
      <c r="I129" t="str">
        <f t="shared" ref="I129:I130" si="124">_xlfn.TEXTBEFORE(_xlfn.TEXTAFTER(A129, "("), ")")</f>
        <v>2015</v>
      </c>
      <c r="J129" t="str">
        <f t="shared" ref="J129:J130" si="125">IF(C129&lt;&gt;"", C129, IF(C129="", _xlfn.TEXTAFTER(A129,"https://doi.org/"), C129))</f>
        <v>10.1093/scan/nsv128</v>
      </c>
      <c r="K129" t="str">
        <f t="shared" ref="K129:K130" si="126">TRIM(_xlfn.TEXTJOIN("_",FALSE,F129,(SUBSTITUTE(SUBSTITUTE(D129," ",""), "_", ""))))</f>
        <v>Stimpson_etal_2015_TableS1</v>
      </c>
      <c r="L129" t="str">
        <f t="shared" ref="L129:L130" si="127">IF(ISBLANK(C129),TRIM(SUBSTITUTE(SUBSTITUTE(SUBSTITUTE(_xlfn.TEXTJOIN("_", FALSE, J129, SUBSTITUTE(D129,"_", "")), "/", "%2F"), ":", "%3A"), " ", "")),TRIM(SUBSTITUTE(SUBSTITUTE(SUBSTITUTE(_xlfn.TEXTJOIN("_", FALSE, C129, SUBSTITUTE(D129,"_", "")), "/", "%2F"), ":", "%3A"), " ", "")))</f>
        <v>10.1093%2Fscan%2Fnsv128_TableS1</v>
      </c>
      <c r="M129" t="str">
        <f t="array" ref="M129">IFERROR(INDEX(FileList!$A$1:$A$100, MATCH(L129, _xlfn.TEXTBEFORE(FileList!$A$1:$A$100, ".tsv"), 0)), "notfound")</f>
        <v>notfound</v>
      </c>
      <c r="N129" s="2" t="s">
        <v>580</v>
      </c>
      <c r="V129" s="2" t="s">
        <v>41</v>
      </c>
      <c r="AA129" s="2" t="s">
        <v>581</v>
      </c>
      <c r="AB129" s="2" t="s">
        <v>68</v>
      </c>
      <c r="AC129" s="2" t="s">
        <v>95</v>
      </c>
      <c r="AD129" s="2" t="s">
        <v>581</v>
      </c>
      <c r="AL129" s="2" t="s">
        <v>58</v>
      </c>
      <c r="AM129" s="2" t="s">
        <v>71</v>
      </c>
    </row>
    <row r="130" spans="1:39" x14ac:dyDescent="0.2">
      <c r="A130" s="2" t="s">
        <v>579</v>
      </c>
      <c r="D130" s="2" t="s">
        <v>582</v>
      </c>
      <c r="E130" t="str">
        <f t="shared" si="120"/>
        <v>8</v>
      </c>
      <c r="F130" t="str">
        <f t="shared" si="121"/>
        <v>Stimpson_etal_2015</v>
      </c>
      <c r="G130" t="str">
        <f t="shared" si="122"/>
        <v>Stimpson</v>
      </c>
      <c r="H130" t="str">
        <f t="shared" si="123"/>
        <v>etal</v>
      </c>
      <c r="I130" t="str">
        <f t="shared" si="124"/>
        <v>2015</v>
      </c>
      <c r="J130" t="str">
        <f t="shared" si="125"/>
        <v>10.1093/scan/nsv128</v>
      </c>
      <c r="K130" t="str">
        <f t="shared" si="126"/>
        <v>Stimpson_etal_2015_TableS2</v>
      </c>
      <c r="L130" t="str">
        <f t="shared" si="127"/>
        <v>10.1093%2Fscan%2Fnsv128_TableS2</v>
      </c>
      <c r="M130" t="str">
        <f t="array" ref="M130">IFERROR(INDEX(FileList!$A$1:$A$100, MATCH(L130, _xlfn.TEXTBEFORE(FileList!$A$1:$A$100, ".tsv"), 0)), "notfound")</f>
        <v>notfound</v>
      </c>
      <c r="N130" s="2" t="s">
        <v>582</v>
      </c>
      <c r="V130" s="2" t="s">
        <v>41</v>
      </c>
      <c r="AA130" s="2" t="s">
        <v>581</v>
      </c>
      <c r="AB130" s="2" t="s">
        <v>68</v>
      </c>
      <c r="AC130" s="2" t="s">
        <v>95</v>
      </c>
      <c r="AD130" s="2" t="s">
        <v>581</v>
      </c>
      <c r="AL130" s="2" t="s">
        <v>58</v>
      </c>
      <c r="AM130" s="2" t="s">
        <v>71</v>
      </c>
    </row>
    <row r="131" spans="1:39" x14ac:dyDescent="0.2">
      <c r="A131" s="2" t="s">
        <v>583</v>
      </c>
      <c r="D131" s="2" t="s">
        <v>79</v>
      </c>
      <c r="E131" t="str">
        <f t="shared" si="89"/>
        <v>2</v>
      </c>
      <c r="F131" t="str">
        <f t="shared" si="90"/>
        <v>Turner_etal_2016</v>
      </c>
      <c r="G131" t="str">
        <f t="shared" si="91"/>
        <v>Turner</v>
      </c>
      <c r="H131" t="str">
        <f t="shared" si="72"/>
        <v>etal</v>
      </c>
      <c r="I131" t="str">
        <f t="shared" si="92"/>
        <v>2016</v>
      </c>
      <c r="J131" t="str">
        <f t="shared" si="101"/>
        <v>10.1159/000446762</v>
      </c>
      <c r="K131" t="str">
        <f t="shared" si="102"/>
        <v>Turner_etal_2016_Table1</v>
      </c>
      <c r="L131" t="str">
        <f t="shared" si="103"/>
        <v>10.1159%2F000446762_Table1</v>
      </c>
      <c r="M131" t="str">
        <f t="array" ref="M131">IFERROR(INDEX(FileList!$A$1:$A$100, MATCH(L131, _xlfn.TEXTBEFORE(FileList!$A$1:$A$100, ".tsv"), 0)), "notfound")</f>
        <v>notfound</v>
      </c>
      <c r="N131" s="2" t="s">
        <v>584</v>
      </c>
      <c r="Y131" s="2" t="s">
        <v>585</v>
      </c>
      <c r="AK131" s="2" t="s">
        <v>120</v>
      </c>
      <c r="AL131" s="2" t="s">
        <v>58</v>
      </c>
      <c r="AM131" s="2" t="s">
        <v>106</v>
      </c>
    </row>
    <row r="132" spans="1:39" x14ac:dyDescent="0.2">
      <c r="A132" s="2" t="s">
        <v>586</v>
      </c>
      <c r="D132" s="2" t="s">
        <v>587</v>
      </c>
      <c r="E132" t="str">
        <f t="shared" si="89"/>
        <v>1</v>
      </c>
      <c r="F132" t="str">
        <f t="shared" si="90"/>
        <v>Wilman_etal_2014</v>
      </c>
      <c r="G132" t="str">
        <f t="shared" si="91"/>
        <v>Wilman</v>
      </c>
      <c r="H132" t="str">
        <f t="shared" si="72"/>
        <v>etal</v>
      </c>
      <c r="I132" t="str">
        <f t="shared" si="92"/>
        <v>2014</v>
      </c>
      <c r="J132" t="str">
        <f t="shared" si="101"/>
        <v>10.1890/13-1917.1</v>
      </c>
      <c r="K132" t="str">
        <f t="shared" si="102"/>
        <v>Wilman_etal_2014_MamFuncDat.txt</v>
      </c>
      <c r="L132" t="str">
        <f t="shared" si="103"/>
        <v>10.1890%2F13-1917.1_MamFuncDat.txt</v>
      </c>
      <c r="M132" t="str">
        <f t="array" ref="M132">IFERROR(INDEX(FileList!$A$1:$A$100, MATCH(L132, _xlfn.TEXTBEFORE(FileList!$A$1:$A$100, ".tsv"), 0)), "notfound")</f>
        <v>notfound</v>
      </c>
      <c r="Y132" s="2" t="s">
        <v>588</v>
      </c>
      <c r="AK132" s="2" t="s">
        <v>120</v>
      </c>
      <c r="AL132" s="2" t="s">
        <v>117</v>
      </c>
      <c r="AM132" s="2" t="s">
        <v>589</v>
      </c>
    </row>
    <row r="133" spans="1:39" x14ac:dyDescent="0.2">
      <c r="A133" s="2" t="s">
        <v>590</v>
      </c>
      <c r="D133" s="2" t="s">
        <v>591</v>
      </c>
      <c r="E133" t="str">
        <f t="shared" si="89"/>
        <v>7</v>
      </c>
      <c r="F133" t="str">
        <f t="shared" si="90"/>
        <v>Wimberly_etal_2021</v>
      </c>
      <c r="G133" t="str">
        <f t="shared" si="91"/>
        <v>Wimberly</v>
      </c>
      <c r="H133" t="str">
        <f t="shared" si="72"/>
        <v>etal</v>
      </c>
      <c r="I133" t="str">
        <f t="shared" si="92"/>
        <v>2021</v>
      </c>
      <c r="J133" t="str">
        <f t="shared" si="101"/>
        <v>10.1098/rspb.2021.0937</v>
      </c>
      <c r="K133" t="str">
        <f t="shared" si="102"/>
        <v>Wimberly_etal_2021_mammalgait.txt</v>
      </c>
      <c r="L133" t="str">
        <f t="shared" si="103"/>
        <v>10.1098%2Frspb.2021.0937_mammalgait.txt</v>
      </c>
      <c r="M133" t="str">
        <f t="array" ref="M133">IFERROR(INDEX(FileList!$A$1:$A$100, MATCH(L133, _xlfn.TEXTBEFORE(FileList!$A$1:$A$100, ".tsv"), 0)), "notfound")</f>
        <v>notfound</v>
      </c>
      <c r="P133" s="2" t="s">
        <v>314</v>
      </c>
      <c r="AK133" s="2" t="s">
        <v>42</v>
      </c>
      <c r="AL133" s="2" t="s">
        <v>42</v>
      </c>
      <c r="AM133" s="2" t="s">
        <v>42</v>
      </c>
    </row>
    <row r="134" spans="1:39" x14ac:dyDescent="0.2">
      <c r="A134" s="2" t="s">
        <v>592</v>
      </c>
      <c r="D134" s="2" t="s">
        <v>593</v>
      </c>
      <c r="E134" t="str">
        <f t="shared" si="89"/>
        <v>5</v>
      </c>
      <c r="F134" t="str">
        <f t="shared" si="90"/>
        <v>Winkler_Bryant_2021</v>
      </c>
      <c r="G134" t="str">
        <f t="shared" si="91"/>
        <v>Winkler</v>
      </c>
      <c r="H134" t="str">
        <f t="shared" si="72"/>
        <v>Bryant</v>
      </c>
      <c r="I134" t="str">
        <f t="shared" si="92"/>
        <v>2021</v>
      </c>
      <c r="J134" t="str">
        <f t="shared" si="101"/>
        <v>10.1080/09524622.2021.1905065</v>
      </c>
      <c r="K134" t="str">
        <f t="shared" si="102"/>
        <v>Winkler_Bryant_2021_Figure1</v>
      </c>
      <c r="L134" t="str">
        <f t="shared" si="103"/>
        <v>10.1080%2F09524622.2021.1905065_Figure1</v>
      </c>
      <c r="M134" t="str">
        <f t="array" ref="M134">IFERROR(INDEX(FileList!$A$1:$A$100, MATCH(L134, _xlfn.TEXTBEFORE(FileList!$A$1:$A$100, ".tsv"), 0)), "notfound")</f>
        <v>notfound</v>
      </c>
      <c r="P134" s="2" t="s">
        <v>314</v>
      </c>
      <c r="Q134" s="2" t="s">
        <v>179</v>
      </c>
      <c r="T134" s="2" t="str">
        <f>IF(S134="N", R134, "write file name")</f>
        <v>write file name</v>
      </c>
      <c r="U134" s="2" t="s">
        <v>54</v>
      </c>
      <c r="V134" s="2" t="s">
        <v>594</v>
      </c>
      <c r="Y134" s="2" t="s">
        <v>595</v>
      </c>
      <c r="AG134" s="2" t="s">
        <v>119</v>
      </c>
      <c r="AK134" s="2" t="s">
        <v>120</v>
      </c>
      <c r="AL134" s="2" t="s">
        <v>117</v>
      </c>
      <c r="AM134" s="2" t="s">
        <v>596</v>
      </c>
    </row>
    <row r="135" spans="1:39" x14ac:dyDescent="0.2">
      <c r="A135" s="2" t="s">
        <v>597</v>
      </c>
      <c r="D135" s="2" t="s">
        <v>79</v>
      </c>
      <c r="E135" t="str">
        <f t="shared" si="89"/>
        <v>0</v>
      </c>
      <c r="F135" t="str">
        <f t="shared" si="90"/>
        <v>Young_etal_2013</v>
      </c>
      <c r="G135" t="str">
        <f t="shared" si="91"/>
        <v>Young</v>
      </c>
      <c r="H135" t="str">
        <f t="shared" si="72"/>
        <v>etal</v>
      </c>
      <c r="I135" t="str">
        <f t="shared" si="92"/>
        <v>2013</v>
      </c>
      <c r="J135" t="str">
        <f t="shared" si="101"/>
        <v>10.3389/fncir.2013.00030</v>
      </c>
      <c r="K135" t="str">
        <f t="shared" si="102"/>
        <v>Young_etal_2013_Table1</v>
      </c>
      <c r="L135" t="str">
        <f t="shared" si="103"/>
        <v>10.3389%2Ffncir.2013.00030_Table1</v>
      </c>
      <c r="M135" t="str">
        <f t="array" ref="M135">IFERROR(INDEX(FileList!$A$1:$A$100, MATCH(L135, _xlfn.TEXTBEFORE(FileList!$A$1:$A$100, ".tsv"), 0)), "notfound")</f>
        <v>notfound</v>
      </c>
      <c r="P135" s="2" t="s">
        <v>484</v>
      </c>
      <c r="Q135" s="2" t="s">
        <v>179</v>
      </c>
      <c r="T135" s="2" t="str">
        <f>IF(S135="N", R135, "write file name")</f>
        <v>write file name</v>
      </c>
      <c r="U135" s="2" t="s">
        <v>54</v>
      </c>
      <c r="V135" s="2" t="s">
        <v>41</v>
      </c>
      <c r="Y135" s="2" t="s">
        <v>598</v>
      </c>
      <c r="Z135" s="2" t="s">
        <v>58</v>
      </c>
      <c r="AG135" s="2" t="s">
        <v>157</v>
      </c>
      <c r="AK135" s="2" t="s">
        <v>100</v>
      </c>
      <c r="AL135" s="2" t="s">
        <v>58</v>
      </c>
      <c r="AM135" s="2" t="s">
        <v>599</v>
      </c>
    </row>
    <row r="136" spans="1:39" x14ac:dyDescent="0.2">
      <c r="A136" s="2" t="s">
        <v>600</v>
      </c>
      <c r="D136" s="2" t="s">
        <v>79</v>
      </c>
      <c r="E136" t="str">
        <f t="shared" si="89"/>
        <v>0</v>
      </c>
      <c r="F136" t="str">
        <f t="shared" si="90"/>
        <v>Young_etal_2013</v>
      </c>
      <c r="G136" t="str">
        <f t="shared" si="91"/>
        <v>Young</v>
      </c>
      <c r="H136" t="str">
        <f t="shared" si="72"/>
        <v>etal</v>
      </c>
      <c r="I136" t="str">
        <f t="shared" si="92"/>
        <v>2013</v>
      </c>
      <c r="J136" t="str">
        <f t="shared" si="101"/>
        <v>10.1073/pnas.1318894110</v>
      </c>
      <c r="K136" t="str">
        <f t="shared" si="102"/>
        <v>Young_etal_2013_Table1</v>
      </c>
      <c r="L136" t="str">
        <f t="shared" si="103"/>
        <v>10.1073%2Fpnas.1318894110_Table1</v>
      </c>
      <c r="M136" t="str">
        <f t="array" ref="M136">IFERROR(INDEX(FileList!$A$1:$A$100, MATCH(L136, _xlfn.TEXTBEFORE(FileList!$A$1:$A$100, ".tsv"), 0)), "notfound")</f>
        <v>notfound</v>
      </c>
      <c r="N136" s="2" t="s">
        <v>601</v>
      </c>
      <c r="V136" s="2" t="s">
        <v>41</v>
      </c>
      <c r="Y136" s="2" t="s">
        <v>602</v>
      </c>
      <c r="Z136" s="2" t="s">
        <v>58</v>
      </c>
      <c r="AA136" s="2" t="s">
        <v>201</v>
      </c>
      <c r="AC136" s="2" t="s">
        <v>60</v>
      </c>
      <c r="AK136" s="2" t="s">
        <v>603</v>
      </c>
      <c r="AL136" s="2" t="s">
        <v>58</v>
      </c>
      <c r="AM136" s="2" t="s">
        <v>604</v>
      </c>
    </row>
    <row r="137" spans="1:39" x14ac:dyDescent="0.2">
      <c r="A137" s="2" t="s">
        <v>605</v>
      </c>
      <c r="C137" s="2" t="s">
        <v>606</v>
      </c>
      <c r="D137" s="2" t="s">
        <v>607</v>
      </c>
      <c r="E137" t="str">
        <f t="shared" si="89"/>
        <v>s</v>
      </c>
      <c r="F137" t="str">
        <f t="shared" si="90"/>
        <v>Zilles_Rehkämper_1988</v>
      </c>
      <c r="G137" t="str">
        <f t="shared" si="91"/>
        <v>Zilles</v>
      </c>
      <c r="H137" t="str">
        <f t="shared" si="72"/>
        <v>Rehkämper</v>
      </c>
      <c r="I137" t="str">
        <f t="shared" si="92"/>
        <v>1988</v>
      </c>
      <c r="J137" t="str">
        <f t="shared" si="101"/>
        <v>ISBN:9780195043716</v>
      </c>
      <c r="K137" t="str">
        <f t="shared" si="102"/>
        <v>Zilles_Rehkämper_1988_Table12-2</v>
      </c>
      <c r="L137" t="str">
        <f t="shared" si="103"/>
        <v>ISBN%3A9780195043716_Table12-2</v>
      </c>
      <c r="M137" t="str">
        <f t="array" ref="M137">IFERROR(INDEX(FileList!$A$1:$A$100, MATCH(L137, _xlfn.TEXTBEFORE(FileList!$A$1:$A$100, ".tsv"), 0)), "notfound")</f>
        <v>ISBN%3A9780195043716_Table12-2.tsv</v>
      </c>
      <c r="N137" s="2" t="s">
        <v>608</v>
      </c>
      <c r="Y137" s="2" t="s">
        <v>609</v>
      </c>
      <c r="AB137" s="2" t="s">
        <v>68</v>
      </c>
      <c r="AC137" s="2" t="s">
        <v>95</v>
      </c>
      <c r="AD137" s="2" t="s">
        <v>481</v>
      </c>
      <c r="AK137" s="2" t="s">
        <v>610</v>
      </c>
      <c r="AL137" s="2" t="s">
        <v>58</v>
      </c>
      <c r="AM137" s="2" t="s">
        <v>71</v>
      </c>
    </row>
    <row r="138" spans="1:39" x14ac:dyDescent="0.2">
      <c r="A138" s="2" t="s">
        <v>611</v>
      </c>
      <c r="D138" s="2" t="s">
        <v>203</v>
      </c>
      <c r="E138" t="str">
        <f t="shared" si="89"/>
        <v>6</v>
      </c>
      <c r="F138" t="str">
        <f t="shared" si="90"/>
        <v>Zilles_etal_2013</v>
      </c>
      <c r="G138" t="str">
        <f t="shared" si="91"/>
        <v>Zilles</v>
      </c>
      <c r="H138" t="str">
        <f t="shared" si="72"/>
        <v>etal</v>
      </c>
      <c r="I138" t="str">
        <f t="shared" si="92"/>
        <v>2013</v>
      </c>
      <c r="J138" t="str">
        <f t="shared" si="101"/>
        <v>10.1016/j.tins.2013.01.006</v>
      </c>
      <c r="K138" t="str">
        <f t="shared" si="102"/>
        <v>Zilles_etal_2013_Table1</v>
      </c>
      <c r="L138" t="str">
        <f t="shared" si="103"/>
        <v>10.1016%2Fj.tins.2013.01.006_Table1</v>
      </c>
      <c r="M138" t="str">
        <f t="array" ref="M138">IFERROR(INDEX(FileList!$A$1:$A$100, MATCH(L138, _xlfn.TEXTBEFORE(FileList!$A$1:$A$100, ".tsv"), 0)), "notfound")</f>
        <v>notfound</v>
      </c>
      <c r="N138" s="2" t="s">
        <v>612</v>
      </c>
      <c r="V138" s="2" t="s">
        <v>41</v>
      </c>
      <c r="Y138" s="2" t="s">
        <v>613</v>
      </c>
      <c r="Z138" s="2" t="s">
        <v>58</v>
      </c>
      <c r="AA138" s="2" t="s">
        <v>69</v>
      </c>
      <c r="AC138" s="2" t="s">
        <v>42</v>
      </c>
      <c r="AK138" s="2" t="s">
        <v>614</v>
      </c>
      <c r="AL138" s="2" t="s">
        <v>117</v>
      </c>
      <c r="AM138" s="2" t="s">
        <v>615</v>
      </c>
    </row>
  </sheetData>
  <hyperlinks>
    <hyperlink ref="X25" r:id="rId1" xr:uid="{00000000-0004-0000-0000-000000000000}"/>
    <hyperlink ref="X26"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28" r:id="rId3" xr:uid="{00000000-0004-0000-0000-000002000000}"/>
    <hyperlink ref="X40" r:id="rId4" xr:uid="{00000000-0004-0000-0000-000003000000}"/>
    <hyperlink ref="X44" r:id="rId5" xr:uid="{00000000-0004-0000-0000-000004000000}"/>
    <hyperlink ref="X52" r:id="rId6" xr:uid="{00000000-0004-0000-0000-000005000000}"/>
    <hyperlink ref="X53" r:id="rId7" xr:uid="{00000000-0004-0000-0000-000006000000}"/>
    <hyperlink ref="X55" r:id="rId8" xr:uid="{00000000-0004-0000-0000-000007000000}"/>
    <hyperlink ref="X56" r:id="rId9" xr:uid="{00000000-0004-0000-0000-000008000000}"/>
    <hyperlink ref="X57" r:id="rId10" xr:uid="{00000000-0004-0000-0000-000009000000}"/>
    <hyperlink ref="X58" r:id="rId11" xr:uid="{00000000-0004-0000-0000-00000A000000}"/>
    <hyperlink ref="X59" r:id="rId12" xr:uid="{00000000-0004-0000-0000-00000B000000}"/>
    <hyperlink ref="X60" r:id="rId13" xr:uid="{00000000-0004-0000-0000-00000C000000}"/>
    <hyperlink ref="X63" r:id="rId14" xr:uid="{00000000-0004-0000-0000-00000D000000}"/>
    <hyperlink ref="X85" r:id="rId15" xr:uid="{00000000-0004-0000-0000-00000E000000}"/>
    <hyperlink ref="X91" r:id="rId16" xr:uid="{00000000-0004-0000-0000-00000F000000}"/>
    <hyperlink ref="X92" r:id="rId17" xr:uid="{00000000-0004-0000-0000-000010000000}"/>
    <hyperlink ref="X99" r:id="rId18" xr:uid="{00000000-0004-0000-0000-000011000000}"/>
    <hyperlink ref="X104"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616</v>
      </c>
    </row>
    <row r="2" spans="1:2" x14ac:dyDescent="0.2">
      <c r="A2" t="s">
        <v>617</v>
      </c>
    </row>
    <row r="3" spans="1:2" x14ac:dyDescent="0.2">
      <c r="A3" s="6" t="s">
        <v>618</v>
      </c>
      <c r="B3" t="s">
        <v>619</v>
      </c>
    </row>
    <row r="4" spans="1:2" x14ac:dyDescent="0.2">
      <c r="A4" s="6" t="s">
        <v>620</v>
      </c>
      <c r="B4" t="s">
        <v>621</v>
      </c>
    </row>
    <row r="5" spans="1:2" x14ac:dyDescent="0.2">
      <c r="A5" s="6" t="s">
        <v>622</v>
      </c>
      <c r="B5" t="s">
        <v>623</v>
      </c>
    </row>
    <row r="6" spans="1:2" x14ac:dyDescent="0.2">
      <c r="A6" s="6" t="s">
        <v>624</v>
      </c>
      <c r="B6" t="s">
        <v>625</v>
      </c>
    </row>
    <row r="7" spans="1:2" x14ac:dyDescent="0.2">
      <c r="A7" s="6" t="s">
        <v>626</v>
      </c>
      <c r="B7" t="s">
        <v>627</v>
      </c>
    </row>
    <row r="8" spans="1:2" x14ac:dyDescent="0.2">
      <c r="A8" s="6" t="s">
        <v>628</v>
      </c>
      <c r="B8" t="s">
        <v>629</v>
      </c>
    </row>
    <row r="9" spans="1:2" x14ac:dyDescent="0.2">
      <c r="A9" s="6" t="s">
        <v>630</v>
      </c>
      <c r="B9" t="s">
        <v>631</v>
      </c>
    </row>
    <row r="10" spans="1:2" x14ac:dyDescent="0.2">
      <c r="A10" s="6" t="s">
        <v>632</v>
      </c>
      <c r="B10" t="s">
        <v>633</v>
      </c>
    </row>
    <row r="11" spans="1:2" x14ac:dyDescent="0.2">
      <c r="A11" s="6" t="s">
        <v>634</v>
      </c>
      <c r="B11" t="s">
        <v>635</v>
      </c>
    </row>
    <row r="12" spans="1:2" ht="17" customHeight="1" x14ac:dyDescent="0.2">
      <c r="A12" s="5" t="s">
        <v>636</v>
      </c>
      <c r="B12" t="s">
        <v>637</v>
      </c>
    </row>
    <row r="13" spans="1:2" x14ac:dyDescent="0.2">
      <c r="A13" s="7" t="s">
        <v>638</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639</v>
      </c>
    </row>
    <row r="2" spans="1:3" x14ac:dyDescent="0.2">
      <c r="C2" t="s">
        <v>640</v>
      </c>
    </row>
    <row r="3" spans="1:3" x14ac:dyDescent="0.2">
      <c r="A3">
        <v>1</v>
      </c>
      <c r="B3" t="s">
        <v>641</v>
      </c>
      <c r="C3" t="s">
        <v>642</v>
      </c>
    </row>
    <row r="4" spans="1:3" x14ac:dyDescent="0.2">
      <c r="A4">
        <v>2</v>
      </c>
      <c r="B4" t="s">
        <v>643</v>
      </c>
      <c r="C4" t="s">
        <v>644</v>
      </c>
    </row>
    <row r="5" spans="1:3" x14ac:dyDescent="0.2">
      <c r="A5">
        <v>3</v>
      </c>
      <c r="B5" t="s">
        <v>645</v>
      </c>
      <c r="C5" t="s">
        <v>646</v>
      </c>
    </row>
    <row r="6" spans="1:3" x14ac:dyDescent="0.2">
      <c r="A6">
        <v>4</v>
      </c>
      <c r="B6" t="s">
        <v>647</v>
      </c>
      <c r="C6" t="s">
        <v>648</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85"/>
  <sheetViews>
    <sheetView topLeftCell="A48" workbookViewId="0"/>
  </sheetViews>
  <sheetFormatPr baseColWidth="10" defaultRowHeight="16" x14ac:dyDescent="0.2"/>
  <sheetData>
    <row r="1" spans="1:1" x14ac:dyDescent="0.2">
      <c r="A1" t="s">
        <v>652</v>
      </c>
    </row>
    <row r="2" spans="1:1" x14ac:dyDescent="0.2">
      <c r="A2" t="s">
        <v>653</v>
      </c>
    </row>
    <row r="3" spans="1:1" x14ac:dyDescent="0.2">
      <c r="A3" t="s">
        <v>654</v>
      </c>
    </row>
    <row r="4" spans="1:1" x14ac:dyDescent="0.2">
      <c r="A4" t="s">
        <v>655</v>
      </c>
    </row>
    <row r="5" spans="1:1" x14ac:dyDescent="0.2">
      <c r="A5" t="s">
        <v>656</v>
      </c>
    </row>
    <row r="6" spans="1:1" x14ac:dyDescent="0.2">
      <c r="A6" t="s">
        <v>657</v>
      </c>
    </row>
    <row r="7" spans="1:1" x14ac:dyDescent="0.2">
      <c r="A7" t="s">
        <v>658</v>
      </c>
    </row>
    <row r="8" spans="1:1" x14ac:dyDescent="0.2">
      <c r="A8" t="s">
        <v>659</v>
      </c>
    </row>
    <row r="9" spans="1:1" x14ac:dyDescent="0.2">
      <c r="A9" t="s">
        <v>660</v>
      </c>
    </row>
    <row r="10" spans="1:1" x14ac:dyDescent="0.2">
      <c r="A10" t="s">
        <v>661</v>
      </c>
    </row>
    <row r="11" spans="1:1" x14ac:dyDescent="0.2">
      <c r="A11" t="s">
        <v>662</v>
      </c>
    </row>
    <row r="12" spans="1:1" x14ac:dyDescent="0.2">
      <c r="A12" t="s">
        <v>663</v>
      </c>
    </row>
    <row r="13" spans="1:1" x14ac:dyDescent="0.2">
      <c r="A13" t="s">
        <v>664</v>
      </c>
    </row>
    <row r="14" spans="1:1" x14ac:dyDescent="0.2">
      <c r="A14" t="s">
        <v>665</v>
      </c>
    </row>
    <row r="15" spans="1:1" x14ac:dyDescent="0.2">
      <c r="A15" t="s">
        <v>666</v>
      </c>
    </row>
    <row r="16" spans="1:1" x14ac:dyDescent="0.2">
      <c r="A16" t="s">
        <v>667</v>
      </c>
    </row>
    <row r="17" spans="1:1" x14ac:dyDescent="0.2">
      <c r="A17" t="s">
        <v>668</v>
      </c>
    </row>
    <row r="18" spans="1:1" x14ac:dyDescent="0.2">
      <c r="A18" t="s">
        <v>669</v>
      </c>
    </row>
    <row r="19" spans="1:1" x14ac:dyDescent="0.2">
      <c r="A19" t="s">
        <v>670</v>
      </c>
    </row>
    <row r="20" spans="1:1" x14ac:dyDescent="0.2">
      <c r="A20" t="s">
        <v>671</v>
      </c>
    </row>
    <row r="21" spans="1:1" x14ac:dyDescent="0.2">
      <c r="A21" t="s">
        <v>672</v>
      </c>
    </row>
    <row r="22" spans="1:1" x14ac:dyDescent="0.2">
      <c r="A22" t="s">
        <v>673</v>
      </c>
    </row>
    <row r="23" spans="1:1" x14ac:dyDescent="0.2">
      <c r="A23" t="s">
        <v>674</v>
      </c>
    </row>
    <row r="24" spans="1:1" x14ac:dyDescent="0.2">
      <c r="A24" t="s">
        <v>675</v>
      </c>
    </row>
    <row r="25" spans="1:1" x14ac:dyDescent="0.2">
      <c r="A25" t="s">
        <v>676</v>
      </c>
    </row>
    <row r="26" spans="1:1" x14ac:dyDescent="0.2">
      <c r="A26" t="s">
        <v>677</v>
      </c>
    </row>
    <row r="27" spans="1:1" x14ac:dyDescent="0.2">
      <c r="A27" t="s">
        <v>678</v>
      </c>
    </row>
    <row r="28" spans="1:1" x14ac:dyDescent="0.2">
      <c r="A28" t="s">
        <v>679</v>
      </c>
    </row>
    <row r="29" spans="1:1" x14ac:dyDescent="0.2">
      <c r="A29" t="s">
        <v>680</v>
      </c>
    </row>
    <row r="30" spans="1:1" x14ac:dyDescent="0.2">
      <c r="A30" t="s">
        <v>681</v>
      </c>
    </row>
    <row r="31" spans="1:1" x14ac:dyDescent="0.2">
      <c r="A31" t="s">
        <v>682</v>
      </c>
    </row>
    <row r="32" spans="1:1" x14ac:dyDescent="0.2">
      <c r="A32" t="s">
        <v>683</v>
      </c>
    </row>
    <row r="33" spans="1:1" x14ac:dyDescent="0.2">
      <c r="A33" t="s">
        <v>684</v>
      </c>
    </row>
    <row r="34" spans="1:1" x14ac:dyDescent="0.2">
      <c r="A34" t="s">
        <v>685</v>
      </c>
    </row>
    <row r="35" spans="1:1" x14ac:dyDescent="0.2">
      <c r="A35" t="s">
        <v>686</v>
      </c>
    </row>
    <row r="36" spans="1:1" x14ac:dyDescent="0.2">
      <c r="A36" t="s">
        <v>687</v>
      </c>
    </row>
    <row r="37" spans="1:1" x14ac:dyDescent="0.2">
      <c r="A37" t="s">
        <v>688</v>
      </c>
    </row>
    <row r="38" spans="1:1" x14ac:dyDescent="0.2">
      <c r="A38" t="s">
        <v>689</v>
      </c>
    </row>
    <row r="39" spans="1:1" x14ac:dyDescent="0.2">
      <c r="A39" t="s">
        <v>690</v>
      </c>
    </row>
    <row r="40" spans="1:1" x14ac:dyDescent="0.2">
      <c r="A40" t="s">
        <v>691</v>
      </c>
    </row>
    <row r="41" spans="1:1" x14ac:dyDescent="0.2">
      <c r="A41" t="s">
        <v>692</v>
      </c>
    </row>
    <row r="42" spans="1:1" x14ac:dyDescent="0.2">
      <c r="A42" t="s">
        <v>693</v>
      </c>
    </row>
    <row r="43" spans="1:1" x14ac:dyDescent="0.2">
      <c r="A43" t="s">
        <v>694</v>
      </c>
    </row>
    <row r="44" spans="1:1" x14ac:dyDescent="0.2">
      <c r="A44" t="s">
        <v>695</v>
      </c>
    </row>
    <row r="45" spans="1:1" x14ac:dyDescent="0.2">
      <c r="A45" t="s">
        <v>696</v>
      </c>
    </row>
    <row r="46" spans="1:1" x14ac:dyDescent="0.2">
      <c r="A46" t="s">
        <v>697</v>
      </c>
    </row>
    <row r="47" spans="1:1" x14ac:dyDescent="0.2">
      <c r="A47" t="s">
        <v>698</v>
      </c>
    </row>
    <row r="48" spans="1:1" x14ac:dyDescent="0.2">
      <c r="A48" t="s">
        <v>699</v>
      </c>
    </row>
    <row r="49" spans="1:1" x14ac:dyDescent="0.2">
      <c r="A49" t="s">
        <v>700</v>
      </c>
    </row>
    <row r="50" spans="1:1" x14ac:dyDescent="0.2">
      <c r="A50" t="s">
        <v>701</v>
      </c>
    </row>
    <row r="51" spans="1:1" x14ac:dyDescent="0.2">
      <c r="A51" t="s">
        <v>702</v>
      </c>
    </row>
    <row r="52" spans="1:1" x14ac:dyDescent="0.2">
      <c r="A52" t="s">
        <v>703</v>
      </c>
    </row>
    <row r="53" spans="1:1" x14ac:dyDescent="0.2">
      <c r="A53" t="s">
        <v>704</v>
      </c>
    </row>
    <row r="54" spans="1:1" x14ac:dyDescent="0.2">
      <c r="A54" t="s">
        <v>705</v>
      </c>
    </row>
    <row r="55" spans="1:1" x14ac:dyDescent="0.2">
      <c r="A55" t="s">
        <v>706</v>
      </c>
    </row>
    <row r="56" spans="1:1" x14ac:dyDescent="0.2">
      <c r="A56" t="s">
        <v>707</v>
      </c>
    </row>
    <row r="57" spans="1:1" x14ac:dyDescent="0.2">
      <c r="A57" t="s">
        <v>708</v>
      </c>
    </row>
    <row r="58" spans="1:1" x14ac:dyDescent="0.2">
      <c r="A58" t="s">
        <v>709</v>
      </c>
    </row>
    <row r="59" spans="1:1" x14ac:dyDescent="0.2">
      <c r="A59" t="s">
        <v>710</v>
      </c>
    </row>
    <row r="60" spans="1:1" x14ac:dyDescent="0.2">
      <c r="A60" t="s">
        <v>711</v>
      </c>
    </row>
    <row r="61" spans="1:1" x14ac:dyDescent="0.2">
      <c r="A61" t="s">
        <v>712</v>
      </c>
    </row>
    <row r="62" spans="1:1" x14ac:dyDescent="0.2">
      <c r="A62" t="s">
        <v>713</v>
      </c>
    </row>
    <row r="63" spans="1:1" x14ac:dyDescent="0.2">
      <c r="A63" t="s">
        <v>714</v>
      </c>
    </row>
    <row r="64" spans="1:1" x14ac:dyDescent="0.2">
      <c r="A64" t="s">
        <v>715</v>
      </c>
    </row>
    <row r="65" spans="1:1" x14ac:dyDescent="0.2">
      <c r="A65" t="s">
        <v>716</v>
      </c>
    </row>
    <row r="66" spans="1:1" x14ac:dyDescent="0.2">
      <c r="A66" t="s">
        <v>717</v>
      </c>
    </row>
    <row r="67" spans="1:1" x14ac:dyDescent="0.2">
      <c r="A67" t="s">
        <v>718</v>
      </c>
    </row>
    <row r="68" spans="1:1" x14ac:dyDescent="0.2">
      <c r="A68" t="s">
        <v>719</v>
      </c>
    </row>
    <row r="69" spans="1:1" x14ac:dyDescent="0.2">
      <c r="A69" t="s">
        <v>720</v>
      </c>
    </row>
    <row r="70" spans="1:1" x14ac:dyDescent="0.2">
      <c r="A70" t="s">
        <v>721</v>
      </c>
    </row>
    <row r="71" spans="1:1" x14ac:dyDescent="0.2">
      <c r="A71" t="s">
        <v>722</v>
      </c>
    </row>
    <row r="72" spans="1:1" x14ac:dyDescent="0.2">
      <c r="A72" t="s">
        <v>723</v>
      </c>
    </row>
    <row r="73" spans="1:1" x14ac:dyDescent="0.2">
      <c r="A73" t="s">
        <v>724</v>
      </c>
    </row>
    <row r="74" spans="1:1" x14ac:dyDescent="0.2">
      <c r="A74" t="s">
        <v>725</v>
      </c>
    </row>
    <row r="75" spans="1:1" x14ac:dyDescent="0.2">
      <c r="A75" t="s">
        <v>726</v>
      </c>
    </row>
    <row r="76" spans="1:1" x14ac:dyDescent="0.2">
      <c r="A76" t="s">
        <v>727</v>
      </c>
    </row>
    <row r="77" spans="1:1" x14ac:dyDescent="0.2">
      <c r="A77" t="s">
        <v>728</v>
      </c>
    </row>
    <row r="78" spans="1:1" x14ac:dyDescent="0.2">
      <c r="A78" t="s">
        <v>729</v>
      </c>
    </row>
    <row r="79" spans="1:1" x14ac:dyDescent="0.2">
      <c r="A79" t="s">
        <v>730</v>
      </c>
    </row>
    <row r="80" spans="1:1" x14ac:dyDescent="0.2">
      <c r="A80" t="s">
        <v>731</v>
      </c>
    </row>
    <row r="81" spans="1:1" x14ac:dyDescent="0.2">
      <c r="A81" t="s">
        <v>732</v>
      </c>
    </row>
    <row r="82" spans="1:1" x14ac:dyDescent="0.2">
      <c r="A82" t="s">
        <v>733</v>
      </c>
    </row>
    <row r="83" spans="1:1" x14ac:dyDescent="0.2">
      <c r="A83" t="s">
        <v>734</v>
      </c>
    </row>
    <row r="84" spans="1:1" x14ac:dyDescent="0.2">
      <c r="A84" t="s">
        <v>735</v>
      </c>
    </row>
    <row r="85" spans="1:1" x14ac:dyDescent="0.2">
      <c r="A85" t="s">
        <v>736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618AA32-17A2-485D-95FE-DE6375A1049C}">
  <ds:schemaRefs>
    <ds:schemaRef ds:uri="8e1efd23-f4ba-42d2-85fd-6a510437bae6"/>
    <ds:schemaRef ds:uri="http://purl.org/dc/dcmitype/"/>
    <ds:schemaRef ds:uri="3bad6c6a-329d-45e9-b8b0-1ebecc8a8764"/>
    <ds:schemaRef ds:uri="http://schemas.microsoft.com/office/2006/documentManagement/types"/>
    <ds:schemaRef ds:uri="http://purl.org/dc/elements/1.1/"/>
    <ds:schemaRef ds:uri="http://schemas.openxmlformats.org/package/2006/metadata/core-properties"/>
    <ds:schemaRef ds:uri="http://www.w3.org/XML/1998/namespace"/>
    <ds:schemaRef ds:uri="http://schemas.microsoft.com/office/infopath/2007/PartnerControls"/>
    <ds:schemaRef ds:uri="http://schemas.microsoft.com/office/2006/metadata/properties"/>
    <ds:schemaRef ds:uri="http://purl.org/dc/terms/"/>
  </ds:schemaRefs>
</ds:datastoreItem>
</file>

<file path=customXml/itemProps2.xml><?xml version="1.0" encoding="utf-8"?>
<ds:datastoreItem xmlns:ds="http://schemas.openxmlformats.org/officeDocument/2006/customXml" ds:itemID="{FA1FCEA2-2E70-4137-9976-F808ECC70391}">
  <ds:schemaRefs>
    <ds:schemaRef ds:uri="http://schemas.microsoft.com/sharepoint/v3/contenttype/forms"/>
  </ds:schemaRefs>
</ds:datastoreItem>
</file>

<file path=customXml/itemProps3.xml><?xml version="1.0" encoding="utf-8"?>
<ds:datastoreItem xmlns:ds="http://schemas.openxmlformats.org/officeDocument/2006/customXml" ds:itemID="{40A018EF-8115-45CE-8409-1523D815B3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2026-06-11T23:05:34Z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