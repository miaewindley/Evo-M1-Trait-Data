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codeName="ThisWorkbook" defaultThemeVersion="166925"/>
  <xr:revisionPtr revIDLastSave="0" documentId="11_F26DD8C4A4E48D1A3D61CC6E603E869C6E2D4135" xr6:coauthVersionLast="47" xr6:coauthVersionMax="47" xr10:uidLastSave="{00000000-0000-0000-0000-000000000000}"/>
  <bookViews>
    <workbookView xWindow="36260" yWindow="-5960" windowWidth="39560" windowHeight="28300" xr2:uid="{00000000-000D-0000-FFFF-FFFF00000000}"/>
  </bookViews>
  <sheets>
    <sheet name="Sheet1" sheetId="1" r:id="rId1"/>
    <sheet name="Pipeline" sheetId="3" r:id="rId2"/>
    <sheet name="Conflicts" sheetId="4" r:id="rId3"/>
    <sheet name="FileList" sheetId="5" r:id="rId4"/>
  </sheets>
  <calcPr calcId="0" fullCalcOnLoad="1" calcCompleted="0"/>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T77" i="1" l="1"/>
  <c r="M77" i="1" a="1"/>
  <c r="M77" i="1"/>
  <c r="L77" i="1"/>
  <c r="K77" i="1"/>
  <c r="J77" i="1"/>
  <c r="I77" i="1"/>
  <c r="H77" i="1"/>
  <c r="G77" i="1"/>
  <c r="F77" i="1"/>
  <c r="E77" i="1"/>
  <c r="T76" i="1"/>
  <c r="M76" i="1" a="1"/>
  <c r="M76" i="1"/>
  <c r="L76" i="1"/>
  <c r="K76" i="1"/>
  <c r="J76" i="1"/>
  <c r="I76" i="1"/>
  <c r="H76" i="1"/>
  <c r="G76" i="1"/>
  <c r="F76" i="1"/>
  <c r="E76" i="1"/>
  <c r="M75" i="1" a="1"/>
  <c r="M75" i="1"/>
  <c r="L75" i="1"/>
  <c r="K75" i="1"/>
  <c r="J75" i="1"/>
  <c r="I75" i="1"/>
  <c r="H75" i="1"/>
  <c r="G75" i="1"/>
  <c r="F75" i="1"/>
  <c r="E75" i="1"/>
  <c r="M74" i="1" a="1"/>
  <c r="M74" i="1"/>
  <c r="L74" i="1"/>
  <c r="K74" i="1"/>
  <c r="J74" i="1"/>
  <c r="I74" i="1"/>
  <c r="H74" i="1"/>
  <c r="G74" i="1"/>
  <c r="F74" i="1"/>
  <c r="E74" i="1"/>
  <c r="M73" i="1" a="1"/>
  <c r="M73" i="1"/>
  <c r="L73" i="1"/>
  <c r="K73" i="1"/>
  <c r="J73" i="1"/>
  <c r="I73" i="1"/>
  <c r="H73" i="1"/>
  <c r="G73" i="1"/>
  <c r="F73" i="1"/>
  <c r="E73" i="1"/>
  <c r="M72" i="1" a="1"/>
  <c r="M72" i="1"/>
  <c r="L72" i="1"/>
  <c r="K72" i="1"/>
  <c r="J72" i="1"/>
  <c r="I72" i="1"/>
  <c r="H72" i="1"/>
  <c r="G72" i="1"/>
  <c r="F72" i="1"/>
  <c r="E72" i="1"/>
  <c r="M71" i="1" a="1"/>
  <c r="M71" i="1"/>
  <c r="L71" i="1"/>
  <c r="K71" i="1"/>
  <c r="J71" i="1"/>
  <c r="I71" i="1"/>
  <c r="H71" i="1"/>
  <c r="G71" i="1"/>
  <c r="F71" i="1"/>
  <c r="E71" i="1"/>
  <c r="T70" i="1"/>
  <c r="M70" i="1" a="1"/>
  <c r="M70" i="1"/>
  <c r="L70" i="1"/>
  <c r="K70" i="1"/>
  <c r="J70" i="1"/>
  <c r="I70" i="1"/>
  <c r="H70" i="1"/>
  <c r="G70" i="1"/>
  <c r="F70" i="1"/>
  <c r="E70" i="1"/>
  <c r="T69" i="1"/>
  <c r="M69" i="1" a="1"/>
  <c r="M69" i="1"/>
  <c r="L69" i="1"/>
  <c r="K69" i="1"/>
  <c r="J69" i="1"/>
  <c r="I69" i="1"/>
  <c r="H69" i="1"/>
  <c r="G69" i="1"/>
  <c r="F69" i="1"/>
  <c r="E69" i="1"/>
  <c r="T68" i="1"/>
  <c r="M68" i="1" a="1"/>
  <c r="M68" i="1"/>
  <c r="L68" i="1"/>
  <c r="K68" i="1"/>
  <c r="J68" i="1"/>
  <c r="I68" i="1"/>
  <c r="H68" i="1"/>
  <c r="G68" i="1"/>
  <c r="F68" i="1"/>
  <c r="E68" i="1"/>
  <c r="M67" i="1" a="1"/>
  <c r="M67" i="1"/>
  <c r="L67" i="1"/>
  <c r="K67" i="1"/>
  <c r="J67" i="1"/>
  <c r="I67" i="1"/>
  <c r="H67" i="1"/>
  <c r="G67" i="1"/>
  <c r="F67" i="1"/>
  <c r="E67" i="1"/>
  <c r="M66" i="1" a="1"/>
  <c r="M66" i="1"/>
  <c r="L66" i="1"/>
  <c r="K66" i="1"/>
  <c r="J66" i="1"/>
  <c r="I66" i="1"/>
  <c r="H66" i="1"/>
  <c r="G66" i="1"/>
  <c r="F66" i="1"/>
  <c r="E66" i="1"/>
  <c r="T65" i="1"/>
  <c r="M65" i="1" a="1"/>
  <c r="M65" i="1"/>
  <c r="L65" i="1"/>
  <c r="K65" i="1"/>
  <c r="J65" i="1"/>
  <c r="I65" i="1"/>
  <c r="H65" i="1"/>
  <c r="G65" i="1"/>
  <c r="F65" i="1"/>
  <c r="E65" i="1"/>
  <c r="M64" i="1" a="1"/>
  <c r="M64" i="1"/>
  <c r="L64" i="1"/>
  <c r="K64" i="1"/>
  <c r="J64" i="1"/>
  <c r="I64" i="1"/>
  <c r="H64" i="1"/>
  <c r="G64" i="1"/>
  <c r="F64" i="1"/>
  <c r="E64" i="1"/>
  <c r="M63" i="1" a="1"/>
  <c r="M63" i="1"/>
  <c r="L63" i="1"/>
  <c r="K63" i="1"/>
  <c r="J63" i="1"/>
  <c r="I63" i="1"/>
  <c r="H63" i="1"/>
  <c r="G63" i="1"/>
  <c r="F63" i="1"/>
  <c r="E63" i="1"/>
  <c r="M62" i="1" a="1"/>
  <c r="M62" i="1"/>
  <c r="L62" i="1"/>
  <c r="K62" i="1"/>
  <c r="J62" i="1"/>
  <c r="I62" i="1"/>
  <c r="H62" i="1"/>
  <c r="G62" i="1"/>
  <c r="F62" i="1"/>
  <c r="E62" i="1"/>
  <c r="M61" i="1" a="1"/>
  <c r="M61" i="1"/>
  <c r="L61" i="1"/>
  <c r="K61" i="1"/>
  <c r="J61" i="1"/>
  <c r="I61" i="1"/>
  <c r="H61" i="1"/>
  <c r="G61" i="1"/>
  <c r="F61" i="1"/>
  <c r="E61" i="1"/>
  <c r="M60" i="1" a="1"/>
  <c r="M60" i="1"/>
  <c r="L60" i="1"/>
  <c r="K60" i="1"/>
  <c r="J60" i="1"/>
  <c r="I60" i="1"/>
  <c r="H60" i="1"/>
  <c r="G60" i="1"/>
  <c r="F60" i="1"/>
  <c r="E60" i="1"/>
  <c r="M59" i="1" a="1"/>
  <c r="M59" i="1"/>
  <c r="L59" i="1"/>
  <c r="K59" i="1"/>
  <c r="J59" i="1"/>
  <c r="I59" i="1"/>
  <c r="H59" i="1"/>
  <c r="G59" i="1"/>
  <c r="F59" i="1"/>
  <c r="E59" i="1"/>
  <c r="M58" i="1" a="1"/>
  <c r="M58" i="1"/>
  <c r="L58" i="1"/>
  <c r="K58" i="1"/>
  <c r="J58" i="1"/>
  <c r="I58" i="1"/>
  <c r="H58" i="1"/>
  <c r="G58" i="1"/>
  <c r="F58" i="1"/>
  <c r="E58" i="1"/>
  <c r="M57" i="1" a="1"/>
  <c r="M57" i="1"/>
  <c r="L57" i="1"/>
  <c r="K57" i="1"/>
  <c r="J57" i="1"/>
  <c r="I57" i="1"/>
  <c r="H57" i="1"/>
  <c r="G57" i="1"/>
  <c r="F57" i="1"/>
  <c r="E57" i="1"/>
  <c r="M56" i="1" a="1"/>
  <c r="M56" i="1"/>
  <c r="L56" i="1"/>
  <c r="K56" i="1"/>
  <c r="J56" i="1"/>
  <c r="I56" i="1"/>
  <c r="H56" i="1"/>
  <c r="G56" i="1"/>
  <c r="F56" i="1"/>
  <c r="E56" i="1"/>
  <c r="T55" i="1"/>
  <c r="M55" i="1" a="1"/>
  <c r="M55" i="1"/>
  <c r="L55" i="1"/>
  <c r="K55" i="1"/>
  <c r="J55" i="1"/>
  <c r="I55" i="1"/>
  <c r="H55" i="1"/>
  <c r="G55" i="1"/>
  <c r="F55" i="1"/>
  <c r="E55" i="1"/>
  <c r="T54" i="1"/>
  <c r="M54" i="1" a="1"/>
  <c r="M54" i="1"/>
  <c r="L54" i="1"/>
  <c r="K54" i="1"/>
  <c r="J54" i="1"/>
  <c r="I54" i="1"/>
  <c r="H54" i="1"/>
  <c r="G54" i="1"/>
  <c r="F54" i="1"/>
  <c r="E54" i="1"/>
  <c r="T53" i="1"/>
  <c r="M53" i="1" a="1"/>
  <c r="M53" i="1"/>
  <c r="L53" i="1"/>
  <c r="K53" i="1"/>
  <c r="J53" i="1"/>
  <c r="I53" i="1"/>
  <c r="H53" i="1"/>
  <c r="G53" i="1"/>
  <c r="F53" i="1"/>
  <c r="E53" i="1"/>
  <c r="T52" i="1"/>
  <c r="M52" i="1" a="1"/>
  <c r="M52" i="1"/>
  <c r="L52" i="1"/>
  <c r="K52" i="1"/>
  <c r="J52" i="1"/>
  <c r="I52" i="1"/>
  <c r="H52" i="1"/>
  <c r="G52" i="1"/>
  <c r="F52" i="1"/>
  <c r="E52" i="1"/>
  <c r="M51" i="1" a="1"/>
  <c r="M51" i="1"/>
  <c r="L51" i="1"/>
  <c r="K51" i="1"/>
  <c r="J51" i="1"/>
  <c r="I51" i="1"/>
  <c r="H51" i="1"/>
  <c r="G51" i="1"/>
  <c r="F51" i="1"/>
  <c r="E51" i="1"/>
  <c r="M50" i="1" a="1"/>
  <c r="M50" i="1"/>
  <c r="L50" i="1"/>
  <c r="K50" i="1"/>
  <c r="J50" i="1"/>
  <c r="I50" i="1"/>
  <c r="H50" i="1"/>
  <c r="G50" i="1"/>
  <c r="F50" i="1"/>
  <c r="E50" i="1"/>
  <c r="M49" i="1" a="1"/>
  <c r="M49" i="1"/>
  <c r="L49" i="1"/>
  <c r="K49" i="1"/>
  <c r="J49" i="1"/>
  <c r="I49" i="1"/>
  <c r="H49" i="1"/>
  <c r="G49" i="1"/>
  <c r="F49" i="1"/>
  <c r="E49" i="1"/>
  <c r="M48" i="1" a="1"/>
  <c r="M48" i="1"/>
  <c r="L48" i="1"/>
  <c r="K48" i="1"/>
  <c r="J48" i="1"/>
  <c r="I48" i="1"/>
  <c r="H48" i="1"/>
  <c r="G48" i="1"/>
  <c r="F48" i="1"/>
  <c r="E48" i="1"/>
  <c r="M47" i="1" a="1"/>
  <c r="M47" i="1"/>
  <c r="L47" i="1"/>
  <c r="K47" i="1"/>
  <c r="J47" i="1"/>
  <c r="I47" i="1"/>
  <c r="H47" i="1"/>
  <c r="G47" i="1"/>
  <c r="F47" i="1"/>
  <c r="E47" i="1"/>
  <c r="M46" i="1" a="1"/>
  <c r="M46" i="1"/>
  <c r="L46" i="1"/>
  <c r="K46" i="1"/>
  <c r="J46" i="1"/>
  <c r="I46" i="1"/>
  <c r="H46" i="1"/>
  <c r="G46" i="1"/>
  <c r="F46" i="1"/>
  <c r="E46" i="1"/>
  <c r="M45" i="1" a="1"/>
  <c r="M45" i="1"/>
  <c r="L45" i="1"/>
  <c r="K45" i="1"/>
  <c r="J45" i="1"/>
  <c r="I45" i="1"/>
  <c r="H45" i="1"/>
  <c r="G45" i="1"/>
  <c r="F45" i="1"/>
  <c r="E45" i="1"/>
  <c r="M44" i="1" a="1"/>
  <c r="M44" i="1"/>
  <c r="L44" i="1"/>
  <c r="K44" i="1"/>
  <c r="J44" i="1"/>
  <c r="I44" i="1"/>
  <c r="H44" i="1"/>
  <c r="G44" i="1"/>
  <c r="F44" i="1"/>
  <c r="E44" i="1"/>
  <c r="M43" i="1" a="1"/>
  <c r="M43" i="1"/>
  <c r="L43" i="1"/>
  <c r="K43" i="1"/>
  <c r="J43" i="1"/>
  <c r="I43" i="1"/>
  <c r="H43" i="1"/>
  <c r="G43" i="1"/>
  <c r="F43" i="1"/>
  <c r="E43" i="1"/>
  <c r="M42" i="1" a="1"/>
  <c r="M42" i="1"/>
  <c r="L42" i="1"/>
  <c r="K42" i="1"/>
  <c r="J42" i="1"/>
  <c r="I42" i="1"/>
  <c r="H42" i="1"/>
  <c r="G42" i="1"/>
  <c r="F42" i="1"/>
  <c r="E42" i="1"/>
  <c r="M41" i="1" a="1"/>
  <c r="M41" i="1"/>
  <c r="L41" i="1"/>
  <c r="K41" i="1"/>
  <c r="J41" i="1"/>
  <c r="I41" i="1"/>
  <c r="H41" i="1"/>
  <c r="G41" i="1"/>
  <c r="F41" i="1"/>
  <c r="E41" i="1"/>
  <c r="M40" i="1" a="1"/>
  <c r="M40" i="1"/>
  <c r="L40" i="1"/>
  <c r="K40" i="1"/>
  <c r="J40" i="1"/>
  <c r="I40" i="1"/>
  <c r="H40" i="1"/>
  <c r="G40" i="1"/>
  <c r="F40" i="1"/>
  <c r="E40" i="1"/>
  <c r="M39" i="1" a="1"/>
  <c r="M39" i="1"/>
  <c r="L39" i="1"/>
  <c r="K39" i="1"/>
  <c r="J39" i="1"/>
  <c r="I39" i="1"/>
  <c r="H39" i="1"/>
  <c r="G39" i="1"/>
  <c r="F39" i="1"/>
  <c r="E39" i="1"/>
  <c r="M38" i="1" a="1"/>
  <c r="M38" i="1"/>
  <c r="L38" i="1"/>
  <c r="K38" i="1"/>
  <c r="J38" i="1"/>
  <c r="I38" i="1"/>
  <c r="H38" i="1"/>
  <c r="G38" i="1"/>
  <c r="F38" i="1"/>
  <c r="E38" i="1"/>
  <c r="M37" i="1" a="1"/>
  <c r="M37" i="1"/>
  <c r="L37" i="1"/>
  <c r="K37" i="1"/>
  <c r="J37" i="1"/>
  <c r="I37" i="1"/>
  <c r="H37" i="1"/>
  <c r="G37" i="1"/>
  <c r="F37" i="1"/>
  <c r="E37" i="1"/>
  <c r="M36" i="1" a="1"/>
  <c r="M36" i="1"/>
  <c r="L36" i="1"/>
  <c r="K36" i="1"/>
  <c r="J36" i="1"/>
  <c r="I36" i="1"/>
  <c r="H36" i="1"/>
  <c r="G36" i="1"/>
  <c r="F36" i="1"/>
  <c r="E36" i="1"/>
  <c r="M35" i="1" a="1"/>
  <c r="M35" i="1"/>
  <c r="L35" i="1"/>
  <c r="K35" i="1"/>
  <c r="J35" i="1"/>
  <c r="I35" i="1"/>
  <c r="H35" i="1"/>
  <c r="G35" i="1"/>
  <c r="F35" i="1"/>
  <c r="E35" i="1"/>
  <c r="M34" i="1" a="1"/>
  <c r="M34" i="1"/>
  <c r="L34" i="1"/>
  <c r="K34" i="1"/>
  <c r="J34" i="1"/>
  <c r="I34" i="1"/>
  <c r="H34" i="1"/>
  <c r="G34" i="1"/>
  <c r="F34" i="1"/>
  <c r="E34" i="1"/>
  <c r="M33" i="1" a="1"/>
  <c r="M33" i="1"/>
  <c r="L33" i="1"/>
  <c r="K33" i="1"/>
  <c r="J33" i="1"/>
  <c r="I33" i="1"/>
  <c r="H33" i="1"/>
  <c r="G33" i="1"/>
  <c r="F33" i="1"/>
  <c r="E33" i="1"/>
  <c r="T32" i="1"/>
  <c r="M32" i="1" a="1"/>
  <c r="M32" i="1"/>
  <c r="L32" i="1"/>
  <c r="K32" i="1"/>
  <c r="J32" i="1"/>
  <c r="I32" i="1"/>
  <c r="H32" i="1"/>
  <c r="G32" i="1"/>
  <c r="F32" i="1"/>
  <c r="E32" i="1"/>
  <c r="T31" i="1"/>
  <c r="M31" i="1" a="1"/>
  <c r="M31" i="1"/>
  <c r="L31" i="1"/>
  <c r="K31" i="1"/>
  <c r="J31" i="1"/>
  <c r="I31" i="1"/>
  <c r="H31" i="1"/>
  <c r="G31" i="1"/>
  <c r="F31" i="1"/>
  <c r="E31" i="1"/>
  <c r="M30" i="1" a="1"/>
  <c r="M30" i="1"/>
  <c r="L30" i="1"/>
  <c r="K30" i="1"/>
  <c r="J30" i="1"/>
  <c r="I30" i="1"/>
  <c r="H30" i="1"/>
  <c r="G30" i="1"/>
  <c r="F30" i="1"/>
  <c r="E30" i="1"/>
  <c r="M29" i="1" a="1"/>
  <c r="M29" i="1"/>
  <c r="L29" i="1"/>
  <c r="K29" i="1"/>
  <c r="J29" i="1"/>
  <c r="I29" i="1"/>
  <c r="H29" i="1"/>
  <c r="G29" i="1"/>
  <c r="F29" i="1"/>
  <c r="E29" i="1"/>
  <c r="M28" i="1" a="1"/>
  <c r="M28" i="1"/>
  <c r="L28" i="1"/>
  <c r="K28" i="1"/>
  <c r="J28" i="1"/>
  <c r="I28" i="1"/>
  <c r="H28" i="1"/>
  <c r="G28" i="1"/>
  <c r="F28" i="1"/>
  <c r="E28" i="1"/>
  <c r="M27" i="1" a="1"/>
  <c r="M27" i="1"/>
  <c r="L27" i="1"/>
  <c r="K27" i="1"/>
  <c r="J27" i="1"/>
  <c r="I27" i="1"/>
  <c r="H27" i="1"/>
  <c r="G27" i="1"/>
  <c r="F27" i="1"/>
  <c r="E27" i="1"/>
  <c r="M26" i="1" a="1"/>
  <c r="M26" i="1"/>
  <c r="L26" i="1"/>
  <c r="K26" i="1"/>
  <c r="J26" i="1"/>
  <c r="I26" i="1"/>
  <c r="H26" i="1"/>
  <c r="G26" i="1"/>
  <c r="F26" i="1"/>
  <c r="E26" i="1"/>
  <c r="M25" i="1" a="1"/>
  <c r="M25" i="1"/>
  <c r="L25" i="1"/>
  <c r="K25" i="1"/>
  <c r="J25" i="1"/>
  <c r="I25" i="1"/>
  <c r="H25" i="1"/>
  <c r="G25" i="1"/>
  <c r="F25" i="1"/>
  <c r="E25" i="1"/>
  <c r="M24" i="1" a="1"/>
  <c r="M24" i="1"/>
  <c r="L24" i="1"/>
  <c r="K24" i="1"/>
  <c r="J24" i="1"/>
  <c r="I24" i="1"/>
  <c r="H24" i="1"/>
  <c r="G24" i="1"/>
  <c r="F24" i="1"/>
  <c r="E24" i="1"/>
  <c r="M23" i="1" a="1"/>
  <c r="M23" i="1"/>
  <c r="L23" i="1"/>
  <c r="K23" i="1"/>
  <c r="J23" i="1"/>
  <c r="I23" i="1"/>
  <c r="H23" i="1"/>
  <c r="G23" i="1"/>
  <c r="F23" i="1"/>
  <c r="E23" i="1"/>
  <c r="M22" i="1" a="1"/>
  <c r="M22" i="1"/>
  <c r="L22" i="1"/>
  <c r="K22" i="1"/>
  <c r="J22" i="1"/>
  <c r="I22" i="1"/>
  <c r="H22" i="1"/>
  <c r="G22" i="1"/>
  <c r="F22" i="1"/>
  <c r="E22" i="1"/>
  <c r="M21" i="1" a="1"/>
  <c r="M21" i="1"/>
  <c r="L21" i="1"/>
  <c r="K21" i="1"/>
  <c r="J21" i="1"/>
  <c r="I21" i="1"/>
  <c r="H21" i="1"/>
  <c r="G21" i="1"/>
  <c r="F21" i="1"/>
  <c r="E21" i="1"/>
  <c r="M20" i="1" a="1"/>
  <c r="M20" i="1"/>
  <c r="L20" i="1"/>
  <c r="K20" i="1"/>
  <c r="J20" i="1"/>
  <c r="I20" i="1"/>
  <c r="H20" i="1"/>
  <c r="G20" i="1"/>
  <c r="F20" i="1"/>
  <c r="E20" i="1"/>
  <c r="M19" i="1" a="1"/>
  <c r="M19" i="1"/>
  <c r="L19" i="1"/>
  <c r="K19" i="1"/>
  <c r="J19" i="1"/>
  <c r="I19" i="1"/>
  <c r="H19" i="1"/>
  <c r="G19" i="1"/>
  <c r="F19" i="1"/>
  <c r="E19" i="1"/>
  <c r="M18" i="1" a="1"/>
  <c r="M18" i="1"/>
  <c r="L18" i="1"/>
  <c r="K18" i="1"/>
  <c r="J18" i="1"/>
  <c r="I18" i="1"/>
  <c r="H18" i="1"/>
  <c r="G18" i="1"/>
  <c r="F18" i="1"/>
  <c r="E18" i="1"/>
  <c r="M17" i="1" a="1"/>
  <c r="M17" i="1"/>
  <c r="L17" i="1"/>
  <c r="K17" i="1"/>
  <c r="J17" i="1"/>
  <c r="I17" i="1"/>
  <c r="H17" i="1"/>
  <c r="G17" i="1"/>
  <c r="F17" i="1"/>
  <c r="E17" i="1"/>
  <c r="M16" i="1" a="1"/>
  <c r="M16" i="1"/>
  <c r="L16" i="1"/>
  <c r="K16" i="1"/>
  <c r="J16" i="1"/>
  <c r="I16" i="1"/>
  <c r="H16" i="1"/>
  <c r="G16" i="1"/>
  <c r="F16" i="1"/>
  <c r="E16" i="1"/>
  <c r="M15" i="1" a="1"/>
  <c r="M15" i="1"/>
  <c r="L15" i="1"/>
  <c r="K15" i="1"/>
  <c r="J15" i="1"/>
  <c r="I15" i="1"/>
  <c r="H15" i="1"/>
  <c r="G15" i="1"/>
  <c r="F15" i="1"/>
  <c r="E15" i="1"/>
  <c r="M14" i="1" a="1"/>
  <c r="M14" i="1"/>
  <c r="L14" i="1"/>
  <c r="K14" i="1"/>
  <c r="J14" i="1"/>
  <c r="I14" i="1"/>
  <c r="H14" i="1"/>
  <c r="G14" i="1"/>
  <c r="F14" i="1"/>
  <c r="E14" i="1"/>
  <c r="M13" i="1" a="1"/>
  <c r="M13" i="1"/>
  <c r="L13" i="1"/>
  <c r="K13" i="1"/>
  <c r="J13" i="1"/>
  <c r="I13" i="1"/>
  <c r="H13" i="1"/>
  <c r="G13" i="1"/>
  <c r="F13" i="1"/>
  <c r="E13" i="1"/>
  <c r="T12" i="1"/>
  <c r="M12" i="1" a="1"/>
  <c r="M12" i="1"/>
  <c r="L12" i="1"/>
  <c r="K12" i="1"/>
  <c r="J12" i="1"/>
  <c r="I12" i="1"/>
  <c r="H12" i="1"/>
  <c r="G12" i="1"/>
  <c r="F12" i="1"/>
  <c r="E12" i="1"/>
  <c r="M11" i="1" a="1"/>
  <c r="M11" i="1"/>
  <c r="L11" i="1"/>
  <c r="K11" i="1"/>
  <c r="J11" i="1"/>
  <c r="I11" i="1"/>
  <c r="H11" i="1"/>
  <c r="G11" i="1"/>
  <c r="F11" i="1"/>
  <c r="E11" i="1"/>
  <c r="M10" i="1" a="1"/>
  <c r="M10" i="1"/>
  <c r="L10" i="1"/>
  <c r="K10" i="1"/>
  <c r="J10" i="1"/>
  <c r="I10" i="1"/>
  <c r="H10" i="1"/>
  <c r="G10" i="1"/>
  <c r="F10" i="1"/>
  <c r="E10" i="1"/>
  <c r="T9" i="1"/>
  <c r="M9" i="1" a="1"/>
  <c r="M9" i="1"/>
  <c r="L9" i="1"/>
  <c r="K9" i="1"/>
  <c r="J9" i="1"/>
  <c r="I9" i="1"/>
  <c r="H9" i="1"/>
  <c r="G9" i="1"/>
  <c r="F9" i="1"/>
  <c r="E9" i="1"/>
  <c r="M8" i="1" a="1"/>
  <c r="M8" i="1"/>
  <c r="L8" i="1"/>
  <c r="K8" i="1"/>
  <c r="J8" i="1"/>
  <c r="I8" i="1"/>
  <c r="H8" i="1"/>
  <c r="G8" i="1"/>
  <c r="F8" i="1"/>
  <c r="E8" i="1"/>
  <c r="M7" i="1" a="1"/>
  <c r="M7" i="1"/>
  <c r="L7" i="1"/>
  <c r="K7" i="1"/>
  <c r="J7" i="1"/>
  <c r="I7" i="1"/>
  <c r="H7" i="1"/>
  <c r="G7" i="1"/>
  <c r="F7" i="1"/>
  <c r="E7" i="1"/>
  <c r="T6" i="1"/>
  <c r="M6" i="1" a="1"/>
  <c r="M6" i="1"/>
  <c r="L6" i="1"/>
  <c r="K6" i="1"/>
  <c r="J6" i="1"/>
  <c r="I6" i="1"/>
  <c r="H6" i="1"/>
  <c r="G6" i="1"/>
  <c r="F6" i="1"/>
  <c r="E6" i="1"/>
  <c r="M5" i="1" a="1"/>
  <c r="M5" i="1"/>
  <c r="L5" i="1"/>
  <c r="K5" i="1"/>
  <c r="J5" i="1"/>
  <c r="I5" i="1"/>
  <c r="H5" i="1"/>
  <c r="G5" i="1"/>
  <c r="F5" i="1"/>
  <c r="E5" i="1"/>
  <c r="M4" i="1" a="1"/>
  <c r="M4" i="1"/>
  <c r="L4" i="1"/>
  <c r="K4" i="1"/>
  <c r="J4" i="1"/>
  <c r="I4" i="1"/>
  <c r="H4" i="1"/>
  <c r="G4" i="1"/>
  <c r="F4" i="1"/>
  <c r="E4" i="1"/>
  <c r="M3" i="1" a="1"/>
  <c r="M3" i="1"/>
  <c r="L3" i="1"/>
  <c r="K3" i="1"/>
  <c r="J3" i="1"/>
  <c r="I3" i="1"/>
  <c r="H3" i="1"/>
  <c r="G3" i="1"/>
  <c r="F3" i="1"/>
  <c r="E3" i="1"/>
  <c r="M2" i="1" a="1"/>
  <c r="M2" i="1"/>
  <c r="L2" i="1"/>
  <c r="K2" i="1"/>
  <c r="J2" i="1"/>
  <c r="I2" i="1"/>
  <c r="H2" i="1"/>
  <c r="G2" i="1"/>
  <c r="F2" i="1"/>
  <c r="E2" i="1"/>
</calcChain>
</file>

<file path=xl/sharedStrings.xml><?xml version="1.0" encoding="utf-8"?>
<sst xmlns="http://schemas.openxmlformats.org/spreadsheetml/2006/main" count="781" uniqueCount="403">
  <si>
    <t>Citation (APA 7th-Annotated)</t>
  </si>
  <si>
    <t>sequence</t>
  </si>
  <si>
    <t>DOI if different from article</t>
  </si>
  <si>
    <t>Item number</t>
  </si>
  <si>
    <t>end</t>
  </si>
  <si>
    <t>Publication name</t>
  </si>
  <si>
    <t>1st Author</t>
  </si>
  <si>
    <t>other author(s)</t>
  </si>
  <si>
    <t>year</t>
  </si>
  <si>
    <t>DOI (or Alt)</t>
  </si>
  <si>
    <t>Item name</t>
  </si>
  <si>
    <t>Item encoded</t>
  </si>
  <si>
    <t>Item in directory FileList</t>
  </si>
  <si>
    <t>Item full name</t>
  </si>
  <si>
    <t>Note: related Item(s) included in folder</t>
  </si>
  <si>
    <t>Progress stage</t>
  </si>
  <si>
    <t>Online Database</t>
  </si>
  <si>
    <t>Snapshot</t>
  </si>
  <si>
    <t>Adjustment made</t>
  </si>
  <si>
    <t>Data readable file, can use this</t>
  </si>
  <si>
    <t>Source Type</t>
  </si>
  <si>
    <t>Source format</t>
  </si>
  <si>
    <t>Source URL direct access</t>
  </si>
  <si>
    <t>Source URL link</t>
  </si>
  <si>
    <t>Main Trait(s)</t>
  </si>
  <si>
    <t>Source type</t>
  </si>
  <si>
    <t>Team</t>
  </si>
  <si>
    <t>Method</t>
  </si>
  <si>
    <t>Possible Traits</t>
  </si>
  <si>
    <t>Note</t>
  </si>
  <si>
    <t>Subcategory</t>
  </si>
  <si>
    <t>Flags pre-addressed</t>
  </si>
  <si>
    <t>Flags possible</t>
  </si>
  <si>
    <t>Flags active (skips)</t>
  </si>
  <si>
    <t>Avelino-de-Souza, K., Patzke, N., Karlsson, K. A. E., Manger, P. R., &amp; Herculano-Houzel, S. (2025). Cellular Composition of the Brain of a Northern Minke Whale. J Comp Neurol, 533(9), e70089. https://doi.org/10.1002/cne.70089</t>
  </si>
  <si>
    <t>TABLE 1</t>
  </si>
  <si>
    <t>table</t>
  </si>
  <si>
    <t>neuron number</t>
  </si>
  <si>
    <t>primary</t>
  </si>
  <si>
    <t>Baron, G., Frahm, H. D., Bhatnagar, K. P., &amp; Stephan, H. (1983). Comparison of brain structure volumes in Insectivora and Primates. III. Main olfactory bulb (MOB). J Hirnforsch, 24(5), 551-568. https://www.ncbi.nlm.nih.gov/pubmed/6663055</t>
  </si>
  <si>
    <t>10.0000/placeholder.1</t>
  </si>
  <si>
    <t>Table 1</t>
  </si>
  <si>
    <t>NO - not digitized</t>
  </si>
  <si>
    <t>Baron, G., Stephan, H., &amp; Frahm, H. D. (1987). Comparison of brain structure volumes in Insectivora and Primates. VI. Paleocortical components. J Hirnforsch, 28(4), 463-477. http://www.ncbi.nlm.nih.gov/pubmed/3116076</t>
  </si>
  <si>
    <t>10.0000/placeholder.2</t>
  </si>
  <si>
    <t>Brodmann, K. (1913). Neue Forschungsergebnisse der Großhirnrindenanatomie mit besonderer Berücksichtigung anthropologischer Fragen. Verhandlungen der Gesellschaft Deutscher Naturforscher und Ärzte, 85(1), 200-240</t>
  </si>
  <si>
    <t>10.0000/placeholder</t>
  </si>
  <si>
    <t>Tabelle 1</t>
  </si>
  <si>
    <t>Burger, J. R., George, M. A., Leadbetter, C., &amp; Shaikh, F. (2019). The allometry of brain size in mammals. J Mammal, 100(2), 276-283. https://doi.org/10.1093/jmammal/gyz043</t>
  </si>
  <si>
    <t>Supplementary Data SD1</t>
  </si>
  <si>
    <t>Supplementary Data SD2</t>
  </si>
  <si>
    <t>FINISHED</t>
  </si>
  <si>
    <t>already there</t>
  </si>
  <si>
    <t>gyz043_suppl_Supplement_Data.csv</t>
  </si>
  <si>
    <t>N</t>
  </si>
  <si>
    <t>zipped csv</t>
  </si>
  <si>
    <t>NO - the article link did not work in R, and goes to a zip</t>
  </si>
  <si>
    <t>Brain and body size</t>
  </si>
  <si>
    <t>secondary</t>
  </si>
  <si>
    <t>derived relative brain size data are problematic</t>
  </si>
  <si>
    <t>mammals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</si>
  <si>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</si>
  <si>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</si>
  <si>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</si>
  <si>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</si>
  <si>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</si>
  <si>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primary (individual)</t>
  </si>
  <si>
    <t>number spinal cord neurons</t>
  </si>
  <si>
    <t>primates and tree shrew</t>
  </si>
  <si>
    <t>Table 1. Cellular composition of the spinal cord</t>
  </si>
  <si>
    <t>added</t>
  </si>
  <si>
    <t>Burish_etal_2010_Table1_snapshot.csv</t>
  </si>
  <si>
    <t>primary (averages)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</si>
  <si>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</si>
  <si>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</si>
  <si>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</si>
  <si>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</si>
  <si>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</si>
  <si>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</si>
  <si>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</si>
  <si>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</si>
  <si>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primates</t>
  </si>
  <si>
    <t>part 1: handedness summary table</t>
  </si>
  <si>
    <t>Caspar_etal_2022_Table1_snapshot.xlsx</t>
  </si>
  <si>
    <t>Y</t>
  </si>
  <si>
    <t>Caspar_etal_2022_Table1.csv</t>
  </si>
  <si>
    <t>pdf</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</si>
  <si>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</si>
  <si>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</si>
  <si>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</si>
  <si>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derived from primary</t>
  </si>
  <si>
    <t>perhaps useful to get raw data as well?</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</si>
  <si>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</si>
  <si>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</si>
  <si>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</si>
  <si>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</si>
  <si>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</si>
  <si>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</si>
  <si>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</si>
  <si>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</si>
  <si>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number of cortical areas</t>
  </si>
  <si>
    <t>primary (derived from published materials)</t>
  </si>
  <si>
    <t>summary to check more precise areas from ProjectKaskan</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</si>
  <si>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</si>
  <si>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</si>
  <si>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</si>
  <si>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</si>
  <si>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acoustic communication</t>
  </si>
  <si>
    <t>dial activity (Supp 4)</t>
  </si>
  <si>
    <t>maybe delete: not relevent in current dataset, unless for imputations?</t>
  </si>
  <si>
    <t>vertebrates</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</si>
  <si>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</si>
  <si>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</si>
  <si>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</si>
  <si>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</si>
  <si>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</si>
  <si>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</si>
  <si>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</si>
  <si>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</si>
  <si>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Brain Regions Volumes</t>
  </si>
  <si>
    <t>mostly Stephan and other Ddorf studies</t>
  </si>
  <si>
    <t>Supplementary Data 1-Activity Period</t>
  </si>
  <si>
    <t>Activity Period</t>
  </si>
  <si>
    <t>Supplementary Data 1-Diet</t>
  </si>
  <si>
    <t>Diet</t>
  </si>
  <si>
    <t>Supplementary Data 1-Social System</t>
  </si>
  <si>
    <t>Social System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</si>
  <si>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</si>
  <si>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</si>
  <si>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</si>
  <si>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</si>
  <si>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</si>
  <si>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</si>
  <si>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</si>
  <si>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</si>
  <si>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Cell numbers, region size</t>
  </si>
  <si>
    <t>HH</t>
  </si>
  <si>
    <t>marsupials</t>
  </si>
  <si>
    <t>erratum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</si>
  <si>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</si>
  <si>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DosSantos_etal_2020_Table1_snapshot.csv</t>
  </si>
  <si>
    <t>DosSantos_etal_2020_Table1.csv</t>
  </si>
  <si>
    <t>pdf online</t>
  </si>
  <si>
    <t>primary; secondary (compiled team data)</t>
  </si>
  <si>
    <t>microglia</t>
  </si>
  <si>
    <t>unpublished</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</si>
  <si>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</si>
  <si>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</si>
  <si>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</si>
  <si>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</si>
  <si>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</si>
  <si>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</si>
  <si>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</si>
  <si>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</si>
  <si>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</si>
  <si>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</si>
  <si>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</si>
  <si>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</si>
  <si>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</si>
  <si>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</si>
  <si>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</si>
  <si>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</si>
  <si>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</si>
  <si>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</si>
  <si>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</si>
  <si>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</si>
  <si>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</si>
  <si>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</si>
  <si>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</si>
  <si>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</si>
  <si>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</si>
  <si>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</si>
  <si>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Heffner, R., &amp; Masterton, B. (1975). Variation in form of the pyramidal tract and its relationship to digital dexterity. Brain Behav Evol, 12(3), 161-200. https://doi.org/10.1159/000124401</t>
  </si>
  <si>
    <t>Table I</t>
  </si>
  <si>
    <t>Heffner_Masterton_1975_TableI_snapshot.xlsx</t>
  </si>
  <si>
    <t>Heffner_Masterton_1975_TableI.csv</t>
  </si>
  <si>
    <t>digital dexterity</t>
  </si>
  <si>
    <t>mostly secondary</t>
  </si>
  <si>
    <t>area of pyramidal tract; deepest lamina</t>
  </si>
  <si>
    <t>Heffner, R. S., &amp; Masterton, R. B. (1983). The role of the corticospinal tract in the evolution of human digital dexterity. Brain Behav Evol, 23(3-4), 165-183. https://doi.org/10.1159/000121494</t>
  </si>
  <si>
    <t>compare to 1975</t>
  </si>
  <si>
    <t>Heldstab, S. A., Kosonen, Z. K., Koski, S. E., Burkart, J. M., van Schaik, C. P., &amp; Isler, K. (2016). Manipulation complexity in primates coevolved with brain size and terrestriality. Sci Rep, 6, 24528. https://doi.org/10.1038/srep24528</t>
  </si>
  <si>
    <t>manipulation complexity</t>
  </si>
  <si>
    <t>Herculano-Houzel, S. (2015). Decreasing sleep requirement with increasing numbers of neurons as a driver for bigger brains and bodies in mammalian evolution. Proc Biol Sci, 282(1816), 20151853. https://doi.org/10.1098/rspb.2015.1853</t>
  </si>
  <si>
    <t>Table 1. Dataset used in this study.</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</si>
  <si>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</si>
  <si>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</si>
  <si>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</si>
  <si>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</si>
  <si>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</si>
  <si>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</si>
  <si>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</si>
  <si>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</si>
  <si>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https://karger.com/bbe/article-pdf/86/3-4/145/2264694/000437413.pdf</t>
  </si>
  <si>
    <t>placental mammals</t>
  </si>
  <si>
    <t>Table 2</t>
  </si>
  <si>
    <t>Table 2. Cerebellum</t>
  </si>
  <si>
    <t>HerculanoHouzel_etal_2015_Table2_snapshot.xlsx</t>
  </si>
  <si>
    <t>HerculanoHouzel_etal_2015_Table2.csv</t>
  </si>
  <si>
    <t>Table 3</t>
  </si>
  <si>
    <t>Table 3. RoB</t>
  </si>
  <si>
    <t>HerculanoHouzel_etal_2015_Table3_snapshot.xlsx</t>
  </si>
  <si>
    <t>HerculanoHouzel_etal_2015_Table3.csv</t>
  </si>
  <si>
    <t>Table 4</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</si>
  <si>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</si>
  <si>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</si>
  <si>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</si>
  <si>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</si>
  <si>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</si>
  <si>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</si>
  <si>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</si>
  <si>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</si>
  <si>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</si>
  <si>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</si>
  <si>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</si>
  <si>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region size</t>
  </si>
  <si>
    <t>bats</t>
  </si>
  <si>
    <t>TABLE 2 Numbers of neurons and neuronal density (neurons/mg)</t>
  </si>
  <si>
    <t>HerculanoHouzel_etal_2020_TABLE2_snapshot.csv</t>
  </si>
  <si>
    <t>HerculanoHouzel_etal_2020_Table2.csv</t>
  </si>
  <si>
    <t>Cell numbers</t>
  </si>
  <si>
    <t>Isler, K., Christopher Kirk, E., Miller, J. M. A., Albrecht, G. A., Gelvin, B. R., &amp; Martin, R. D. (2008). Endocranial volumes of primate species: scaling analyses using a comprehensive and reliable data set. J Hum Evol, 55(6), 967. https://doi.org/10.1016/j.jhevol.2008.08.004</t>
  </si>
  <si>
    <t>Table 7</t>
  </si>
  <si>
    <t>Table S3</t>
  </si>
  <si>
    <t>Tree.nex</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</si>
  <si>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</si>
  <si>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</si>
  <si>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</si>
  <si>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Table 1 The anatomical and behavioural traits used the comparative analysis</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</si>
  <si>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</si>
  <si>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</si>
  <si>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</si>
  <si>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play</t>
  </si>
  <si>
    <t>mammal clades</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</si>
  <si>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</si>
  <si>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</si>
  <si>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</si>
  <si>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</si>
  <si>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</si>
  <si>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</si>
  <si>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</si>
  <si>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</si>
  <si>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</si>
  <si>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</si>
  <si>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</si>
  <si>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</si>
  <si>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</si>
  <si>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</si>
  <si>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</si>
  <si>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</si>
  <si>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</si>
  <si>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sample size and information</t>
  </si>
  <si>
    <t>African mole-rats (Bathyergidae)</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</si>
  <si>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</si>
  <si>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</si>
  <si>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</si>
  <si>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</si>
  <si>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</si>
  <si>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</si>
  <si>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</si>
  <si>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</si>
  <si>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</si>
  <si>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</si>
  <si>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</si>
  <si>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L</t>
  </si>
  <si>
    <t>Lewitus, E., Kelava, I., Kalinka, A. T., Tomancak, P., &amp; Huttner, W. B. (2014). An adaptive threshold in mammalian neocortical evolution. PLoS Biol, 12(11), e1002000. https://doi.org/10.1371/journal.pbio.1002000</t>
  </si>
  <si>
    <t>Table S1 Physiological and life-history variables</t>
  </si>
  <si>
    <t>Table S8</t>
  </si>
  <si>
    <t>Table S8: Neocortical neuron number for Figure 3d</t>
  </si>
  <si>
    <t>MacLarnon, A. (1996). The scaling of gross dimensions of the spinal cord in primates and other species. J Hum Evol, 30(1), 71-87. https://doi.org/10.1006/jhev.1996.0005</t>
  </si>
  <si>
    <t>Table 1 Data</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</si>
  <si>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</si>
  <si>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data/species_predictors.xlsx</t>
  </si>
  <si>
    <t>need to record steps</t>
  </si>
  <si>
    <t>https://github.com/ManyPrimates/mp1_short_term_memory/raw/master/data/species_predictors.xlsx</t>
  </si>
  <si>
    <t>number of vocalizations</t>
  </si>
  <si>
    <t>various secondary and primary data, e.g., ecology</t>
  </si>
  <si>
    <t>Mota, B., &amp; Herculano-Houzel, S. (2015). Cortical folding scales universally with surface area and thickness, not number of neurons. Science, 349(6243), 74-77. https://doi.org/10.1126/science.aaa9101</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</si>
  <si>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</si>
  <si>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</si>
  <si>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</si>
  <si>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</si>
  <si>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</si>
  <si>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</si>
  <si>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</si>
  <si>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</si>
  <si>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</si>
  <si>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</si>
  <si>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</si>
  <si>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</si>
  <si>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</si>
  <si>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</si>
  <si>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Table 5. Species mean values for 10 GLI profile feature vectors</t>
  </si>
  <si>
    <t>Smaers, J. B., Steele, J., Case, C. R., Cowper, A., Amunts, K., &amp; Zilles, K. (2011). Primate prefrontal cortex evolution: human brains are the extreme of a lateralized ape trend. Brain Behav Evol, 77(2), 67-78. https://doi.org/10.1159/000323671</t>
  </si>
  <si>
    <t>SupplementaryTable1</t>
  </si>
  <si>
    <t>SupplementaryTable2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</si>
  <si>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</si>
  <si>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</si>
  <si>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</si>
  <si>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</si>
  <si>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</si>
  <si>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</si>
  <si>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</si>
  <si>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</si>
  <si>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</si>
  <si>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</si>
  <si>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</si>
  <si>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Young, N. A., Collins, C. E., &amp; Kaas, J. H. (2013). Cell and neuron densities in the primary motor cortex of primates [Original Research]. Front Neural Circuits, 7(30), 30. https://doi.org/10.3389/fncir.2013.00030</t>
  </si>
  <si>
    <t>M1 Cell count, surface area, mass</t>
  </si>
  <si>
    <t xml:space="preserve">Flexible Data Wrangling Pipeline: </t>
  </si>
  <si>
    <t xml:space="preserve">Source </t>
  </si>
  <si>
    <t>--&gt; Snapshot</t>
  </si>
  <si>
    <t>Digitized in original layout for comparison to source. R readable, e.g., Excel or CSV. All further changes in R code. Save a reference hardcopy file even if it can be accessed through URL.</t>
  </si>
  <si>
    <t xml:space="preserve">--&gt; Data readable   </t>
  </si>
  <si>
    <t>use csv, so that there is no data content that could be lost due layout changes.  For example, copy information from merged cells into individual cells</t>
  </si>
  <si>
    <t>--&gt; Transpose</t>
  </si>
  <si>
    <t>first column should have original species information.</t>
  </si>
  <si>
    <t>--&gt; Variables</t>
  </si>
  <si>
    <t>add a new header row. variable name should be made compatible with different datasets across different species. (save old header row at bottom?)</t>
  </si>
  <si>
    <t>--&gt; Species update</t>
  </si>
  <si>
    <t>if there are typos or shorthand species names used, can update based on heading, note, text</t>
  </si>
  <si>
    <t>--&gt; Species note</t>
  </si>
  <si>
    <t xml:space="preserve">add a column to include any additional information about the species from the table legend, paper text, personal communication, etc </t>
  </si>
  <si>
    <t>--&gt; Species correction</t>
  </si>
  <si>
    <t>add a column to correct any errors in species designations (e.g., misidentified or combined different species of same genus)</t>
  </si>
  <si>
    <t>--&gt; Corrections</t>
  </si>
  <si>
    <t>correction after erratum or other note. Indicate reason for correction.</t>
  </si>
  <si>
    <t>--&gt; Species final update</t>
  </si>
  <si>
    <t>add a column with (NCBI?) species names, scientific binomial, to match across databases</t>
  </si>
  <si>
    <t>--&gt; Online database</t>
  </si>
  <si>
    <t>save as tsv with DOI plus item for file name</t>
  </si>
  <si>
    <t>Question: the tables will be matched by a column, currently "Species". Should this be renamed something more unique like "Species_NCBI_EvoGen"?</t>
  </si>
  <si>
    <t>When combining datasets, provide metadata in the files "definitions" and deal with any conflicting values by preffering values following to the order below</t>
  </si>
  <si>
    <t>implementation</t>
  </si>
  <si>
    <t>Revised paper (or datum) if the team explicitly said values have been improved. Provide a flag and a reference in Metadata</t>
  </si>
  <si>
    <t>Flag worse value in and filter</t>
  </si>
  <si>
    <t>Method and/or lab with the highest number of mammalian species represented (ANY mammals not just the focal ones)</t>
  </si>
  <si>
    <t>this may need to be done manually</t>
  </si>
  <si>
    <t>Paper with the highest number of mammalian species represented (ANY mammals not just the focal ones)</t>
  </si>
  <si>
    <t>Species N</t>
  </si>
  <si>
    <t>Paper with the most recent publication date</t>
  </si>
  <si>
    <t xml:space="preserve">Ref last </t>
  </si>
  <si>
    <t>Files</t>
  </si>
  <si>
    <t>10.0000%2Fplaceholder.1_Table1.tsv</t>
  </si>
  <si>
    <t>10.1002%2Fcne.24605_TABLE1.tsv</t>
  </si>
  <si>
    <t>10.1002%2Fcne.24605_TABLE2.tsv</t>
  </si>
  <si>
    <t>10.1002%2Fcne.24985_TABLE1.tsv</t>
  </si>
  <si>
    <t>10.1002%2Fcne.24985_TABLE2.tsv</t>
  </si>
  <si>
    <t>10.1002%2Fcne.25669_TABLE1.tsv</t>
  </si>
  <si>
    <t>10.1002%2Fcne.70089_TABLE1.tsv</t>
  </si>
  <si>
    <t>10.1006%2Fjhev.1996.0005_Table1.tsv</t>
  </si>
  <si>
    <t>10.1007%2Fs004220000205_Figure3.tsv</t>
  </si>
  <si>
    <t>10.1016%2Fj.jhevol.2008.08.004_Table2.tsv</t>
  </si>
  <si>
    <t>10.1016%2Fj.jhevol.2008.08.004_Table7.tsv</t>
  </si>
  <si>
    <t>10.1016%2Fj.jhevol.2008.08.004_TableS1.tsv</t>
  </si>
  <si>
    <t>10.1016%2Fj.jhevol.2008.08.004_TableS2.tsv</t>
  </si>
  <si>
    <t>10.1016%2Fj.jhevol.2008.08.004_TableS3.tsv</t>
  </si>
  <si>
    <t>10.1016%2Fj.jhevol.2008.08.004_Tree.nex</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</si>
  <si>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</si>
  <si>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</si>
  <si>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</si>
  <si>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</si>
  <si>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</si>
  <si>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</si>
  <si>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</si>
  <si>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</si>
  <si>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</si>
  <si>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10.1073%2Fpnas.0905777106_TableS1.tsv</t>
  </si>
  <si>
    <t>10.1093%2Fjmammal%2Fgyz043_SupplementaryDataSD1.tsv</t>
  </si>
  <si>
    <t>10.1093%2Fjmammal%2Fgyz043.ReadMe.md</t>
  </si>
  <si>
    <t>10.1093%2Foso%2F9780198568742.003.0006_Table6.1.tsv</t>
  </si>
  <si>
    <t>10.1098%2Frspb.2015.1853_Table1.tsv</t>
  </si>
  <si>
    <t>10.1126%2Fscience.aaa9101_TableS1.tsv</t>
  </si>
  <si>
    <t>10.1159%2F000124401_TableI.tsv</t>
  </si>
  <si>
    <t>10.1159%2F000319019_SupplementaryTable1.tsv</t>
  </si>
  <si>
    <t>10.1159%2F000319019_Table1.tsv</t>
  </si>
  <si>
    <t>10.1159%2F000323671_SupplementaryTable1.tsv</t>
  </si>
  <si>
    <t>10.1159%2F000323671_SupplementaryTable2.tsv</t>
  </si>
  <si>
    <t>10.1159%2F000323671.ReadMe.md</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</si>
  <si>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</si>
  <si>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</si>
  <si>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</si>
  <si>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</si>
  <si>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</si>
  <si>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</si>
  <si>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</si>
  <si>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10.1371%2Fjournal.pbio.1002000_TableS8.ReadMe.md</t>
  </si>
  <si>
    <t>10.1371%2Fjournal.pbio.1002000_TableS8.tsv</t>
  </si>
  <si>
    <t>10.1523%2FJNEUROSCI.2339-19.2020_Table1.tsv</t>
  </si>
  <si>
    <t>10.1523%2FJNEUROSCI.2339-19.2020_unpublished.tsv</t>
  </si>
  <si>
    <t>10.3389%25Ffnana.2013.00035.svg</t>
  </si>
  <si>
    <t>10.3389%2Ffnana.2013.00035_Figure2TopLeft.ReadMe.md</t>
  </si>
  <si>
    <t>10.3389%2Ffnana.2013.00035_Figure2TopLeft.tsv</t>
  </si>
  <si>
    <t>10.3389%2Ffnana.2013.00035_Table1-a.tsv</t>
  </si>
  <si>
    <t>10.3389%2Ffnana.2013.00035_Table1-b.tsv</t>
  </si>
  <si>
    <t>10.3389%2Ffnana.2013.00035.ReadMe.md</t>
  </si>
  <si>
    <t>10.3389%2Ffnana.2017.00118_Table1.tsv</t>
  </si>
  <si>
    <t>10.3389%2Ffnhum.2013.00424_TableS2partial.tsv</t>
  </si>
  <si>
    <t>10.3389%2Ffnhum.2013.00424.ReadMe.md</t>
  </si>
  <si>
    <t>10.6084%2Fm9.figshare.c.3899422.v1_Dataset1.tsv</t>
  </si>
  <si>
    <t>10.7554%2FeLife.77875_Supplementaryfile3.tsv</t>
  </si>
  <si>
    <t>10.7554%2FeLife.77875_Table1.tsv</t>
  </si>
  <si>
    <t>README.md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</si>
</sst>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Calibri"/>
      <family val="2"/>
      <scheme val="minor"/>
    </font>
    <font>
      <sz val="11"/>
      <color rgb="FF3F3F76"/>
      <name val="Calibri"/>
      <scheme val="minor"/>
    </font>
    <font>
      <b/>
      <sz val="12"/>
      <color theme="1"/>
      <name val="Calibri"/>
      <family val="2"/>
      <scheme val="minor"/>
    </font>
    <font>
      <b/>
      <sz val="11"/>
      <color rgb="FF3F3F76"/>
      <name val="Calibri"/>
      <scheme val="minor"/>
    </font>
    <font>
      <sz val="12"/>
      <color theme="1"/>
      <name val="Calibri"/>
      <family val="2"/>
    </font>
    <font>
      <i/>
      <sz val="12"/>
      <color theme="1"/>
      <name val="Calibri"/>
      <family val="2"/>
      <scheme val="minor"/>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10">
    <xf numFmtId="0" fontId="0" fillId="0" borderId="0" xfId="0"/>
    <xf numFmtId="0" fontId="1" fillId="2" borderId="1" xfId="0" applyFont="1" applyFill="1" applyBorder="1"/>
    <xf numFmtId="0" fontId="2" fillId="0" borderId="0" xfId="0" applyFont="1"/>
    <xf numFmtId="0" fontId="1" fillId="2" borderId="1" xfId="0" applyFont="1" applyFill="1" applyBorder="1" applyAlignment="1">
      <alignment horizontal="left"/>
    </xf>
    <xf numFmtId="49" fontId="1" fillId="2" borderId="1" xfId="0" applyNumberFormat="1" applyFont="1" applyFill="1" applyBorder="1"/>
    <xf numFmtId="0" fontId="1" fillId="2" borderId="1" xfId="0" applyFont="1" applyFill="1" applyBorder="1" applyAlignment="1">
      <alignment wrapText="1"/>
    </xf>
    <xf numFmtId="0" fontId="3" fillId="2" borderId="1" xfId="0" applyFont="1" applyFill="1" applyBorder="1"/>
    <xf numFmtId="0" fontId="4" fillId="0" borderId="0" xfId="0" applyFont="1"/>
    <xf numFmtId="0" fontId="5" fillId="0" borderId="0" xfId="0" applyFont="1"/>
    <xf numFmtId="0" fontId="4"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karger.com/bbe/article-pdf/86/3-4/145/2264694/000437413.pdf" TargetMode="External"/><Relationship Id="rId13" Type="http://schemas.openxmlformats.org/officeDocument/2006/relationships/hyperlink" Target="https://www.pnas.org/doi/suppl/10.1073/pnas.0905777106/suppl_file/0905777106si.pdf" TargetMode="External"/><Relationship Id="rId3" Type="http://schemas.openxmlformats.org/officeDocument/2006/relationships/hyperlink" Target="https://static-content.springer.com/esm/art%3A10.1038%2Fs41467-020-14356-3/MediaObjects/41467_2020_14356_MOESM6_ESM.xlsx" TargetMode="External"/><Relationship Id="rId7" Type="http://schemas.openxmlformats.org/officeDocument/2006/relationships/hyperlink" Target="https://figshare.com/ndownloader/files/9479092" TargetMode="External"/><Relationship Id="rId12" Type="http://schemas.openxmlformats.org/officeDocument/2006/relationships/hyperlink" Target="https://doi.org/10.3389/fnana.2017.00118" TargetMode="External"/><Relationship Id="rId2" Type="http://schemas.openxmlformats.org/officeDocument/2006/relationships/hyperlink" Target="https://cdn.elifesciences.org/articles/77875/elife-77875-supp3-v1.xlsx" TargetMode="External"/><Relationship Id="rId1"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6" Type="http://schemas.openxmlformats.org/officeDocument/2006/relationships/hyperlink" Target="https://github.com/ManyPrimates/mp1_short_term_memory/raw/master/data/species_predictors.xlsx" TargetMode="External"/><Relationship Id="rId11" Type="http://schemas.openxmlformats.org/officeDocument/2006/relationships/hyperlink" Target="https://static-content.springer.com/esm/art%3A10.1038%2Fs41598-018-26062-8/MediaObjects/41598_2018_26062_MOESM1_ESM.docx" TargetMode="External"/><Relationship Id="rId5" Type="http://schemas.openxmlformats.org/officeDocument/2006/relationships/hyperlink" Target="https://www.researchgate.net/publication/299027052_Developmental_constraints_on_or_developmental_structure_in_brain_evolution" TargetMode="External"/><Relationship Id="rId10" Type="http://schemas.openxmlformats.org/officeDocument/2006/relationships/hyperlink" Target="https://static-content.springer.com/esm/art%3A10.1038%2Fs41598-018-26062-8/MediaObjects/41598_2018_26062_MOESM1_ESM.docx" TargetMode="External"/><Relationship Id="rId4" Type="http://schemas.openxmlformats.org/officeDocument/2006/relationships/hyperlink" Target="https://ndownloader.figstatic.com/files/7428211" TargetMode="External"/><Relationship Id="rId9" Type="http://schemas.openxmlformats.org/officeDocument/2006/relationships/hyperlink" Target="https://karger.com/bbe/article-pdf/86/3-4/145/2264694/000437413.pdf" TargetMode="External"/><Relationship Id="rId14" Type="http://schemas.openxmlformats.org/officeDocument/2006/relationships/hyperlink" Target="https://www.pnas.org/doi/suppl/10.1073/pnas.0905777106/suppl_file/0905777106si.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7"/>
  <sheetViews>
    <sheetView tabSelected="1" zoomScale="93" zoomScaleNormal="93" workbookViewId="0">
      <pane xSplit="2" ySplit="1" topLeftCell="C28" activePane="bottomRight" state="frozen"/>
      <selection pane="bottomRight" activeCell="A33" sqref="A33:XFD33"/>
      <selection pane="bottomLeft" activeCell="A2" sqref="A2"/>
      <selection pane="topRight" activeCell="B1" sqref="B1"/>
    </sheetView>
  </sheetViews>
  <sheetFormatPr defaultColWidth="11" defaultRowHeight="15"/>
  <cols>
    <col min="1" max="1" width="42.125" customWidth="1"/>
    <col min="2" max="2" width="5.125" customWidth="1"/>
    <col min="3" max="3" width="22.875" customWidth="1"/>
    <col min="4" max="4" width="34.875" customWidth="1"/>
    <col min="5" max="5" width="2" customWidth="1"/>
    <col min="6" max="6" width="23.625" customWidth="1"/>
    <col min="7" max="7" width="16.875" customWidth="1"/>
    <col min="8" max="8" width="15" customWidth="1"/>
    <col min="9" max="9" width="5.125" customWidth="1"/>
    <col min="10" max="10" width="12" customWidth="1"/>
    <col min="11" max="11" width="31.125" customWidth="1"/>
    <col min="12" max="12" width="46.5" customWidth="1"/>
    <col min="13" max="13" width="21.5" customWidth="1"/>
    <col min="14" max="14" width="15.375" customWidth="1"/>
    <col min="15" max="15" width="24" customWidth="1"/>
    <col min="16" max="16" width="10" customWidth="1"/>
    <col min="17" max="20" width="14.125" customWidth="1"/>
    <col min="21" max="21" width="13.875" customWidth="1"/>
    <col min="22" max="22" width="12.625" customWidth="1"/>
    <col min="23" max="23" width="22.125" customWidth="1"/>
    <col min="24" max="24" width="14.375" customWidth="1"/>
    <col min="25" max="25" width="39.5" customWidth="1"/>
    <col min="26" max="26" width="11.125" customWidth="1"/>
    <col min="27" max="27" width="5" customWidth="1"/>
    <col min="28" max="28" width="7.5" customWidth="1"/>
    <col min="29" max="29" width="10.625" customWidth="1"/>
    <col min="30" max="30" width="10.875" customWidth="1"/>
    <col min="31" max="31" width="11" customWidth="1"/>
    <col min="32" max="34" width="10.875" customWidth="1"/>
  </cols>
  <sheetData>
    <row r="1" spans="1:34" ht="15.95" customHeight="1">
      <c r="A1" s="6" t="s">
        <v>0</v>
      </c>
      <c r="B1" s="6" t="s">
        <v>1</v>
      </c>
      <c r="C1" s="6" t="s">
        <v>2</v>
      </c>
      <c r="D1" s="6" t="s">
        <v>3</v>
      </c>
      <c r="E1" s="2" t="s">
        <v>4</v>
      </c>
      <c r="F1" s="2" t="s">
        <v>5</v>
      </c>
      <c r="G1" s="2" t="s">
        <v>6</v>
      </c>
      <c r="H1" s="2" t="s">
        <v>7</v>
      </c>
      <c r="I1" s="2" t="s">
        <v>8</v>
      </c>
      <c r="J1" s="2" t="s">
        <v>9</v>
      </c>
      <c r="K1" s="2" t="s">
        <v>10</v>
      </c>
      <c r="L1" s="2" t="s">
        <v>11</v>
      </c>
      <c r="M1" s="2"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row>
    <row r="2" spans="1:34" ht="15.95" customHeight="1">
      <c r="A2" s="1" t="s">
        <v>34</v>
      </c>
      <c r="D2" s="1" t="s">
        <v>35</v>
      </c>
      <c r="E2" t="str">
        <f t="shared" ref="E2" si="0">RIGHT(A2,1)</f>
        <v>9</v>
      </c>
      <c r="F2" t="str">
        <f t="shared" ref="F2" si="1">G2 &amp; IF(H2&lt;&gt;"", "_" &amp; H2, "_") &amp; IF(I2&lt;&gt;"", "_" &amp; I2, "_") &amp; IF(B2&lt;&gt;"", "_" &amp; B2, "")</f>
        <v>AvelinodeSouza_etal_2025</v>
      </c>
      <c r="G2" t="str">
        <f t="shared" ref="G2" si="2">SUBSTITUTE(SUBSTITUTE(_xlfn.TEXTBEFORE(A2,","), "-", ""), " ", "")</f>
        <v>AvelinodeSouza</v>
      </c>
      <c r="H2" t="str">
        <f t="shared" ref="H2" si="3">IF(ISNUMBER(FIND("&amp;", A2)),
    IF(LEN(A2)-LEN(SUBSTITUTE(A2, ",", ""))&gt;=6, "etal", MID(A2, SEARCH("&amp; ", A2)+2, SEARCH(",", A2, SEARCH("&amp; ", A2)+2) - SEARCH("&amp; ", A2)-2)),
    ""
)</f>
        <v>etal</v>
      </c>
      <c r="I2" t="str">
        <f t="shared" ref="I2" si="4">_xlfn.TEXTBEFORE(_xlfn.TEXTAFTER(A2, "("), ")")</f>
        <v>2025</v>
      </c>
      <c r="J2" t="str">
        <f t="shared" ref="J2" si="5">_xlfn.TEXTAFTER(A2,"https://doi.org/")</f>
        <v>10.1002/cne.70089</v>
      </c>
      <c r="K2" t="str">
        <f>TRIM(_xlfn.TEXTJOIN("_",FALSE,F2,(SUBSTITUTE(SUBSTITUTE(D2," ",""), "_", ""))))</f>
        <v>AvelinodeSouza_etal_2025_TABLE1</v>
      </c>
      <c r="L2" t="str">
        <f>IF(ISBLANK(C2),TRIM(SUBSTITUTE(SUBSTITUTE(SUBSTITUTE(_xlfn.TEXTJOIN("_", FALSE, J2, SUBSTITUTE(D2,"_", "")), "/", "%2F"), ":", "%3A"), " ", "")),TRIM(SUBSTITUTE(SUBSTITUTE(SUBSTITUTE(_xlfn.TEXTJOIN("_", FALSE, C2, SUBSTITUTE(D2,"_", "")), "/", "%2F"), ":", "%3A"), " ", "")))</f>
        <v>10.1002%2Fcne.70089_TABLE1</v>
      </c>
      <c r="M2" t="str">
        <f t="array" ref="M2">IFERROR(INDEX(FileList!$A$1:$A$100, MATCH(L2, _xlfn.TEXTBEFORE(FileList!$A$1:$A$100, ".tsv"), 0)), "notfound")</f>
        <v>notfound</v>
      </c>
      <c r="V2" s="1" t="s">
        <v>36</v>
      </c>
      <c r="Y2" s="1" t="s">
        <v>37</v>
      </c>
      <c r="Z2" s="1" t="s">
        <v>38</v>
      </c>
    </row>
    <row r="3" spans="1:34" ht="15.95" customHeight="1">
      <c r="A3" s="1" t="s">
        <v>39</v>
      </c>
      <c r="C3" s="1" t="s">
        <v>40</v>
      </c>
      <c r="D3" s="1" t="s">
        <v>41</v>
      </c>
      <c r="E3" t="str">
        <f t="shared" ref="E3:E4" si="6">RIGHT(A3,1)</f>
        <v>5</v>
      </c>
      <c r="F3" t="str">
        <f t="shared" ref="F3" si="7">G3 &amp; IF(H3&lt;&gt;"", "_" &amp; H3, "_") &amp; IF(I3&lt;&gt;"", "_" &amp; I3, "_") &amp; IF(B3&lt;&gt;"", "_" &amp; B3, "")</f>
        <v>Baron_etal_1983</v>
      </c>
      <c r="G3" t="str">
        <f t="shared" ref="G3" si="8">SUBSTITUTE(SUBSTITUTE(_xlfn.TEXTBEFORE(A3,","), "-", ""), " ", "")</f>
        <v>Baron</v>
      </c>
      <c r="H3" t="str">
        <f t="shared" ref="H3" si="9">IF(ISNUMBER(FIND("&amp;", A3)),
    IF(LEN(A3)-LEN(SUBSTITUTE(A3, ",", ""))&gt;=6, "etal", MID(A3, SEARCH("&amp; ", A3)+2, SEARCH(",", A3, SEARCH("&amp; ", A3)+2) - SEARCH("&amp; ", A3)-2)),
    ""
)</f>
        <v>etal</v>
      </c>
      <c r="I3" t="str">
        <f t="shared" ref="I3" si="10">_xlfn.TEXTBEFORE(_xlfn.TEXTAFTER(A3, "("), ")")</f>
        <v>1983</v>
      </c>
      <c r="J3" t="e">
        <f t="shared" ref="J3" si="11">_xlfn.TEXTAFTER(A3,"https://doi.org/")</f>
        <v>#N/A</v>
      </c>
      <c r="K3" t="str">
        <f>TRIM(_xlfn.TEXTJOIN("_",FALSE,F3,(SUBSTITUTE(SUBSTITUTE(D3," ",""), "_", ""))))</f>
        <v>Baron_etal_1983_Table1</v>
      </c>
      <c r="L3" t="str">
        <f>IF(ISBLANK(C3),TRIM(SUBSTITUTE(SUBSTITUTE(SUBSTITUTE(_xlfn.TEXTJOIN("_", FALSE, J3, SUBSTITUTE(D3,"_", "")), "/", "%2F"), ":", "%3A"), " ", "")),TRIM(SUBSTITUTE(SUBSTITUTE(SUBSTITUTE(_xlfn.TEXTJOIN("_", FALSE, C3, SUBSTITUTE(D3,"_", "")), "/", "%2F"), ":", "%3A"), " ", "")))</f>
        <v>10.0000%2Fplaceholder.1_Table1</v>
      </c>
      <c r="M3" t="str">
        <f t="array" ref="M3">IFERROR(INDEX(FileList!$A$1:$A$100, MATCH(L3, _xlfn.TEXTBEFORE(FileList!$A$1:$A$100, ".tsv"), 0)), "notfound")</f>
        <v>10.0000%2Fplaceholder.1_Table1.tsv</v>
      </c>
      <c r="V3" s="1" t="s">
        <v>36</v>
      </c>
      <c r="W3" s="1" t="s">
        <v>42</v>
      </c>
      <c r="Z3" s="1" t="s">
        <v>38</v>
      </c>
    </row>
    <row r="4" spans="1:34" ht="15.95" customHeight="1">
      <c r="A4" s="1" t="s">
        <v>43</v>
      </c>
      <c r="C4" s="1" t="s">
        <v>44</v>
      </c>
      <c r="D4" s="1" t="s">
        <v>41</v>
      </c>
      <c r="E4" t="str">
        <f t="shared" si="6"/>
        <v>6</v>
      </c>
      <c r="F4" t="str">
        <f t="shared" ref="F4" si="12">G4 &amp; IF(H4&lt;&gt;"", "_" &amp; H4, "_") &amp; IF(I4&lt;&gt;"", "_" &amp; I4, "_") &amp; IF(B4&lt;&gt;"", "_" &amp; B4, "")</f>
        <v>Baron_etal_1987</v>
      </c>
      <c r="G4" t="str">
        <f t="shared" ref="G4" si="13">SUBSTITUTE(SUBSTITUTE(_xlfn.TEXTBEFORE(A4,","), "-", ""), " ", "")</f>
        <v>Baron</v>
      </c>
      <c r="H4" t="str">
        <f t="shared" ref="H4" si="14">IF(ISNUMBER(FIND("&amp;", A4)),
    IF(LEN(A4)-LEN(SUBSTITUTE(A4, ",", ""))&gt;=6, "etal", MID(A4, SEARCH("&amp; ", A4)+2, SEARCH(",", A4, SEARCH("&amp; ", A4)+2) - SEARCH("&amp; ", A4)-2)),
    ""
)</f>
        <v>etal</v>
      </c>
      <c r="I4" t="str">
        <f t="shared" ref="I4" si="15">_xlfn.TEXTBEFORE(_xlfn.TEXTAFTER(A4, "("), ")")</f>
        <v>1987</v>
      </c>
      <c r="J4" t="e">
        <f t="shared" ref="J4" si="16">_xlfn.TEXTAFTER(A4,"https://doi.org/")</f>
        <v>#N/A</v>
      </c>
      <c r="K4" t="str">
        <f>TRIM(_xlfn.TEXTJOIN("_",FALSE,F4,(SUBSTITUTE(SUBSTITUTE(D4," ",""), "_", ""))))</f>
        <v>Baron_etal_1987_Table1</v>
      </c>
      <c r="L4" t="str">
        <f>IF(ISBLANK(C4),TRIM(SUBSTITUTE(SUBSTITUTE(SUBSTITUTE(_xlfn.TEXTJOIN("_", FALSE, J4, SUBSTITUTE(D4,"_", "")), "/", "%2F"), ":", "%3A"), " ", "")),TRIM(SUBSTITUTE(SUBSTITUTE(SUBSTITUTE(_xlfn.TEXTJOIN("_", FALSE, C4, SUBSTITUTE(D4,"_", "")), "/", "%2F"), ":", "%3A"), " ", "")))</f>
        <v>10.0000%2Fplaceholder.2_Table1</v>
      </c>
      <c r="M4" t="str">
        <f t="array" ref="M4">IFERROR(INDEX(FileList!$A$1:$A$100, MATCH(L4, _xlfn.TEXTBEFORE(FileList!$A$1:$A$100, ".tsv"), 0)), "notfound")</f>
        <v>notfound</v>
      </c>
      <c r="V4" s="1" t="s">
        <v>36</v>
      </c>
      <c r="W4" s="1" t="s">
        <v>42</v>
      </c>
      <c r="Z4" s="1" t="s">
        <v>38</v>
      </c>
    </row>
    <row r="5" spans="1:34" ht="15.95" customHeight="1">
      <c r="A5" s="1" t="s">
        <v>45</v>
      </c>
      <c r="C5" s="1" t="s">
        <v>46</v>
      </c>
      <c r="D5" s="1" t="s">
        <v>47</v>
      </c>
      <c r="E5" t="str">
        <f t="shared" ref="E5:E45" si="17">RIGHT(A5,1)</f>
        <v>0</v>
      </c>
      <c r="F5" t="str">
        <f t="shared" ref="F5:F45" si="18">G5 &amp; IF(H5&lt;&gt;"", "_" &amp; H5, "_") &amp; IF(I5&lt;&gt;"", "_" &amp; I5, "_") &amp; IF(B5&lt;&gt;"", "_" &amp; B5, "")</f>
        <v>Brodmann__1913</v>
      </c>
      <c r="G5" t="str">
        <f t="shared" ref="G5:G45" si="19">SUBSTITUTE(SUBSTITUTE(_xlfn.TEXTBEFORE(A5,","), "-", ""), " ", "")</f>
        <v>Brodmann</v>
      </c>
      <c r="H5" t="str">
        <f t="shared" ref="H5:H45" ca="1" si="20">IF(ISNUMBER(FIND("&amp;", A5)),
    IF(LEN(A5)-LEN(SUBSTITUTE(A5, ",", ""))&gt;=6, "etal", MID(A5, SEARCH("&amp; ", A5)+2, SEARCH(",", A5, SEARCH("&amp; ", A5)+2) - SEARCH("&amp; ", A5)-2)),
    ""
)</f>
        <v/>
      </c>
      <c r="I5" t="str">
        <f t="shared" ref="I5:I45" si="21">_xlfn.TEXTBEFORE(_xlfn.TEXTAFTER(A5, "("), ")")</f>
        <v>1913</v>
      </c>
      <c r="J5" t="e">
        <f t="shared" ref="J5:J45" si="22">_xlfn.TEXTAFTER(A5,"https://doi.org/")</f>
        <v>#N/A</v>
      </c>
      <c r="K5" t="str">
        <f>TRIM(_xlfn.TEXTJOIN("_",FALSE,F5,(SUBSTITUTE(SUBSTITUTE(D5," ",""), "_", ""))))</f>
        <v>Brodmann__1913_Tabelle1</v>
      </c>
      <c r="L5" t="str">
        <f>IF(ISBLANK(C5),TRIM(SUBSTITUTE(SUBSTITUTE(SUBSTITUTE(_xlfn.TEXTJOIN("_", FALSE, J5, SUBSTITUTE(D5,"_", "")), "/", "%2F"), ":", "%3A"), " ", "")),TRIM(SUBSTITUTE(SUBSTITUTE(SUBSTITUTE(_xlfn.TEXTJOIN("_", FALSE, C5, SUBSTITUTE(D5,"_", "")), "/", "%2F"), ":", "%3A"), " ", "")))</f>
        <v>10.0000%2Fplaceholder_Tabelle1</v>
      </c>
      <c r="M5" t="str">
        <f t="array" ref="M5">IFERROR(INDEX(FileList!$A$1:$A$100, MATCH(L5, _xlfn.TEXTBEFORE(FileList!$A$1:$A$100, ".tsv"), 0)), "notfound")</f>
        <v>notfound</v>
      </c>
    </row>
    <row r="6" spans="1:34" ht="17.100000000000001" customHeight="1">
      <c r="A6" s="1" t="s">
        <v>48</v>
      </c>
      <c r="D6" s="1" t="s">
        <v>49</v>
      </c>
      <c r="E6" t="str">
        <f t="shared" si="17"/>
        <v>3</v>
      </c>
      <c r="F6" t="str">
        <f t="shared" si="18"/>
        <v>Burger_etal_2019</v>
      </c>
      <c r="G6" t="str">
        <f t="shared" si="19"/>
        <v>Burger</v>
      </c>
      <c r="H6" t="str">
        <f t="shared" si="20"/>
        <v>etal</v>
      </c>
      <c r="I6" t="str">
        <f t="shared" si="21"/>
        <v>2019</v>
      </c>
      <c r="J6" t="str">
        <f t="shared" si="22"/>
        <v>10.1093/jmammal/gyz043</v>
      </c>
      <c r="K6" t="str">
        <f>TRIM(_xlfn.TEXTJOIN("_",FALSE,F6,(SUBSTITUTE(SUBSTITUTE(D6," ",""), "_", ""))))</f>
        <v>Burger_etal_2019_SupplementaryDataSD1</v>
      </c>
      <c r="L6" t="str">
        <f>IF(ISBLANK(C6),TRIM(SUBSTITUTE(SUBSTITUTE(SUBSTITUTE(_xlfn.TEXTJOIN("_", FALSE, J6, SUBSTITUTE(D6,"_", "")), "/", "%2F"), ":", "%3A"), " ", "")),TRIM(SUBSTITUTE(SUBSTITUTE(SUBSTITUTE(_xlfn.TEXTJOIN("_", FALSE, C6, SUBSTITUTE(D6,"_", "")), "/", "%2F"), ":", "%3A"), " ", "")))</f>
        <v>10.1093%2Fjmammal%2Fgyz043_SupplementaryDataSD1</v>
      </c>
      <c r="M6" t="str">
        <f t="array" ref="M6">IFERROR(INDEX(FileList!$A$1:$A$100, MATCH(L6, _xlfn.TEXTBEFORE(FileList!$A$1:$A$100, ".tsv"), 0)), "notfound")</f>
        <v>10.1093%2Fjmammal%2Fgyz043_SupplementaryDataSD1.tsv</v>
      </c>
      <c r="O6" s="1" t="s">
        <v>50</v>
      </c>
      <c r="P6" s="1" t="s">
        <v>51</v>
      </c>
      <c r="Q6" s="1" t="s">
        <v>52</v>
      </c>
      <c r="R6" s="1" t="s">
        <v>53</v>
      </c>
      <c r="S6" s="1" t="s">
        <v>54</v>
      </c>
      <c r="T6" s="1" t="str">
        <f>IF(S6="N", R6, "write file name")</f>
        <v>gyz043_suppl_Supplement_Data.csv</v>
      </c>
      <c r="U6" s="1" t="s">
        <v>55</v>
      </c>
      <c r="V6" s="1" t="s">
        <v>36</v>
      </c>
      <c r="W6" s="1" t="s">
        <v>56</v>
      </c>
      <c r="Y6" s="1" t="s">
        <v>57</v>
      </c>
      <c r="Z6" s="1" t="s">
        <v>58</v>
      </c>
      <c r="AD6" s="1" t="s">
        <v>59</v>
      </c>
      <c r="AE6" s="1" t="s">
        <v>60</v>
      </c>
    </row>
    <row r="7" spans="1:34" ht="17.100000000000001" customHeight="1">
      <c r="A7" s="1" t="s">
        <v>61</v>
      </c>
      <c r="D7" s="1" t="s">
        <v>62</v>
      </c>
      <c r="E7" t="str">
        <f t="shared" si="17"/>
        <v>9</v>
      </c>
      <c r="F7" t="str">
        <f t="shared" si="18"/>
        <v>Burish_etal_2010</v>
      </c>
      <c r="G7" t="str">
        <f t="shared" si="19"/>
        <v>Burish</v>
      </c>
      <c r="H7" t="str">
        <f t="shared" si="20"/>
        <v>etal</v>
      </c>
      <c r="I7" t="str">
        <f t="shared" si="21"/>
        <v>2010</v>
      </c>
      <c r="J7" t="str">
        <f t="shared" si="22"/>
        <v>10.1159/000319019</v>
      </c>
      <c r="K7" t="str">
        <f>TRIM(_xlfn.TEXTJOIN("_",FALSE,F7,(SUBSTITUTE(SUBSTITUTE(D7," ",""), "_", ""))))</f>
        <v>Burish_etal_2010_SupplementaryTable1</v>
      </c>
      <c r="L7" t="str">
        <f>IF(ISBLANK(C7),TRIM(SUBSTITUTE(SUBSTITUTE(SUBSTITUTE(_xlfn.TEXTJOIN("_", FALSE, J7, SUBSTITUTE(D7,"_", "")), "/", "%2F"), ":", "%3A"), " ", "")),TRIM(SUBSTITUTE(SUBSTITUTE(SUBSTITUTE(_xlfn.TEXTJOIN("_", FALSE, C7, SUBSTITUTE(D7,"_", "")), "/", "%2F"), ":", "%3A"), " ", "")))</f>
        <v>10.1159%2F000319019_SupplementaryTable1</v>
      </c>
      <c r="M7" t="str">
        <f t="array" ref="M7">IFERROR(INDEX(FileList!$A$1:$A$100, MATCH(L7, _xlfn.TEXTBEFORE(FileList!$A$1:$A$100, ".tsv"), 0)), "notfound")</f>
        <v>10.1159%2F000319019_SupplementaryTable1.tsv</v>
      </c>
      <c r="N7" s="1" t="s">
        <v>63</v>
      </c>
      <c r="P7" s="1" t="s">
        <v>64</v>
      </c>
      <c r="R7" s="1" t="s">
        <v>65</v>
      </c>
      <c r="Z7" s="1" t="s">
        <v>66</v>
      </c>
      <c r="AC7" s="1" t="s">
        <v>67</v>
      </c>
      <c r="AE7" s="1" t="s">
        <v>68</v>
      </c>
    </row>
    <row r="8" spans="1:34" ht="15.95" customHeight="1">
      <c r="A8" s="1" t="s">
        <v>61</v>
      </c>
      <c r="D8" s="1" t="s">
        <v>41</v>
      </c>
      <c r="E8" t="str">
        <f t="shared" si="17"/>
        <v>9</v>
      </c>
      <c r="F8" t="str">
        <f t="shared" si="18"/>
        <v>Burish_etal_2010</v>
      </c>
      <c r="G8" t="str">
        <f t="shared" si="19"/>
        <v>Burish</v>
      </c>
      <c r="H8" t="str">
        <f t="shared" si="20"/>
        <v>etal</v>
      </c>
      <c r="I8" t="str">
        <f t="shared" si="21"/>
        <v>2010</v>
      </c>
      <c r="J8" t="str">
        <f t="shared" si="22"/>
        <v>10.1159/000319019</v>
      </c>
      <c r="K8" t="str">
        <f>TRIM(_xlfn.TEXTJOIN("_",FALSE,F8,(SUBSTITUTE(SUBSTITUTE(D8," ",""), "_", ""))))</f>
        <v>Burish_etal_2010_Table1</v>
      </c>
      <c r="L8" t="str">
        <f>IF(ISBLANK(C8),TRIM(SUBSTITUTE(SUBSTITUTE(SUBSTITUTE(_xlfn.TEXTJOIN("_", FALSE, J8, SUBSTITUTE(D8,"_", "")), "/", "%2F"), ":", "%3A"), " ", "")),TRIM(SUBSTITUTE(SUBSTITUTE(SUBSTITUTE(_xlfn.TEXTJOIN("_", FALSE, C8, SUBSTITUTE(D8,"_", "")), "/", "%2F"), ":", "%3A"), " ", "")))</f>
        <v>10.1159%2F000319019_Table1</v>
      </c>
      <c r="M8" t="str">
        <f t="array" ref="M8">IFERROR(INDEX(FileList!$A$1:$A$100, MATCH(L8, _xlfn.TEXTBEFORE(FileList!$A$1:$A$100, ".tsv"), 0)), "notfound")</f>
        <v>10.1159%2F000319019_Table1.tsv</v>
      </c>
      <c r="N8" s="1" t="s">
        <v>69</v>
      </c>
      <c r="P8" s="1" t="s">
        <v>51</v>
      </c>
      <c r="Q8" s="1" t="s">
        <v>70</v>
      </c>
      <c r="R8" s="1" t="s">
        <v>71</v>
      </c>
      <c r="Z8" s="1" t="s">
        <v>72</v>
      </c>
      <c r="AC8" s="1" t="s">
        <v>67</v>
      </c>
      <c r="AE8" s="1" t="s">
        <v>68</v>
      </c>
    </row>
    <row r="9" spans="1:34" ht="15.95" customHeight="1">
      <c r="A9" s="1" t="s">
        <v>73</v>
      </c>
      <c r="D9" s="1" t="s">
        <v>74</v>
      </c>
      <c r="E9" t="str">
        <f t="shared" si="17"/>
        <v>5</v>
      </c>
      <c r="F9" t="str">
        <f t="shared" si="18"/>
        <v>Caspar_etal_2022</v>
      </c>
      <c r="G9" t="str">
        <f t="shared" si="19"/>
        <v>Caspar</v>
      </c>
      <c r="H9" t="str">
        <f t="shared" si="20"/>
        <v>etal</v>
      </c>
      <c r="I9" t="str">
        <f t="shared" si="21"/>
        <v>2022</v>
      </c>
      <c r="J9" t="str">
        <f t="shared" si="22"/>
        <v>10.7554/eLife.77875</v>
      </c>
      <c r="K9" t="str">
        <f>TRIM(_xlfn.TEXTJOIN("_",FALSE,F9,(SUBSTITUTE(SUBSTITUTE(D9," ",""), "_", ""))))</f>
        <v>Caspar_etal_2022_Supplementaryfile3</v>
      </c>
      <c r="L9" t="str">
        <f>IF(ISBLANK(C9),TRIM(SUBSTITUTE(SUBSTITUTE(SUBSTITUTE(_xlfn.TEXTJOIN("_", FALSE, J9, SUBSTITUTE(D9,"_", "")), "/", "%2F"), ":", "%3A"), " ", "")),TRIM(SUBSTITUTE(SUBSTITUTE(SUBSTITUTE(_xlfn.TEXTJOIN("_", FALSE, C9, SUBSTITUTE(D9,"_", "")), "/", "%2F"), ":", "%3A"), " ", "")))</f>
        <v>10.7554%2FeLife.77875_Supplementaryfile3</v>
      </c>
      <c r="M9" t="str">
        <f t="array" ref="M9">IFERROR(INDEX(FileList!$A$1:$A$100, MATCH(L9, _xlfn.TEXTBEFORE(FileList!$A$1:$A$100, ".tsv"), 0)), "notfound")</f>
        <v>10.7554%2FeLife.77875_Supplementaryfile3.tsv</v>
      </c>
      <c r="N9" s="1" t="s">
        <v>75</v>
      </c>
      <c r="P9" s="1" t="s">
        <v>51</v>
      </c>
      <c r="Q9" s="1" t="s">
        <v>70</v>
      </c>
      <c r="R9" s="1" t="s">
        <v>76</v>
      </c>
      <c r="S9" s="1" t="s">
        <v>54</v>
      </c>
      <c r="T9" s="1" t="str">
        <f>IF(S9="N", R9, "write file name")</f>
        <v>elife-77875-supp3-v1.xlsx</v>
      </c>
      <c r="U9" s="1" t="s">
        <v>77</v>
      </c>
      <c r="V9" s="1" t="s">
        <v>36</v>
      </c>
      <c r="W9" s="1" t="s">
        <v>78</v>
      </c>
      <c r="X9" s="1" t="s">
        <v>79</v>
      </c>
      <c r="Y9" s="1" t="s">
        <v>80</v>
      </c>
      <c r="Z9" s="1" t="s">
        <v>58</v>
      </c>
      <c r="AE9" s="1" t="s">
        <v>81</v>
      </c>
    </row>
    <row r="10" spans="1:34" ht="15.95" customHeight="1">
      <c r="A10" s="1" t="s">
        <v>73</v>
      </c>
      <c r="D10" s="1" t="s">
        <v>41</v>
      </c>
      <c r="E10" t="str">
        <f t="shared" si="17"/>
        <v>5</v>
      </c>
      <c r="F10" t="str">
        <f t="shared" si="18"/>
        <v>Caspar_etal_2022</v>
      </c>
      <c r="G10" t="str">
        <f t="shared" si="19"/>
        <v>Caspar</v>
      </c>
      <c r="H10" t="str">
        <f t="shared" si="20"/>
        <v>etal</v>
      </c>
      <c r="I10" t="str">
        <f t="shared" si="21"/>
        <v>2022</v>
      </c>
      <c r="J10" t="str">
        <f t="shared" si="22"/>
        <v>10.7554/eLife.77875</v>
      </c>
      <c r="K10" t="str">
        <f>TRIM(_xlfn.TEXTJOIN("_",FALSE,F10,(SUBSTITUTE(SUBSTITUTE(D10," ",""), "_", ""))))</f>
        <v>Caspar_etal_2022_Table1</v>
      </c>
      <c r="L10" t="str">
        <f>IF(ISBLANK(C10),TRIM(SUBSTITUTE(SUBSTITUTE(SUBSTITUTE(_xlfn.TEXTJOIN("_", FALSE, J10, SUBSTITUTE(D10,"_", "")), "/", "%2F"), ":", "%3A"), " ", "")),TRIM(SUBSTITUTE(SUBSTITUTE(SUBSTITUTE(_xlfn.TEXTJOIN("_", FALSE, C10, SUBSTITUTE(D10,"_", "")), "/", "%2F"), ":", "%3A"), " ", "")))</f>
        <v>10.7554%2FeLife.77875_Table1</v>
      </c>
      <c r="M10" t="str">
        <f t="array" ref="M10">IFERROR(INDEX(FileList!$A$1:$A$100, MATCH(L10, _xlfn.TEXTBEFORE(FileList!$A$1:$A$100, ".tsv"), 0)), "notfound")</f>
        <v>10.7554%2FeLife.77875_Table1.tsv</v>
      </c>
      <c r="N10" s="1" t="s">
        <v>82</v>
      </c>
      <c r="P10" s="1" t="s">
        <v>51</v>
      </c>
      <c r="Q10" s="1" t="s">
        <v>70</v>
      </c>
      <c r="R10" s="1" t="s">
        <v>83</v>
      </c>
      <c r="S10" s="1" t="s">
        <v>84</v>
      </c>
      <c r="T10" s="1" t="s">
        <v>85</v>
      </c>
      <c r="U10" s="1" t="s">
        <v>86</v>
      </c>
      <c r="V10" s="1" t="s">
        <v>36</v>
      </c>
      <c r="W10" s="1" t="s">
        <v>87</v>
      </c>
      <c r="X10" s="1" t="s">
        <v>88</v>
      </c>
      <c r="Y10" s="1" t="s">
        <v>89</v>
      </c>
      <c r="Z10" s="1" t="s">
        <v>90</v>
      </c>
      <c r="AD10" s="1" t="s">
        <v>91</v>
      </c>
      <c r="AE10" s="1" t="s">
        <v>81</v>
      </c>
    </row>
    <row r="11" spans="1:34" ht="15.95" customHeight="1">
      <c r="A11" s="1" t="s">
        <v>92</v>
      </c>
      <c r="D11" s="1" t="s">
        <v>93</v>
      </c>
      <c r="E11" t="str">
        <f t="shared" si="17"/>
        <v>5</v>
      </c>
      <c r="F11" t="str">
        <f t="shared" si="18"/>
        <v>Changizi__2001</v>
      </c>
      <c r="G11" t="str">
        <f t="shared" si="19"/>
        <v>Changizi</v>
      </c>
      <c r="H11" t="str">
        <f t="shared" ca="1" si="20"/>
        <v/>
      </c>
      <c r="I11" t="str">
        <f t="shared" si="21"/>
        <v>2001</v>
      </c>
      <c r="J11" t="str">
        <f t="shared" si="22"/>
        <v>10.1007/s004220000205</v>
      </c>
      <c r="K11" t="str">
        <f>TRIM(_xlfn.TEXTJOIN("_",FALSE,F11,(SUBSTITUTE(SUBSTITUTE(D11," ",""), "_", ""))))</f>
        <v>Changizi__2001_Figure3</v>
      </c>
      <c r="L11" t="str">
        <f>IF(ISBLANK(C11),TRIM(SUBSTITUTE(SUBSTITUTE(SUBSTITUTE(_xlfn.TEXTJOIN("_", FALSE, J11, SUBSTITUTE(D11,"_", "")), "/", "%2F"), ":", "%3A"), " ", "")),TRIM(SUBSTITUTE(SUBSTITUTE(SUBSTITUTE(_xlfn.TEXTJOIN("_", FALSE, C11, SUBSTITUTE(D11,"_", "")), "/", "%2F"), ":", "%3A"), " ", "")))</f>
        <v>10.1007%2Fs004220000205_Figure3</v>
      </c>
      <c r="M11" t="str">
        <f t="array" ref="M11">IFERROR(INDEX(FileList!$A$1:$A$100, MATCH(L11, _xlfn.TEXTBEFORE(FileList!$A$1:$A$100, ".tsv"), 0)), "notfound")</f>
        <v>10.1007%2Fs004220000205_Figure3.tsv</v>
      </c>
      <c r="P11" s="1" t="s">
        <v>94</v>
      </c>
      <c r="Q11" s="1" t="s">
        <v>95</v>
      </c>
      <c r="R11" s="1" t="s">
        <v>96</v>
      </c>
      <c r="S11" s="1" t="s">
        <v>84</v>
      </c>
      <c r="T11" s="1" t="s">
        <v>97</v>
      </c>
      <c r="U11" s="1" t="s">
        <v>86</v>
      </c>
      <c r="V11" s="1" t="s">
        <v>98</v>
      </c>
      <c r="W11" s="1" t="s">
        <v>99</v>
      </c>
      <c r="Y11" s="1" t="s">
        <v>100</v>
      </c>
      <c r="Z11" s="1" t="s">
        <v>101</v>
      </c>
      <c r="AD11" s="1" t="s">
        <v>102</v>
      </c>
    </row>
    <row r="12" spans="1:34" ht="15.95" customHeight="1">
      <c r="A12" s="1" t="s">
        <v>103</v>
      </c>
      <c r="D12" s="1" t="s">
        <v>104</v>
      </c>
      <c r="E12" t="str">
        <f t="shared" si="17"/>
        <v>3</v>
      </c>
      <c r="F12" t="str">
        <f t="shared" si="18"/>
        <v>Chen_Wiens_2020</v>
      </c>
      <c r="G12" t="str">
        <f t="shared" si="19"/>
        <v>Chen</v>
      </c>
      <c r="H12" t="str">
        <f t="shared" si="20"/>
        <v>Wiens</v>
      </c>
      <c r="I12" t="str">
        <f t="shared" si="21"/>
        <v>2020</v>
      </c>
      <c r="J12" t="str">
        <f t="shared" si="22"/>
        <v>10.1038/s41467-020-14356-3</v>
      </c>
      <c r="K12" t="str">
        <f>TRIM(_xlfn.TEXTJOIN("_",FALSE,F12,(SUBSTITUTE(SUBSTITUTE(D12," ",""), "_", ""))))</f>
        <v>Chen_Wiens_2020_SupplementaryData3</v>
      </c>
      <c r="L12" t="str">
        <f>IF(ISBLANK(C12),TRIM(SUBSTITUTE(SUBSTITUTE(SUBSTITUTE(_xlfn.TEXTJOIN("_", FALSE, J12, SUBSTITUTE(D12,"_", "")), "/", "%2F"), ":", "%3A"), " ", "")),TRIM(SUBSTITUTE(SUBSTITUTE(SUBSTITUTE(_xlfn.TEXTJOIN("_", FALSE, C12, SUBSTITUTE(D12,"_", "")), "/", "%2F"), ":", "%3A"), " ", "")))</f>
        <v>10.1038%2Fs41467-020-14356-3_SupplementaryData3</v>
      </c>
      <c r="M12" t="str">
        <f t="array" ref="M12">IFERROR(INDEX(FileList!$A$1:$A$100, MATCH(L12, _xlfn.TEXTBEFORE(FileList!$A$1:$A$100, ".tsv"), 0)), "notfound")</f>
        <v>10.1038%2Fs41467-020-14356-3_SupplementaryData3.tsv</v>
      </c>
      <c r="P12" s="1" t="s">
        <v>51</v>
      </c>
      <c r="Q12" s="1" t="s">
        <v>70</v>
      </c>
      <c r="R12" s="1" t="s">
        <v>105</v>
      </c>
      <c r="S12" s="1" t="s">
        <v>54</v>
      </c>
      <c r="T12" s="1" t="str">
        <f>IF(S12="N", R12, "write file name")</f>
        <v>41467_2020_14356_MOESM6_ESM.xlsx</v>
      </c>
      <c r="U12" s="1" t="s">
        <v>77</v>
      </c>
      <c r="V12" s="1" t="s">
        <v>36</v>
      </c>
      <c r="W12" s="1" t="s">
        <v>78</v>
      </c>
      <c r="X12" s="1" t="s">
        <v>106</v>
      </c>
      <c r="Y12" s="1" t="s">
        <v>107</v>
      </c>
      <c r="Z12" s="1" t="s">
        <v>58</v>
      </c>
      <c r="AC12" s="1" t="s">
        <v>108</v>
      </c>
      <c r="AD12" s="1" t="s">
        <v>109</v>
      </c>
      <c r="AE12" s="1" t="s">
        <v>110</v>
      </c>
    </row>
    <row r="13" spans="1:34" ht="15.95" customHeight="1">
      <c r="A13" s="1" t="s">
        <v>111</v>
      </c>
      <c r="D13" s="1" t="s">
        <v>112</v>
      </c>
      <c r="E13" t="str">
        <f t="shared" si="17"/>
        <v>7</v>
      </c>
      <c r="F13" t="str">
        <f t="shared" si="18"/>
        <v>Collins_etal_2010</v>
      </c>
      <c r="G13" t="str">
        <f t="shared" si="19"/>
        <v>Collins</v>
      </c>
      <c r="H13" t="str">
        <f t="shared" si="20"/>
        <v>etal</v>
      </c>
      <c r="I13" t="str">
        <f t="shared" si="21"/>
        <v>2010</v>
      </c>
      <c r="J13" t="str">
        <f t="shared" si="22"/>
        <v>10.1073/pnas.1010356107</v>
      </c>
      <c r="K13" t="str">
        <f>TRIM(_xlfn.TEXTJOIN("_",FALSE,F13,(SUBSTITUTE(SUBSTITUTE(D13," ",""), "_", ""))))</f>
        <v>Collins_etal_2010_DatasetS1</v>
      </c>
      <c r="L13" t="str">
        <f>IF(ISBLANK(C13),TRIM(SUBSTITUTE(SUBSTITUTE(SUBSTITUTE(_xlfn.TEXTJOIN("_", FALSE, J13, SUBSTITUTE(D13,"_", "")), "/", "%2F"), ":", "%3A"), " ", "")),TRIM(SUBSTITUTE(SUBSTITUTE(SUBSTITUTE(_xlfn.TEXTJOIN("_", FALSE, C13, SUBSTITUTE(D13,"_", "")), "/", "%2F"), ":", "%3A"), " ", "")))</f>
        <v>10.1073%2Fpnas.1010356107_DatasetS1</v>
      </c>
      <c r="M13" t="str">
        <f t="array" ref="M13">IFERROR(INDEX(FileList!$A$1:$A$100, MATCH(L13, _xlfn.TEXTBEFORE(FileList!$A$1:$A$100, ".tsv"), 0)), "notfound")</f>
        <v>notfound</v>
      </c>
      <c r="Y13" s="1" t="s">
        <v>113</v>
      </c>
      <c r="Z13" s="1" t="s">
        <v>38</v>
      </c>
    </row>
    <row r="14" spans="1:34" ht="15.95" customHeight="1">
      <c r="A14" s="1" t="s">
        <v>114</v>
      </c>
      <c r="D14" s="1" t="s">
        <v>115</v>
      </c>
      <c r="E14" t="str">
        <f t="shared" si="17"/>
        <v>0</v>
      </c>
      <c r="F14" t="str">
        <f t="shared" si="18"/>
        <v>DeCasien_Higham_2019</v>
      </c>
      <c r="G14" t="str">
        <f t="shared" si="19"/>
        <v>DeCasien</v>
      </c>
      <c r="H14" t="str">
        <f t="shared" si="20"/>
        <v>Higham</v>
      </c>
      <c r="I14" t="str">
        <f t="shared" si="21"/>
        <v>2019</v>
      </c>
      <c r="J14" t="str">
        <f t="shared" si="22"/>
        <v>10.1038/s41559-019-0969-0</v>
      </c>
      <c r="K14" t="str">
        <f>TRIM(_xlfn.TEXTJOIN("_",FALSE,F14,(SUBSTITUTE(SUBSTITUTE(D14," ",""), "_", ""))))</f>
        <v>DeCasien_Higham_2019_SupplementaryData1-BrainRegion</v>
      </c>
      <c r="L14" t="str">
        <f>IF(ISBLANK(C14),TRIM(SUBSTITUTE(SUBSTITUTE(SUBSTITUTE(_xlfn.TEXTJOIN("_", FALSE, J14, SUBSTITUTE(D14,"_", "")), "/", "%2F"), ":", "%3A"), " ", "")),TRIM(SUBSTITUTE(SUBSTITUTE(SUBSTITUTE(_xlfn.TEXTJOIN("_", FALSE, C14, SUBSTITUTE(D14,"_", "")), "/", "%2F"), ":", "%3A"), " ", "")))</f>
        <v>10.1038%2Fs41559-019-0969-0_SupplementaryData1-BrainRegion</v>
      </c>
      <c r="M14" t="str">
        <f t="array" ref="M14">IFERROR(INDEX(FileList!$A$1:$A$100, MATCH(L14, _xlfn.TEXTBEFORE(FileList!$A$1:$A$100, ".tsv"), 0)), "notfound")</f>
        <v>notfound</v>
      </c>
      <c r="N14" s="1" t="s">
        <v>116</v>
      </c>
      <c r="U14" s="1" t="s">
        <v>77</v>
      </c>
      <c r="V14" s="1" t="s">
        <v>117</v>
      </c>
      <c r="W14" s="1" t="s">
        <v>78</v>
      </c>
      <c r="X14" s="1" t="s">
        <v>118</v>
      </c>
      <c r="Y14" s="1" t="s">
        <v>119</v>
      </c>
      <c r="Z14" s="1" t="s">
        <v>58</v>
      </c>
      <c r="AD14" s="1" t="s">
        <v>120</v>
      </c>
      <c r="AE14" s="1" t="s">
        <v>81</v>
      </c>
    </row>
    <row r="15" spans="1:34" ht="15.95" customHeight="1">
      <c r="A15" s="1" t="s">
        <v>114</v>
      </c>
      <c r="D15" s="1" t="s">
        <v>121</v>
      </c>
      <c r="E15" t="str">
        <f t="shared" ref="E15" si="23">RIGHT(A15,1)</f>
        <v>0</v>
      </c>
      <c r="F15" t="str">
        <f t="shared" ref="F15" si="24">G15 &amp; IF(H15&lt;&gt;"", "_" &amp; H15, "_") &amp; IF(I15&lt;&gt;"", "_" &amp; I15, "_") &amp; IF(B15&lt;&gt;"", "_" &amp; B15, "")</f>
        <v>DeCasien_Higham_2019</v>
      </c>
      <c r="G15" t="str">
        <f t="shared" ref="G15" si="25">SUBSTITUTE(SUBSTITUTE(_xlfn.TEXTBEFORE(A15,","), "-", ""), " ", "")</f>
        <v>DeCasien</v>
      </c>
      <c r="H15" t="str">
        <f t="shared" ref="H15" si="26">IF(ISNUMBER(FIND("&amp;", A15)),
    IF(LEN(A15)-LEN(SUBSTITUTE(A15, ",", ""))&gt;=6, "etal", MID(A15, SEARCH("&amp; ", A15)+2, SEARCH(",", A15, SEARCH("&amp; ", A15)+2) - SEARCH("&amp; ", A15)-2)),
    ""
)</f>
        <v>Higham</v>
      </c>
      <c r="I15" t="str">
        <f t="shared" ref="I15" si="27">_xlfn.TEXTBEFORE(_xlfn.TEXTAFTER(A15, "("), ")")</f>
        <v>2019</v>
      </c>
      <c r="J15" t="str">
        <f t="shared" ref="J15" si="28">_xlfn.TEXTAFTER(A15,"https://doi.org/")</f>
        <v>10.1038/s41559-019-0969-0</v>
      </c>
      <c r="K15" t="str">
        <f>TRIM(_xlfn.TEXTJOIN("_",FALSE,F15,(SUBSTITUTE(SUBSTITUTE(D16," ",""), "_", ""))))</f>
        <v>DeCasien_Higham_2019_SupplementaryData1-Diet</v>
      </c>
      <c r="L15" t="str">
        <f>IF(ISBLANK(C15),TRIM(SUBSTITUTE(SUBSTITUTE(SUBSTITUTE(_xlfn.TEXTJOIN("_", FALSE, J15, SUBSTITUTE(D16,"_", "")), "/", "%2F"), ":", "%3A"), " ", "")),TRIM(SUBSTITUTE(SUBSTITUTE(SUBSTITUTE(_xlfn.TEXTJOIN("_", FALSE, C15, SUBSTITUTE(D16,"_", "")), "/", "%2F"), ":", "%3A"), " ", "")))</f>
        <v>10.1038%2Fs41559-019-0969-0_SupplementaryData1-Diet</v>
      </c>
      <c r="M15" t="str">
        <f t="array" ref="M15">IFERROR(INDEX(FileList!$A$1:$A$100, MATCH(L15, _xlfn.TEXTBEFORE(FileList!$A$1:$A$100, ".tsv"), 0)), "notfound")</f>
        <v>notfound</v>
      </c>
      <c r="N15" s="1" t="s">
        <v>116</v>
      </c>
      <c r="U15" s="1" t="s">
        <v>77</v>
      </c>
      <c r="V15" s="1" t="s">
        <v>117</v>
      </c>
      <c r="W15" s="1" t="s">
        <v>78</v>
      </c>
      <c r="X15" s="1" t="s">
        <v>118</v>
      </c>
      <c r="Y15" s="1" t="s">
        <v>122</v>
      </c>
      <c r="Z15" s="1" t="s">
        <v>58</v>
      </c>
      <c r="AE15" s="1" t="s">
        <v>81</v>
      </c>
    </row>
    <row r="16" spans="1:34" ht="15.95" customHeight="1">
      <c r="A16" s="1" t="s">
        <v>114</v>
      </c>
      <c r="D16" s="1" t="s">
        <v>123</v>
      </c>
      <c r="E16" t="str">
        <f t="shared" ref="E16" si="29">RIGHT(A16,1)</f>
        <v>0</v>
      </c>
      <c r="F16" t="str">
        <f t="shared" ref="F16" si="30">G16 &amp; IF(H16&lt;&gt;"", "_" &amp; H16, "_") &amp; IF(I16&lt;&gt;"", "_" &amp; I16, "_") &amp; IF(B16&lt;&gt;"", "_" &amp; B16, "")</f>
        <v>DeCasien_Higham_2019</v>
      </c>
      <c r="G16" t="str">
        <f t="shared" ref="G16" si="31">SUBSTITUTE(SUBSTITUTE(_xlfn.TEXTBEFORE(A16,","), "-", ""), " ", "")</f>
        <v>DeCasien</v>
      </c>
      <c r="H16" t="str">
        <f t="shared" ref="H16" si="32">IF(ISNUMBER(FIND("&amp;", A16)),
    IF(LEN(A16)-LEN(SUBSTITUTE(A16, ",", ""))&gt;=6, "etal", MID(A16, SEARCH("&amp; ", A16)+2, SEARCH(",", A16, SEARCH("&amp; ", A16)+2) - SEARCH("&amp; ", A16)-2)),
    ""
)</f>
        <v>Higham</v>
      </c>
      <c r="I16" t="str">
        <f t="shared" ref="I16" si="33">_xlfn.TEXTBEFORE(_xlfn.TEXTAFTER(A16, "("), ")")</f>
        <v>2019</v>
      </c>
      <c r="J16" t="str">
        <f t="shared" ref="J16" si="34">_xlfn.TEXTAFTER(A16,"https://doi.org/")</f>
        <v>10.1038/s41559-019-0969-0</v>
      </c>
      <c r="K16" t="str">
        <f>TRIM(_xlfn.TEXTJOIN("_",FALSE,F16,(SUBSTITUTE(SUBSTITUTE(D17," ",""), "_", ""))))</f>
        <v>DeCasien_Higham_2019_SupplementaryData1-SocialSystem</v>
      </c>
      <c r="L16" t="str">
        <f>IF(ISBLANK(C16),TRIM(SUBSTITUTE(SUBSTITUTE(SUBSTITUTE(_xlfn.TEXTJOIN("_", FALSE, J16, SUBSTITUTE(D17,"_", "")), "/", "%2F"), ":", "%3A"), " ", "")),TRIM(SUBSTITUTE(SUBSTITUTE(SUBSTITUTE(_xlfn.TEXTJOIN("_", FALSE, C16, SUBSTITUTE(D17,"_", "")), "/", "%2F"), ":", "%3A"), " ", "")))</f>
        <v>10.1038%2Fs41559-019-0969-0_SupplementaryData1-SocialSystem</v>
      </c>
      <c r="M16" t="str">
        <f t="array" ref="M16">IFERROR(INDEX(FileList!$A$1:$A$100, MATCH(L16, _xlfn.TEXTBEFORE(FileList!$A$1:$A$100, ".tsv"), 0)), "notfound")</f>
        <v>notfound</v>
      </c>
      <c r="N16" s="1" t="s">
        <v>116</v>
      </c>
      <c r="U16" s="1" t="s">
        <v>77</v>
      </c>
      <c r="V16" s="1" t="s">
        <v>117</v>
      </c>
      <c r="W16" s="1" t="s">
        <v>78</v>
      </c>
      <c r="X16" s="1" t="s">
        <v>118</v>
      </c>
      <c r="Y16" s="1" t="s">
        <v>124</v>
      </c>
      <c r="Z16" s="1" t="s">
        <v>58</v>
      </c>
      <c r="AE16" s="1" t="s">
        <v>81</v>
      </c>
    </row>
    <row r="17" spans="1:33" ht="15.95" customHeight="1">
      <c r="A17" s="1" t="s">
        <v>114</v>
      </c>
      <c r="D17" s="1" t="s">
        <v>125</v>
      </c>
      <c r="E17" t="str">
        <f t="shared" ref="E17" si="35">RIGHT(A17,1)</f>
        <v>0</v>
      </c>
      <c r="F17" t="str">
        <f t="shared" ref="F17" si="36">G17 &amp; IF(H17&lt;&gt;"", "_" &amp; H17, "_") &amp; IF(I17&lt;&gt;"", "_" &amp; I17, "_") &amp; IF(B17&lt;&gt;"", "_" &amp; B17, "")</f>
        <v>DeCasien_Higham_2019</v>
      </c>
      <c r="G17" t="str">
        <f t="shared" ref="G17" si="37">SUBSTITUTE(SUBSTITUTE(_xlfn.TEXTBEFORE(A17,","), "-", ""), " ", "")</f>
        <v>DeCasien</v>
      </c>
      <c r="H17" t="str">
        <f t="shared" ref="H17" si="38">IF(ISNUMBER(FIND("&amp;", A17)),
    IF(LEN(A17)-LEN(SUBSTITUTE(A17, ",", ""))&gt;=6, "etal", MID(A17, SEARCH("&amp; ", A17)+2, SEARCH(",", A17, SEARCH("&amp; ", A17)+2) - SEARCH("&amp; ", A17)-2)),
    ""
)</f>
        <v>Higham</v>
      </c>
      <c r="I17" t="str">
        <f t="shared" ref="I17" si="39">_xlfn.TEXTBEFORE(_xlfn.TEXTAFTER(A17, "("), ")")</f>
        <v>2019</v>
      </c>
      <c r="J17" t="str">
        <f t="shared" ref="J17" si="40">_xlfn.TEXTAFTER(A17,"https://doi.org/")</f>
        <v>10.1038/s41559-019-0969-0</v>
      </c>
      <c r="K17" t="str">
        <f>TRIM(_xlfn.TEXTJOIN("_",FALSE,F17,(SUBSTITUTE(SUBSTITUTE(D17," ",""), "_", ""))))</f>
        <v>DeCasien_Higham_2019_SupplementaryData1-SocialSystem</v>
      </c>
      <c r="L17" t="str">
        <f>IF(ISBLANK(C17),TRIM(SUBSTITUTE(SUBSTITUTE(SUBSTITUTE(_xlfn.TEXTJOIN("_", FALSE, J17, SUBSTITUTE(D17,"_", "")), "/", "%2F"), ":", "%3A"), " ", "")),TRIM(SUBSTITUTE(SUBSTITUTE(SUBSTITUTE(_xlfn.TEXTJOIN("_", FALSE, C17, SUBSTITUTE(D17,"_", "")), "/", "%2F"), ":", "%3A"), " ", "")))</f>
        <v>10.1038%2Fs41559-019-0969-0_SupplementaryData1-SocialSystem</v>
      </c>
      <c r="M17" t="str">
        <f t="array" ref="M17">IFERROR(INDEX(FileList!$A$1:$A$100, MATCH(L17, _xlfn.TEXTBEFORE(FileList!$A$1:$A$100, ".tsv"), 0)), "notfound")</f>
        <v>notfound</v>
      </c>
      <c r="N17" s="1" t="s">
        <v>116</v>
      </c>
      <c r="U17" s="1" t="s">
        <v>77</v>
      </c>
      <c r="V17" s="1" t="s">
        <v>117</v>
      </c>
      <c r="W17" s="1" t="s">
        <v>78</v>
      </c>
      <c r="X17" s="1" t="s">
        <v>118</v>
      </c>
      <c r="Y17" s="1" t="s">
        <v>126</v>
      </c>
      <c r="Z17" s="1" t="s">
        <v>58</v>
      </c>
      <c r="AE17" s="1" t="s">
        <v>81</v>
      </c>
    </row>
    <row r="18" spans="1:33" ht="15.95" customHeight="1">
      <c r="A18" s="1" t="s">
        <v>127</v>
      </c>
      <c r="D18" s="1" t="s">
        <v>128</v>
      </c>
      <c r="E18" t="str">
        <f t="shared" si="17"/>
        <v>6</v>
      </c>
      <c r="F18" t="str">
        <f t="shared" si="18"/>
        <v>DosSantos_etal_2017</v>
      </c>
      <c r="G18" t="str">
        <f t="shared" si="19"/>
        <v>DosSantos</v>
      </c>
      <c r="H18" t="str">
        <f t="shared" si="20"/>
        <v>etal</v>
      </c>
      <c r="I18" t="str">
        <f t="shared" si="21"/>
        <v>2017</v>
      </c>
      <c r="J18" t="str">
        <f t="shared" si="22"/>
        <v>10.1159/000452856</v>
      </c>
      <c r="K18" t="str">
        <f>TRIM(_xlfn.TEXTJOIN("_",FALSE,F18,(SUBSTITUTE(SUBSTITUTE(D18," ",""), "_", ""))))</f>
        <v>DosSantos_etal_2017_TableS1</v>
      </c>
      <c r="L18" t="str">
        <f>IF(ISBLANK(C18),TRIM(SUBSTITUTE(SUBSTITUTE(SUBSTITUTE(_xlfn.TEXTJOIN("_", FALSE, J18, SUBSTITUTE(D18,"_", "")), "/", "%2F"), ":", "%3A"), " ", "")),TRIM(SUBSTITUTE(SUBSTITUTE(SUBSTITUTE(_xlfn.TEXTJOIN("_", FALSE, C18, SUBSTITUTE(D18,"_", "")), "/", "%2F"), ":", "%3A"), " ", "")))</f>
        <v>10.1159%2F000452856_TableS1</v>
      </c>
      <c r="M18" t="str">
        <f t="array" ref="M18">IFERROR(INDEX(FileList!$A$1:$A$100, MATCH(L18, _xlfn.TEXTBEFORE(FileList!$A$1:$A$100, ".tsv"), 0)), "notfound")</f>
        <v>10.1159%2F000452856_TableS1.tsv</v>
      </c>
      <c r="O18" s="1" t="s">
        <v>129</v>
      </c>
      <c r="P18" s="1" t="s">
        <v>51</v>
      </c>
      <c r="Q18" s="1" t="s">
        <v>70</v>
      </c>
      <c r="R18" s="1" t="s">
        <v>130</v>
      </c>
      <c r="S18" s="1" t="s">
        <v>84</v>
      </c>
      <c r="T18" s="1" t="s">
        <v>131</v>
      </c>
      <c r="U18" s="1" t="s">
        <v>132</v>
      </c>
      <c r="V18" s="1" t="s">
        <v>133</v>
      </c>
      <c r="W18" s="1" t="s">
        <v>78</v>
      </c>
      <c r="X18" s="1" t="s">
        <v>134</v>
      </c>
      <c r="Y18" s="1" t="s">
        <v>135</v>
      </c>
      <c r="Z18" s="1" t="s">
        <v>38</v>
      </c>
      <c r="AA18" s="1" t="s">
        <v>136</v>
      </c>
      <c r="AB18" s="1" t="s">
        <v>136</v>
      </c>
      <c r="AE18" s="1" t="s">
        <v>137</v>
      </c>
      <c r="AF18" s="1" t="s">
        <v>138</v>
      </c>
    </row>
    <row r="19" spans="1:33" ht="15.95" customHeight="1">
      <c r="A19" s="1" t="s">
        <v>139</v>
      </c>
      <c r="D19" s="1" t="s">
        <v>41</v>
      </c>
      <c r="E19" t="str">
        <f t="shared" si="17"/>
        <v>0</v>
      </c>
      <c r="F19" t="str">
        <f t="shared" si="18"/>
        <v>DosSantos_etal_2020</v>
      </c>
      <c r="G19" t="str">
        <f t="shared" si="19"/>
        <v>DosSantos</v>
      </c>
      <c r="H19" t="str">
        <f t="shared" si="20"/>
        <v>etal</v>
      </c>
      <c r="I19" t="str">
        <f t="shared" si="21"/>
        <v>2020</v>
      </c>
      <c r="J19" t="str">
        <f t="shared" si="22"/>
        <v>10.1523/JNEUROSCI.2339-19.2020</v>
      </c>
      <c r="K19" t="str">
        <f>TRIM(_xlfn.TEXTJOIN("_",FALSE,F19,(SUBSTITUTE(SUBSTITUTE(D19," ",""), "_", ""))))</f>
        <v>DosSantos_etal_2020_Table1</v>
      </c>
      <c r="L19" t="str">
        <f>IF(ISBLANK(C19),TRIM(SUBSTITUTE(SUBSTITUTE(SUBSTITUTE(_xlfn.TEXTJOIN("_", FALSE, J19, SUBSTITUTE(D19,"_", "")), "/", "%2F"), ":", "%3A"), " ", "")),TRIM(SUBSTITUTE(SUBSTITUTE(SUBSTITUTE(_xlfn.TEXTJOIN("_", FALSE, C19, SUBSTITUTE(D19,"_", "")), "/", "%2F"), ":", "%3A"), " ", "")))</f>
        <v>10.1523%2FJNEUROSCI.2339-19.2020_Table1</v>
      </c>
      <c r="M19" t="str">
        <f t="array" ref="M19">IFERROR(INDEX(FileList!$A$1:$A$100, MATCH(L19, _xlfn.TEXTBEFORE(FileList!$A$1:$A$100, ".tsv"), 0)), "notfound")</f>
        <v>10.1523%2FJNEUROSCI.2339-19.2020_Table1.tsv</v>
      </c>
      <c r="P19" s="1" t="s">
        <v>51</v>
      </c>
      <c r="Q19" s="1" t="s">
        <v>70</v>
      </c>
      <c r="R19" s="4" t="s">
        <v>140</v>
      </c>
      <c r="S19" s="1" t="s">
        <v>84</v>
      </c>
      <c r="T19" s="1" t="s">
        <v>141</v>
      </c>
      <c r="U19" s="1" t="s">
        <v>142</v>
      </c>
      <c r="V19" s="1" t="s">
        <v>36</v>
      </c>
      <c r="Y19" s="1" t="s">
        <v>135</v>
      </c>
      <c r="Z19" s="1" t="s">
        <v>143</v>
      </c>
      <c r="AA19" s="1" t="s">
        <v>136</v>
      </c>
      <c r="AB19" s="1" t="s">
        <v>136</v>
      </c>
      <c r="AE19" s="1" t="s">
        <v>144</v>
      </c>
    </row>
    <row r="20" spans="1:33" ht="15.95" customHeight="1">
      <c r="A20" s="1" t="s">
        <v>139</v>
      </c>
      <c r="D20" s="1" t="s">
        <v>145</v>
      </c>
      <c r="E20" t="str">
        <f t="shared" ref="E20" si="41">RIGHT(A20,1)</f>
        <v>0</v>
      </c>
      <c r="F20" t="str">
        <f t="shared" ref="F20" si="42">G20 &amp; IF(H20&lt;&gt;"", "_" &amp; H20, "_") &amp; IF(I20&lt;&gt;"", "_" &amp; I20, "_") &amp; IF(B20&lt;&gt;"", "_" &amp; B20, "")</f>
        <v>DosSantos_etal_2020</v>
      </c>
      <c r="G20" t="str">
        <f t="shared" ref="G20" si="43">SUBSTITUTE(SUBSTITUTE(_xlfn.TEXTBEFORE(A20,","), "-", ""), " ", "")</f>
        <v>DosSantos</v>
      </c>
      <c r="H20" t="str">
        <f t="shared" ref="H20" si="44">IF(ISNUMBER(FIND("&amp;", A20)),
    IF(LEN(A20)-LEN(SUBSTITUTE(A20, ",", ""))&gt;=6, "etal", MID(A20, SEARCH("&amp; ", A20)+2, SEARCH(",", A20, SEARCH("&amp; ", A20)+2) - SEARCH("&amp; ", A20)-2)),
    ""
)</f>
        <v>etal</v>
      </c>
      <c r="I20" t="str">
        <f t="shared" ref="I20" si="45">_xlfn.TEXTBEFORE(_xlfn.TEXTAFTER(A20, "("), ")")</f>
        <v>2020</v>
      </c>
      <c r="J20" t="str">
        <f t="shared" ref="J20" si="46">_xlfn.TEXTAFTER(A20,"https://doi.org/")</f>
        <v>10.1523/JNEUROSCI.2339-19.2020</v>
      </c>
      <c r="K20" t="str">
        <f>TRIM(_xlfn.TEXTJOIN("_",FALSE,F20,(SUBSTITUTE(SUBSTITUTE(D20," ",""), "_", ""))))</f>
        <v>DosSantos_etal_2020_unpublished</v>
      </c>
      <c r="L20" t="str">
        <f>IF(ISBLANK(C20),TRIM(SUBSTITUTE(SUBSTITUTE(SUBSTITUTE(_xlfn.TEXTJOIN("_", FALSE, J20, SUBSTITUTE(D20,"_", "")), "/", "%2F"), ":", "%3A"), " ", "")),TRIM(SUBSTITUTE(SUBSTITUTE(SUBSTITUTE(_xlfn.TEXTJOIN("_", FALSE, C20, SUBSTITUTE(D20,"_", "")), "/", "%2F"), ":", "%3A"), " ", "")))</f>
        <v>10.1523%2FJNEUROSCI.2339-19.2020_unpublished</v>
      </c>
      <c r="M20" t="str">
        <f t="array" ref="M20">IFERROR(INDEX(FileList!$A$1:$A$100, MATCH(L20, _xlfn.TEXTBEFORE(FileList!$A$1:$A$100, ".tsv"), 0)), "notfound")</f>
        <v>10.1523%2FJNEUROSCI.2339-19.2020_unpublished.tsv</v>
      </c>
      <c r="P20" s="1" t="s">
        <v>51</v>
      </c>
      <c r="Q20" s="1" t="s">
        <v>70</v>
      </c>
      <c r="R20" s="4" t="s">
        <v>140</v>
      </c>
      <c r="S20" s="1" t="s">
        <v>84</v>
      </c>
      <c r="T20" s="1" t="s">
        <v>141</v>
      </c>
      <c r="U20" s="1" t="s">
        <v>142</v>
      </c>
      <c r="V20" s="1" t="s">
        <v>36</v>
      </c>
      <c r="Y20" s="1" t="s">
        <v>135</v>
      </c>
      <c r="Z20" s="1" t="s">
        <v>143</v>
      </c>
      <c r="AA20" s="1" t="s">
        <v>136</v>
      </c>
      <c r="AB20" s="1" t="s">
        <v>136</v>
      </c>
      <c r="AE20" s="1" t="s">
        <v>144</v>
      </c>
    </row>
    <row r="21" spans="1:33" ht="15.95" customHeight="1">
      <c r="A21" s="3" t="s">
        <v>146</v>
      </c>
      <c r="D21" s="1" t="s">
        <v>35</v>
      </c>
      <c r="E21" t="str">
        <f t="shared" ref="E21" si="47">RIGHT(A21,1)</f>
        <v>3</v>
      </c>
      <c r="F21" t="str">
        <f t="shared" ref="F21" si="48">G21 &amp; IF(H21&lt;&gt;"", "_" &amp; H21, "_") &amp; IF(I21&lt;&gt;"", "_" &amp; I21, "_") &amp; IF(B21&lt;&gt;"", "_" &amp; B21, "")</f>
        <v>Eagleman_Vaughn_2021</v>
      </c>
      <c r="G21" t="str">
        <f t="shared" ref="G21" si="49">SUBSTITUTE(SUBSTITUTE(_xlfn.TEXTBEFORE(A21,","), "-", ""), " ", "")</f>
        <v>Eagleman</v>
      </c>
      <c r="H21" t="str">
        <f t="shared" ref="H21" si="50">IF(ISNUMBER(FIND("&amp;", A21)),
    IF(LEN(A21)-LEN(SUBSTITUTE(A21, ",", ""))&gt;=6, "etal", MID(A21, SEARCH("&amp; ", A21)+2, SEARCH(",", A21, SEARCH("&amp; ", A21)+2) - SEARCH("&amp; ", A21)-2)),
    ""
)</f>
        <v>Vaughn</v>
      </c>
      <c r="I21" t="str">
        <f t="shared" ref="I21" si="51">_xlfn.TEXTBEFORE(_xlfn.TEXTAFTER(A21, "("), ")")</f>
        <v>2021</v>
      </c>
      <c r="J21" t="str">
        <f t="shared" ref="J21" si="52">_xlfn.TEXTAFTER(A21,"https://doi.org/")</f>
        <v>10.3389/fnins.2021.632853</v>
      </c>
      <c r="K21" t="str">
        <f>TRIM(_xlfn.TEXTJOIN("_",FALSE,F21,(SUBSTITUTE(SUBSTITUTE(D21," ",""), "_", ""))))</f>
        <v>Eagleman_Vaughn_2021_TABLE1</v>
      </c>
      <c r="L21" t="str">
        <f>IF(ISBLANK(C21),TRIM(SUBSTITUTE(SUBSTITUTE(SUBSTITUTE(_xlfn.TEXTJOIN("_", FALSE, J21, SUBSTITUTE(D21,"_", "")), "/", "%2F"), ":", "%3A"), " ", "")),TRIM(SUBSTITUTE(SUBSTITUTE(SUBSTITUTE(_xlfn.TEXTJOIN("_", FALSE, C21, SUBSTITUTE(D21,"_", "")), "/", "%2F"), ":", "%3A"), " ", "")))</f>
        <v>10.3389%2Ffnins.2021.632853_TABLE1</v>
      </c>
      <c r="M21" t="str">
        <f t="array" ref="M21">IFERROR(INDEX(FileList!$A$1:$A$100, MATCH(L21, _xlfn.TEXTBEFORE(FileList!$A$1:$A$100, ".tsv"), 0)), "notfound")</f>
        <v>notfound</v>
      </c>
      <c r="N21" s="1" t="s">
        <v>147</v>
      </c>
      <c r="R21" s="4"/>
      <c r="U21" s="1" t="s">
        <v>86</v>
      </c>
      <c r="Z21" s="1" t="s">
        <v>58</v>
      </c>
    </row>
    <row r="22" spans="1:33" ht="15.95" customHeight="1">
      <c r="A22" s="1" t="s">
        <v>148</v>
      </c>
      <c r="D22" s="1" t="s">
        <v>35</v>
      </c>
      <c r="E22" t="str">
        <f t="shared" si="17"/>
        <v>5</v>
      </c>
      <c r="F22" t="str">
        <f t="shared" si="18"/>
        <v>Falcone_etal_2019</v>
      </c>
      <c r="G22" t="str">
        <f t="shared" si="19"/>
        <v>Falcone</v>
      </c>
      <c r="H22" t="str">
        <f t="shared" si="20"/>
        <v>etal</v>
      </c>
      <c r="I22" t="str">
        <f t="shared" si="21"/>
        <v>2019</v>
      </c>
      <c r="J22" t="str">
        <f t="shared" si="22"/>
        <v>10.1002/cne.24605</v>
      </c>
      <c r="K22" t="str">
        <f>TRIM(_xlfn.TEXTJOIN("_",FALSE,F22,(SUBSTITUTE(SUBSTITUTE(D22," ",""), "_", ""))))</f>
        <v>Falcone_etal_2019_TABLE1</v>
      </c>
      <c r="L22" t="str">
        <f>IF(ISBLANK(C22),TRIM(SUBSTITUTE(SUBSTITUTE(SUBSTITUTE(_xlfn.TEXTJOIN("_", FALSE, J22, SUBSTITUTE(D22,"_", "")), "/", "%2F"), ":", "%3A"), " ", "")),TRIM(SUBSTITUTE(SUBSTITUTE(SUBSTITUTE(_xlfn.TEXTJOIN("_", FALSE, C22, SUBSTITUTE(D22,"_", "")), "/", "%2F"), ":", "%3A"), " ", "")))</f>
        <v>10.1002%2Fcne.24605_TABLE1</v>
      </c>
      <c r="M22" t="str">
        <f t="array" ref="M22">IFERROR(INDEX(FileList!$A$1:$A$100, MATCH(L22, _xlfn.TEXTBEFORE(FileList!$A$1:$A$100, ".tsv"), 0)), "notfound")</f>
        <v>10.1002%2Fcne.24605_TABLE1.tsv</v>
      </c>
      <c r="N22" s="1" t="s">
        <v>149</v>
      </c>
      <c r="R22" s="4"/>
      <c r="U22" s="1" t="s">
        <v>86</v>
      </c>
      <c r="Z22" s="1" t="s">
        <v>38</v>
      </c>
    </row>
    <row r="23" spans="1:33" ht="15.95" customHeight="1">
      <c r="A23" s="1" t="s">
        <v>148</v>
      </c>
      <c r="D23" s="1" t="s">
        <v>150</v>
      </c>
      <c r="E23" t="str">
        <f t="shared" ref="E23" si="53">RIGHT(A23,1)</f>
        <v>5</v>
      </c>
      <c r="F23" t="str">
        <f t="shared" ref="F23" si="54">G23 &amp; IF(H23&lt;&gt;"", "_" &amp; H23, "_") &amp; IF(I23&lt;&gt;"", "_" &amp; I23, "_") &amp; IF(B23&lt;&gt;"", "_" &amp; B23, "")</f>
        <v>Falcone_etal_2019</v>
      </c>
      <c r="G23" t="str">
        <f t="shared" ref="G23" si="55">SUBSTITUTE(SUBSTITUTE(_xlfn.TEXTBEFORE(A23,","), "-", ""), " ", "")</f>
        <v>Falcone</v>
      </c>
      <c r="H23" t="str">
        <f t="shared" ref="H23" si="56">IF(ISNUMBER(FIND("&amp;", A23)),
    IF(LEN(A23)-LEN(SUBSTITUTE(A23, ",", ""))&gt;=6, "etal", MID(A23, SEARCH("&amp; ", A23)+2, SEARCH(",", A23, SEARCH("&amp; ", A23)+2) - SEARCH("&amp; ", A23)-2)),
    ""
)</f>
        <v>etal</v>
      </c>
      <c r="I23" t="str">
        <f t="shared" ref="I23" si="57">_xlfn.TEXTBEFORE(_xlfn.TEXTAFTER(A23, "("), ")")</f>
        <v>2019</v>
      </c>
      <c r="J23" t="str">
        <f t="shared" ref="J23" si="58">_xlfn.TEXTAFTER(A23,"https://doi.org/")</f>
        <v>10.1002/cne.24605</v>
      </c>
      <c r="K23" t="str">
        <f>TRIM(_xlfn.TEXTJOIN("_",FALSE,F23,(SUBSTITUTE(SUBSTITUTE(D23," ",""), "_", ""))))</f>
        <v>Falcone_etal_2019_TABLE2</v>
      </c>
      <c r="L23" t="str">
        <f>IF(ISBLANK(C23),TRIM(SUBSTITUTE(SUBSTITUTE(SUBSTITUTE(_xlfn.TEXTJOIN("_", FALSE, J23, SUBSTITUTE(D23,"_", "")), "/", "%2F"), ":", "%3A"), " ", "")),TRIM(SUBSTITUTE(SUBSTITUTE(SUBSTITUTE(_xlfn.TEXTJOIN("_", FALSE, C23, SUBSTITUTE(D23,"_", "")), "/", "%2F"), ":", "%3A"), " ", "")))</f>
        <v>10.1002%2Fcne.24605_TABLE2</v>
      </c>
      <c r="M23" t="str">
        <f t="array" ref="M23">IFERROR(INDEX(FileList!$A$1:$A$100, MATCH(L23, _xlfn.TEXTBEFORE(FileList!$A$1:$A$100, ".tsv"), 0)), "notfound")</f>
        <v>10.1002%2Fcne.24605_TABLE2.tsv</v>
      </c>
      <c r="N23" s="1" t="s">
        <v>151</v>
      </c>
      <c r="R23" s="4"/>
      <c r="U23" s="1" t="s">
        <v>86</v>
      </c>
      <c r="Z23" s="1" t="s">
        <v>38</v>
      </c>
    </row>
    <row r="24" spans="1:33" ht="15.95" customHeight="1">
      <c r="A24" s="1" t="s">
        <v>152</v>
      </c>
      <c r="D24" s="1" t="s">
        <v>153</v>
      </c>
      <c r="E24" t="str">
        <f t="shared" si="17"/>
        <v>6</v>
      </c>
      <c r="F24" t="str">
        <f t="shared" si="18"/>
        <v>Finlay_etal_2006</v>
      </c>
      <c r="G24" t="str">
        <f t="shared" si="19"/>
        <v>Finlay</v>
      </c>
      <c r="H24" t="str">
        <f t="shared" si="20"/>
        <v>etal</v>
      </c>
      <c r="I24" t="str">
        <f t="shared" si="21"/>
        <v>2006</v>
      </c>
      <c r="J24" t="str">
        <f t="shared" si="22"/>
        <v>10.1093/oso/9780198568742.003.0006</v>
      </c>
      <c r="K24" t="str">
        <f>TRIM(_xlfn.TEXTJOIN("_",FALSE,F24,(SUBSTITUTE(SUBSTITUTE(D24," ",""), "_", ""))))</f>
        <v>Finlay_etal_2006_Table6.1</v>
      </c>
      <c r="L24" t="str">
        <f>IF(ISBLANK(C24),TRIM(SUBSTITUTE(SUBSTITUTE(SUBSTITUTE(_xlfn.TEXTJOIN("_", FALSE, J24, SUBSTITUTE(D24,"_", "")), "/", "%2F"), ":", "%3A"), " ", "")),TRIM(SUBSTITUTE(SUBSTITUTE(SUBSTITUTE(_xlfn.TEXTJOIN("_", FALSE, C24, SUBSTITUTE(D24,"_", "")), "/", "%2F"), ":", "%3A"), " ", "")))</f>
        <v>10.1093%2Foso%2F9780198568742.003.0006_Table6.1</v>
      </c>
      <c r="M24" t="str">
        <f t="array" ref="M24">IFERROR(INDEX(FileList!$A$1:$A$100, MATCH(L24, _xlfn.TEXTBEFORE(FileList!$A$1:$A$100, ".tsv"), 0)), "notfound")</f>
        <v>10.1093%2Foso%2F9780198568742.003.0006_Table6.1.tsv</v>
      </c>
      <c r="N24" s="5"/>
      <c r="P24" s="1" t="s">
        <v>94</v>
      </c>
      <c r="Q24" s="1" t="s">
        <v>95</v>
      </c>
      <c r="R24" s="1" t="s">
        <v>154</v>
      </c>
      <c r="S24" s="1" t="s">
        <v>84</v>
      </c>
      <c r="T24" s="1" t="s">
        <v>155</v>
      </c>
      <c r="U24" s="1" t="s">
        <v>86</v>
      </c>
      <c r="V24" s="1" t="s">
        <v>36</v>
      </c>
      <c r="W24" s="1" t="s">
        <v>87</v>
      </c>
      <c r="X24" s="1" t="s">
        <v>156</v>
      </c>
      <c r="Y24" s="1" t="s">
        <v>157</v>
      </c>
      <c r="Z24" s="1" t="s">
        <v>101</v>
      </c>
      <c r="AD24" s="1" t="s">
        <v>102</v>
      </c>
      <c r="AE24" s="1" t="s">
        <v>60</v>
      </c>
    </row>
    <row r="25" spans="1:33" ht="15.95" customHeight="1">
      <c r="A25" s="1" t="s">
        <v>158</v>
      </c>
      <c r="D25" s="1" t="s">
        <v>41</v>
      </c>
      <c r="E25" t="str">
        <f t="shared" si="17"/>
        <v>x</v>
      </c>
      <c r="F25" t="str">
        <f t="shared" si="18"/>
        <v>Fu_etal_2013</v>
      </c>
      <c r="G25" t="str">
        <f t="shared" si="19"/>
        <v>Fu</v>
      </c>
      <c r="H25" t="str">
        <f t="shared" si="20"/>
        <v>etal</v>
      </c>
      <c r="I25" t="str">
        <f t="shared" si="21"/>
        <v>2013</v>
      </c>
      <c r="J25" t="str">
        <f t="shared" si="22"/>
        <v>10.1007/s00429-012-0462-x</v>
      </c>
      <c r="K25" t="str">
        <f>TRIM(_xlfn.TEXTJOIN("_",FALSE,F25,(SUBSTITUTE(SUBSTITUTE(D25," ",""), "_", ""))))</f>
        <v>Fu_etal_2013_Table1</v>
      </c>
      <c r="L25" t="str">
        <f>IF(ISBLANK(C25),TRIM(SUBSTITUTE(SUBSTITUTE(SUBSTITUTE(_xlfn.TEXTJOIN("_", FALSE, J25, SUBSTITUTE(D25,"_", "")), "/", "%2F"), ":", "%3A"), " ", "")),TRIM(SUBSTITUTE(SUBSTITUTE(SUBSTITUTE(_xlfn.TEXTJOIN("_", FALSE, C25, SUBSTITUTE(D25,"_", "")), "/", "%2F"), ":", "%3A"), " ", "")))</f>
        <v>10.1007%2Fs00429-012-0462-x_Table1</v>
      </c>
      <c r="M25" t="str">
        <f t="array" ref="M25">IFERROR(INDEX(FileList!$A$1:$A$100, MATCH(L25, _xlfn.TEXTBEFORE(FileList!$A$1:$A$100, ".tsv"), 0)), "notfound")</f>
        <v>notfound</v>
      </c>
      <c r="N25" s="1" t="s">
        <v>159</v>
      </c>
      <c r="P25" s="1" t="s">
        <v>160</v>
      </c>
      <c r="Z25" s="1" t="s">
        <v>161</v>
      </c>
      <c r="AC25" s="1" t="s">
        <v>67</v>
      </c>
    </row>
    <row r="26" spans="1:33" ht="15" customHeight="1">
      <c r="A26" s="1" t="s">
        <v>162</v>
      </c>
      <c r="D26" s="1" t="s">
        <v>128</v>
      </c>
      <c r="E26" t="str">
        <f t="shared" si="17"/>
        <v>6</v>
      </c>
      <c r="F26" t="str">
        <f t="shared" si="18"/>
        <v>Garwicz_etal_2009</v>
      </c>
      <c r="G26" t="str">
        <f t="shared" si="19"/>
        <v>Garwicz</v>
      </c>
      <c r="H26" t="str">
        <f t="shared" si="20"/>
        <v>etal</v>
      </c>
      <c r="I26" t="str">
        <f t="shared" si="21"/>
        <v>2009</v>
      </c>
      <c r="J26" t="str">
        <f t="shared" si="22"/>
        <v>10.1073/pnas.0905777106</v>
      </c>
      <c r="K26" t="str">
        <f>TRIM(_xlfn.TEXTJOIN("_",FALSE,F26,(SUBSTITUTE(SUBSTITUTE(D26," ",""), "_", ""))))</f>
        <v>Garwicz_etal_2009_TableS1</v>
      </c>
      <c r="L26" t="str">
        <f>IF(ISBLANK(C26),TRIM(SUBSTITUTE(SUBSTITUTE(SUBSTITUTE(_xlfn.TEXTJOIN("_", FALSE, J26, SUBSTITUTE(D26,"_", "")), "/", "%2F"), ":", "%3A"), " ", "")),TRIM(SUBSTITUTE(SUBSTITUTE(SUBSTITUTE(_xlfn.TEXTJOIN("_", FALSE, C26, SUBSTITUTE(D26,"_", "")), "/", "%2F"), ":", "%3A"), " ", "")))</f>
        <v>10.1073%2Fpnas.0905777106_TableS1</v>
      </c>
      <c r="M26" t="str">
        <f t="array" ref="M26">IFERROR(INDEX(FileList!$A$1:$A$100, MATCH(L26, _xlfn.TEXTBEFORE(FileList!$A$1:$A$100, ".tsv"), 0)), "notfound")</f>
        <v>10.1073%2Fpnas.0905777106_TableS1.tsv</v>
      </c>
      <c r="N26" s="1" t="s">
        <v>163</v>
      </c>
      <c r="U26" s="1" t="s">
        <v>86</v>
      </c>
      <c r="W26" s="1" t="s">
        <v>78</v>
      </c>
      <c r="X26" s="1" t="s">
        <v>164</v>
      </c>
    </row>
    <row r="27" spans="1:33" ht="15.95" customHeight="1">
      <c r="A27" s="1" t="s">
        <v>162</v>
      </c>
      <c r="D27" s="1" t="s">
        <v>165</v>
      </c>
      <c r="E27" t="str">
        <f t="shared" si="17"/>
        <v>6</v>
      </c>
      <c r="F27" t="str">
        <f t="shared" si="18"/>
        <v>Garwicz_etal_2009</v>
      </c>
      <c r="G27" t="str">
        <f t="shared" si="19"/>
        <v>Garwicz</v>
      </c>
      <c r="H27" t="str">
        <f t="shared" si="20"/>
        <v>etal</v>
      </c>
      <c r="I27" t="str">
        <f t="shared" si="21"/>
        <v>2009</v>
      </c>
      <c r="J27" t="str">
        <f t="shared" si="22"/>
        <v>10.1073/pnas.0905777106</v>
      </c>
      <c r="K27" t="str">
        <f>TRIM(_xlfn.TEXTJOIN("_",FALSE,F27,(SUBSTITUTE(SUBSTITUTE(D27," ",""), "_", ""))))</f>
        <v>Garwicz_etal_2009_TableS2</v>
      </c>
      <c r="L27" t="str">
        <f>IF(ISBLANK(C27),TRIM(SUBSTITUTE(SUBSTITUTE(SUBSTITUTE(_xlfn.TEXTJOIN("_", FALSE, J27, SUBSTITUTE(D27,"_", "")), "/", "%2F"), ":", "%3A"), " ", "")),TRIM(SUBSTITUTE(SUBSTITUTE(SUBSTITUTE(_xlfn.TEXTJOIN("_", FALSE, C27, SUBSTITUTE(D27,"_", "")), "/", "%2F"), ":", "%3A"), " ", "")))</f>
        <v>10.1073%2Fpnas.0905777106_TableS2</v>
      </c>
      <c r="M27" t="str">
        <f t="array" ref="M27">IFERROR(INDEX(FileList!$A$1:$A$100, MATCH(L27, _xlfn.TEXTBEFORE(FileList!$A$1:$A$100, ".tsv"), 0)), "notfound")</f>
        <v>notfound</v>
      </c>
      <c r="N27" s="1" t="s">
        <v>166</v>
      </c>
      <c r="U27" s="1" t="s">
        <v>86</v>
      </c>
      <c r="W27" s="1" t="s">
        <v>78</v>
      </c>
      <c r="X27" s="1" t="s">
        <v>164</v>
      </c>
    </row>
    <row r="28" spans="1:33" ht="15.95" customHeight="1">
      <c r="A28" s="1" t="s">
        <v>167</v>
      </c>
      <c r="D28" s="1" t="s">
        <v>165</v>
      </c>
      <c r="E28" t="str">
        <f t="shared" si="17"/>
        <v>0</v>
      </c>
      <c r="F28" t="str">
        <f t="shared" si="18"/>
        <v>Genoud_etal_2018</v>
      </c>
      <c r="G28" t="str">
        <f t="shared" si="19"/>
        <v>Genoud</v>
      </c>
      <c r="H28" t="str">
        <f t="shared" si="20"/>
        <v>etal</v>
      </c>
      <c r="I28" t="str">
        <f t="shared" si="21"/>
        <v>2018</v>
      </c>
      <c r="J28" t="str">
        <f t="shared" si="22"/>
        <v>10.1111/brv.12350</v>
      </c>
      <c r="K28" t="str">
        <f>TRIM(_xlfn.TEXTJOIN("_",FALSE,F28,(SUBSTITUTE(SUBSTITUTE(D28," ",""), "_", ""))))</f>
        <v>Genoud_etal_2018_TableS2</v>
      </c>
      <c r="L28" t="str">
        <f>IF(ISBLANK(C28),TRIM(SUBSTITUTE(SUBSTITUTE(SUBSTITUTE(_xlfn.TEXTJOIN("_", FALSE, J28, SUBSTITUTE(D28,"_", "")), "/", "%2F"), ":", "%3A"), " ", "")),TRIM(SUBSTITUTE(SUBSTITUTE(SUBSTITUTE(_xlfn.TEXTJOIN("_", FALSE, C28, SUBSTITUTE(D28,"_", "")), "/", "%2F"), ":", "%3A"), " ", "")))</f>
        <v>10.1111%2Fbrv.12350_TableS2</v>
      </c>
      <c r="M28" t="str">
        <f t="array" ref="M28">IFERROR(INDEX(FileList!$A$1:$A$100, MATCH(L28, _xlfn.TEXTBEFORE(FileList!$A$1:$A$100, ".tsv"), 0)), "notfound")</f>
        <v>notfound</v>
      </c>
      <c r="N28" s="1" t="s">
        <v>168</v>
      </c>
      <c r="P28" s="1" t="s">
        <v>160</v>
      </c>
      <c r="AC28" s="1" t="s">
        <v>169</v>
      </c>
    </row>
    <row r="29" spans="1:33" ht="15.95" customHeight="1">
      <c r="A29" s="1" t="s">
        <v>170</v>
      </c>
      <c r="D29" s="1" t="s">
        <v>128</v>
      </c>
      <c r="E29" t="str">
        <f t="shared" si="17"/>
        <v>8</v>
      </c>
      <c r="F29" t="str">
        <f t="shared" si="18"/>
        <v>Granatosky__2018</v>
      </c>
      <c r="G29" t="str">
        <f t="shared" si="19"/>
        <v>Granatosky</v>
      </c>
      <c r="H29" t="str">
        <f t="shared" ca="1" si="20"/>
        <v/>
      </c>
      <c r="I29" t="str">
        <f t="shared" si="21"/>
        <v>2018</v>
      </c>
      <c r="J29" t="str">
        <f t="shared" si="22"/>
        <v>10.1111/jzo.12608</v>
      </c>
      <c r="K29" t="str">
        <f>TRIM(_xlfn.TEXTJOIN("_",FALSE,F29,(SUBSTITUTE(SUBSTITUTE(D29," ",""), "_", ""))))</f>
        <v>Granatosky__2018_TableS1</v>
      </c>
      <c r="L29" t="str">
        <f>IF(ISBLANK(C29),TRIM(SUBSTITUTE(SUBSTITUTE(SUBSTITUTE(_xlfn.TEXTJOIN("_", FALSE, J29, SUBSTITUTE(D29,"_", "")), "/", "%2F"), ":", "%3A"), " ", "")),TRIM(SUBSTITUTE(SUBSTITUTE(SUBSTITUTE(_xlfn.TEXTJOIN("_", FALSE, C29, SUBSTITUTE(D29,"_", "")), "/", "%2F"), ":", "%3A"), " ", "")))</f>
        <v>10.1111%2Fjzo.12608_TableS1</v>
      </c>
      <c r="M29" t="str">
        <f t="array" ref="M29">IFERROR(INDEX(FileList!$A$1:$A$100, MATCH(L29, _xlfn.TEXTBEFORE(FileList!$A$1:$A$100, ".tsv"), 0)), "notfound")</f>
        <v>notfound</v>
      </c>
      <c r="N29" s="1" t="s">
        <v>171</v>
      </c>
      <c r="P29" s="1" t="s">
        <v>160</v>
      </c>
    </row>
    <row r="30" spans="1:33" ht="15.95" customHeight="1">
      <c r="A30" s="1" t="s">
        <v>172</v>
      </c>
      <c r="D30" s="1" t="s">
        <v>173</v>
      </c>
      <c r="E30" t="str">
        <f t="shared" si="17"/>
        <v>1</v>
      </c>
      <c r="F30" t="str">
        <f t="shared" si="18"/>
        <v>Heffner_Masterton_1975</v>
      </c>
      <c r="G30" t="str">
        <f t="shared" si="19"/>
        <v>Heffner</v>
      </c>
      <c r="H30" t="str">
        <f t="shared" si="20"/>
        <v>Masterton</v>
      </c>
      <c r="I30" t="str">
        <f t="shared" si="21"/>
        <v>1975</v>
      </c>
      <c r="J30" t="str">
        <f t="shared" si="22"/>
        <v>10.1159/000124401</v>
      </c>
      <c r="K30" t="str">
        <f>TRIM(_xlfn.TEXTJOIN("_",FALSE,F30,(SUBSTITUTE(SUBSTITUTE(D30," ",""), "_", ""))))</f>
        <v>Heffner_Masterton_1975_TableI</v>
      </c>
      <c r="L30" t="str">
        <f>IF(ISBLANK(C30),TRIM(SUBSTITUTE(SUBSTITUTE(SUBSTITUTE(_xlfn.TEXTJOIN("_", FALSE, J30, SUBSTITUTE(D30,"_", "")), "/", "%2F"), ":", "%3A"), " ", "")),TRIM(SUBSTITUTE(SUBSTITUTE(SUBSTITUTE(_xlfn.TEXTJOIN("_", FALSE, C30, SUBSTITUTE(D30,"_", "")), "/", "%2F"), ":", "%3A"), " ", "")))</f>
        <v>10.1159%2F000124401_TableI</v>
      </c>
      <c r="M30" t="str">
        <f t="array" ref="M30">IFERROR(INDEX(FileList!$A$1:$A$100, MATCH(L30, _xlfn.TEXTBEFORE(FileList!$A$1:$A$100, ".tsv"), 0)), "notfound")</f>
        <v>10.1159%2F000124401_TableI.tsv</v>
      </c>
      <c r="P30" s="1" t="s">
        <v>51</v>
      </c>
      <c r="Q30" s="1" t="s">
        <v>70</v>
      </c>
      <c r="R30" s="1" t="s">
        <v>174</v>
      </c>
      <c r="S30" s="1" t="s">
        <v>84</v>
      </c>
      <c r="T30" s="1" t="s">
        <v>175</v>
      </c>
      <c r="U30" s="1" t="s">
        <v>86</v>
      </c>
      <c r="V30" s="1" t="s">
        <v>36</v>
      </c>
      <c r="W30" s="1" t="s">
        <v>99</v>
      </c>
      <c r="Y30" s="1" t="s">
        <v>176</v>
      </c>
      <c r="Z30" s="1" t="s">
        <v>177</v>
      </c>
      <c r="AC30" s="1" t="s">
        <v>178</v>
      </c>
      <c r="AE30" s="1" t="s">
        <v>60</v>
      </c>
    </row>
    <row r="31" spans="1:33" ht="15.95" customHeight="1">
      <c r="A31" s="1" t="s">
        <v>179</v>
      </c>
      <c r="D31" s="1" t="s">
        <v>173</v>
      </c>
      <c r="E31" t="str">
        <f t="shared" si="17"/>
        <v>4</v>
      </c>
      <c r="F31" t="str">
        <f t="shared" si="18"/>
        <v>Heffner_Masterton_1983</v>
      </c>
      <c r="G31" t="str">
        <f t="shared" si="19"/>
        <v>Heffner</v>
      </c>
      <c r="H31" t="str">
        <f t="shared" si="20"/>
        <v>Masterton</v>
      </c>
      <c r="I31" t="str">
        <f t="shared" si="21"/>
        <v>1983</v>
      </c>
      <c r="J31" t="str">
        <f t="shared" si="22"/>
        <v>10.1159/000121494</v>
      </c>
      <c r="K31" t="str">
        <f>TRIM(_xlfn.TEXTJOIN("_",FALSE,F31,(SUBSTITUTE(SUBSTITUTE(D31," ",""), "_", ""))))</f>
        <v>Heffner_Masterton_1983_TableI</v>
      </c>
      <c r="L31" t="str">
        <f>IF(ISBLANK(C31),TRIM(SUBSTITUTE(SUBSTITUTE(SUBSTITUTE(_xlfn.TEXTJOIN("_", FALSE, J31, SUBSTITUTE(D31,"_", "")), "/", "%2F"), ":", "%3A"), " ", "")),TRIM(SUBSTITUTE(SUBSTITUTE(SUBSTITUTE(_xlfn.TEXTJOIN("_", FALSE, C31, SUBSTITUTE(D31,"_", "")), "/", "%2F"), ":", "%3A"), " ", "")))</f>
        <v>10.1159%2F000121494_TableI</v>
      </c>
      <c r="M31" t="str">
        <f t="array" ref="M31">IFERROR(INDEX(FileList!$A$1:$A$100, MATCH(L31, _xlfn.TEXTBEFORE(FileList!$A$1:$A$100, ".tsv"), 0)), "notfound")</f>
        <v>notfound</v>
      </c>
      <c r="P31" s="1" t="s">
        <v>160</v>
      </c>
      <c r="Q31" s="1" t="s">
        <v>95</v>
      </c>
      <c r="R31" s="4"/>
      <c r="T31" s="1" t="str">
        <f>IF(S31="N", R31, "write file name")</f>
        <v>write file name</v>
      </c>
      <c r="U31" s="1" t="s">
        <v>86</v>
      </c>
      <c r="V31" s="1" t="s">
        <v>36</v>
      </c>
      <c r="W31" s="1" t="s">
        <v>99</v>
      </c>
      <c r="Y31" s="1" t="s">
        <v>176</v>
      </c>
      <c r="AE31" s="1" t="s">
        <v>60</v>
      </c>
      <c r="AG31" s="1" t="s">
        <v>180</v>
      </c>
    </row>
    <row r="32" spans="1:33" ht="15.95" customHeight="1">
      <c r="A32" s="1" t="s">
        <v>181</v>
      </c>
      <c r="D32" s="1" t="s">
        <v>128</v>
      </c>
      <c r="E32" t="str">
        <f t="shared" si="17"/>
        <v>8</v>
      </c>
      <c r="F32" t="str">
        <f t="shared" si="18"/>
        <v>Heldstab_etal_2016</v>
      </c>
      <c r="G32" t="str">
        <f t="shared" si="19"/>
        <v>Heldstab</v>
      </c>
      <c r="H32" t="str">
        <f t="shared" si="20"/>
        <v>etal</v>
      </c>
      <c r="I32" t="str">
        <f t="shared" si="21"/>
        <v>2016</v>
      </c>
      <c r="J32" t="str">
        <f t="shared" si="22"/>
        <v>10.1038/srep24528</v>
      </c>
      <c r="K32" t="str">
        <f>TRIM(_xlfn.TEXTJOIN("_",FALSE,F32,(SUBSTITUTE(SUBSTITUTE(D32," ",""), "_", ""))))</f>
        <v>Heldstab_etal_2016_TableS1</v>
      </c>
      <c r="L32" t="str">
        <f>IF(ISBLANK(C32),TRIM(SUBSTITUTE(SUBSTITUTE(SUBSTITUTE(_xlfn.TEXTJOIN("_", FALSE, J32, SUBSTITUTE(D32,"_", "")), "/", "%2F"), ":", "%3A"), " ", "")),TRIM(SUBSTITUTE(SUBSTITUTE(SUBSTITUTE(_xlfn.TEXTJOIN("_", FALSE, C32, SUBSTITUTE(D32,"_", "")), "/", "%2F"), ":", "%3A"), " ", "")))</f>
        <v>10.1038%2Fsrep24528_TableS1</v>
      </c>
      <c r="M32" t="str">
        <f t="array" ref="M32">IFERROR(INDEX(FileList!$A$1:$A$100, MATCH(L32, _xlfn.TEXTBEFORE(FileList!$A$1:$A$100, ".tsv"), 0)), "notfound")</f>
        <v>notfound</v>
      </c>
      <c r="P32" s="1" t="s">
        <v>160</v>
      </c>
      <c r="Q32" s="1" t="s">
        <v>95</v>
      </c>
      <c r="R32" s="4"/>
      <c r="T32" s="1" t="str">
        <f>IF(S32="N", R32, "write file name")</f>
        <v>write file name</v>
      </c>
      <c r="U32" s="1" t="s">
        <v>86</v>
      </c>
      <c r="V32" s="1" t="s">
        <v>36</v>
      </c>
      <c r="Y32" s="1" t="s">
        <v>182</v>
      </c>
      <c r="AE32" s="1" t="s">
        <v>81</v>
      </c>
    </row>
    <row r="33" spans="1:31" ht="15.95" customHeight="1">
      <c r="A33" s="1" t="s">
        <v>183</v>
      </c>
      <c r="D33" s="1" t="s">
        <v>41</v>
      </c>
      <c r="E33" t="str">
        <f t="shared" ref="E33" si="59">RIGHT(A33,1)</f>
        <v>3</v>
      </c>
      <c r="F33" t="str">
        <f t="shared" ref="F33" si="60">G33 &amp; IF(H33&lt;&gt;"", "_" &amp; H33, "_") &amp; IF(I33&lt;&gt;"", "_" &amp; I33, "_") &amp; IF(B33&lt;&gt;"", "_" &amp; B33, "")</f>
        <v>HerculanoHouzel__2015</v>
      </c>
      <c r="G33" t="str">
        <f t="shared" ref="G33" si="61">SUBSTITUTE(SUBSTITUTE(_xlfn.TEXTBEFORE(A33,","), "-", ""), " ", "")</f>
        <v>HerculanoHouzel</v>
      </c>
      <c r="H33" t="str">
        <f t="shared" ref="H33" ca="1" si="62">IF(ISNUMBER(FIND("&amp;", A33)),
    IF(LEN(A33)-LEN(SUBSTITUTE(A33, ",", ""))&gt;=6, "etal", MID(A33, SEARCH("&amp; ", A33)+2, SEARCH(",", A33, SEARCH("&amp; ", A33)+2) - SEARCH("&amp; ", A33)-2)),
    ""
)</f>
        <v/>
      </c>
      <c r="I33" t="str">
        <f t="shared" ref="I33" si="63">_xlfn.TEXTBEFORE(_xlfn.TEXTAFTER(A33, "("), ")")</f>
        <v>2015</v>
      </c>
      <c r="J33" t="str">
        <f t="shared" ref="J33" si="64">_xlfn.TEXTAFTER(A33,"https://doi.org/")</f>
        <v>10.1098/rspb.2015.1853</v>
      </c>
      <c r="K33" t="str">
        <f>TRIM(_xlfn.TEXTJOIN("_",FALSE,F33,(SUBSTITUTE(SUBSTITUTE(D33," ",""), "_", ""))))</f>
        <v>HerculanoHouzel__2015_Table1</v>
      </c>
      <c r="L33" t="str">
        <f>IF(ISBLANK(C33),TRIM(SUBSTITUTE(SUBSTITUTE(SUBSTITUTE(_xlfn.TEXTJOIN("_", FALSE, J33, SUBSTITUTE(D33,"_", "")), "/", "%2F"), ":", "%3A"), " ", "")),TRIM(SUBSTITUTE(SUBSTITUTE(SUBSTITUTE(_xlfn.TEXTJOIN("_", FALSE, C33, SUBSTITUTE(D33,"_", "")), "/", "%2F"), ":", "%3A"), " ", "")))</f>
        <v>10.1098%2Frspb.2015.1853_Table1</v>
      </c>
      <c r="M33" t="str">
        <f t="array" ref="M33">IFERROR(INDEX(FileList!$A$1:$A$100, MATCH(L33, _xlfn.TEXTBEFORE(FileList!$A$1:$A$100, ".tsv"), 0)), "notfound")</f>
        <v>notfound</v>
      </c>
      <c r="N33" s="1" t="s">
        <v>184</v>
      </c>
      <c r="R33" s="4"/>
    </row>
    <row r="34" spans="1:31" ht="15.95" customHeight="1">
      <c r="A34" s="1" t="s">
        <v>185</v>
      </c>
      <c r="D34" s="1" t="s">
        <v>186</v>
      </c>
      <c r="E34" t="str">
        <f t="shared" si="17"/>
        <v>5</v>
      </c>
      <c r="F34" t="str">
        <f t="shared" si="18"/>
        <v>HerculanoHouzel_etal_2013</v>
      </c>
      <c r="G34" t="str">
        <f t="shared" si="19"/>
        <v>HerculanoHouzel</v>
      </c>
      <c r="H34" t="str">
        <f t="shared" si="20"/>
        <v>etal</v>
      </c>
      <c r="I34" t="str">
        <f t="shared" si="21"/>
        <v>2013</v>
      </c>
      <c r="J34" t="str">
        <f t="shared" si="22"/>
        <v>10.3389/fnana.2013.00035</v>
      </c>
      <c r="K34" t="str">
        <f>TRIM(_xlfn.TEXTJOIN("_",FALSE,F34,(SUBSTITUTE(SUBSTITUTE(D34," ",""), "_", ""))))</f>
        <v>HerculanoHouzel_etal_2013_Figure2TopLeft</v>
      </c>
      <c r="L34" t="str">
        <f>IF(ISBLANK(C34),TRIM(SUBSTITUTE(SUBSTITUTE(SUBSTITUTE(_xlfn.TEXTJOIN("_", FALSE, J34, SUBSTITUTE(D34,"_", "")), "/", "%2F"), ":", "%3A"), " ", "")),TRIM(SUBSTITUTE(SUBSTITUTE(SUBSTITUTE(_xlfn.TEXTJOIN("_", FALSE, C34, SUBSTITUTE(D34,"_", "")), "/", "%2F"), ":", "%3A"), " ", "")))</f>
        <v>10.3389%2Ffnana.2013.00035_Figure2TopLeft</v>
      </c>
      <c r="M34" t="str">
        <f t="array" ref="M34">IFERROR(INDEX(FileList!$A$1:$A$100, MATCH(L34, _xlfn.TEXTBEFORE(FileList!$A$1:$A$100, ".tsv"), 0)), "notfound")</f>
        <v>10.3389%2Ffnana.2013.00035_Figure2TopLeft.tsv</v>
      </c>
      <c r="Q34" s="1" t="s">
        <v>52</v>
      </c>
    </row>
    <row r="35" spans="1:31" ht="18.95" customHeight="1">
      <c r="A35" s="1" t="s">
        <v>185</v>
      </c>
      <c r="D35" s="1" t="s">
        <v>187</v>
      </c>
      <c r="E35" t="str">
        <f t="shared" si="17"/>
        <v>5</v>
      </c>
      <c r="F35" t="str">
        <f t="shared" si="18"/>
        <v>HerculanoHouzel_etal_2013</v>
      </c>
      <c r="G35" t="str">
        <f t="shared" si="19"/>
        <v>HerculanoHouzel</v>
      </c>
      <c r="H35" t="str">
        <f t="shared" si="20"/>
        <v>etal</v>
      </c>
      <c r="I35" t="str">
        <f t="shared" si="21"/>
        <v>2013</v>
      </c>
      <c r="J35" t="str">
        <f t="shared" si="22"/>
        <v>10.3389/fnana.2013.00035</v>
      </c>
      <c r="K35" t="str">
        <f>TRIM(_xlfn.TEXTJOIN("_",FALSE,F35,(SUBSTITUTE(SUBSTITUTE(D35," ",""), "_", ""))))</f>
        <v>HerculanoHouzel_etal_2013_Table1-a</v>
      </c>
      <c r="L35" t="str">
        <f>IF(ISBLANK(C35),TRIM(SUBSTITUTE(SUBSTITUTE(SUBSTITUTE(_xlfn.TEXTJOIN("_", FALSE, J35, SUBSTITUTE(D35,"_", "")), "/", "%2F"), ":", "%3A"), " ", "")),TRIM(SUBSTITUTE(SUBSTITUTE(SUBSTITUTE(_xlfn.TEXTJOIN("_", FALSE, C35, SUBSTITUTE(D35,"_", "")), "/", "%2F"), ":", "%3A"), " ", "")))</f>
        <v>10.3389%2Ffnana.2013.00035_Table1-a</v>
      </c>
      <c r="M35" t="str">
        <f t="array" ref="M35">IFERROR(INDEX(FileList!$A$1:$A$100, MATCH(L35, _xlfn.TEXTBEFORE(FileList!$A$1:$A$100, ".tsv"), 0)), "notfound")</f>
        <v>10.3389%2Ffnana.2013.00035_Table1-a.tsv</v>
      </c>
      <c r="Q35" s="1" t="s">
        <v>52</v>
      </c>
    </row>
    <row r="36" spans="1:31" ht="17.100000000000001" customHeight="1">
      <c r="A36" s="1" t="s">
        <v>185</v>
      </c>
      <c r="D36" s="1" t="s">
        <v>188</v>
      </c>
      <c r="E36" t="str">
        <f t="shared" si="17"/>
        <v>5</v>
      </c>
      <c r="F36" t="str">
        <f t="shared" si="18"/>
        <v>HerculanoHouzel_etal_2013</v>
      </c>
      <c r="G36" t="str">
        <f t="shared" si="19"/>
        <v>HerculanoHouzel</v>
      </c>
      <c r="H36" t="str">
        <f t="shared" si="20"/>
        <v>etal</v>
      </c>
      <c r="I36" t="str">
        <f t="shared" si="21"/>
        <v>2013</v>
      </c>
      <c r="J36" t="str">
        <f t="shared" si="22"/>
        <v>10.3389/fnana.2013.00035</v>
      </c>
      <c r="K36" t="str">
        <f>TRIM(_xlfn.TEXTJOIN("_",FALSE,F36,(SUBSTITUTE(SUBSTITUTE(D36," ",""), "_", ""))))</f>
        <v>HerculanoHouzel_etal_2013_Table1-b</v>
      </c>
      <c r="L36" t="str">
        <f>IF(ISBLANK(C36),TRIM(SUBSTITUTE(SUBSTITUTE(SUBSTITUTE(_xlfn.TEXTJOIN("_", FALSE, J36, SUBSTITUTE(D36,"_", "")), "/", "%2F"), ":", "%3A"), " ", "")),TRIM(SUBSTITUTE(SUBSTITUTE(SUBSTITUTE(_xlfn.TEXTJOIN("_", FALSE, C36, SUBSTITUTE(D36,"_", "")), "/", "%2F"), ":", "%3A"), " ", "")))</f>
        <v>10.3389%2Ffnana.2013.00035_Table1-b</v>
      </c>
      <c r="M36" t="str">
        <f t="array" ref="M36">IFERROR(INDEX(FileList!$A$1:$A$100, MATCH(L36, _xlfn.TEXTBEFORE(FileList!$A$1:$A$100, ".tsv"), 0)), "notfound")</f>
        <v>10.3389%2Ffnana.2013.00035_Table1-b.tsv</v>
      </c>
      <c r="Q36" s="1" t="s">
        <v>52</v>
      </c>
    </row>
    <row r="37" spans="1:31" ht="17.100000000000001" customHeight="1">
      <c r="A37" s="1" t="s">
        <v>189</v>
      </c>
      <c r="D37" s="1" t="s">
        <v>41</v>
      </c>
      <c r="E37" t="str">
        <f t="shared" si="17"/>
        <v>3</v>
      </c>
      <c r="F37" t="str">
        <f t="shared" si="18"/>
        <v>HerculanoHouzel_etal_2015</v>
      </c>
      <c r="G37" t="str">
        <f t="shared" si="19"/>
        <v>HerculanoHouzel</v>
      </c>
      <c r="H37" t="str">
        <f t="shared" si="20"/>
        <v>etal</v>
      </c>
      <c r="I37" t="str">
        <f t="shared" si="21"/>
        <v>2015</v>
      </c>
      <c r="J37" t="str">
        <f t="shared" si="22"/>
        <v>10.1159/000437413</v>
      </c>
      <c r="K37" t="str">
        <f>TRIM(_xlfn.TEXTJOIN("_",FALSE,F37,(SUBSTITUTE(SUBSTITUTE(D37," ",""), "_", ""))))</f>
        <v>HerculanoHouzel_etal_2015_Table1</v>
      </c>
      <c r="L37" t="str">
        <f>IF(ISBLANK(C37),TRIM(SUBSTITUTE(SUBSTITUTE(SUBSTITUTE(_xlfn.TEXTJOIN("_", FALSE, J37, SUBSTITUTE(D37,"_", "")), "/", "%2F"), ":", "%3A"), " ", "")),TRIM(SUBSTITUTE(SUBSTITUTE(SUBSTITUTE(_xlfn.TEXTJOIN("_", FALSE, C37, SUBSTITUTE(D37,"_", "")), "/", "%2F"), ":", "%3A"), " ", "")))</f>
        <v>10.1159%2F000437413_Table1</v>
      </c>
      <c r="M37" t="str">
        <f t="array" ref="M37">IFERROR(INDEX(FileList!$A$1:$A$100, MATCH(L37, _xlfn.TEXTBEFORE(FileList!$A$1:$A$100, ".tsv"), 0)), "notfound")</f>
        <v>10.1159%2F000437413_Table1.tsv</v>
      </c>
      <c r="N37" s="1" t="s">
        <v>190</v>
      </c>
      <c r="P37" s="1" t="s">
        <v>51</v>
      </c>
      <c r="Q37" s="1" t="s">
        <v>70</v>
      </c>
      <c r="R37" s="4" t="s">
        <v>191</v>
      </c>
      <c r="S37" s="1" t="s">
        <v>84</v>
      </c>
      <c r="T37" s="1" t="s">
        <v>192</v>
      </c>
      <c r="U37" s="1" t="s">
        <v>86</v>
      </c>
      <c r="V37" s="1" t="s">
        <v>36</v>
      </c>
      <c r="W37" s="1" t="s">
        <v>87</v>
      </c>
      <c r="X37" s="1" t="s">
        <v>193</v>
      </c>
      <c r="Y37" s="1" t="s">
        <v>135</v>
      </c>
      <c r="AA37" s="1" t="s">
        <v>136</v>
      </c>
      <c r="AB37" s="1" t="s">
        <v>136</v>
      </c>
      <c r="AE37" s="1" t="s">
        <v>194</v>
      </c>
    </row>
    <row r="38" spans="1:31" ht="17.100000000000001" customHeight="1">
      <c r="A38" s="1" t="s">
        <v>189</v>
      </c>
      <c r="D38" s="1" t="s">
        <v>195</v>
      </c>
      <c r="E38" t="str">
        <f t="shared" si="17"/>
        <v>3</v>
      </c>
      <c r="F38" t="str">
        <f t="shared" si="18"/>
        <v>HerculanoHouzel_etal_2015</v>
      </c>
      <c r="G38" t="str">
        <f t="shared" si="19"/>
        <v>HerculanoHouzel</v>
      </c>
      <c r="H38" t="str">
        <f t="shared" si="20"/>
        <v>etal</v>
      </c>
      <c r="I38" t="str">
        <f t="shared" si="21"/>
        <v>2015</v>
      </c>
      <c r="J38" t="str">
        <f t="shared" si="22"/>
        <v>10.1159/000437413</v>
      </c>
      <c r="K38" t="str">
        <f>TRIM(_xlfn.TEXTJOIN("_",FALSE,F38,(SUBSTITUTE(SUBSTITUTE(D38," ",""), "_", ""))))</f>
        <v>HerculanoHouzel_etal_2015_Table2</v>
      </c>
      <c r="L38" t="str">
        <f>IF(ISBLANK(C38),TRIM(SUBSTITUTE(SUBSTITUTE(SUBSTITUTE(_xlfn.TEXTJOIN("_", FALSE, J38, SUBSTITUTE(D38,"_", "")), "/", "%2F"), ":", "%3A"), " ", "")),TRIM(SUBSTITUTE(SUBSTITUTE(SUBSTITUTE(_xlfn.TEXTJOIN("_", FALSE, C38, SUBSTITUTE(D38,"_", "")), "/", "%2F"), ":", "%3A"), " ", "")))</f>
        <v>10.1159%2F000437413_Table2</v>
      </c>
      <c r="M38" t="str">
        <f t="array" ref="M38">IFERROR(INDEX(FileList!$A$1:$A$100, MATCH(L38, _xlfn.TEXTBEFORE(FileList!$A$1:$A$100, ".tsv"), 0)), "notfound")</f>
        <v>10.1159%2F000437413_Table2.tsv</v>
      </c>
      <c r="N38" s="1" t="s">
        <v>196</v>
      </c>
      <c r="P38" s="1" t="s">
        <v>51</v>
      </c>
      <c r="Q38" s="1" t="s">
        <v>70</v>
      </c>
      <c r="R38" s="4" t="s">
        <v>197</v>
      </c>
      <c r="S38" s="1" t="s">
        <v>84</v>
      </c>
      <c r="T38" s="1" t="s">
        <v>198</v>
      </c>
      <c r="U38" s="1" t="s">
        <v>86</v>
      </c>
      <c r="V38" s="1" t="s">
        <v>36</v>
      </c>
      <c r="W38" s="1" t="s">
        <v>87</v>
      </c>
      <c r="X38" s="1" t="s">
        <v>193</v>
      </c>
      <c r="Y38" s="1" t="s">
        <v>135</v>
      </c>
      <c r="AA38" s="1" t="s">
        <v>136</v>
      </c>
      <c r="AB38" s="1" t="s">
        <v>136</v>
      </c>
      <c r="AE38" s="1" t="s">
        <v>194</v>
      </c>
    </row>
    <row r="39" spans="1:31" ht="17.100000000000001" customHeight="1">
      <c r="A39" s="1" t="s">
        <v>189</v>
      </c>
      <c r="D39" s="1" t="s">
        <v>199</v>
      </c>
      <c r="E39" t="str">
        <f t="shared" si="17"/>
        <v>3</v>
      </c>
      <c r="F39" t="str">
        <f t="shared" si="18"/>
        <v>HerculanoHouzel_etal_2015</v>
      </c>
      <c r="G39" t="str">
        <f t="shared" si="19"/>
        <v>HerculanoHouzel</v>
      </c>
      <c r="H39" t="str">
        <f t="shared" si="20"/>
        <v>etal</v>
      </c>
      <c r="I39" t="str">
        <f t="shared" si="21"/>
        <v>2015</v>
      </c>
      <c r="J39" t="str">
        <f t="shared" si="22"/>
        <v>10.1159/000437413</v>
      </c>
      <c r="K39" t="str">
        <f>TRIM(_xlfn.TEXTJOIN("_",FALSE,F39,(SUBSTITUTE(SUBSTITUTE(D39," ",""), "_", ""))))</f>
        <v>HerculanoHouzel_etal_2015_Table3</v>
      </c>
      <c r="L39" t="str">
        <f>IF(ISBLANK(C39),TRIM(SUBSTITUTE(SUBSTITUTE(SUBSTITUTE(_xlfn.TEXTJOIN("_", FALSE, J39, SUBSTITUTE(D39,"_", "")), "/", "%2F"), ":", "%3A"), " ", "")),TRIM(SUBSTITUTE(SUBSTITUTE(SUBSTITUTE(_xlfn.TEXTJOIN("_", FALSE, C39, SUBSTITUTE(D39,"_", "")), "/", "%2F"), ":", "%3A"), " ", "")))</f>
        <v>10.1159%2F000437413_Table3</v>
      </c>
      <c r="M39" t="str">
        <f t="array" ref="M39">IFERROR(INDEX(FileList!$A$1:$A$100, MATCH(L39, _xlfn.TEXTBEFORE(FileList!$A$1:$A$100, ".tsv"), 0)), "notfound")</f>
        <v>10.1159%2F000437413_Table3.tsv</v>
      </c>
      <c r="N39" s="1" t="s">
        <v>200</v>
      </c>
      <c r="P39" s="1" t="s">
        <v>51</v>
      </c>
      <c r="Q39" s="1" t="s">
        <v>70</v>
      </c>
      <c r="R39" s="4" t="s">
        <v>201</v>
      </c>
      <c r="S39" s="1" t="s">
        <v>84</v>
      </c>
      <c r="T39" s="1" t="s">
        <v>202</v>
      </c>
      <c r="U39" s="1" t="s">
        <v>86</v>
      </c>
      <c r="V39" s="1" t="s">
        <v>36</v>
      </c>
      <c r="W39" s="1" t="s">
        <v>87</v>
      </c>
      <c r="X39" s="1" t="s">
        <v>193</v>
      </c>
      <c r="Y39" s="1" t="s">
        <v>135</v>
      </c>
      <c r="AA39" s="1" t="s">
        <v>136</v>
      </c>
      <c r="AB39" s="1" t="s">
        <v>136</v>
      </c>
      <c r="AE39" s="1" t="s">
        <v>194</v>
      </c>
    </row>
    <row r="40" spans="1:31" ht="15.95" customHeight="1">
      <c r="A40" s="1" t="s">
        <v>189</v>
      </c>
      <c r="D40" s="1" t="s">
        <v>203</v>
      </c>
      <c r="E40" t="str">
        <f t="shared" si="17"/>
        <v>3</v>
      </c>
      <c r="F40" t="str">
        <f t="shared" si="18"/>
        <v>HerculanoHouzel_etal_2015</v>
      </c>
      <c r="G40" t="str">
        <f t="shared" si="19"/>
        <v>HerculanoHouzel</v>
      </c>
      <c r="H40" t="str">
        <f t="shared" si="20"/>
        <v>etal</v>
      </c>
      <c r="I40" t="str">
        <f t="shared" si="21"/>
        <v>2015</v>
      </c>
      <c r="J40" t="str">
        <f t="shared" si="22"/>
        <v>10.1159/000437413</v>
      </c>
      <c r="K40" t="str">
        <f>TRIM(_xlfn.TEXTJOIN("_",FALSE,F40,(SUBSTITUTE(SUBSTITUTE(D40," ",""), "_", ""))))</f>
        <v>HerculanoHouzel_etal_2015_Table4</v>
      </c>
      <c r="L40" t="str">
        <f>IF(ISBLANK(C40),TRIM(SUBSTITUTE(SUBSTITUTE(SUBSTITUTE(_xlfn.TEXTJOIN("_", FALSE, J40, SUBSTITUTE(D40,"_", "")), "/", "%2F"), ":", "%3A"), " ", "")),TRIM(SUBSTITUTE(SUBSTITUTE(SUBSTITUTE(_xlfn.TEXTJOIN("_", FALSE, C40, SUBSTITUTE(D40,"_", "")), "/", "%2F"), ":", "%3A"), " ", "")))</f>
        <v>10.1159%2F000437413_Table4</v>
      </c>
      <c r="M40" t="str">
        <f t="array" ref="M40">IFERROR(INDEX(FileList!$A$1:$A$100, MATCH(L40, _xlfn.TEXTBEFORE(FileList!$A$1:$A$100, ".tsv"), 0)), "notfound")</f>
        <v>10.1159%2F000437413_Table4.tsv</v>
      </c>
      <c r="N40" s="1" t="s">
        <v>204</v>
      </c>
      <c r="P40" s="1" t="s">
        <v>51</v>
      </c>
      <c r="Q40" s="1" t="s">
        <v>70</v>
      </c>
      <c r="R40" s="4" t="s">
        <v>205</v>
      </c>
      <c r="S40" s="1" t="s">
        <v>84</v>
      </c>
      <c r="T40" s="1" t="s">
        <v>206</v>
      </c>
      <c r="U40" s="1" t="s">
        <v>86</v>
      </c>
      <c r="V40" s="1" t="s">
        <v>36</v>
      </c>
      <c r="W40" s="1" t="s">
        <v>87</v>
      </c>
      <c r="X40" s="1" t="s">
        <v>193</v>
      </c>
      <c r="Y40" s="1" t="s">
        <v>135</v>
      </c>
      <c r="AA40" s="1" t="s">
        <v>136</v>
      </c>
      <c r="AB40" s="1" t="s">
        <v>136</v>
      </c>
      <c r="AE40" s="1" t="s">
        <v>194</v>
      </c>
    </row>
    <row r="41" spans="1:31" ht="15.95" customHeight="1">
      <c r="A41" s="1" t="s">
        <v>189</v>
      </c>
      <c r="D41" s="1" t="s">
        <v>207</v>
      </c>
      <c r="E41" t="str">
        <f t="shared" si="17"/>
        <v>3</v>
      </c>
      <c r="F41" t="str">
        <f t="shared" si="18"/>
        <v>HerculanoHouzel_etal_2015</v>
      </c>
      <c r="G41" t="str">
        <f t="shared" si="19"/>
        <v>HerculanoHouzel</v>
      </c>
      <c r="H41" t="str">
        <f t="shared" si="20"/>
        <v>etal</v>
      </c>
      <c r="I41" t="str">
        <f t="shared" si="21"/>
        <v>2015</v>
      </c>
      <c r="J41" t="str">
        <f t="shared" si="22"/>
        <v>10.1159/000437413</v>
      </c>
      <c r="K41" t="str">
        <f>TRIM(_xlfn.TEXTJOIN("_",FALSE,F41,(SUBSTITUTE(SUBSTITUTE(D41," ",""), "_", ""))))</f>
        <v>HerculanoHouzel_etal_2015_Table5</v>
      </c>
      <c r="L41" t="str">
        <f>IF(ISBLANK(C41),TRIM(SUBSTITUTE(SUBSTITUTE(SUBSTITUTE(_xlfn.TEXTJOIN("_", FALSE, J41, SUBSTITUTE(D41,"_", "")), "/", "%2F"), ":", "%3A"), " ", "")),TRIM(SUBSTITUTE(SUBSTITUTE(SUBSTITUTE(_xlfn.TEXTJOIN("_", FALSE, C41, SUBSTITUTE(D41,"_", "")), "/", "%2F"), ":", "%3A"), " ", "")))</f>
        <v>10.1159%2F000437413_Table5</v>
      </c>
      <c r="M41" t="str">
        <f t="array" ref="M41">IFERROR(INDEX(FileList!$A$1:$A$100, MATCH(L41, _xlfn.TEXTBEFORE(FileList!$A$1:$A$100, ".tsv"), 0)), "notfound")</f>
        <v>10.1159%2F000437413_Table5.tsv</v>
      </c>
      <c r="N41" s="1" t="s">
        <v>208</v>
      </c>
      <c r="P41" s="1" t="s">
        <v>51</v>
      </c>
      <c r="Q41" s="1" t="s">
        <v>70</v>
      </c>
      <c r="R41" s="4" t="s">
        <v>209</v>
      </c>
      <c r="S41" s="1" t="s">
        <v>84</v>
      </c>
      <c r="T41" s="1" t="s">
        <v>210</v>
      </c>
      <c r="U41" s="1" t="s">
        <v>86</v>
      </c>
      <c r="V41" s="1" t="s">
        <v>36</v>
      </c>
      <c r="W41" s="1" t="s">
        <v>87</v>
      </c>
      <c r="X41" s="1" t="s">
        <v>193</v>
      </c>
      <c r="Y41" s="1" t="s">
        <v>135</v>
      </c>
      <c r="AA41" s="1" t="s">
        <v>136</v>
      </c>
      <c r="AB41" s="1" t="s">
        <v>136</v>
      </c>
      <c r="AE41" s="1" t="s">
        <v>194</v>
      </c>
    </row>
    <row r="42" spans="1:31" ht="15.95" customHeight="1">
      <c r="A42" s="1" t="s">
        <v>211</v>
      </c>
      <c r="D42" s="1" t="s">
        <v>35</v>
      </c>
      <c r="E42" t="str">
        <f t="shared" si="17"/>
        <v>5</v>
      </c>
      <c r="F42" t="str">
        <f t="shared" si="18"/>
        <v>HerculanoHouzel_etal_2020</v>
      </c>
      <c r="G42" t="str">
        <f t="shared" si="19"/>
        <v>HerculanoHouzel</v>
      </c>
      <c r="H42" t="str">
        <f t="shared" si="20"/>
        <v>etal</v>
      </c>
      <c r="I42" t="str">
        <f t="shared" si="21"/>
        <v>2020</v>
      </c>
      <c r="J42" t="str">
        <f t="shared" si="22"/>
        <v>10.1002/cne.24985</v>
      </c>
      <c r="K42" t="str">
        <f>TRIM(_xlfn.TEXTJOIN("_",FALSE,F42,(SUBSTITUTE(SUBSTITUTE(D42," ",""), "_", ""))))</f>
        <v>HerculanoHouzel_etal_2020_TABLE1</v>
      </c>
      <c r="L42" t="str">
        <f>IF(ISBLANK(C42),TRIM(SUBSTITUTE(SUBSTITUTE(SUBSTITUTE(_xlfn.TEXTJOIN("_", FALSE, J42, SUBSTITUTE(D42,"_", "")), "/", "%2F"), ":", "%3A"), " ", "")),TRIM(SUBSTITUTE(SUBSTITUTE(SUBSTITUTE(_xlfn.TEXTJOIN("_", FALSE, C42, SUBSTITUTE(D42,"_", "")), "/", "%2F"), ":", "%3A"), " ", "")))</f>
        <v>10.1002%2Fcne.24985_TABLE1</v>
      </c>
      <c r="M42" t="str">
        <f t="array" ref="M42">IFERROR(INDEX(FileList!$A$1:$A$100, MATCH(L42, _xlfn.TEXTBEFORE(FileList!$A$1:$A$100, ".tsv"), 0)), "notfound")</f>
        <v>10.1002%2Fcne.24985_TABLE1.tsv</v>
      </c>
      <c r="N42" s="1" t="s">
        <v>212</v>
      </c>
      <c r="P42" s="1" t="s">
        <v>51</v>
      </c>
      <c r="Q42" s="1" t="s">
        <v>70</v>
      </c>
      <c r="R42" s="4" t="s">
        <v>213</v>
      </c>
      <c r="S42" s="1" t="s">
        <v>84</v>
      </c>
      <c r="T42" s="1" t="s">
        <v>214</v>
      </c>
      <c r="U42" s="1" t="s">
        <v>86</v>
      </c>
      <c r="V42" s="1" t="s">
        <v>36</v>
      </c>
      <c r="W42" s="1" t="s">
        <v>99</v>
      </c>
      <c r="Y42" s="1" t="s">
        <v>215</v>
      </c>
      <c r="AA42" s="1" t="s">
        <v>136</v>
      </c>
      <c r="AB42" s="1" t="s">
        <v>136</v>
      </c>
      <c r="AE42" s="1" t="s">
        <v>216</v>
      </c>
    </row>
    <row r="43" spans="1:31" ht="15.95" customHeight="1">
      <c r="A43" s="1" t="s">
        <v>211</v>
      </c>
      <c r="D43" s="1" t="s">
        <v>150</v>
      </c>
      <c r="E43" t="str">
        <f t="shared" si="17"/>
        <v>5</v>
      </c>
      <c r="F43" t="str">
        <f t="shared" si="18"/>
        <v>HerculanoHouzel_etal_2020</v>
      </c>
      <c r="G43" t="str">
        <f t="shared" si="19"/>
        <v>HerculanoHouzel</v>
      </c>
      <c r="H43" t="str">
        <f t="shared" si="20"/>
        <v>etal</v>
      </c>
      <c r="I43" t="str">
        <f t="shared" si="21"/>
        <v>2020</v>
      </c>
      <c r="J43" t="str">
        <f t="shared" si="22"/>
        <v>10.1002/cne.24985</v>
      </c>
      <c r="K43" t="str">
        <f>TRIM(_xlfn.TEXTJOIN("_",FALSE,F43,(SUBSTITUTE(SUBSTITUTE(D43," ",""), "_", ""))))</f>
        <v>HerculanoHouzel_etal_2020_TABLE2</v>
      </c>
      <c r="L43" t="str">
        <f>IF(ISBLANK(C43),TRIM(SUBSTITUTE(SUBSTITUTE(SUBSTITUTE(_xlfn.TEXTJOIN("_", FALSE, J43, SUBSTITUTE(D43,"_", "")), "/", "%2F"), ":", "%3A"), " ", "")),TRIM(SUBSTITUTE(SUBSTITUTE(SUBSTITUTE(_xlfn.TEXTJOIN("_", FALSE, C43, SUBSTITUTE(D43,"_", "")), "/", "%2F"), ":", "%3A"), " ", "")))</f>
        <v>10.1002%2Fcne.24985_TABLE2</v>
      </c>
      <c r="M43" t="str">
        <f t="array" ref="M43">IFERROR(INDEX(FileList!$A$1:$A$100, MATCH(L43, _xlfn.TEXTBEFORE(FileList!$A$1:$A$100, ".tsv"), 0)), "notfound")</f>
        <v>10.1002%2Fcne.24985_TABLE2.tsv</v>
      </c>
      <c r="N43" s="1" t="s">
        <v>217</v>
      </c>
      <c r="P43" s="1" t="s">
        <v>51</v>
      </c>
      <c r="Q43" s="1" t="s">
        <v>70</v>
      </c>
      <c r="R43" s="4" t="s">
        <v>218</v>
      </c>
      <c r="S43" s="1" t="s">
        <v>84</v>
      </c>
      <c r="T43" s="1" t="s">
        <v>219</v>
      </c>
      <c r="U43" s="1" t="s">
        <v>86</v>
      </c>
      <c r="V43" s="1" t="s">
        <v>36</v>
      </c>
      <c r="W43" s="1" t="s">
        <v>99</v>
      </c>
      <c r="Y43" s="1" t="s">
        <v>220</v>
      </c>
      <c r="AA43" s="1" t="s">
        <v>136</v>
      </c>
      <c r="AB43" s="1" t="s">
        <v>136</v>
      </c>
      <c r="AE43" s="1" t="s">
        <v>216</v>
      </c>
    </row>
    <row r="44" spans="1:31" ht="15.95" customHeight="1">
      <c r="A44" s="1" t="s">
        <v>221</v>
      </c>
      <c r="D44" s="1" t="s">
        <v>195</v>
      </c>
      <c r="E44" t="str">
        <f t="shared" si="17"/>
        <v>4</v>
      </c>
      <c r="F44" t="str">
        <f t="shared" si="18"/>
        <v>Isler_etal_2008</v>
      </c>
      <c r="G44" t="str">
        <f t="shared" si="19"/>
        <v>Isler</v>
      </c>
      <c r="H44" t="str">
        <f t="shared" si="20"/>
        <v>etal</v>
      </c>
      <c r="I44" t="str">
        <f t="shared" si="21"/>
        <v>2008</v>
      </c>
      <c r="J44" t="str">
        <f t="shared" si="22"/>
        <v>10.1016/j.jhevol.2008.08.004</v>
      </c>
      <c r="K44" t="str">
        <f>TRIM(_xlfn.TEXTJOIN("_",FALSE,F44,(SUBSTITUTE(SUBSTITUTE(D44," ",""), "_", ""))))</f>
        <v>Isler_etal_2008_Table2</v>
      </c>
      <c r="L44" t="str">
        <f>IF(ISBLANK(C44),TRIM(SUBSTITUTE(SUBSTITUTE(SUBSTITUTE(_xlfn.TEXTJOIN("_", FALSE, J44, SUBSTITUTE(D44,"_", "")), "/", "%2F"), ":", "%3A"), " ", "")),TRIM(SUBSTITUTE(SUBSTITUTE(SUBSTITUTE(_xlfn.TEXTJOIN("_", FALSE, C44, SUBSTITUTE(D44,"_", "")), "/", "%2F"), ":", "%3A"), " ", "")))</f>
        <v>10.1016%2Fj.jhevol.2008.08.004_Table2</v>
      </c>
      <c r="M44" t="str">
        <f t="array" ref="M44">IFERROR(INDEX(FileList!$A$1:$A$100, MATCH(L44, _xlfn.TEXTBEFORE(FileList!$A$1:$A$100, ".tsv"), 0)), "notfound")</f>
        <v>10.1016%2Fj.jhevol.2008.08.004_Table2.tsv</v>
      </c>
      <c r="Q44" s="1" t="s">
        <v>52</v>
      </c>
    </row>
    <row r="45" spans="1:31" ht="15.95" customHeight="1">
      <c r="A45" s="1" t="s">
        <v>221</v>
      </c>
      <c r="D45" s="1" t="s">
        <v>222</v>
      </c>
      <c r="E45" t="str">
        <f t="shared" si="17"/>
        <v>4</v>
      </c>
      <c r="F45" t="str">
        <f t="shared" si="18"/>
        <v>Isler_etal_2008</v>
      </c>
      <c r="G45" t="str">
        <f t="shared" si="19"/>
        <v>Isler</v>
      </c>
      <c r="H45" t="str">
        <f t="shared" si="20"/>
        <v>etal</v>
      </c>
      <c r="I45" t="str">
        <f t="shared" si="21"/>
        <v>2008</v>
      </c>
      <c r="J45" t="str">
        <f t="shared" si="22"/>
        <v>10.1016/j.jhevol.2008.08.004</v>
      </c>
      <c r="K45" t="str">
        <f>TRIM(_xlfn.TEXTJOIN("_",FALSE,F45,(SUBSTITUTE(SUBSTITUTE(D45," ",""), "_", ""))))</f>
        <v>Isler_etal_2008_Table7</v>
      </c>
      <c r="L45" t="str">
        <f>IF(ISBLANK(C45),TRIM(SUBSTITUTE(SUBSTITUTE(SUBSTITUTE(_xlfn.TEXTJOIN("_", FALSE, J45, SUBSTITUTE(D45,"_", "")), "/", "%2F"), ":", "%3A"), " ", "")),TRIM(SUBSTITUTE(SUBSTITUTE(SUBSTITUTE(_xlfn.TEXTJOIN("_", FALSE, C45, SUBSTITUTE(D45,"_", "")), "/", "%2F"), ":", "%3A"), " ", "")))</f>
        <v>10.1016%2Fj.jhevol.2008.08.004_Table7</v>
      </c>
      <c r="M45" t="str">
        <f t="array" ref="M45">IFERROR(INDEX(FileList!$A$1:$A$100, MATCH(L45, _xlfn.TEXTBEFORE(FileList!$A$1:$A$100, ".tsv"), 0)), "notfound")</f>
        <v>10.1016%2Fj.jhevol.2008.08.004_Table7.tsv</v>
      </c>
      <c r="Q45" s="1" t="s">
        <v>52</v>
      </c>
    </row>
    <row r="46" spans="1:31" ht="15.95" customHeight="1">
      <c r="A46" s="1" t="s">
        <v>221</v>
      </c>
      <c r="D46" s="1" t="s">
        <v>128</v>
      </c>
      <c r="E46" t="str">
        <f t="shared" ref="E46:E77" si="65">RIGHT(A46,1)</f>
        <v>4</v>
      </c>
      <c r="F46" t="str">
        <f t="shared" ref="F46:F77" si="66">G46 &amp; IF(H46&lt;&gt;"", "_" &amp; H46, "_") &amp; IF(I46&lt;&gt;"", "_" &amp; I46, "_") &amp; IF(B46&lt;&gt;"", "_" &amp; B46, "")</f>
        <v>Isler_etal_2008</v>
      </c>
      <c r="G46" t="str">
        <f t="shared" ref="G46:G77" si="67">SUBSTITUTE(SUBSTITUTE(_xlfn.TEXTBEFORE(A46,","), "-", ""), " ", "")</f>
        <v>Isler</v>
      </c>
      <c r="H46" t="str">
        <f t="shared" ref="H46:H77" si="68">IF(ISNUMBER(FIND("&amp;", A46)),
    IF(LEN(A46)-LEN(SUBSTITUTE(A46, ",", ""))&gt;=6, "etal", MID(A46, SEARCH("&amp; ", A46)+2, SEARCH(",", A46, SEARCH("&amp; ", A46)+2) - SEARCH("&amp; ", A46)-2)),
    ""
)</f>
        <v>etal</v>
      </c>
      <c r="I46" t="str">
        <f t="shared" ref="I46:I77" si="69">_xlfn.TEXTBEFORE(_xlfn.TEXTAFTER(A46, "("), ")")</f>
        <v>2008</v>
      </c>
      <c r="J46" t="str">
        <f t="shared" ref="J46:J77" si="70">_xlfn.TEXTAFTER(A46,"https://doi.org/")</f>
        <v>10.1016/j.jhevol.2008.08.004</v>
      </c>
      <c r="K46" t="str">
        <f>TRIM(_xlfn.TEXTJOIN("_",FALSE,F46,(SUBSTITUTE(SUBSTITUTE(D46," ",""), "_", ""))))</f>
        <v>Isler_etal_2008_TableS1</v>
      </c>
      <c r="L46" t="str">
        <f>IF(ISBLANK(C46),TRIM(SUBSTITUTE(SUBSTITUTE(SUBSTITUTE(_xlfn.TEXTJOIN("_", FALSE, J46, SUBSTITUTE(D46,"_", "")), "/", "%2F"), ":", "%3A"), " ", "")),TRIM(SUBSTITUTE(SUBSTITUTE(SUBSTITUTE(_xlfn.TEXTJOIN("_", FALSE, C46, SUBSTITUTE(D46,"_", "")), "/", "%2F"), ":", "%3A"), " ", "")))</f>
        <v>10.1016%2Fj.jhevol.2008.08.004_TableS1</v>
      </c>
      <c r="M46" t="str">
        <f t="array" ref="M46">IFERROR(INDEX(FileList!$A$1:$A$100, MATCH(L46, _xlfn.TEXTBEFORE(FileList!$A$1:$A$100, ".tsv"), 0)), "notfound")</f>
        <v>10.1016%2Fj.jhevol.2008.08.004_TableS1.tsv</v>
      </c>
      <c r="Q46" s="1" t="s">
        <v>52</v>
      </c>
    </row>
    <row r="47" spans="1:31" ht="15.95" customHeight="1">
      <c r="A47" s="1" t="s">
        <v>221</v>
      </c>
      <c r="D47" s="1" t="s">
        <v>165</v>
      </c>
      <c r="E47" t="str">
        <f t="shared" si="65"/>
        <v>4</v>
      </c>
      <c r="F47" t="str">
        <f t="shared" si="66"/>
        <v>Isler_etal_2008</v>
      </c>
      <c r="G47" t="str">
        <f t="shared" si="67"/>
        <v>Isler</v>
      </c>
      <c r="H47" t="str">
        <f t="shared" si="68"/>
        <v>etal</v>
      </c>
      <c r="I47" t="str">
        <f t="shared" si="69"/>
        <v>2008</v>
      </c>
      <c r="J47" t="str">
        <f t="shared" si="70"/>
        <v>10.1016/j.jhevol.2008.08.004</v>
      </c>
      <c r="K47" t="str">
        <f>TRIM(_xlfn.TEXTJOIN("_",FALSE,F47,(SUBSTITUTE(SUBSTITUTE(D47," ",""), "_", ""))))</f>
        <v>Isler_etal_2008_TableS2</v>
      </c>
      <c r="L47" t="str">
        <f>IF(ISBLANK(C47),TRIM(SUBSTITUTE(SUBSTITUTE(SUBSTITUTE(_xlfn.TEXTJOIN("_", FALSE, J47, SUBSTITUTE(D47,"_", "")), "/", "%2F"), ":", "%3A"), " ", "")),TRIM(SUBSTITUTE(SUBSTITUTE(SUBSTITUTE(_xlfn.TEXTJOIN("_", FALSE, C47, SUBSTITUTE(D47,"_", "")), "/", "%2F"), ":", "%3A"), " ", "")))</f>
        <v>10.1016%2Fj.jhevol.2008.08.004_TableS2</v>
      </c>
      <c r="M47" t="str">
        <f t="array" ref="M47">IFERROR(INDEX(FileList!$A$1:$A$100, MATCH(L47, _xlfn.TEXTBEFORE(FileList!$A$1:$A$100, ".tsv"), 0)), "notfound")</f>
        <v>10.1016%2Fj.jhevol.2008.08.004_TableS2.tsv</v>
      </c>
      <c r="Q47" s="1" t="s">
        <v>52</v>
      </c>
    </row>
    <row r="48" spans="1:31" ht="15.95" customHeight="1">
      <c r="A48" s="1" t="s">
        <v>221</v>
      </c>
      <c r="D48" s="1" t="s">
        <v>223</v>
      </c>
      <c r="E48" t="str">
        <f t="shared" si="65"/>
        <v>4</v>
      </c>
      <c r="F48" t="str">
        <f t="shared" si="66"/>
        <v>Isler_etal_2008</v>
      </c>
      <c r="G48" t="str">
        <f t="shared" si="67"/>
        <v>Isler</v>
      </c>
      <c r="H48" t="str">
        <f t="shared" si="68"/>
        <v>etal</v>
      </c>
      <c r="I48" t="str">
        <f t="shared" si="69"/>
        <v>2008</v>
      </c>
      <c r="J48" t="str">
        <f t="shared" si="70"/>
        <v>10.1016/j.jhevol.2008.08.004</v>
      </c>
      <c r="K48" t="str">
        <f>TRIM(_xlfn.TEXTJOIN("_",FALSE,F48,(SUBSTITUTE(SUBSTITUTE(D48," ",""), "_", ""))))</f>
        <v>Isler_etal_2008_TableS3</v>
      </c>
      <c r="L48" t="str">
        <f>IF(ISBLANK(C48),TRIM(SUBSTITUTE(SUBSTITUTE(SUBSTITUTE(_xlfn.TEXTJOIN("_", FALSE, J48, SUBSTITUTE(D48,"_", "")), "/", "%2F"), ":", "%3A"), " ", "")),TRIM(SUBSTITUTE(SUBSTITUTE(SUBSTITUTE(_xlfn.TEXTJOIN("_", FALSE, C48, SUBSTITUTE(D48,"_", "")), "/", "%2F"), ":", "%3A"), " ", "")))</f>
        <v>10.1016%2Fj.jhevol.2008.08.004_TableS3</v>
      </c>
      <c r="M48" t="str">
        <f t="array" ref="M48">IFERROR(INDEX(FileList!$A$1:$A$100, MATCH(L48, _xlfn.TEXTBEFORE(FileList!$A$1:$A$100, ".tsv"), 0)), "notfound")</f>
        <v>10.1016%2Fj.jhevol.2008.08.004_TableS3.tsv</v>
      </c>
      <c r="Q48" s="1" t="s">
        <v>52</v>
      </c>
    </row>
    <row r="49" spans="1:31" ht="15.95" customHeight="1">
      <c r="A49" s="1" t="s">
        <v>221</v>
      </c>
      <c r="D49" s="1" t="s">
        <v>224</v>
      </c>
      <c r="E49" t="str">
        <f t="shared" si="65"/>
        <v>4</v>
      </c>
      <c r="F49" t="str">
        <f t="shared" si="66"/>
        <v>Isler_etal_2008</v>
      </c>
      <c r="G49" t="str">
        <f t="shared" si="67"/>
        <v>Isler</v>
      </c>
      <c r="H49" t="str">
        <f t="shared" si="68"/>
        <v>etal</v>
      </c>
      <c r="I49" t="str">
        <f t="shared" si="69"/>
        <v>2008</v>
      </c>
      <c r="J49" t="str">
        <f t="shared" si="70"/>
        <v>10.1016/j.jhevol.2008.08.004</v>
      </c>
      <c r="K49" t="str">
        <f>TRIM(_xlfn.TEXTJOIN("_",FALSE,F49,(SUBSTITUTE(SUBSTITUTE(D49," ",""), "_", ""))))</f>
        <v>Isler_etal_2008_Tree.nex</v>
      </c>
      <c r="L49" t="str">
        <f>IF(ISBLANK(C49),TRIM(SUBSTITUTE(SUBSTITUTE(SUBSTITUTE(_xlfn.TEXTJOIN("_", FALSE, J49, SUBSTITUTE(D49,"_", "")), "/", "%2F"), ":", "%3A"), " ", "")),TRIM(SUBSTITUTE(SUBSTITUTE(SUBSTITUTE(_xlfn.TEXTJOIN("_", FALSE, C49, SUBSTITUTE(D49,"_", "")), "/", "%2F"), ":", "%3A"), " ", "")))</f>
        <v>10.1016%2Fj.jhevol.2008.08.004_Tree.nex</v>
      </c>
      <c r="M49" t="str">
        <f t="array" ref="M49">IFERROR(INDEX(FileList!$A$1:$A$100, MATCH(L49, _xlfn.TEXTBEFORE(FileList!$A$1:$A$100, ".tsv"), 0)), "notfound")</f>
        <v>notfound</v>
      </c>
      <c r="Q49" s="1" t="s">
        <v>52</v>
      </c>
    </row>
    <row r="50" spans="1:31" ht="15.95" customHeight="1">
      <c r="A50" s="1" t="s">
        <v>225</v>
      </c>
      <c r="D50" s="1" t="s">
        <v>226</v>
      </c>
      <c r="E50" t="str">
        <f t="shared" si="65"/>
        <v>x</v>
      </c>
      <c r="F50" t="str">
        <f t="shared" si="66"/>
        <v>Iwaniuk_etal_1999</v>
      </c>
      <c r="G50" t="str">
        <f t="shared" si="67"/>
        <v>Iwaniuk</v>
      </c>
      <c r="H50" t="str">
        <f t="shared" si="68"/>
        <v>etal</v>
      </c>
      <c r="I50" t="str">
        <f t="shared" si="69"/>
        <v>1999</v>
      </c>
      <c r="J50" t="str">
        <f t="shared" si="70"/>
        <v>10.1016/s0166-4328(98)00151-x</v>
      </c>
      <c r="K50" t="str">
        <f>TRIM(_xlfn.TEXTJOIN("_",FALSE,F50,(SUBSTITUTE(SUBSTITUTE(D50," ",""), "_", ""))))</f>
        <v>Iwaniuk_etal_1999_References</v>
      </c>
      <c r="L50" t="str">
        <f>IF(ISBLANK(C50),TRIM(SUBSTITUTE(SUBSTITUTE(SUBSTITUTE(_xlfn.TEXTJOIN("_", FALSE, J50, SUBSTITUTE(D50,"_", "")), "/", "%2F"), ":", "%3A"), " ", "")),TRIM(SUBSTITUTE(SUBSTITUTE(SUBSTITUTE(_xlfn.TEXTJOIN("_", FALSE, C50, SUBSTITUTE(D50,"_", "")), "/", "%2F"), ":", "%3A"), " ", "")))</f>
        <v>10.1016%2Fs0166-4328(98)00151-x_References</v>
      </c>
      <c r="M50" t="str">
        <f t="array" ref="M50">IFERROR(INDEX(FileList!$A$1:$A$100, MATCH(L50, _xlfn.TEXTBEFORE(FileList!$A$1:$A$100, ".tsv"), 0)), "notfound")</f>
        <v>notfound</v>
      </c>
      <c r="N50" s="1" t="s">
        <v>226</v>
      </c>
      <c r="P50" s="1" t="s">
        <v>160</v>
      </c>
      <c r="V50" s="1" t="s">
        <v>227</v>
      </c>
      <c r="W50" s="1" t="s">
        <v>99</v>
      </c>
    </row>
    <row r="51" spans="1:31" ht="15.95" customHeight="1">
      <c r="A51" s="1" t="s">
        <v>225</v>
      </c>
      <c r="D51" s="1" t="s">
        <v>41</v>
      </c>
      <c r="E51" t="str">
        <f t="shared" si="65"/>
        <v>x</v>
      </c>
      <c r="F51" t="str">
        <f t="shared" si="66"/>
        <v>Iwaniuk_etal_1999</v>
      </c>
      <c r="G51" t="str">
        <f t="shared" si="67"/>
        <v>Iwaniuk</v>
      </c>
      <c r="H51" t="str">
        <f t="shared" si="68"/>
        <v>etal</v>
      </c>
      <c r="I51" t="str">
        <f t="shared" si="69"/>
        <v>1999</v>
      </c>
      <c r="J51" t="str">
        <f t="shared" si="70"/>
        <v>10.1016/s0166-4328(98)00151-x</v>
      </c>
      <c r="K51" t="str">
        <f>TRIM(_xlfn.TEXTJOIN("_",FALSE,F51,(SUBSTITUTE(SUBSTITUTE(D51," ",""), "_", ""))))</f>
        <v>Iwaniuk_etal_1999_Table1</v>
      </c>
      <c r="L51" t="str">
        <f>IF(ISBLANK(C51),TRIM(SUBSTITUTE(SUBSTITUTE(SUBSTITUTE(_xlfn.TEXTJOIN("_", FALSE, J51, SUBSTITUTE(D51,"_", "")), "/", "%2F"), ":", "%3A"), " ", "")),TRIM(SUBSTITUTE(SUBSTITUTE(SUBSTITUTE(_xlfn.TEXTJOIN("_", FALSE, C51, SUBSTITUTE(D51,"_", "")), "/", "%2F"), ":", "%3A"), " ", "")))</f>
        <v>10.1016%2Fs0166-4328(98)00151-x_Table1</v>
      </c>
      <c r="M51" t="str">
        <f t="array" ref="M51">IFERROR(INDEX(FileList!$A$1:$A$100, MATCH(L51, _xlfn.TEXTBEFORE(FileList!$A$1:$A$100, ".tsv"), 0)), "notfound")</f>
        <v>10.1016%2Fs0166-4328(98)00151-x_Table1.tsv</v>
      </c>
      <c r="N51" s="1" t="s">
        <v>228</v>
      </c>
      <c r="P51" s="1" t="s">
        <v>160</v>
      </c>
      <c r="V51" s="1" t="s">
        <v>36</v>
      </c>
      <c r="W51" s="1" t="s">
        <v>99</v>
      </c>
    </row>
    <row r="52" spans="1:31" ht="15.95" customHeight="1">
      <c r="A52" s="1" t="s">
        <v>229</v>
      </c>
      <c r="D52" s="1" t="s">
        <v>41</v>
      </c>
      <c r="E52" t="str">
        <f t="shared" si="65"/>
        <v>9</v>
      </c>
      <c r="F52" t="str">
        <f t="shared" si="66"/>
        <v>Iwaniuk_etal_2001</v>
      </c>
      <c r="G52" t="str">
        <f t="shared" si="67"/>
        <v>Iwaniuk</v>
      </c>
      <c r="H52" t="str">
        <f t="shared" si="68"/>
        <v>etal</v>
      </c>
      <c r="I52" t="str">
        <f t="shared" si="69"/>
        <v>2001</v>
      </c>
      <c r="J52" t="str">
        <f t="shared" si="70"/>
        <v>10.1037/0735-7036.115.1.29</v>
      </c>
      <c r="K52" t="str">
        <f>TRIM(_xlfn.TEXTJOIN("_",FALSE,F52,(SUBSTITUTE(SUBSTITUTE(D52," ",""), "_", ""))))</f>
        <v>Iwaniuk_etal_2001_Table1</v>
      </c>
      <c r="L52" t="str">
        <f>IF(ISBLANK(C52),TRIM(SUBSTITUTE(SUBSTITUTE(SUBSTITUTE(_xlfn.TEXTJOIN("_", FALSE, J52, SUBSTITUTE(D52,"_", "")), "/", "%2F"), ":", "%3A"), " ", "")),TRIM(SUBSTITUTE(SUBSTITUTE(SUBSTITUTE(_xlfn.TEXTJOIN("_", FALSE, C52, SUBSTITUTE(D52,"_", "")), "/", "%2F"), ":", "%3A"), " ", "")))</f>
        <v>10.1037%2F0735-7036.115.1.29_Table1</v>
      </c>
      <c r="M52" t="str">
        <f t="array" ref="M52">IFERROR(INDEX(FileList!$A$1:$A$100, MATCH(L52, _xlfn.TEXTBEFORE(FileList!$A$1:$A$100, ".tsv"), 0)), "notfound")</f>
        <v>10.1037%2F0735-7036.115.1.29_Table1.tsv</v>
      </c>
      <c r="N52" s="1" t="s">
        <v>230</v>
      </c>
      <c r="P52" s="1" t="s">
        <v>231</v>
      </c>
      <c r="Q52" s="1" t="s">
        <v>95</v>
      </c>
      <c r="R52" s="4"/>
      <c r="T52" s="1" t="str">
        <f>IF(S52="N", R52, "write file name")</f>
        <v>write file name</v>
      </c>
      <c r="U52" s="1" t="s">
        <v>86</v>
      </c>
      <c r="V52" s="1" t="s">
        <v>36</v>
      </c>
      <c r="Y52" s="1" t="s">
        <v>232</v>
      </c>
      <c r="AE52" s="1" t="s">
        <v>233</v>
      </c>
    </row>
    <row r="53" spans="1:31" ht="15.95" customHeight="1">
      <c r="A53" s="1" t="s">
        <v>229</v>
      </c>
      <c r="D53" s="1" t="s">
        <v>195</v>
      </c>
      <c r="E53" t="str">
        <f t="shared" si="65"/>
        <v>9</v>
      </c>
      <c r="F53" t="str">
        <f t="shared" si="66"/>
        <v>Iwaniuk_etal_2001</v>
      </c>
      <c r="G53" t="str">
        <f t="shared" si="67"/>
        <v>Iwaniuk</v>
      </c>
      <c r="H53" t="str">
        <f t="shared" si="68"/>
        <v>etal</v>
      </c>
      <c r="I53" t="str">
        <f t="shared" si="69"/>
        <v>2001</v>
      </c>
      <c r="J53" t="str">
        <f t="shared" si="70"/>
        <v>10.1037/0735-7036.115.1.29</v>
      </c>
      <c r="K53" t="str">
        <f>TRIM(_xlfn.TEXTJOIN("_",FALSE,F53,(SUBSTITUTE(SUBSTITUTE(D53," ",""), "_", ""))))</f>
        <v>Iwaniuk_etal_2001_Table2</v>
      </c>
      <c r="L53" t="str">
        <f>IF(ISBLANK(C53),TRIM(SUBSTITUTE(SUBSTITUTE(SUBSTITUTE(_xlfn.TEXTJOIN("_", FALSE, J53, SUBSTITUTE(D53,"_", "")), "/", "%2F"), ":", "%3A"), " ", "")),TRIM(SUBSTITUTE(SUBSTITUTE(SUBSTITUTE(_xlfn.TEXTJOIN("_", FALSE, C53, SUBSTITUTE(D53,"_", "")), "/", "%2F"), ":", "%3A"), " ", "")))</f>
        <v>10.1037%2F0735-7036.115.1.29_Table2</v>
      </c>
      <c r="M53" t="str">
        <f t="array" ref="M53">IFERROR(INDEX(FileList!$A$1:$A$100, MATCH(L53, _xlfn.TEXTBEFORE(FileList!$A$1:$A$100, ".tsv"), 0)), "notfound")</f>
        <v>10.1037%2F0735-7036.115.1.29_Table2.tsv</v>
      </c>
      <c r="N53" s="1" t="s">
        <v>234</v>
      </c>
      <c r="P53" s="1" t="s">
        <v>231</v>
      </c>
      <c r="Q53" s="1" t="s">
        <v>95</v>
      </c>
      <c r="R53" s="4"/>
      <c r="T53" s="1" t="str">
        <f>IF(S53="N", R53, "write file name")</f>
        <v>write file name</v>
      </c>
      <c r="U53" s="1" t="s">
        <v>86</v>
      </c>
      <c r="V53" s="1" t="s">
        <v>36</v>
      </c>
      <c r="Y53" s="1" t="s">
        <v>232</v>
      </c>
      <c r="AE53" s="1" t="s">
        <v>233</v>
      </c>
    </row>
    <row r="54" spans="1:31" ht="15.95" customHeight="1">
      <c r="A54" s="1" t="s">
        <v>229</v>
      </c>
      <c r="D54" s="1" t="s">
        <v>199</v>
      </c>
      <c r="E54" t="str">
        <f t="shared" si="65"/>
        <v>9</v>
      </c>
      <c r="F54" t="str">
        <f t="shared" si="66"/>
        <v>Iwaniuk_etal_2001</v>
      </c>
      <c r="G54" t="str">
        <f t="shared" si="67"/>
        <v>Iwaniuk</v>
      </c>
      <c r="H54" t="str">
        <f t="shared" si="68"/>
        <v>etal</v>
      </c>
      <c r="I54" t="str">
        <f t="shared" si="69"/>
        <v>2001</v>
      </c>
      <c r="J54" t="str">
        <f t="shared" si="70"/>
        <v>10.1037/0735-7036.115.1.29</v>
      </c>
      <c r="K54" t="str">
        <f>TRIM(_xlfn.TEXTJOIN("_",FALSE,F54,(SUBSTITUTE(SUBSTITUTE(D54," ",""), "_", ""))))</f>
        <v>Iwaniuk_etal_2001_Table3</v>
      </c>
      <c r="L54" t="str">
        <f>IF(ISBLANK(C54),TRIM(SUBSTITUTE(SUBSTITUTE(SUBSTITUTE(_xlfn.TEXTJOIN("_", FALSE, J54, SUBSTITUTE(D54,"_", "")), "/", "%2F"), ":", "%3A"), " ", "")),TRIM(SUBSTITUTE(SUBSTITUTE(SUBSTITUTE(_xlfn.TEXTJOIN("_", FALSE, C54, SUBSTITUTE(D54,"_", "")), "/", "%2F"), ":", "%3A"), " ", "")))</f>
        <v>10.1037%2F0735-7036.115.1.29_Table3</v>
      </c>
      <c r="M54" t="str">
        <f t="array" ref="M54">IFERROR(INDEX(FileList!$A$1:$A$100, MATCH(L54, _xlfn.TEXTBEFORE(FileList!$A$1:$A$100, ".tsv"), 0)), "notfound")</f>
        <v>10.1037%2F0735-7036.115.1.29_Table3.tsv</v>
      </c>
      <c r="N54" s="1" t="s">
        <v>235</v>
      </c>
      <c r="P54" s="1" t="s">
        <v>231</v>
      </c>
      <c r="Q54" s="1" t="s">
        <v>95</v>
      </c>
      <c r="R54" s="4"/>
      <c r="T54" s="1" t="str">
        <f>IF(S54="N", R54, "write file name")</f>
        <v>write file name</v>
      </c>
      <c r="U54" s="1" t="s">
        <v>86</v>
      </c>
      <c r="V54" s="1" t="s">
        <v>36</v>
      </c>
      <c r="Y54" s="1" t="s">
        <v>232</v>
      </c>
      <c r="AE54" s="1" t="s">
        <v>233</v>
      </c>
    </row>
    <row r="55" spans="1:31" ht="15.95" customHeight="1">
      <c r="A55" s="1" t="s">
        <v>229</v>
      </c>
      <c r="D55" s="1" t="s">
        <v>203</v>
      </c>
      <c r="E55" t="str">
        <f t="shared" si="65"/>
        <v>9</v>
      </c>
      <c r="F55" t="str">
        <f t="shared" si="66"/>
        <v>Iwaniuk_etal_2001</v>
      </c>
      <c r="G55" t="str">
        <f t="shared" si="67"/>
        <v>Iwaniuk</v>
      </c>
      <c r="H55" t="str">
        <f t="shared" si="68"/>
        <v>etal</v>
      </c>
      <c r="I55" t="str">
        <f t="shared" si="69"/>
        <v>2001</v>
      </c>
      <c r="J55" t="str">
        <f t="shared" si="70"/>
        <v>10.1037/0735-7036.115.1.29</v>
      </c>
      <c r="K55" t="str">
        <f>TRIM(_xlfn.TEXTJOIN("_",FALSE,F55,(SUBSTITUTE(SUBSTITUTE(D55," ",""), "_", ""))))</f>
        <v>Iwaniuk_etal_2001_Table4</v>
      </c>
      <c r="L55" t="str">
        <f>IF(ISBLANK(C55),TRIM(SUBSTITUTE(SUBSTITUTE(SUBSTITUTE(_xlfn.TEXTJOIN("_", FALSE, J55, SUBSTITUTE(D55,"_", "")), "/", "%2F"), ":", "%3A"), " ", "")),TRIM(SUBSTITUTE(SUBSTITUTE(SUBSTITUTE(_xlfn.TEXTJOIN("_", FALSE, C55, SUBSTITUTE(D55,"_", "")), "/", "%2F"), ":", "%3A"), " ", "")))</f>
        <v>10.1037%2F0735-7036.115.1.29_Table4</v>
      </c>
      <c r="M55" t="str">
        <f t="array" ref="M55">IFERROR(INDEX(FileList!$A$1:$A$100, MATCH(L55, _xlfn.TEXTBEFORE(FileList!$A$1:$A$100, ".tsv"), 0)), "notfound")</f>
        <v>10.1037%2F0735-7036.115.1.29_Table4.tsv</v>
      </c>
      <c r="N55" s="1" t="s">
        <v>236</v>
      </c>
      <c r="P55" s="1" t="s">
        <v>231</v>
      </c>
      <c r="Q55" s="1" t="s">
        <v>95</v>
      </c>
      <c r="R55" s="4"/>
      <c r="T55" s="1" t="str">
        <f>IF(S55="N", R55, "write file name")</f>
        <v>write file name</v>
      </c>
      <c r="U55" s="1" t="s">
        <v>86</v>
      </c>
      <c r="V55" s="1" t="s">
        <v>36</v>
      </c>
      <c r="Y55" s="1" t="s">
        <v>232</v>
      </c>
      <c r="AE55" s="1" t="s">
        <v>233</v>
      </c>
    </row>
    <row r="56" spans="1:31" ht="15.95" customHeight="1">
      <c r="A56" s="1" t="s">
        <v>237</v>
      </c>
      <c r="D56" s="1" t="s">
        <v>41</v>
      </c>
      <c r="E56" t="str">
        <f t="shared" si="65"/>
        <v>8</v>
      </c>
      <c r="F56" t="str">
        <f t="shared" si="66"/>
        <v>JardimMesseder_etal_2017</v>
      </c>
      <c r="G56" t="str">
        <f t="shared" si="67"/>
        <v>JardimMesseder</v>
      </c>
      <c r="H56" t="str">
        <f t="shared" si="68"/>
        <v>etal</v>
      </c>
      <c r="I56" t="str">
        <f t="shared" si="69"/>
        <v>2017</v>
      </c>
      <c r="J56" t="str">
        <f t="shared" si="70"/>
        <v>10.3389/fnana.2017.00118</v>
      </c>
      <c r="K56" t="str">
        <f>TRIM(_xlfn.TEXTJOIN("_",FALSE,F56,(SUBSTITUTE(SUBSTITUTE(D56," ",""), "_", ""))))</f>
        <v>JardimMesseder_etal_2017_Table1</v>
      </c>
      <c r="L56" t="str">
        <f>IF(ISBLANK(C56),TRIM(SUBSTITUTE(SUBSTITUTE(SUBSTITUTE(_xlfn.TEXTJOIN("_", FALSE, J56, SUBSTITUTE(D56,"_", "")), "/", "%2F"), ":", "%3A"), " ", "")),TRIM(SUBSTITUTE(SUBSTITUTE(SUBSTITUTE(_xlfn.TEXTJOIN("_", FALSE, C56, SUBSTITUTE(D56,"_", "")), "/", "%2F"), ":", "%3A"), " ", "")))</f>
        <v>10.3389%2Ffnana.2017.00118_Table1</v>
      </c>
      <c r="M56" t="str">
        <f t="array" ref="M56">IFERROR(INDEX(FileList!$A$1:$A$100, MATCH(L56, _xlfn.TEXTBEFORE(FileList!$A$1:$A$100, ".tsv"), 0)), "notfound")</f>
        <v>10.3389%2Ffnana.2017.00118_Table1.tsv</v>
      </c>
      <c r="N56" s="1" t="s">
        <v>238</v>
      </c>
      <c r="P56" s="1" t="s">
        <v>51</v>
      </c>
      <c r="Q56" s="1" t="s">
        <v>70</v>
      </c>
      <c r="R56" s="4" t="s">
        <v>239</v>
      </c>
      <c r="S56" s="1" t="s">
        <v>84</v>
      </c>
      <c r="T56" s="1" t="s">
        <v>240</v>
      </c>
      <c r="U56" s="1" t="s">
        <v>86</v>
      </c>
      <c r="V56" s="1" t="s">
        <v>36</v>
      </c>
      <c r="W56" s="1" t="s">
        <v>87</v>
      </c>
      <c r="X56" s="1" t="s">
        <v>241</v>
      </c>
      <c r="Y56" s="1" t="s">
        <v>135</v>
      </c>
      <c r="Z56" s="1" t="s">
        <v>38</v>
      </c>
      <c r="AA56" s="1" t="s">
        <v>136</v>
      </c>
      <c r="AB56" s="1" t="s">
        <v>136</v>
      </c>
      <c r="AE56" s="1" t="s">
        <v>242</v>
      </c>
    </row>
    <row r="57" spans="1:31" ht="15.95" customHeight="1">
      <c r="A57" s="1" t="s">
        <v>243</v>
      </c>
      <c r="D57" s="1" t="s">
        <v>35</v>
      </c>
      <c r="E57" t="str">
        <f t="shared" si="65"/>
        <v>9</v>
      </c>
      <c r="F57" t="str">
        <f t="shared" si="66"/>
        <v>Karl_etal_2024</v>
      </c>
      <c r="G57" t="str">
        <f t="shared" si="67"/>
        <v>Karl</v>
      </c>
      <c r="H57" t="str">
        <f t="shared" si="68"/>
        <v>etal</v>
      </c>
      <c r="I57" t="str">
        <f t="shared" si="69"/>
        <v>2024</v>
      </c>
      <c r="J57" t="str">
        <f t="shared" si="70"/>
        <v>10.1002/cne.25669</v>
      </c>
      <c r="K57" t="str">
        <f>TRIM(_xlfn.TEXTJOIN("_",FALSE,F57,(SUBSTITUTE(SUBSTITUTE(D57," ",""), "_", ""))))</f>
        <v>Karl_etal_2024_TABLE1</v>
      </c>
      <c r="L57" t="str">
        <f>IF(ISBLANK(C57),TRIM(SUBSTITUTE(SUBSTITUTE(SUBSTITUTE(_xlfn.TEXTJOIN("_", FALSE, J57, SUBSTITUTE(D57,"_", "")), "/", "%2F"), ":", "%3A"), " ", "")),TRIM(SUBSTITUTE(SUBSTITUTE(SUBSTITUTE(_xlfn.TEXTJOIN("_", FALSE, C57, SUBSTITUTE(D57,"_", "")), "/", "%2F"), ":", "%3A"), " ", "")))</f>
        <v>10.1002%2Fcne.25669_TABLE1</v>
      </c>
      <c r="M57" t="str">
        <f t="array" ref="M57">IFERROR(INDEX(FileList!$A$1:$A$100, MATCH(L57, _xlfn.TEXTBEFORE(FileList!$A$1:$A$100, ".tsv"), 0)), "notfound")</f>
        <v>10.1002%2Fcne.25669_TABLE1.tsv</v>
      </c>
      <c r="N57" s="1" t="s">
        <v>244</v>
      </c>
      <c r="R57" s="4"/>
      <c r="U57" s="1" t="s">
        <v>86</v>
      </c>
      <c r="V57" s="1" t="s">
        <v>36</v>
      </c>
      <c r="W57" s="1" t="s">
        <v>99</v>
      </c>
      <c r="Y57" s="1" t="s">
        <v>245</v>
      </c>
      <c r="Z57" s="1" t="s">
        <v>38</v>
      </c>
    </row>
    <row r="58" spans="1:31" ht="15.95" customHeight="1">
      <c r="A58" s="1" t="s">
        <v>246</v>
      </c>
      <c r="D58" s="1" t="s">
        <v>41</v>
      </c>
      <c r="E58" t="str">
        <f t="shared" si="65"/>
        <v>8</v>
      </c>
      <c r="F58" t="str">
        <f t="shared" si="66"/>
        <v>Kverkova_etal_2018</v>
      </c>
      <c r="G58" t="str">
        <f t="shared" si="67"/>
        <v>Kverkova</v>
      </c>
      <c r="H58" t="str">
        <f t="shared" si="68"/>
        <v>etal</v>
      </c>
      <c r="I58" t="str">
        <f t="shared" si="69"/>
        <v>2018</v>
      </c>
      <c r="J58" t="str">
        <f t="shared" si="70"/>
        <v>10.1038/s41598-018-26062-8</v>
      </c>
      <c r="K58" t="str">
        <f>TRIM(_xlfn.TEXTJOIN("_",FALSE,F58,(SUBSTITUTE(SUBSTITUTE(D58," ",""), "_", ""))))</f>
        <v>Kverkova_etal_2018_Table1</v>
      </c>
      <c r="L58" t="str">
        <f>IF(ISBLANK(C58),TRIM(SUBSTITUTE(SUBSTITUTE(SUBSTITUTE(_xlfn.TEXTJOIN("_", FALSE, J58, SUBSTITUTE(D58,"_", "")), "/", "%2F"), ":", "%3A"), " ", "")),TRIM(SUBSTITUTE(SUBSTITUTE(SUBSTITUTE(_xlfn.TEXTJOIN("_", FALSE, C58, SUBSTITUTE(D58,"_", "")), "/", "%2F"), ":", "%3A"), " ", "")))</f>
        <v>10.1038%2Fs41598-018-26062-8_Table1</v>
      </c>
      <c r="M58" t="str">
        <f t="array" ref="M58">IFERROR(INDEX(FileList!$A$1:$A$100, MATCH(L58, _xlfn.TEXTBEFORE(FileList!$A$1:$A$100, ".tsv"), 0)), "notfound")</f>
        <v>10.1038%2Fs41598-018-26062-8_Table1.tsv</v>
      </c>
      <c r="N58" s="1" t="s">
        <v>247</v>
      </c>
      <c r="P58" s="1" t="s">
        <v>51</v>
      </c>
      <c r="Q58" s="1" t="s">
        <v>70</v>
      </c>
      <c r="R58" s="4" t="s">
        <v>248</v>
      </c>
      <c r="S58" s="1" t="s">
        <v>84</v>
      </c>
      <c r="T58" s="1" t="s">
        <v>249</v>
      </c>
      <c r="U58" s="1" t="s">
        <v>250</v>
      </c>
      <c r="V58" s="1" t="s">
        <v>36</v>
      </c>
      <c r="Y58" s="1" t="s">
        <v>251</v>
      </c>
      <c r="Z58" s="1" t="s">
        <v>38</v>
      </c>
      <c r="AB58" s="1" t="s">
        <v>136</v>
      </c>
      <c r="AE58" s="1" t="s">
        <v>252</v>
      </c>
    </row>
    <row r="59" spans="1:31" ht="15.95" customHeight="1">
      <c r="A59" s="1" t="s">
        <v>246</v>
      </c>
      <c r="D59" s="1" t="s">
        <v>128</v>
      </c>
      <c r="E59" t="str">
        <f t="shared" si="65"/>
        <v>8</v>
      </c>
      <c r="F59" t="str">
        <f t="shared" si="66"/>
        <v>Kverkova_etal_2018</v>
      </c>
      <c r="G59" t="str">
        <f t="shared" si="67"/>
        <v>Kverkova</v>
      </c>
      <c r="H59" t="str">
        <f t="shared" si="68"/>
        <v>etal</v>
      </c>
      <c r="I59" t="str">
        <f t="shared" si="69"/>
        <v>2018</v>
      </c>
      <c r="J59" t="str">
        <f t="shared" si="70"/>
        <v>10.1038/s41598-018-26062-8</v>
      </c>
      <c r="K59" t="str">
        <f>TRIM(_xlfn.TEXTJOIN("_",FALSE,F59,(SUBSTITUTE(SUBSTITUTE(D59," ",""), "_", ""))))</f>
        <v>Kverkova_etal_2018_TableS1</v>
      </c>
      <c r="L59" t="str">
        <f>IF(ISBLANK(C59),TRIM(SUBSTITUTE(SUBSTITUTE(SUBSTITUTE(_xlfn.TEXTJOIN("_", FALSE, J59, SUBSTITUTE(D59,"_", "")), "/", "%2F"), ":", "%3A"), " ", "")),TRIM(SUBSTITUTE(SUBSTITUTE(SUBSTITUTE(_xlfn.TEXTJOIN("_", FALSE, C59, SUBSTITUTE(D59,"_", "")), "/", "%2F"), ":", "%3A"), " ", "")))</f>
        <v>10.1038%2Fs41598-018-26062-8_TableS1</v>
      </c>
      <c r="M59" t="str">
        <f t="array" ref="M59">IFERROR(INDEX(FileList!$A$1:$A$100, MATCH(L59, _xlfn.TEXTBEFORE(FileList!$A$1:$A$100, ".tsv"), 0)), "notfound")</f>
        <v>10.1038%2Fs41598-018-26062-8_TableS1.tsv</v>
      </c>
      <c r="N59" s="1" t="s">
        <v>253</v>
      </c>
      <c r="P59" s="1" t="s">
        <v>51</v>
      </c>
      <c r="Q59" s="1" t="s">
        <v>70</v>
      </c>
      <c r="R59" s="4" t="s">
        <v>254</v>
      </c>
      <c r="S59" s="1" t="s">
        <v>84</v>
      </c>
      <c r="T59" s="1" t="s">
        <v>249</v>
      </c>
      <c r="U59" s="1" t="s">
        <v>250</v>
      </c>
      <c r="V59" s="1" t="s">
        <v>36</v>
      </c>
      <c r="W59" s="1" t="s">
        <v>87</v>
      </c>
      <c r="X59" s="1" t="s">
        <v>255</v>
      </c>
      <c r="Y59" s="1" t="s">
        <v>215</v>
      </c>
      <c r="Z59" s="1" t="s">
        <v>256</v>
      </c>
      <c r="AB59" s="1" t="s">
        <v>136</v>
      </c>
      <c r="AE59" s="1" t="s">
        <v>252</v>
      </c>
    </row>
    <row r="60" spans="1:31" ht="15.95" customHeight="1">
      <c r="A60" s="1" t="s">
        <v>246</v>
      </c>
      <c r="D60" s="1" t="s">
        <v>257</v>
      </c>
      <c r="E60" t="str">
        <f t="shared" si="65"/>
        <v>8</v>
      </c>
      <c r="F60" t="str">
        <f t="shared" si="66"/>
        <v>Kverkova_etal_2018</v>
      </c>
      <c r="G60" t="str">
        <f t="shared" si="67"/>
        <v>Kverkova</v>
      </c>
      <c r="H60" t="str">
        <f t="shared" si="68"/>
        <v>etal</v>
      </c>
      <c r="I60" t="str">
        <f t="shared" si="69"/>
        <v>2018</v>
      </c>
      <c r="J60" t="str">
        <f t="shared" si="70"/>
        <v>10.1038/s41598-018-26062-8</v>
      </c>
      <c r="K60" t="str">
        <f>TRIM(_xlfn.TEXTJOIN("_",FALSE,F60,(SUBSTITUTE(SUBSTITUTE(D60," ",""), "_", ""))))</f>
        <v>Kverkova_etal_2018_TableS5</v>
      </c>
      <c r="L60" t="str">
        <f>IF(ISBLANK(C60),TRIM(SUBSTITUTE(SUBSTITUTE(SUBSTITUTE(_xlfn.TEXTJOIN("_", FALSE, J60, SUBSTITUTE(D60,"_", "")), "/", "%2F"), ":", "%3A"), " ", "")),TRIM(SUBSTITUTE(SUBSTITUTE(SUBSTITUTE(_xlfn.TEXTJOIN("_", FALSE, C60, SUBSTITUTE(D60,"_", "")), "/", "%2F"), ":", "%3A"), " ", "")))</f>
        <v>10.1038%2Fs41598-018-26062-8_TableS5</v>
      </c>
      <c r="M60" t="str">
        <f t="array" ref="M60">IFERROR(INDEX(FileList!$A$1:$A$100, MATCH(L60, _xlfn.TEXTBEFORE(FileList!$A$1:$A$100, ".tsv"), 0)), "notfound")</f>
        <v>10.1038%2Fs41598-018-26062-8_TableS5.tsv</v>
      </c>
      <c r="N60" s="1" t="s">
        <v>258</v>
      </c>
      <c r="P60" s="1" t="s">
        <v>51</v>
      </c>
      <c r="Q60" s="1" t="s">
        <v>70</v>
      </c>
      <c r="R60" s="4" t="s">
        <v>259</v>
      </c>
      <c r="S60" s="1" t="s">
        <v>84</v>
      </c>
      <c r="T60" s="1" t="s">
        <v>260</v>
      </c>
      <c r="U60" s="1" t="s">
        <v>261</v>
      </c>
      <c r="V60" s="1" t="s">
        <v>36</v>
      </c>
      <c r="W60" s="1" t="s">
        <v>87</v>
      </c>
      <c r="X60" s="1" t="s">
        <v>255</v>
      </c>
      <c r="Y60" s="1" t="s">
        <v>220</v>
      </c>
      <c r="Z60" s="1" t="s">
        <v>38</v>
      </c>
      <c r="AB60" s="1" t="s">
        <v>136</v>
      </c>
      <c r="AE60" s="1" t="s">
        <v>252</v>
      </c>
    </row>
    <row r="61" spans="1:31" ht="15.95" customHeight="1">
      <c r="A61" s="1" t="s">
        <v>262</v>
      </c>
      <c r="D61" s="1" t="s">
        <v>263</v>
      </c>
      <c r="E61" t="str">
        <f t="shared" si="65"/>
        <v>4</v>
      </c>
      <c r="F61" t="str">
        <f t="shared" si="66"/>
        <v>Lewitus_etal_2013</v>
      </c>
      <c r="G61" t="str">
        <f t="shared" si="67"/>
        <v>Lewitus</v>
      </c>
      <c r="H61" t="str">
        <f t="shared" si="68"/>
        <v>etal</v>
      </c>
      <c r="I61" t="str">
        <f t="shared" si="69"/>
        <v>2013</v>
      </c>
      <c r="J61" t="str">
        <f t="shared" si="70"/>
        <v>10.3389/fnhum.2013.00424</v>
      </c>
      <c r="K61" t="str">
        <f>TRIM(_xlfn.TEXTJOIN("_",FALSE,F61,(SUBSTITUTE(SUBSTITUTE(D61," ",""), "_", ""))))</f>
        <v>Lewitus_etal_2013_TableS2partial</v>
      </c>
      <c r="L61" t="str">
        <f>IF(ISBLANK(C61),TRIM(SUBSTITUTE(SUBSTITUTE(SUBSTITUTE(_xlfn.TEXTJOIN("_", FALSE, J61, SUBSTITUTE(D61,"_", "")), "/", "%2F"), ":", "%3A"), " ", "")),TRIM(SUBSTITUTE(SUBSTITUTE(SUBSTITUTE(_xlfn.TEXTJOIN("_", FALSE, C61, SUBSTITUTE(D61,"_", "")), "/", "%2F"), ":", "%3A"), " ", "")))</f>
        <v>10.3389%2Ffnhum.2013.00424_TableS2partial</v>
      </c>
      <c r="M61" t="str">
        <f t="array" ref="M61">IFERROR(INDEX(FileList!$A$1:$A$100, MATCH(L61, _xlfn.TEXTBEFORE(FileList!$A$1:$A$100, ".tsv"), 0)), "notfound")</f>
        <v>10.3389%2Ffnhum.2013.00424_TableS2partial.tsv</v>
      </c>
      <c r="Q61" s="1" t="s">
        <v>52</v>
      </c>
      <c r="AA61" s="1" t="s">
        <v>264</v>
      </c>
    </row>
    <row r="62" spans="1:31" ht="15.95" customHeight="1">
      <c r="A62" s="1" t="s">
        <v>265</v>
      </c>
      <c r="D62" s="1" t="s">
        <v>128</v>
      </c>
      <c r="E62" t="str">
        <f t="shared" si="65"/>
        <v>0</v>
      </c>
      <c r="F62" t="str">
        <f t="shared" si="66"/>
        <v>Lewitus_etal_2014</v>
      </c>
      <c r="G62" t="str">
        <f t="shared" si="67"/>
        <v>Lewitus</v>
      </c>
      <c r="H62" t="str">
        <f t="shared" si="68"/>
        <v>etal</v>
      </c>
      <c r="I62" t="str">
        <f t="shared" si="69"/>
        <v>2014</v>
      </c>
      <c r="J62" t="str">
        <f t="shared" si="70"/>
        <v>10.1371/journal.pbio.1002000</v>
      </c>
      <c r="K62" t="str">
        <f>TRIM(_xlfn.TEXTJOIN("_",FALSE,F62,(SUBSTITUTE(SUBSTITUTE(D62," ",""), "_", ""))))</f>
        <v>Lewitus_etal_2014_TableS1</v>
      </c>
      <c r="L62" t="str">
        <f>IF(ISBLANK(C62),TRIM(SUBSTITUTE(SUBSTITUTE(SUBSTITUTE(_xlfn.TEXTJOIN("_", FALSE, J62, SUBSTITUTE(D62,"_", "")), "/", "%2F"), ":", "%3A"), " ", "")),TRIM(SUBSTITUTE(SUBSTITUTE(SUBSTITUTE(_xlfn.TEXTJOIN("_", FALSE, C62, SUBSTITUTE(D62,"_", "")), "/", "%2F"), ":", "%3A"), " ", "")))</f>
        <v>10.1371%2Fjournal.pbio.1002000_TableS1</v>
      </c>
      <c r="M62" t="str">
        <f t="array" ref="M62">IFERROR(INDEX(FileList!$A$1:$A$100, MATCH(L62, _xlfn.TEXTBEFORE(FileList!$A$1:$A$100, ".tsv"), 0)), "notfound")</f>
        <v>10.1371%2Fjournal.pbio.1002000_TableS1.tsv</v>
      </c>
      <c r="N62" s="1" t="s">
        <v>266</v>
      </c>
      <c r="Q62" s="1" t="s">
        <v>52</v>
      </c>
      <c r="AA62" s="1" t="s">
        <v>264</v>
      </c>
    </row>
    <row r="63" spans="1:31" ht="15.95" customHeight="1">
      <c r="A63" s="1" t="s">
        <v>265</v>
      </c>
      <c r="D63" s="1" t="s">
        <v>267</v>
      </c>
      <c r="E63" t="str">
        <f t="shared" si="65"/>
        <v>0</v>
      </c>
      <c r="F63" t="str">
        <f t="shared" si="66"/>
        <v>Lewitus_etal_2014</v>
      </c>
      <c r="G63" t="str">
        <f t="shared" si="67"/>
        <v>Lewitus</v>
      </c>
      <c r="H63" t="str">
        <f t="shared" si="68"/>
        <v>etal</v>
      </c>
      <c r="I63" t="str">
        <f t="shared" si="69"/>
        <v>2014</v>
      </c>
      <c r="J63" t="str">
        <f t="shared" si="70"/>
        <v>10.1371/journal.pbio.1002000</v>
      </c>
      <c r="K63" t="str">
        <f>TRIM(_xlfn.TEXTJOIN("_",FALSE,F63,(SUBSTITUTE(SUBSTITUTE(D63," ",""), "_", ""))))</f>
        <v>Lewitus_etal_2014_TableS8</v>
      </c>
      <c r="L63" t="str">
        <f>IF(ISBLANK(C63),TRIM(SUBSTITUTE(SUBSTITUTE(SUBSTITUTE(_xlfn.TEXTJOIN("_", FALSE, J63, SUBSTITUTE(D63,"_", "")), "/", "%2F"), ":", "%3A"), " ", "")),TRIM(SUBSTITUTE(SUBSTITUTE(SUBSTITUTE(_xlfn.TEXTJOIN("_", FALSE, C63, SUBSTITUTE(D63,"_", "")), "/", "%2F"), ":", "%3A"), " ", "")))</f>
        <v>10.1371%2Fjournal.pbio.1002000_TableS8</v>
      </c>
      <c r="M63" t="str">
        <f t="array" ref="M63">IFERROR(INDEX(FileList!$A$1:$A$100, MATCH(L63, _xlfn.TEXTBEFORE(FileList!$A$1:$A$100, ".tsv"), 0)), "notfound")</f>
        <v>10.1371%2Fjournal.pbio.1002000_TableS8.tsv</v>
      </c>
      <c r="N63" s="1" t="s">
        <v>268</v>
      </c>
      <c r="Q63" s="1" t="s">
        <v>52</v>
      </c>
      <c r="AA63" s="1" t="s">
        <v>264</v>
      </c>
    </row>
    <row r="64" spans="1:31" ht="15.75" customHeight="1">
      <c r="A64" s="1" t="s">
        <v>269</v>
      </c>
      <c r="D64" s="1" t="s">
        <v>41</v>
      </c>
      <c r="E64" t="str">
        <f t="shared" si="65"/>
        <v>5</v>
      </c>
      <c r="F64" t="str">
        <f t="shared" si="66"/>
        <v>MacLarnon__1996</v>
      </c>
      <c r="G64" t="str">
        <f t="shared" si="67"/>
        <v>MacLarnon</v>
      </c>
      <c r="H64" t="str">
        <f t="shared" ca="1" si="68"/>
        <v/>
      </c>
      <c r="I64" t="str">
        <f t="shared" si="69"/>
        <v>1996</v>
      </c>
      <c r="J64" t="str">
        <f t="shared" si="70"/>
        <v>10.1006/jhev.1996.0005</v>
      </c>
      <c r="K64" t="str">
        <f>TRIM(_xlfn.TEXTJOIN("_",FALSE,F64,(SUBSTITUTE(SUBSTITUTE(D64," ",""), "_", ""))))</f>
        <v>MacLarnon__1996_Table1</v>
      </c>
      <c r="L64" t="str">
        <f>IF(ISBLANK(C64),TRIM(SUBSTITUTE(SUBSTITUTE(SUBSTITUTE(_xlfn.TEXTJOIN("_", FALSE, J64, SUBSTITUTE(D64,"_", "")), "/", "%2F"), ":", "%3A"), " ", "")),TRIM(SUBSTITUTE(SUBSTITUTE(SUBSTITUTE(_xlfn.TEXTJOIN("_", FALSE, C64, SUBSTITUTE(D64,"_", "")), "/", "%2F"), ":", "%3A"), " ", "")))</f>
        <v>10.1006%2Fjhev.1996.0005_Table1</v>
      </c>
      <c r="M64" t="str">
        <f t="array" ref="M64">IFERROR(INDEX(FileList!$A$1:$A$100, MATCH(L64, _xlfn.TEXTBEFORE(FileList!$A$1:$A$100, ".tsv"), 0)), "notfound")</f>
        <v>10.1006%2Fjhev.1996.0005_Table1.tsv</v>
      </c>
      <c r="N64" s="1" t="s">
        <v>270</v>
      </c>
      <c r="P64" s="1" t="s">
        <v>160</v>
      </c>
    </row>
    <row r="65" spans="1:31" ht="15.75" customHeight="1">
      <c r="A65" s="1" t="s">
        <v>271</v>
      </c>
      <c r="D65" s="1" t="s">
        <v>272</v>
      </c>
      <c r="E65" t="str">
        <f t="shared" si="65"/>
        <v>2</v>
      </c>
      <c r="F65" t="str">
        <f t="shared" si="66"/>
        <v>ManyPrimates__2022</v>
      </c>
      <c r="G65" t="str">
        <f t="shared" si="67"/>
        <v>ManyPrimates</v>
      </c>
      <c r="H65" t="str">
        <f t="shared" ca="1" si="68"/>
        <v/>
      </c>
      <c r="I65" t="str">
        <f t="shared" si="69"/>
        <v>2022</v>
      </c>
      <c r="J65" t="str">
        <f t="shared" si="70"/>
        <v>10.26451/abc.09.04.06.2022</v>
      </c>
      <c r="K65" t="str">
        <f>TRIM(_xlfn.TEXTJOIN("_",FALSE,F65,(SUBSTITUTE(SUBSTITUTE(D65," ",""), "_", ""))))</f>
        <v>ManyPrimates__2022_data/speciespredictors.xlsx</v>
      </c>
      <c r="L65" t="str">
        <f>IF(ISBLANK(C65),TRIM(SUBSTITUTE(SUBSTITUTE(SUBSTITUTE(_xlfn.TEXTJOIN("_", FALSE, J65, SUBSTITUTE(D65,"_", "")), "/", "%2F"), ":", "%3A"), " ", "")),TRIM(SUBSTITUTE(SUBSTITUTE(SUBSTITUTE(_xlfn.TEXTJOIN("_", FALSE, C65, SUBSTITUTE(D65,"_", "")), "/", "%2F"), ":", "%3A"), " ", "")))</f>
        <v>10.26451%2Fabc.09.04.06.2022_data%2Fspeciespredictors.xlsx</v>
      </c>
      <c r="M65" t="str">
        <f t="array" ref="M65">IFERROR(INDEX(FileList!$A$1:$A$100, MATCH(L65, _xlfn.TEXTBEFORE(FileList!$A$1:$A$100, ".tsv"), 0)), "notfound")</f>
        <v>notfound</v>
      </c>
      <c r="P65" s="1" t="s">
        <v>273</v>
      </c>
      <c r="Q65" s="1" t="s">
        <v>95</v>
      </c>
      <c r="R65" s="4"/>
      <c r="T65" s="1" t="str">
        <f>IF(S65="N", R65, "write file name")</f>
        <v>write file name</v>
      </c>
      <c r="U65" s="1" t="s">
        <v>77</v>
      </c>
      <c r="V65" s="1" t="s">
        <v>36</v>
      </c>
      <c r="W65" s="1" t="s">
        <v>78</v>
      </c>
      <c r="X65" s="1" t="s">
        <v>274</v>
      </c>
      <c r="Y65" s="1" t="s">
        <v>275</v>
      </c>
      <c r="Z65" s="1" t="s">
        <v>58</v>
      </c>
      <c r="AC65" s="1" t="s">
        <v>276</v>
      </c>
      <c r="AE65" s="1" t="s">
        <v>81</v>
      </c>
    </row>
    <row r="66" spans="1:31" ht="15.75" customHeight="1">
      <c r="A66" s="1" t="s">
        <v>277</v>
      </c>
      <c r="D66" s="1" t="s">
        <v>128</v>
      </c>
      <c r="E66" t="str">
        <f t="shared" si="65"/>
        <v>1</v>
      </c>
      <c r="F66" t="str">
        <f t="shared" si="66"/>
        <v>Mota_etal_2015</v>
      </c>
      <c r="G66" t="str">
        <f t="shared" si="67"/>
        <v>Mota</v>
      </c>
      <c r="H66" t="str">
        <f t="shared" si="68"/>
        <v>etal</v>
      </c>
      <c r="I66" t="str">
        <f t="shared" si="69"/>
        <v>2015</v>
      </c>
      <c r="J66" t="str">
        <f t="shared" si="70"/>
        <v>10.1126/science.aaa9101</v>
      </c>
      <c r="K66" t="str">
        <f>TRIM(_xlfn.TEXTJOIN("_",FALSE,F66,(SUBSTITUTE(SUBSTITUTE(D66," ",""), "_", ""))))</f>
        <v>Mota_etal_2015_TableS1</v>
      </c>
      <c r="L66" t="str">
        <f>IF(ISBLANK(C66),TRIM(SUBSTITUTE(SUBSTITUTE(SUBSTITUTE(_xlfn.TEXTJOIN("_", FALSE, J66, SUBSTITUTE(D66,"_", "")), "/", "%2F"), ":", "%3A"), " ", "")),TRIM(SUBSTITUTE(SUBSTITUTE(SUBSTITUTE(_xlfn.TEXTJOIN("_", FALSE, C66, SUBSTITUTE(D66,"_", "")), "/", "%2F"), ":", "%3A"), " ", "")))</f>
        <v>10.1126%2Fscience.aaa9101_TableS1</v>
      </c>
      <c r="M66" t="str">
        <f t="array" ref="M66">IFERROR(INDEX(FileList!$A$1:$A$100, MATCH(L66, _xlfn.TEXTBEFORE(FileList!$A$1:$A$100, ".tsv"), 0)), "notfound")</f>
        <v>10.1126%2Fscience.aaa9101_TableS1.tsv</v>
      </c>
      <c r="Q66" s="1" t="s">
        <v>52</v>
      </c>
    </row>
    <row r="67" spans="1:31" ht="15.75" customHeight="1">
      <c r="A67" s="1" t="s">
        <v>278</v>
      </c>
      <c r="D67" s="1" t="s">
        <v>279</v>
      </c>
      <c r="E67" t="str">
        <f t="shared" si="65"/>
        <v>6</v>
      </c>
      <c r="F67" t="str">
        <f t="shared" si="66"/>
        <v>Mota_etal_2019</v>
      </c>
      <c r="G67" t="str">
        <f t="shared" si="67"/>
        <v>Mota</v>
      </c>
      <c r="H67" t="str">
        <f t="shared" si="68"/>
        <v>etal</v>
      </c>
      <c r="I67" t="str">
        <f t="shared" si="69"/>
        <v>2019</v>
      </c>
      <c r="J67" t="str">
        <f t="shared" si="70"/>
        <v>10.1073/pnas.1716956116</v>
      </c>
      <c r="K67" t="str">
        <f>TRIM(_xlfn.TEXTJOIN("_",FALSE,F67,(SUBSTITUTE(SUBSTITUTE(D67," ",""), "_", ""))))</f>
        <v>Mota_etal_2019_SupplementaryTableS1</v>
      </c>
      <c r="L67" t="str">
        <f>IF(ISBLANK(C67),TRIM(SUBSTITUTE(SUBSTITUTE(SUBSTITUTE(_xlfn.TEXTJOIN("_", FALSE, J67, SUBSTITUTE(D67,"_", "")), "/", "%2F"), ":", "%3A"), " ", "")),TRIM(SUBSTITUTE(SUBSTITUTE(SUBSTITUTE(_xlfn.TEXTJOIN("_", FALSE, C67, SUBSTITUTE(D67,"_", "")), "/", "%2F"), ":", "%3A"), " ", "")))</f>
        <v>10.1073%2Fpnas.1716956116_SupplementaryTableS1</v>
      </c>
      <c r="M67" t="str">
        <f t="array" ref="M67">IFERROR(INDEX(FileList!$A$1:$A$100, MATCH(L67, _xlfn.TEXTBEFORE(FileList!$A$1:$A$100, ".tsv"), 0)), "notfound")</f>
        <v>notfound</v>
      </c>
      <c r="N67" s="1" t="s">
        <v>280</v>
      </c>
      <c r="P67" s="1" t="s">
        <v>160</v>
      </c>
      <c r="AC67" s="1" t="s">
        <v>281</v>
      </c>
    </row>
    <row r="68" spans="1:31" ht="15.75" customHeight="1">
      <c r="A68" s="1" t="s">
        <v>282</v>
      </c>
      <c r="C68" s="1" t="s">
        <v>283</v>
      </c>
      <c r="D68" s="1" t="s">
        <v>284</v>
      </c>
      <c r="E68" t="str">
        <f t="shared" si="65"/>
        <v>5</v>
      </c>
      <c r="F68" t="str">
        <f t="shared" si="66"/>
        <v>Powell_etal_2017</v>
      </c>
      <c r="G68" t="str">
        <f t="shared" si="67"/>
        <v>Powell</v>
      </c>
      <c r="H68" t="str">
        <f t="shared" si="68"/>
        <v>etal</v>
      </c>
      <c r="I68" t="str">
        <f t="shared" si="69"/>
        <v>2017</v>
      </c>
      <c r="J68" t="str">
        <f t="shared" si="70"/>
        <v>10.1098/rspb.2017.1765</v>
      </c>
      <c r="K68" t="str">
        <f>TRIM(_xlfn.TEXTJOIN("_",FALSE,F68,(SUBSTITUTE(SUBSTITUTE(D68," ",""), "_", ""))))</f>
        <v>Powell_etal_2017_Dataset1</v>
      </c>
      <c r="L68" t="str">
        <f>IF(ISBLANK(C68),TRIM(SUBSTITUTE(SUBSTITUTE(SUBSTITUTE(_xlfn.TEXTJOIN("_", FALSE, J68, SUBSTITUTE(D68,"_", "")), "/", "%2F"), ":", "%3A"), " ", "")),TRIM(SUBSTITUTE(SUBSTITUTE(SUBSTITUTE(_xlfn.TEXTJOIN("_", FALSE, C68, SUBSTITUTE(D68,"_", "")), "/", "%2F"), ":", "%3A"), " ", "")))</f>
        <v>10.6084%2Fm9.figshare.c.3899422.v1_Dataset1</v>
      </c>
      <c r="M68" t="str">
        <f t="array" ref="M68">IFERROR(INDEX(FileList!$A$1:$A$100, MATCH(L68, _xlfn.TEXTBEFORE(FileList!$A$1:$A$100, ".tsv"), 0)), "notfound")</f>
        <v>10.6084%2Fm9.figshare.c.3899422.v1_Dataset1.tsv</v>
      </c>
      <c r="P68" s="1" t="s">
        <v>160</v>
      </c>
      <c r="Q68" s="1" t="s">
        <v>95</v>
      </c>
      <c r="R68" s="4"/>
      <c r="T68" s="1" t="str">
        <f>IF(S68="N", R68, "write file name")</f>
        <v>write file name</v>
      </c>
      <c r="U68" s="1" t="s">
        <v>77</v>
      </c>
      <c r="V68" s="1" t="s">
        <v>36</v>
      </c>
      <c r="W68" s="1" t="s">
        <v>78</v>
      </c>
      <c r="X68" s="1" t="s">
        <v>285</v>
      </c>
      <c r="Y68" s="1" t="s">
        <v>286</v>
      </c>
      <c r="Z68" s="1" t="s">
        <v>58</v>
      </c>
      <c r="AC68" s="1" t="s">
        <v>57</v>
      </c>
      <c r="AE68" s="1" t="s">
        <v>81</v>
      </c>
    </row>
    <row r="69" spans="1:31" ht="15.75" customHeight="1">
      <c r="A69" s="1" t="s">
        <v>287</v>
      </c>
      <c r="B69" s="1" t="s">
        <v>288</v>
      </c>
      <c r="D69" s="1" t="s">
        <v>203</v>
      </c>
      <c r="E69" t="str">
        <f t="shared" si="65"/>
        <v>2</v>
      </c>
      <c r="F69" t="str">
        <f t="shared" si="66"/>
        <v>Sherwood_etal_2004_I</v>
      </c>
      <c r="G69" t="str">
        <f t="shared" si="67"/>
        <v>Sherwood</v>
      </c>
      <c r="H69" t="str">
        <f t="shared" si="68"/>
        <v>etal</v>
      </c>
      <c r="I69" t="str">
        <f t="shared" si="69"/>
        <v>2004</v>
      </c>
      <c r="J69" t="str">
        <f t="shared" si="70"/>
        <v>10.1159/000075672</v>
      </c>
      <c r="K69" t="str">
        <f>TRIM(_xlfn.TEXTJOIN("_",FALSE,F69,(SUBSTITUTE(SUBSTITUTE(D69," ",""), "_", ""))))</f>
        <v>Sherwood_etal_2004_I_Table4</v>
      </c>
      <c r="L69" t="str">
        <f>IF(ISBLANK(C69),TRIM(SUBSTITUTE(SUBSTITUTE(SUBSTITUTE(_xlfn.TEXTJOIN("_", FALSE, J69, SUBSTITUTE(D69,"_", "")), "/", "%2F"), ":", "%3A"), " ", "")),TRIM(SUBSTITUTE(SUBSTITUTE(SUBSTITUTE(_xlfn.TEXTJOIN("_", FALSE, C69, SUBSTITUTE(D69,"_", "")), "/", "%2F"), ":", "%3A"), " ", "")))</f>
        <v>10.1159%2F000075672_Table4</v>
      </c>
      <c r="M69" t="str">
        <f t="array" ref="M69">IFERROR(INDEX(FileList!$A$1:$A$100, MATCH(L69, _xlfn.TEXTBEFORE(FileList!$A$1:$A$100, ".tsv"), 0)), "notfound")</f>
        <v>notfound</v>
      </c>
      <c r="N69" s="1" t="s">
        <v>289</v>
      </c>
      <c r="P69" s="1" t="s">
        <v>273</v>
      </c>
      <c r="Q69" s="1" t="s">
        <v>95</v>
      </c>
      <c r="R69" s="4"/>
      <c r="T69" s="1" t="str">
        <f>IF(S69="N", R69, "write file name")</f>
        <v>write file name</v>
      </c>
      <c r="U69" s="1" t="s">
        <v>86</v>
      </c>
      <c r="V69" s="1" t="s">
        <v>290</v>
      </c>
      <c r="Y69" s="1" t="s">
        <v>291</v>
      </c>
      <c r="Z69" s="1" t="s">
        <v>38</v>
      </c>
      <c r="AE69" s="1" t="s">
        <v>81</v>
      </c>
    </row>
    <row r="70" spans="1:31" ht="15.75" customHeight="1">
      <c r="A70" s="1" t="s">
        <v>287</v>
      </c>
      <c r="B70" s="1" t="s">
        <v>288</v>
      </c>
      <c r="D70" s="1" t="s">
        <v>207</v>
      </c>
      <c r="E70" t="str">
        <f t="shared" si="65"/>
        <v>2</v>
      </c>
      <c r="F70" t="str">
        <f t="shared" si="66"/>
        <v>Sherwood_etal_2004_I</v>
      </c>
      <c r="G70" t="str">
        <f t="shared" si="67"/>
        <v>Sherwood</v>
      </c>
      <c r="H70" t="str">
        <f t="shared" si="68"/>
        <v>etal</v>
      </c>
      <c r="I70" t="str">
        <f t="shared" si="69"/>
        <v>2004</v>
      </c>
      <c r="J70" t="str">
        <f t="shared" si="70"/>
        <v>10.1159/000075672</v>
      </c>
      <c r="K70" t="str">
        <f>TRIM(_xlfn.TEXTJOIN("_",FALSE,F70,(SUBSTITUTE(SUBSTITUTE(D70," ",""), "_", ""))))</f>
        <v>Sherwood_etal_2004_I_Table5</v>
      </c>
      <c r="L70" t="str">
        <f>IF(ISBLANK(C70),TRIM(SUBSTITUTE(SUBSTITUTE(SUBSTITUTE(_xlfn.TEXTJOIN("_", FALSE, J70, SUBSTITUTE(D70,"_", "")), "/", "%2F"), ":", "%3A"), " ", "")),TRIM(SUBSTITUTE(SUBSTITUTE(SUBSTITUTE(_xlfn.TEXTJOIN("_", FALSE, C70, SUBSTITUTE(D70,"_", "")), "/", "%2F"), ":", "%3A"), " ", "")))</f>
        <v>10.1159%2F000075672_Table5</v>
      </c>
      <c r="M70" t="str">
        <f t="array" ref="M70">IFERROR(INDEX(FileList!$A$1:$A$100, MATCH(L70, _xlfn.TEXTBEFORE(FileList!$A$1:$A$100, ".tsv"), 0)), "notfound")</f>
        <v>notfound</v>
      </c>
      <c r="N70" s="1" t="s">
        <v>292</v>
      </c>
      <c r="P70" s="1" t="s">
        <v>273</v>
      </c>
      <c r="Q70" s="1" t="s">
        <v>95</v>
      </c>
      <c r="R70" s="4"/>
      <c r="T70" s="1" t="str">
        <f>IF(S70="N", R70, "write file name")</f>
        <v>write file name</v>
      </c>
      <c r="U70" s="1" t="s">
        <v>86</v>
      </c>
      <c r="V70" s="1" t="s">
        <v>290</v>
      </c>
      <c r="Y70" s="1" t="s">
        <v>291</v>
      </c>
      <c r="Z70" s="1" t="s">
        <v>38</v>
      </c>
      <c r="AE70" s="1" t="s">
        <v>81</v>
      </c>
    </row>
    <row r="71" spans="1:31" ht="15.75" customHeight="1">
      <c r="A71" s="1" t="s">
        <v>293</v>
      </c>
      <c r="D71" s="1" t="s">
        <v>294</v>
      </c>
      <c r="E71" t="str">
        <f t="shared" si="65"/>
        <v>1</v>
      </c>
      <c r="F71" t="str">
        <f t="shared" si="66"/>
        <v>Smaers_etal_2011</v>
      </c>
      <c r="G71" t="str">
        <f t="shared" si="67"/>
        <v>Smaers</v>
      </c>
      <c r="H71" t="str">
        <f t="shared" si="68"/>
        <v>etal</v>
      </c>
      <c r="I71" t="str">
        <f t="shared" si="69"/>
        <v>2011</v>
      </c>
      <c r="J71" t="str">
        <f t="shared" si="70"/>
        <v>10.1159/000323671</v>
      </c>
      <c r="K71" t="str">
        <f>TRIM(_xlfn.TEXTJOIN("_",FALSE,F71,(SUBSTITUTE(SUBSTITUTE(D71," ",""), "_", ""))))</f>
        <v>Smaers_etal_2011_SupplementaryTable1</v>
      </c>
      <c r="L71" t="str">
        <f>IF(ISBLANK(C71),TRIM(SUBSTITUTE(SUBSTITUTE(SUBSTITUTE(_xlfn.TEXTJOIN("_", FALSE, J71, SUBSTITUTE(D71,"_", "")), "/", "%2F"), ":", "%3A"), " ", "")),TRIM(SUBSTITUTE(SUBSTITUTE(SUBSTITUTE(_xlfn.TEXTJOIN("_", FALSE, C71, SUBSTITUTE(D71,"_", "")), "/", "%2F"), ":", "%3A"), " ", "")))</f>
        <v>10.1159%2F000323671_SupplementaryTable1</v>
      </c>
      <c r="M71" t="str">
        <f t="array" ref="M71">IFERROR(INDEX(FileList!$A$1:$A$100, MATCH(L71, _xlfn.TEXTBEFORE(FileList!$A$1:$A$100, ".tsv"), 0)), "notfound")</f>
        <v>10.1159%2F000323671_SupplementaryTable1.tsv</v>
      </c>
      <c r="Q71" s="1" t="s">
        <v>52</v>
      </c>
    </row>
    <row r="72" spans="1:31" ht="15.75" customHeight="1">
      <c r="A72" s="1" t="s">
        <v>293</v>
      </c>
      <c r="D72" s="1" t="s">
        <v>295</v>
      </c>
      <c r="E72" t="str">
        <f t="shared" si="65"/>
        <v>1</v>
      </c>
      <c r="F72" t="str">
        <f t="shared" si="66"/>
        <v>Smaers_etal_2011</v>
      </c>
      <c r="G72" t="str">
        <f t="shared" si="67"/>
        <v>Smaers</v>
      </c>
      <c r="H72" t="str">
        <f t="shared" si="68"/>
        <v>etal</v>
      </c>
      <c r="I72" t="str">
        <f t="shared" si="69"/>
        <v>2011</v>
      </c>
      <c r="J72" t="str">
        <f t="shared" si="70"/>
        <v>10.1159/000323671</v>
      </c>
      <c r="K72" t="str">
        <f>TRIM(_xlfn.TEXTJOIN("_",FALSE,F72,(SUBSTITUTE(SUBSTITUTE(D72," ",""), "_", ""))))</f>
        <v>Smaers_etal_2011_SupplementaryTable2</v>
      </c>
      <c r="L72" t="str">
        <f>IF(ISBLANK(C72),TRIM(SUBSTITUTE(SUBSTITUTE(SUBSTITUTE(_xlfn.TEXTJOIN("_", FALSE, J72, SUBSTITUTE(D72,"_", "")), "/", "%2F"), ":", "%3A"), " ", "")),TRIM(SUBSTITUTE(SUBSTITUTE(SUBSTITUTE(_xlfn.TEXTJOIN("_", FALSE, C72, SUBSTITUTE(D72,"_", "")), "/", "%2F"), ":", "%3A"), " ", "")))</f>
        <v>10.1159%2F000323671_SupplementaryTable2</v>
      </c>
      <c r="M72" t="str">
        <f t="array" ref="M72">IFERROR(INDEX(FileList!$A$1:$A$100, MATCH(L72, _xlfn.TEXTBEFORE(FileList!$A$1:$A$100, ".tsv"), 0)), "notfound")</f>
        <v>10.1159%2F000323671_SupplementaryTable2.tsv</v>
      </c>
      <c r="Q72" s="1" t="s">
        <v>52</v>
      </c>
    </row>
    <row r="73" spans="1:31" ht="15.75" customHeight="1">
      <c r="A73" s="1" t="s">
        <v>296</v>
      </c>
      <c r="D73" s="1" t="s">
        <v>41</v>
      </c>
      <c r="E73" t="str">
        <f t="shared" si="65"/>
        <v>2</v>
      </c>
      <c r="F73" t="str">
        <f t="shared" si="66"/>
        <v>Turner_etal_2016</v>
      </c>
      <c r="G73" t="str">
        <f t="shared" si="67"/>
        <v>Turner</v>
      </c>
      <c r="H73" t="str">
        <f t="shared" si="68"/>
        <v>etal</v>
      </c>
      <c r="I73" t="str">
        <f t="shared" si="69"/>
        <v>2016</v>
      </c>
      <c r="J73" t="str">
        <f t="shared" si="70"/>
        <v>10.1159/000446762</v>
      </c>
      <c r="K73" t="str">
        <f>TRIM(_xlfn.TEXTJOIN("_",FALSE,F73,(SUBSTITUTE(SUBSTITUTE(D73," ",""), "_", ""))))</f>
        <v>Turner_etal_2016_Table1</v>
      </c>
      <c r="L73" t="str">
        <f>IF(ISBLANK(C73),TRIM(SUBSTITUTE(SUBSTITUTE(SUBSTITUTE(_xlfn.TEXTJOIN("_", FALSE, J73, SUBSTITUTE(D73,"_", "")), "/", "%2F"), ":", "%3A"), " ", "")),TRIM(SUBSTITUTE(SUBSTITUTE(SUBSTITUTE(_xlfn.TEXTJOIN("_", FALSE, C73, SUBSTITUTE(D73,"_", "")), "/", "%2F"), ":", "%3A"), " ", "")))</f>
        <v>10.1159%2F000446762_Table1</v>
      </c>
      <c r="M73" t="str">
        <f t="array" ref="M73">IFERROR(INDEX(FileList!$A$1:$A$100, MATCH(L73, _xlfn.TEXTBEFORE(FileList!$A$1:$A$100, ".tsv"), 0)), "notfound")</f>
        <v>notfound</v>
      </c>
      <c r="N73" s="1" t="s">
        <v>297</v>
      </c>
      <c r="Y73" s="1" t="s">
        <v>298</v>
      </c>
    </row>
    <row r="74" spans="1:31" ht="15.75" customHeight="1">
      <c r="A74" s="1" t="s">
        <v>299</v>
      </c>
      <c r="D74" s="1" t="s">
        <v>300</v>
      </c>
      <c r="E74" t="str">
        <f t="shared" si="65"/>
        <v>1</v>
      </c>
      <c r="F74" t="str">
        <f t="shared" si="66"/>
        <v>Wilman_etal_2014</v>
      </c>
      <c r="G74" t="str">
        <f t="shared" si="67"/>
        <v>Wilman</v>
      </c>
      <c r="H74" t="str">
        <f t="shared" si="68"/>
        <v>etal</v>
      </c>
      <c r="I74" t="str">
        <f t="shared" si="69"/>
        <v>2014</v>
      </c>
      <c r="J74" t="str">
        <f t="shared" si="70"/>
        <v>10.1890/13-1917.1</v>
      </c>
      <c r="K74" t="str">
        <f>TRIM(_xlfn.TEXTJOIN("_",FALSE,F74,(SUBSTITUTE(SUBSTITUTE(D74," ",""), "_", ""))))</f>
        <v>Wilman_etal_2014_MamFuncDat.txt</v>
      </c>
      <c r="L74" t="str">
        <f>IF(ISBLANK(C74),TRIM(SUBSTITUTE(SUBSTITUTE(SUBSTITUTE(_xlfn.TEXTJOIN("_", FALSE, J74, SUBSTITUTE(D74,"_", "")), "/", "%2F"), ":", "%3A"), " ", "")),TRIM(SUBSTITUTE(SUBSTITUTE(SUBSTITUTE(_xlfn.TEXTJOIN("_", FALSE, C74, SUBSTITUTE(D74,"_", "")), "/", "%2F"), ":", "%3A"), " ", "")))</f>
        <v>10.1890%2F13-1917.1_MamFuncDat.txt</v>
      </c>
      <c r="M74" t="str">
        <f t="array" ref="M74">IFERROR(INDEX(FileList!$A$1:$A$100, MATCH(L74, _xlfn.TEXTBEFORE(FileList!$A$1:$A$100, ".tsv"), 0)), "notfound")</f>
        <v>notfound</v>
      </c>
    </row>
    <row r="75" spans="1:31" ht="15.75" customHeight="1">
      <c r="A75" s="1" t="s">
        <v>301</v>
      </c>
      <c r="D75" s="1" t="s">
        <v>302</v>
      </c>
      <c r="E75" t="str">
        <f t="shared" si="65"/>
        <v>7</v>
      </c>
      <c r="F75" t="str">
        <f t="shared" si="66"/>
        <v>Wimberly_etal_2021</v>
      </c>
      <c r="G75" t="str">
        <f t="shared" si="67"/>
        <v>Wimberly</v>
      </c>
      <c r="H75" t="str">
        <f t="shared" si="68"/>
        <v>etal</v>
      </c>
      <c r="I75" t="str">
        <f t="shared" si="69"/>
        <v>2021</v>
      </c>
      <c r="J75" t="str">
        <f t="shared" si="70"/>
        <v>10.1098/rspb.2021.0937</v>
      </c>
      <c r="K75" t="str">
        <f>TRIM(_xlfn.TEXTJOIN("_",FALSE,F75,(SUBSTITUTE(SUBSTITUTE(D75," ",""), "_", ""))))</f>
        <v>Wimberly_etal_2021_mammalgait.txt</v>
      </c>
      <c r="L75" t="str">
        <f>IF(ISBLANK(C75),TRIM(SUBSTITUTE(SUBSTITUTE(SUBSTITUTE(_xlfn.TEXTJOIN("_", FALSE, J75, SUBSTITUTE(D75,"_", "")), "/", "%2F"), ":", "%3A"), " ", "")),TRIM(SUBSTITUTE(SUBSTITUTE(SUBSTITUTE(_xlfn.TEXTJOIN("_", FALSE, C75, SUBSTITUTE(D75,"_", "")), "/", "%2F"), ":", "%3A"), " ", "")))</f>
        <v>10.1098%2Frspb.2021.0937_mammalgait.txt</v>
      </c>
      <c r="M75" t="str">
        <f t="array" ref="M75">IFERROR(INDEX(FileList!$A$1:$A$100, MATCH(L75, _xlfn.TEXTBEFORE(FileList!$A$1:$A$100, ".tsv"), 0)), "notfound")</f>
        <v>notfound</v>
      </c>
      <c r="P75" s="1" t="s">
        <v>160</v>
      </c>
    </row>
    <row r="76" spans="1:31">
      <c r="A76" s="1" t="s">
        <v>303</v>
      </c>
      <c r="D76" s="1" t="s">
        <v>304</v>
      </c>
      <c r="E76" t="str">
        <f t="shared" si="65"/>
        <v>5</v>
      </c>
      <c r="F76" t="str">
        <f t="shared" si="66"/>
        <v>Winkler_Bryant_2021</v>
      </c>
      <c r="G76" t="str">
        <f t="shared" si="67"/>
        <v>Winkler</v>
      </c>
      <c r="H76" t="str">
        <f t="shared" si="68"/>
        <v>Bryant</v>
      </c>
      <c r="I76" t="str">
        <f t="shared" si="69"/>
        <v>2021</v>
      </c>
      <c r="J76" t="str">
        <f t="shared" si="70"/>
        <v>10.1080/09524622.2021.1905065</v>
      </c>
      <c r="K76" t="str">
        <f>TRIM(_xlfn.TEXTJOIN("_",FALSE,F76,(SUBSTITUTE(SUBSTITUTE(D76," ",""), "_", ""))))</f>
        <v>Winkler_Bryant_2021_Figure1</v>
      </c>
      <c r="L76" t="str">
        <f>IF(ISBLANK(C76),TRIM(SUBSTITUTE(SUBSTITUTE(SUBSTITUTE(_xlfn.TEXTJOIN("_", FALSE, J76, SUBSTITUTE(D76,"_", "")), "/", "%2F"), ":", "%3A"), " ", "")),TRIM(SUBSTITUTE(SUBSTITUTE(SUBSTITUTE(_xlfn.TEXTJOIN("_", FALSE, C76, SUBSTITUTE(D76,"_", "")), "/", "%2F"), ":", "%3A"), " ", "")))</f>
        <v>10.1080%2F09524622.2021.1905065_Figure1</v>
      </c>
      <c r="M76" t="str">
        <f t="array" ref="M76">IFERROR(INDEX(FileList!$A$1:$A$100, MATCH(L76, _xlfn.TEXTBEFORE(FileList!$A$1:$A$100, ".tsv"), 0)), "notfound")</f>
        <v>notfound</v>
      </c>
      <c r="P76" s="1" t="s">
        <v>160</v>
      </c>
      <c r="Q76" s="1" t="s">
        <v>95</v>
      </c>
      <c r="R76" s="4"/>
      <c r="T76" s="1" t="str">
        <f>IF(S76="N", R76, "write file name")</f>
        <v>write file name</v>
      </c>
      <c r="U76" s="1" t="s">
        <v>86</v>
      </c>
      <c r="V76" s="1" t="s">
        <v>305</v>
      </c>
      <c r="Y76" s="1" t="s">
        <v>306</v>
      </c>
      <c r="AE76" s="1" t="s">
        <v>60</v>
      </c>
    </row>
    <row r="77" spans="1:31">
      <c r="A77" s="1" t="s">
        <v>307</v>
      </c>
      <c r="D77" s="1" t="s">
        <v>41</v>
      </c>
      <c r="E77" t="str">
        <f t="shared" si="65"/>
        <v>0</v>
      </c>
      <c r="F77" t="str">
        <f t="shared" si="66"/>
        <v>Young_etal_2013</v>
      </c>
      <c r="G77" t="str">
        <f t="shared" si="67"/>
        <v>Young</v>
      </c>
      <c r="H77" t="str">
        <f t="shared" si="68"/>
        <v>etal</v>
      </c>
      <c r="I77" t="str">
        <f t="shared" si="69"/>
        <v>2013</v>
      </c>
      <c r="J77" t="str">
        <f t="shared" si="70"/>
        <v>10.3389/fncir.2013.00030</v>
      </c>
      <c r="K77" t="str">
        <f>TRIM(_xlfn.TEXTJOIN("_",FALSE,F77,(SUBSTITUTE(SUBSTITUTE(D77," ",""), "_", ""))))</f>
        <v>Young_etal_2013_Table1</v>
      </c>
      <c r="L77" t="str">
        <f>IF(ISBLANK(C77),TRIM(SUBSTITUTE(SUBSTITUTE(SUBSTITUTE(_xlfn.TEXTJOIN("_", FALSE, J77, SUBSTITUTE(D77,"_", "")), "/", "%2F"), ":", "%3A"), " ", "")),TRIM(SUBSTITUTE(SUBSTITUTE(SUBSTITUTE(_xlfn.TEXTJOIN("_", FALSE, C77, SUBSTITUTE(D77,"_", "")), "/", "%2F"), ":", "%3A"), " ", "")))</f>
        <v>10.3389%2Ffncir.2013.00030_Table1</v>
      </c>
      <c r="M77" t="str">
        <f t="array" ref="M77">IFERROR(INDEX(FileList!$A$1:$A$100, MATCH(L77, _xlfn.TEXTBEFORE(FileList!$A$1:$A$100, ".tsv"), 0)), "notfound")</f>
        <v>notfound</v>
      </c>
      <c r="P77" s="1" t="s">
        <v>273</v>
      </c>
      <c r="Q77" s="1" t="s">
        <v>95</v>
      </c>
      <c r="R77" s="4"/>
      <c r="T77" s="1" t="str">
        <f>IF(S77="N", R77, "write file name")</f>
        <v>write file name</v>
      </c>
      <c r="U77" s="1" t="s">
        <v>86</v>
      </c>
      <c r="V77" s="1" t="s">
        <v>36</v>
      </c>
      <c r="Y77" s="1" t="s">
        <v>308</v>
      </c>
      <c r="Z77" s="1" t="s">
        <v>38</v>
      </c>
      <c r="AE77" s="1" t="s">
        <v>81</v>
      </c>
    </row>
  </sheetData>
  <hyperlinks>
    <hyperlink ref="X10" r:id="rId1" display="https://elifesciences.org/download/aHR0cHM6Ly9jZG4uZWxpZmVzY2llbmNlcy5vcmcvYXJ0aWNsZXMvNzc4NzUvZWxpZmUtNzc4NzUtdjEucGRmP2Nhbm9uaWNhbFVyaT1odHRwczovL2VsaWZlc2NpZW5jZXMub3JnL2FydGljbGVzLzc3ODc1/elife-77875-v1.pdf?_hash=NStjcL9fTlmy3AQDwSiM0YgMVB3UYjO8nDg0UbwN5gM%3D" xr:uid="{00000000-0004-0000-0000-000000000000}"/>
    <hyperlink ref="X9" r:id="rId2" xr:uid="{00000000-0004-0000-0000-000001000000}"/>
    <hyperlink ref="X12" r:id="rId3" xr:uid="{00000000-0004-0000-0000-000002000000}"/>
    <hyperlink ref="X18" r:id="rId4" xr:uid="{00000000-0004-0000-0000-000003000000}"/>
    <hyperlink ref="X24" r:id="rId5" xr:uid="{00000000-0004-0000-0000-000004000000}"/>
    <hyperlink ref="X65" r:id="rId6" xr:uid="{00000000-0004-0000-0000-000005000000}"/>
    <hyperlink ref="X68" r:id="rId7" xr:uid="{00000000-0004-0000-0000-000006000000}"/>
    <hyperlink ref="X37" r:id="rId8" xr:uid="{00000000-0004-0000-0000-000007000000}"/>
    <hyperlink ref="X29:X32" r:id="rId9" display="https://karger.com/bbe/article-pdf/86/3-4/145/2264694/000437413.pdf" xr:uid="{00000000-0004-0000-0000-000008000000}"/>
    <hyperlink ref="X60" r:id="rId10" xr:uid="{00000000-0004-0000-0000-000009000000}"/>
    <hyperlink ref="X59" r:id="rId11" xr:uid="{00000000-0004-0000-0000-00000A000000}"/>
    <hyperlink ref="X56" r:id="rId12" xr:uid="{00000000-0004-0000-0000-00000B000000}"/>
    <hyperlink ref="X26" r:id="rId13" xr:uid="{00000000-0004-0000-0000-00000C000000}"/>
    <hyperlink ref="X27" r:id="rId14" xr:uid="{00000000-0004-0000-0000-00000D000000}"/>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3"/>
  <sheetViews>
    <sheetView workbookViewId="0">
      <selection activeCell="B8" sqref="B8"/>
    </sheetView>
  </sheetViews>
  <sheetFormatPr defaultColWidth="11" defaultRowHeight="15"/>
  <cols>
    <col min="1" max="1" width="26.125" customWidth="1"/>
  </cols>
  <sheetData>
    <row r="1" spans="1:2">
      <c r="A1" t="s">
        <v>309</v>
      </c>
    </row>
    <row r="2" spans="1:2">
      <c r="A2" t="s">
        <v>310</v>
      </c>
    </row>
    <row r="3" spans="1:2">
      <c r="A3" s="7" t="s">
        <v>311</v>
      </c>
      <c r="B3" t="s">
        <v>312</v>
      </c>
    </row>
    <row r="4" spans="1:2">
      <c r="A4" s="7" t="s">
        <v>313</v>
      </c>
      <c r="B4" t="s">
        <v>314</v>
      </c>
    </row>
    <row r="5" spans="1:2">
      <c r="A5" s="7" t="s">
        <v>315</v>
      </c>
      <c r="B5" t="s">
        <v>316</v>
      </c>
    </row>
    <row r="6" spans="1:2">
      <c r="A6" s="7" t="s">
        <v>317</v>
      </c>
      <c r="B6" t="s">
        <v>318</v>
      </c>
    </row>
    <row r="7" spans="1:2">
      <c r="A7" s="7" t="s">
        <v>319</v>
      </c>
      <c r="B7" t="s">
        <v>320</v>
      </c>
    </row>
    <row r="8" spans="1:2">
      <c r="A8" s="7" t="s">
        <v>321</v>
      </c>
      <c r="B8" t="s">
        <v>322</v>
      </c>
    </row>
    <row r="9" spans="1:2">
      <c r="A9" s="7" t="s">
        <v>323</v>
      </c>
      <c r="B9" t="s">
        <v>324</v>
      </c>
    </row>
    <row r="10" spans="1:2">
      <c r="A10" s="7" t="s">
        <v>325</v>
      </c>
      <c r="B10" t="s">
        <v>326</v>
      </c>
    </row>
    <row r="11" spans="1:2">
      <c r="A11" s="7" t="s">
        <v>327</v>
      </c>
      <c r="B11" t="s">
        <v>328</v>
      </c>
    </row>
    <row r="12" spans="1:2" ht="17.100000000000001" customHeight="1">
      <c r="A12" s="9" t="s">
        <v>329</v>
      </c>
      <c r="B12" t="s">
        <v>330</v>
      </c>
    </row>
    <row r="13" spans="1:2">
      <c r="A13" s="8" t="s">
        <v>331</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6"/>
  <sheetViews>
    <sheetView workbookViewId="0">
      <selection activeCell="G35" sqref="G35"/>
    </sheetView>
  </sheetViews>
  <sheetFormatPr defaultColWidth="11" defaultRowHeight="15"/>
  <cols>
    <col min="1" max="1" width="1.875" customWidth="1"/>
    <col min="2" max="2" width="126" customWidth="1"/>
  </cols>
  <sheetData>
    <row r="1" spans="1:3">
      <c r="A1" t="s">
        <v>332</v>
      </c>
    </row>
    <row r="2" spans="1:3">
      <c r="C2" t="s">
        <v>333</v>
      </c>
    </row>
    <row r="3" spans="1:3">
      <c r="A3">
        <v>1</v>
      </c>
      <c r="B3" t="s">
        <v>334</v>
      </c>
      <c r="C3" t="s">
        <v>335</v>
      </c>
    </row>
    <row r="4" spans="1:3">
      <c r="A4">
        <v>2</v>
      </c>
      <c r="B4" t="s">
        <v>336</v>
      </c>
      <c r="C4" t="s">
        <v>337</v>
      </c>
    </row>
    <row r="5" spans="1:3">
      <c r="A5">
        <v>3</v>
      </c>
      <c r="B5" t="s">
        <v>338</v>
      </c>
      <c r="C5" t="s">
        <v>339</v>
      </c>
    </row>
    <row r="6" spans="1:3">
      <c r="A6">
        <v>4</v>
      </c>
      <c r="B6" t="s">
        <v>340</v>
      </c>
      <c r="C6" t="s">
        <v>341</v>
      </c>
    </row>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1"/>
  <sheetViews>
    <sheetView workbookViewId="0"/>
  </sheetViews>
  <sheetFormatPr defaultColWidth="11" defaultRowHeight="15"/>
  <sheetData>
    <row r="1" spans="1:1">
      <c r="A1" t="s">
        <v>342</v>
      </c>
    </row>
    <row r="2" spans="1:1">
      <c r="A2" t="s">
        <v>343</v>
      </c>
    </row>
    <row r="3" spans="1:1">
      <c r="A3" t="s">
        <v>344</v>
      </c>
    </row>
    <row r="4" spans="1:1">
      <c r="A4" t="s">
        <v>345</v>
      </c>
    </row>
    <row r="5" spans="1:1">
      <c r="A5" t="s">
        <v>346</v>
      </c>
    </row>
    <row r="6" spans="1:1">
      <c r="A6" t="s">
        <v>347</v>
      </c>
    </row>
    <row r="7" spans="1:1">
      <c r="A7" t="s">
        <v>348</v>
      </c>
    </row>
    <row r="8" spans="1:1">
      <c r="A8" t="s">
        <v>349</v>
      </c>
    </row>
    <row r="9" spans="1:1">
      <c r="A9" t="s">
        <v>350</v>
      </c>
    </row>
    <row r="10" spans="1:1">
      <c r="A10" t="s">
        <v>351</v>
      </c>
    </row>
    <row r="11" spans="1:1">
      <c r="A11" t="s">
        <v>352</v>
      </c>
    </row>
    <row r="12" spans="1:1">
      <c r="A12" t="s">
        <v>353</v>
      </c>
    </row>
    <row r="13" spans="1:1">
      <c r="A13" t="s">
        <v>354</v>
      </c>
    </row>
    <row r="14" spans="1:1">
      <c r="A14" t="s">
        <v>355</v>
      </c>
    </row>
    <row r="15" spans="1:1">
      <c r="A15" t="s">
        <v>356</v>
      </c>
    </row>
    <row r="16" spans="1:1">
      <c r="A16" t="s">
        <v>357</v>
      </c>
    </row>
    <row r="17" spans="1:1">
      <c r="A17" t="s">
        <v>358</v>
      </c>
    </row>
    <row r="18" spans="1:1">
      <c r="A18" t="s">
        <v>359</v>
      </c>
    </row>
    <row r="19" spans="1:1">
      <c r="A19" t="s">
        <v>360</v>
      </c>
    </row>
    <row r="20" spans="1:1">
      <c r="A20" t="s">
        <v>361</v>
      </c>
    </row>
    <row r="21" spans="1:1">
      <c r="A21" t="s">
        <v>362</v>
      </c>
    </row>
    <row r="22" spans="1:1">
      <c r="A22" t="s">
        <v>363</v>
      </c>
    </row>
    <row r="23" spans="1:1">
      <c r="A23" t="s">
        <v>364</v>
      </c>
    </row>
    <row r="24" spans="1:1">
      <c r="A24" t="s">
        <v>365</v>
      </c>
    </row>
    <row r="25" spans="1:1">
      <c r="A25" t="s">
        <v>366</v>
      </c>
    </row>
    <row r="26" spans="1:1">
      <c r="A26" t="s">
        <v>367</v>
      </c>
    </row>
    <row r="27" spans="1:1">
      <c r="A27" t="s">
        <v>368</v>
      </c>
    </row>
    <row r="28" spans="1:1">
      <c r="A28" t="s">
        <v>369</v>
      </c>
    </row>
    <row r="29" spans="1:1">
      <c r="A29" t="s">
        <v>370</v>
      </c>
    </row>
    <row r="30" spans="1:1">
      <c r="A30" t="s">
        <v>371</v>
      </c>
    </row>
    <row r="31" spans="1:1">
      <c r="A31" t="s">
        <v>372</v>
      </c>
    </row>
    <row r="32" spans="1:1">
      <c r="A32" t="s">
        <v>373</v>
      </c>
    </row>
    <row r="33" spans="1:1">
      <c r="A33" t="s">
        <v>374</v>
      </c>
    </row>
    <row r="34" spans="1:1">
      <c r="A34" t="s">
        <v>375</v>
      </c>
    </row>
    <row r="35" spans="1:1">
      <c r="A35" t="s">
        <v>376</v>
      </c>
    </row>
    <row r="36" spans="1:1">
      <c r="A36" t="s">
        <v>377</v>
      </c>
    </row>
    <row r="37" spans="1:1">
      <c r="A37" t="s">
        <v>378</v>
      </c>
    </row>
    <row r="38" spans="1:1">
      <c r="A38" t="s">
        <v>379</v>
      </c>
    </row>
    <row r="39" spans="1:1">
      <c r="A39" t="s">
        <v>380</v>
      </c>
    </row>
    <row r="40" spans="1:1">
      <c r="A40" t="s">
        <v>381</v>
      </c>
    </row>
    <row r="41" spans="1:1">
      <c r="A41" t="s">
        <v>382</v>
      </c>
    </row>
    <row r="42" spans="1:1">
      <c r="A42" t="s">
        <v>383</v>
      </c>
    </row>
    <row r="43" spans="1:1">
      <c r="A43" t="s">
        <v>384</v>
      </c>
    </row>
    <row r="44" spans="1:1">
      <c r="A44" t="s">
        <v>385</v>
      </c>
    </row>
    <row r="45" spans="1:1">
      <c r="A45" t="s">
        <v>386</v>
      </c>
    </row>
    <row r="46" spans="1:1">
      <c r="A46" t="s">
        <v>387</v>
      </c>
    </row>
    <row r="47" spans="1:1">
      <c r="A47" t="s">
        <v>388</v>
      </c>
    </row>
    <row r="48" spans="1:1">
      <c r="A48" t="s">
        <v>389</v>
      </c>
    </row>
    <row r="49" spans="1:1">
      <c r="A49" t="s">
        <v>390</v>
      </c>
    </row>
    <row r="50" spans="1:1">
      <c r="A50" t="s">
        <v>391</v>
      </c>
    </row>
    <row r="51" spans="1:1">
      <c r="A51" t="s">
        <v>392</v>
      </c>
    </row>
    <row r="52" spans="1:1">
      <c r="A52" t="s">
        <v>393</v>
      </c>
    </row>
    <row r="53" spans="1:1">
      <c r="A53" t="s">
        <v>394</v>
      </c>
    </row>
    <row r="54" spans="1:1">
      <c r="A54" t="s">
        <v>395</v>
      </c>
    </row>
    <row r="55" spans="1:1">
      <c r="A55" t="s">
        <v>396</v>
      </c>
    </row>
    <row r="56" spans="1:1">
      <c r="A56" t="s">
        <v>397</v>
      </c>
    </row>
    <row r="57" spans="1:1">
      <c r="A57" t="s">
        <v>398</v>
      </c>
    </row>
    <row r="58" spans="1:1">
      <c r="A58" t="s">
        <v>399</v>
      </c>
    </row>
    <row r="59" spans="1:1">
      <c r="A59" t="s">
        <v>400</v>
      </c>
    </row>
    <row r="60" spans="1:1">
      <c r="A60" t="s">
        <v>401</v>
      </c>
    </row>
    <row r="61" spans="1:1">
      <c r="A61" t="s">
        <v>402</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2463B-DEE0-4311-BA63-23860C1DD18C}"/>
</file>

<file path=customXml/itemProps2.xml><?xml version="1.0" encoding="utf-8"?>
<ds:datastoreItem xmlns:ds="http://schemas.openxmlformats.org/officeDocument/2006/customXml" ds:itemID="{05209338-5D48-4750-BEDF-5F912B2D3EB2}"/>
</file>

<file path=customXml/itemProps3.xml><?xml version="1.0" encoding="utf-8"?>
<ds:datastoreItem xmlns:ds="http://schemas.openxmlformats.org/officeDocument/2006/customXml" ds:itemID="{393CEB05-6A9C-454A-BDDF-E9F23897B6B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2026-04-29T03:32:31Z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