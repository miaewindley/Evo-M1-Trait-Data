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4560" yWindow="-580" windowWidth="45780" windowHeight="19960" tabRatio="600" firstSheet="0" activeTab="0" autoFilterDateGrouping="1"/>
  </bookViews>
  <sheets>
    <sheet xmlns:r="http://schemas.openxmlformats.org/officeDocument/2006/relationships" name="Sheet1" sheetId="1" state="visible" r:id="rId1"/>
    <sheet xmlns:r="http://schemas.openxmlformats.org/officeDocument/2006/relationships" name="FileList" sheetId="2" state="visible" r:id="rId2"/>
  </sheets>
  <definedNames/>
  <calcPr calcId="191029" fullCalcOnLoad="1"/>
</workbook>
</file>

<file path=xl/styles.xml><?xml version="1.0" encoding="utf-8"?>
<styleSheet xmlns="http://schemas.openxmlformats.org/spreadsheetml/2006/main">
  <numFmts count="0"/>
  <fonts count="6">
    <font>
      <name val="Calibri"/>
      <family val="2"/>
      <color theme="1"/>
      <sz val="12"/>
      <scheme val="minor"/>
    </font>
    <font>
      <name val="Calibri"/>
      <family val="2"/>
      <b val="1"/>
      <color theme="1"/>
      <sz val="12"/>
    </font>
    <font>
      <name val="Calibri"/>
      <family val="2"/>
      <color rgb="FF3F3F76"/>
      <sz val="12"/>
    </font>
    <font>
      <name val="Calibri"/>
      <family val="2"/>
      <b val="1"/>
      <color rgb="FF3F3F76"/>
      <sz val="12"/>
    </font>
    <font>
      <name val="Calibri"/>
      <family val="2"/>
      <color theme="1"/>
      <sz val="12"/>
    </font>
    <font>
      <name val="Calibri"/>
      <family val="2"/>
      <sz val="8"/>
      <scheme val="minor"/>
    </font>
  </fonts>
  <fills count="3">
    <fill>
      <patternFill/>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right style="thin">
        <color rgb="FF7F7F7F"/>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pivotButton="0" quotePrefix="0" xfId="0"/>
    <xf numFmtId="0" fontId="2" fillId="2" borderId="0" pivotButton="0" quotePrefix="0" xfId="0"/>
    <xf numFmtId="0" fontId="2" fillId="2" borderId="2" pivotButton="0" quotePrefix="0" xfId="0"/>
    <xf numFmtId="0" fontId="3" fillId="2" borderId="1" pivotButton="0" quotePrefix="0" xfId="0"/>
    <xf numFmtId="0" fontId="4" fillId="0" borderId="1" pivotButton="0" quotePrefix="0" xfId="0"/>
    <xf numFmtId="0" fontId="4" fillId="0" borderId="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cdn.elifesciences.org/articles/77875/elife-77875-supp3-v1.xlsx" TargetMode="External" Id="rId1"/><Relationship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 Id="rId2"/><Relationship Type="http://schemas.openxmlformats.org/officeDocument/2006/relationships/hyperlink" Target="https://static-content.springer.com/esm/art%3A10.1038%2Fs41467-020-14356-3/MediaObjects/41467_2020_14356_MOESM6_ESM.xlsx" TargetMode="External" Id="rId3"/><Relationship Type="http://schemas.openxmlformats.org/officeDocument/2006/relationships/hyperlink" Target="https://ndownloader.figstatic.com/files/7428211" TargetMode="External" Id="rId4"/><Relationship Type="http://schemas.openxmlformats.org/officeDocument/2006/relationships/hyperlink" Target="https://www.researchgate.net/publication/299027052_Developmental_constraints_on_or_developmental_structure_in_brain_evolution" TargetMode="External" Id="rId5"/><Relationship Type="http://schemas.openxmlformats.org/officeDocument/2006/relationships/hyperlink" Target="https://www.pnas.org/doi/suppl/10.1073/pnas.0905777106/suppl_file/0905777106si.pdf" TargetMode="External" Id="rId6"/><Relationship Type="http://schemas.openxmlformats.org/officeDocument/2006/relationships/hyperlink" Target="https://www.pnas.org/doi/suppl/10.1073/pnas.0905777106/suppl_file/0905777106si.pdf" TargetMode="External" Id="rId7"/><Relationship Type="http://schemas.openxmlformats.org/officeDocument/2006/relationships/hyperlink" Target="https://karger.com/bbe/article-pdf/86/3-4/145/2264694/000437413.pdf" TargetMode="External" Id="rId8"/><Relationship Type="http://schemas.openxmlformats.org/officeDocument/2006/relationships/hyperlink" Target="https://karger.com/bbe/article-pdf/86/3-4/145/2264694/000437413.pdf" TargetMode="External" Id="rId9"/><Relationship Type="http://schemas.openxmlformats.org/officeDocument/2006/relationships/hyperlink" Target="https://karger.com/bbe/article-pdf/86/3-4/145/2264694/000437413.pdf" TargetMode="External" Id="rId10"/><Relationship Type="http://schemas.openxmlformats.org/officeDocument/2006/relationships/hyperlink" Target="https://karger.com/bbe/article-pdf/86/3-4/145/2264694/000437413.pdf" TargetMode="External" Id="rId11"/><Relationship Type="http://schemas.openxmlformats.org/officeDocument/2006/relationships/hyperlink" Target="https://karger.com/bbe/article-pdf/86/3-4/145/2264694/000437413.pdf" TargetMode="External" Id="rId12"/><Relationship Type="http://schemas.openxmlformats.org/officeDocument/2006/relationships/hyperlink" Target="https://karger.com/bbe/article-pdf/86/3-4/145/2264694/000437413.pdf" TargetMode="External" Id="rId13"/><Relationship Type="http://schemas.openxmlformats.org/officeDocument/2006/relationships/hyperlink" Target="https://karger.com/bbe/article-pdf/86/3-4/145/2264694/000437413.pdf" TargetMode="External" Id="rId14"/><Relationship Type="http://schemas.openxmlformats.org/officeDocument/2006/relationships/hyperlink" Target="https://doi.org/10.3389/fnana.2017.00118" TargetMode="External" Id="rId15"/><Relationship Type="http://schemas.openxmlformats.org/officeDocument/2006/relationships/hyperlink" Target="https://static-content.springer.com/esm/art%3A10.1038%2Fs41598-018-26062-8/MediaObjects/41598_2018_26062_MOESM1_ESM.docx" TargetMode="External" Id="rId16"/><Relationship Type="http://schemas.openxmlformats.org/officeDocument/2006/relationships/hyperlink" Target="https://static-content.springer.com/esm/art%3A10.1038%2Fs41598-018-26062-8/MediaObjects/41598_2018_26062_MOESM1_ESM.docx" TargetMode="External" Id="rId17"/><Relationship Type="http://schemas.openxmlformats.org/officeDocument/2006/relationships/hyperlink" Target="https://github.com/ManyPrimates/mp1_short_term_memory/raw/master/data/species_predictors.xlsx" TargetMode="External" Id="rId18"/><Relationship Type="http://schemas.openxmlformats.org/officeDocument/2006/relationships/hyperlink" Target="https://figshare.com/ndownloader/files/9479092" TargetMode="External" Id="rId19"/></Relationships>
</file>

<file path=xl/worksheets/sheet1.xml><?xml version="1.0" encoding="utf-8"?>
<worksheet xmlns="http://schemas.openxmlformats.org/spreadsheetml/2006/main">
  <sheetPr>
    <outlinePr summaryBelow="1" summaryRight="1"/>
    <pageSetUpPr/>
  </sheetPr>
  <dimension ref="A1:AM196"/>
  <sheetViews>
    <sheetView tabSelected="1" zoomScale="111" zoomScaleNormal="111" workbookViewId="0">
      <pane xSplit="2" ySplit="1" topLeftCell="J77" activePane="bottomRight" state="frozen"/>
      <selection pane="topRight" activeCell="B1" sqref="B1"/>
      <selection pane="bottomLeft" activeCell="A2" sqref="A2"/>
      <selection pane="bottomRight" activeCell="N107" sqref="N107:N108"/>
    </sheetView>
  </sheetViews>
  <sheetFormatPr baseColWidth="10" defaultRowHeight="16"/>
  <cols>
    <col width="67.1640625" customWidth="1" min="1" max="1"/>
    <col width="1.6640625" customWidth="1" min="2" max="2"/>
    <col width="42.6640625" customWidth="1" min="3" max="3"/>
    <col width="8.5" customWidth="1" min="4" max="4"/>
    <col width="1.5" customWidth="1" min="5" max="5"/>
    <col width="26" customWidth="1" min="6" max="6"/>
    <col width="10.33203125" customWidth="1" min="7" max="8"/>
    <col width="6.1640625" customWidth="1" min="9" max="9"/>
    <col width="37.1640625" customWidth="1" min="10" max="10"/>
    <col width="46.1640625" customWidth="1" min="11" max="11"/>
    <col width="41.33203125" customWidth="1" min="12" max="12"/>
    <col width="48" customWidth="1" min="13" max="13"/>
    <col width="7.33203125" customWidth="1" min="14" max="17"/>
    <col width="16.6640625" customWidth="1" min="18" max="18"/>
    <col width="7.33203125" customWidth="1" min="19" max="26"/>
    <col width="10.6640625" customWidth="1" min="27" max="27"/>
    <col width="7.33203125" customWidth="1" min="28" max="39"/>
  </cols>
  <sheetData>
    <row r="1" ht="16" customHeight="1">
      <c r="A1" s="5" t="inlineStr">
        <is>
          <t>Citation (APA 7th-Annotated)</t>
        </is>
      </c>
      <c r="B1" s="5" t="inlineStr">
        <is>
          <t>sequence</t>
        </is>
      </c>
      <c r="C1" s="5" t="inlineStr">
        <is>
          <t xml:space="preserve">DOI if different from article or doi Alt </t>
        </is>
      </c>
      <c r="D1" s="5" t="inlineStr">
        <is>
          <t>Item number</t>
        </is>
      </c>
      <c r="E1" s="1" t="inlineStr">
        <is>
          <t>end</t>
        </is>
      </c>
      <c r="F1" s="1" t="inlineStr">
        <is>
          <t>Publication name</t>
        </is>
      </c>
      <c r="G1" s="1" t="inlineStr">
        <is>
          <t>1st Author</t>
        </is>
      </c>
      <c r="H1" s="1" t="inlineStr">
        <is>
          <t>other author(s)</t>
        </is>
      </c>
      <c r="I1" s="1" t="inlineStr">
        <is>
          <t>year</t>
        </is>
      </c>
      <c r="J1" s="1" t="inlineStr">
        <is>
          <t>DOI (or Alt)</t>
        </is>
      </c>
      <c r="K1" s="1" t="inlineStr">
        <is>
          <t>Item name</t>
        </is>
      </c>
      <c r="L1" s="1" t="inlineStr">
        <is>
          <t>Item encoded</t>
        </is>
      </c>
      <c r="M1" s="1" t="inlineStr">
        <is>
          <t>Item in directory FileList</t>
        </is>
      </c>
      <c r="N1" s="5" t="inlineStr">
        <is>
          <t>Item full original title</t>
        </is>
      </c>
      <c r="O1" s="5" t="inlineStr">
        <is>
          <t>Note about item</t>
        </is>
      </c>
      <c r="P1" s="5" t="inlineStr">
        <is>
          <t>Progress stage</t>
        </is>
      </c>
      <c r="Q1" s="5" t="inlineStr">
        <is>
          <t>Online Database</t>
        </is>
      </c>
      <c r="R1" s="5" t="inlineStr">
        <is>
          <t>Snapshot</t>
        </is>
      </c>
      <c r="S1" s="5" t="inlineStr">
        <is>
          <t>Adjustment made</t>
        </is>
      </c>
      <c r="T1" s="5" t="inlineStr">
        <is>
          <t>Data readable file, can use this</t>
        </is>
      </c>
      <c r="U1" s="5" t="inlineStr">
        <is>
          <t>Source Type</t>
        </is>
      </c>
      <c r="V1" s="5" t="inlineStr">
        <is>
          <t>Source format</t>
        </is>
      </c>
      <c r="W1" s="5" t="inlineStr">
        <is>
          <t>Source URL direct access</t>
        </is>
      </c>
      <c r="X1" s="5" t="inlineStr">
        <is>
          <t>Source URL link</t>
        </is>
      </c>
      <c r="Y1" s="5" t="inlineStr">
        <is>
          <t>Team</t>
        </is>
      </c>
      <c r="Z1" s="5" t="inlineStr">
        <is>
          <t>Collection</t>
        </is>
      </c>
      <c r="AA1" s="5" t="inlineStr">
        <is>
          <t>Possible Traits</t>
        </is>
      </c>
      <c r="AB1" s="5" t="inlineStr">
        <is>
          <t>Note</t>
        </is>
      </c>
      <c r="AC1" s="5" t="inlineStr">
        <is>
          <t>Flags pre-addressed</t>
        </is>
      </c>
      <c r="AD1" s="5" t="inlineStr">
        <is>
          <t>Flags possible</t>
        </is>
      </c>
      <c r="AE1" s="5" t="inlineStr">
        <is>
          <t>Flags active (skips)</t>
        </is>
      </c>
      <c r="AF1" s="5" t="inlineStr">
        <is>
          <t>Sample type</t>
        </is>
      </c>
      <c r="AG1" s="5" t="inlineStr">
        <is>
          <t>Method</t>
        </is>
      </c>
      <c r="AH1" s="5" t="inlineStr">
        <is>
          <t>Subcategory</t>
        </is>
      </c>
      <c r="AI1" s="5" t="inlineStr">
        <is>
          <t>Main Trait(s)</t>
        </is>
      </c>
      <c r="AJ1" s="5" t="inlineStr">
        <is>
          <t>Taxon group</t>
        </is>
      </c>
      <c r="AK1" s="5" t="inlineStr">
        <is>
          <t>Source type</t>
        </is>
      </c>
      <c r="AL1" s="5" t="inlineStr">
        <is>
          <t>Data role (primary/secondary/both)</t>
        </is>
      </c>
      <c r="AM1" s="5" t="inlineStr">
        <is>
          <t>Measure type</t>
        </is>
      </c>
    </row>
    <row r="2" ht="16" customHeight="1">
      <c r="A2" s="2" t="inlineStr">
        <is>
          <t>Andelin, A. K., Olavarria, J. F., Fine, I., Taber, E. N., Schwartz, D., Kroenke, C. D., &amp; Stevens, A. A. (2019). The Effect of Onset Age of Visual Deprivation on Visual Cortex Surface Area Across-Species. Cereb Cortex, 29(10), 4321-4333. https://doi.org/10.1093/cercor/bhy315</t>
        </is>
      </c>
      <c r="D2" s="2" t="inlineStr">
        <is>
          <t>Table 4</t>
        </is>
      </c>
      <c r="E2">
        <f>RIGHT(A2,1)</f>
        <v/>
      </c>
      <c r="F2">
        <f>G2 &amp; IF(H2&lt;&gt;"", "_" &amp; H2, "_") &amp; IF(I2&lt;&gt;"", "_" &amp; I2, "_") &amp; IF(B2&lt;&gt;"", "_" &amp; B2, "")</f>
        <v/>
      </c>
      <c r="G2">
        <f>SUBSTITUTE(SUBSTITUTE(_xlfn.TEXTBEFORE(A2,","), "-", ""), " ", "")</f>
        <v/>
      </c>
      <c r="H2">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
      </c>
      <c r="I2">
        <f>_xlfn.TEXTBEFORE(_xlfn.TEXTAFTER(A2, "("), ")")</f>
        <v/>
      </c>
      <c r="J2">
        <f>_xlfn.LET(
_xlpm.doi,IF(C2&lt;&gt;"",C2,_xlfn.TEXTAFTER(A2,"https://doi.org/")),
SUBSTITUTE(
SUBSTITUTE(
SUBSTITUTE(
SUBSTITUTE(
_xlpm.doi,
"/","%2F"),
":","%3A"),
"&lt;","%3C"),
"&gt;","%3E")
)</f>
        <v/>
      </c>
      <c r="K2">
        <f>TRIM(_xlfn.TEXTJOIN("_",FALSE,F2,(SUBSTITUTE(SUBSTITUTE(D2," ",""), "_", ""))))</f>
        <v/>
      </c>
      <c r="L2">
        <f>J2 &amp; "_" &amp; SUBSTITUTE(SUBSTITUTE(SUBSTITUTE(D2,CHAR(160),"")," ",""),"_","")</f>
        <v/>
      </c>
      <c r="M2">
        <f t="array" ref="M2">IFERROR(INDEX(FileList!$A$1:$A$100,MATCH(TRUE,EXACT(L2,_xlfn.TEXTBEFORE(FileList!$A$1:$A$100,".tsv")),0)),"notfound")</f>
        <v/>
      </c>
      <c r="P2" s="2" t="inlineStr">
        <is>
          <t>FINISHED</t>
        </is>
      </c>
      <c r="V2" s="2" t="inlineStr">
        <is>
          <t>table</t>
        </is>
      </c>
      <c r="AJ2" s="2" t="inlineStr">
        <is>
          <t>review</t>
        </is>
      </c>
      <c r="AL2" s="2" t="inlineStr">
        <is>
          <t>review</t>
        </is>
      </c>
      <c r="AM2" s="2" t="inlineStr">
        <is>
          <t>review</t>
        </is>
      </c>
    </row>
    <row r="3" ht="16" customHeight="1">
      <c r="A3" s="2" t="inlineStr">
        <is>
          <t>Ashwell, K. W. S. (2020). Quantitative analysis of cerebellar morphology in monotreme, metatherian and eutherian mammals. Zoology (Jena), 139, 125753. https://doi.org/10.1016/j.zool.2020.125753</t>
        </is>
      </c>
      <c r="D3" s="2" t="inlineStr">
        <is>
          <t>Supplementary Table</t>
        </is>
      </c>
      <c r="E3">
        <f>RIGHT(A3,1)</f>
        <v/>
      </c>
      <c r="F3">
        <f>G3 &amp; IF(H3&lt;&gt;"", "_" &amp; H3, "_") &amp; IF(I3&lt;&gt;"", "_" &amp; I3, "_") &amp; IF(B3&lt;&gt;"", "_" &amp; B3, "")</f>
        <v/>
      </c>
      <c r="G3">
        <f>SUBSTITUTE(SUBSTITUTE(_xlfn.TEXTBEFORE(A3,","), "-", ""), " ", "")</f>
        <v/>
      </c>
      <c r="H3">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f>_xlfn.TEXTBEFORE(_xlfn.TEXTAFTER(A3, "("), ")")</f>
        <v/>
      </c>
      <c r="J3">
        <f>_xlfn.LET(
_xlpm.doi,IF(C3&lt;&gt;"",C3,_xlfn.TEXTAFTER(A3,"https://doi.org/")),
SUBSTITUTE(
SUBSTITUTE(
SUBSTITUTE(
SUBSTITUTE(
_xlpm.doi,
"/","%2F"),
":","%3A"),
"&lt;","%3C"),
"&gt;","%3E")
)</f>
        <v/>
      </c>
      <c r="K3">
        <f>TRIM(_xlfn.TEXTJOIN("_",FALSE,F3,(SUBSTITUTE(SUBSTITUTE(D3," ",""), "_", ""))))</f>
        <v/>
      </c>
      <c r="L3">
        <f>J3 &amp; "_" &amp; SUBSTITUTE(SUBSTITUTE(SUBSTITUTE(D3,CHAR(160),"")," ",""),"_","")</f>
        <v/>
      </c>
      <c r="M3">
        <f t="array" ref="M3">IFERROR(INDEX(FileList!$A$1:$A$100,MATCH(TRUE,EXACT(L3,_xlfn.TEXTBEFORE(FileList!$A$1:$A$100,".tsv")),0)),"notfound")</f>
        <v/>
      </c>
      <c r="N3" s="2" t="inlineStr">
        <is>
          <t>Supplementary Table.  Cerebellar Morphology Data</t>
        </is>
      </c>
      <c r="P3" t="inlineStr">
        <is>
          <t>FINISHED</t>
        </is>
      </c>
      <c r="Y3" s="2" t="inlineStr">
        <is>
          <t>Ashwell</t>
        </is>
      </c>
    </row>
    <row r="4" ht="16" customHeight="1">
      <c r="A4" s="2" t="inlineStr">
        <is>
          <t>Avelino-de-Souza, K., Patzke, N., Karlsson, K. A. E., Manger, P. R., &amp; Herculano-Houzel, S. (2025). Cellular Composition of the Brain of a Northern Minke Whale. J Comp Neurol, 533(9), e70089. https://doi.org/10.1002/cne.70089</t>
        </is>
      </c>
      <c r="D4" s="2" t="inlineStr">
        <is>
          <t>TABLE 1</t>
        </is>
      </c>
      <c r="E4">
        <f>RIGHT(A4,1)</f>
        <v/>
      </c>
      <c r="F4">
        <f>G4 &amp; IF(H4&lt;&gt;"", "_" &amp; H4, "_") &amp; IF(I4&lt;&gt;"", "_" &amp; I4, "_") &amp; IF(B4&lt;&gt;"", "_" &amp; B4, "")</f>
        <v/>
      </c>
      <c r="G4">
        <f>SUBSTITUTE(SUBSTITUTE(_xlfn.TEXTBEFORE(A4,","), "-", ""), " ", "")</f>
        <v/>
      </c>
      <c r="H4">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
      </c>
      <c r="I4">
        <f>_xlfn.TEXTBEFORE(_xlfn.TEXTAFTER(A4, "("), ")")</f>
        <v/>
      </c>
      <c r="J4">
        <f>_xlfn.LET(
_xlpm.doi,IF(C4&lt;&gt;"",C4,_xlfn.TEXTAFTER(A4,"https://doi.org/")),
SUBSTITUTE(
SUBSTITUTE(
SUBSTITUTE(
SUBSTITUTE(
_xlpm.doi,
"/","%2F"),
":","%3A"),
"&lt;","%3C"),
"&gt;","%3E")
)</f>
        <v/>
      </c>
      <c r="K4">
        <f>TRIM(_xlfn.TEXTJOIN("_",FALSE,F4,(SUBSTITUTE(SUBSTITUTE(D4," ",""), "_", ""))))</f>
        <v/>
      </c>
      <c r="L4">
        <f>J4 &amp; "_" &amp; SUBSTITUTE(SUBSTITUTE(SUBSTITUTE(D4,CHAR(160),"")," ",""),"_","")</f>
        <v/>
      </c>
      <c r="M4">
        <f t="array" ref="M4">IFERROR(INDEX(FileList!$A$1:$A$100,MATCH(TRUE,EXACT(L4,_xlfn.TEXTBEFORE(FileList!$A$1:$A$100,".tsv")),0)),"notfound")</f>
        <v/>
      </c>
      <c r="N4" s="2" t="inlineStr">
        <is>
          <t>Table 1. Cellular composition of the brain of a Northern minke whale (Balaenoptera acutorostrata)</t>
        </is>
      </c>
      <c r="P4" s="2" t="inlineStr">
        <is>
          <t>FINISHED</t>
        </is>
      </c>
      <c r="Q4" s="2" t="inlineStr">
        <is>
          <t>added</t>
        </is>
      </c>
      <c r="R4" s="2" t="inlineStr">
        <is>
          <t>AvelinodeSouza_etal_2025_TABLE1_snapshot.csv</t>
        </is>
      </c>
      <c r="S4" s="2" t="inlineStr">
        <is>
          <t>Y</t>
        </is>
      </c>
      <c r="T4" s="2" t="inlineStr">
        <is>
          <t>AvelinodeSouza_etal_2025_TABLE1.csv</t>
        </is>
      </c>
      <c r="U4" s="2" t="inlineStr">
        <is>
          <t>pdf</t>
        </is>
      </c>
      <c r="V4" s="2" t="inlineStr">
        <is>
          <t>table</t>
        </is>
      </c>
      <c r="W4" s="2" t="inlineStr">
        <is>
          <t>https://onlinelibrary.wiley.com/doi/10.1002/cne.70089</t>
        </is>
      </c>
      <c r="X4" s="2" t="inlineStr">
        <is>
          <t>https://doi.org/10.1002/cne.70089</t>
        </is>
      </c>
      <c r="Y4" s="2" t="inlineStr">
        <is>
          <t>HH</t>
        </is>
      </c>
      <c r="AG4" s="2" t="inlineStr">
        <is>
          <t>isotropic fractionator</t>
        </is>
      </c>
      <c r="AH4" s="2" t="inlineStr">
        <is>
          <t>placental mammals</t>
        </is>
      </c>
      <c r="AI4" s="2" t="inlineStr">
        <is>
          <t>neuron number</t>
        </is>
      </c>
      <c r="AJ4" s="2" t="inlineStr">
        <is>
          <t>Cetaceans &amp; other placental mammals</t>
        </is>
      </c>
      <c r="AK4" s="2" t="inlineStr">
        <is>
          <t>primary</t>
        </is>
      </c>
      <c r="AL4" s="2" t="inlineStr">
        <is>
          <t>primary</t>
        </is>
      </c>
      <c r="AM4" s="2" t="inlineStr">
        <is>
          <t>cell count (isotropic fractionator)</t>
        </is>
      </c>
    </row>
    <row r="5" ht="16" customHeight="1">
      <c r="A5" s="2" t="inlineStr">
        <is>
          <t>Balzeau, A., Holloway, R. L., &amp; Grimaud-Herve, D. (2012). Variations and asymmetries in regional brain surface in the genus Homo. J Hum Evol, 62(6), 696-706. https://doi.org/10.1016/j.jhevol.2012.03.007</t>
        </is>
      </c>
      <c r="D5" s="2" t="inlineStr">
        <is>
          <t>Table 3</t>
        </is>
      </c>
      <c r="E5">
        <f>RIGHT(A5,1)</f>
        <v/>
      </c>
      <c r="F5">
        <f>G5 &amp; IF(H5&lt;&gt;"", "_" &amp; H5, "_") &amp; IF(I5&lt;&gt;"", "_" &amp; I5, "_") &amp; IF(B5&lt;&gt;"", "_" &amp; B5, "")</f>
        <v/>
      </c>
      <c r="G5">
        <f>SUBSTITUTE(SUBSTITUTE(_xlfn.TEXTBEFORE(A5,","), "-", ""), " ", "")</f>
        <v/>
      </c>
      <c r="H5">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
      </c>
      <c r="I5">
        <f>_xlfn.TEXTBEFORE(_xlfn.TEXTAFTER(A5, "("), ")")</f>
        <v/>
      </c>
      <c r="J5">
        <f>_xlfn.LET(
_xlpm.doi,IF(C5&lt;&gt;"",C5,_xlfn.TEXTAFTER(A5,"https://doi.org/")),
SUBSTITUTE(
SUBSTITUTE(
SUBSTITUTE(
SUBSTITUTE(
_xlpm.doi,
"/","%2F"),
":","%3A"),
"&lt;","%3C"),
"&gt;","%3E")
)</f>
        <v/>
      </c>
      <c r="K5">
        <f>TRIM(_xlfn.TEXTJOIN("_",FALSE,F5,(SUBSTITUTE(SUBSTITUTE(D5," ",""), "_", ""))))</f>
        <v/>
      </c>
      <c r="L5">
        <f>J5 &amp; "_" &amp; SUBSTITUTE(SUBSTITUTE(SUBSTITUTE(D5,CHAR(160),"")," ",""),"_","")</f>
        <v/>
      </c>
      <c r="M5">
        <f t="array" ref="M5">IFERROR(INDEX(FileList!$A$1:$A$100,MATCH(TRUE,EXACT(L5,_xlfn.TEXTBEFORE(FileList!$A$1:$A$100,".tsv")),0)),"notfound")</f>
        <v/>
      </c>
      <c r="N5" s="3" t="inlineStr">
        <is>
          <t>Table 3 Size-corrected dimensions for the surface of the frontal, parieto-temporal and occipital lobes in the different analysed samples.</t>
        </is>
      </c>
      <c r="P5" s="3" t="n"/>
      <c r="Q5" s="3" t="n"/>
      <c r="R5" s="3" t="n"/>
      <c r="S5" s="3" t="n"/>
      <c r="T5" s="3" t="n"/>
      <c r="U5" s="3" t="n"/>
      <c r="V5" s="3" t="n"/>
      <c r="W5" s="3" t="n"/>
      <c r="X5" s="3" t="n"/>
      <c r="Y5" s="3" t="n"/>
      <c r="AG5" s="2" t="n"/>
      <c r="AH5" s="3" t="n"/>
      <c r="AI5" s="3" t="n"/>
      <c r="AJ5" s="2" t="n"/>
      <c r="AK5" s="3" t="n"/>
      <c r="AL5" s="2" t="n"/>
      <c r="AM5" s="2" t="n"/>
    </row>
    <row r="6" ht="16" customHeight="1">
      <c r="A6" s="2" t="inlineStr">
        <is>
          <t>Balzeau, A., Holloway, R. L., &amp; Grimaud-Herve, D. (2012). Variations and asymmetries in regional brain surface in the genus Homo. J Hum Evol, 62(6), 696-706. https://doi.org/10.1016/j.jhevol.2012.03.007</t>
        </is>
      </c>
      <c r="D6" s="2" t="inlineStr">
        <is>
          <t>Table 5</t>
        </is>
      </c>
      <c r="E6">
        <f>RIGHT(A6,1)</f>
        <v/>
      </c>
      <c r="F6">
        <f>G6 &amp; IF(H6&lt;&gt;"", "_" &amp; H6, "_") &amp; IF(I6&lt;&gt;"", "_" &amp; I6, "_") &amp; IF(B6&lt;&gt;"", "_" &amp; B6, "")</f>
        <v/>
      </c>
      <c r="G6">
        <f>SUBSTITUTE(SUBSTITUTE(_xlfn.TEXTBEFORE(A6,","), "-", ""), " ", "")</f>
        <v/>
      </c>
      <c r="H6">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
      </c>
      <c r="I6">
        <f>_xlfn.TEXTBEFORE(_xlfn.TEXTAFTER(A6, "("), ")")</f>
        <v/>
      </c>
      <c r="J6">
        <f>_xlfn.LET(
_xlpm.doi,IF(C6&lt;&gt;"",C6,_xlfn.TEXTAFTER(A6,"https://doi.org/")),
SUBSTITUTE(
SUBSTITUTE(
SUBSTITUTE(
SUBSTITUTE(
_xlpm.doi,
"/","%2F"),
":","%3A"),
"&lt;","%3C"),
"&gt;","%3E")
)</f>
        <v/>
      </c>
      <c r="K6">
        <f>TRIM(_xlfn.TEXTJOIN("_",FALSE,F6,(SUBSTITUTE(SUBSTITUTE(D6," ",""), "_", ""))))</f>
        <v/>
      </c>
      <c r="L6">
        <f>J6 &amp; "_" &amp; SUBSTITUTE(SUBSTITUTE(SUBSTITUTE(D6,CHAR(160),"")," ",""),"_","")</f>
        <v/>
      </c>
      <c r="M6">
        <f t="array" ref="M6">IFERROR(INDEX(FileList!$A$1:$A$100,MATCH(TRUE,EXACT(L6,_xlfn.TEXTBEFORE(FileList!$A$1:$A$100,".tsv")),0)),"notfound")</f>
        <v/>
      </c>
      <c r="N6" s="3" t="inlineStr">
        <is>
          <t>Table 5 Percentage contribution of frontal, parieto-temporal and occipital lobes to the hemispheres.</t>
        </is>
      </c>
      <c r="P6" s="3" t="n"/>
      <c r="Q6" s="3" t="n"/>
      <c r="R6" s="3" t="n"/>
      <c r="S6" s="3" t="n"/>
      <c r="T6" s="3" t="n"/>
      <c r="U6" s="3" t="n"/>
      <c r="V6" s="3" t="n"/>
      <c r="W6" s="3" t="n"/>
      <c r="X6" s="3" t="n"/>
      <c r="Y6" s="3" t="n"/>
      <c r="AG6" s="2" t="n"/>
      <c r="AH6" s="3" t="n"/>
      <c r="AI6" s="3" t="n"/>
      <c r="AJ6" s="2" t="n"/>
      <c r="AK6" s="3" t="n"/>
      <c r="AL6" s="2" t="n"/>
      <c r="AM6" s="2" t="n"/>
    </row>
    <row r="7" ht="16" customHeight="1">
      <c r="A7" s="2" t="inlineStr">
        <is>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is>
      </c>
      <c r="D7" s="2" t="inlineStr">
        <is>
          <t>cell density</t>
        </is>
      </c>
      <c r="E7">
        <f>RIGHT(A7,1)</f>
        <v/>
      </c>
      <c r="F7">
        <f>G7 &amp; IF(H7&lt;&gt;"", "_" &amp; H7, "_") &amp; IF(I7&lt;&gt;"", "_" &amp; I7, "_") &amp; IF(B7&lt;&gt;"", "_" &amp; B7, "")</f>
        <v/>
      </c>
      <c r="G7">
        <f>SUBSTITUTE(SUBSTITUTE(_xlfn.TEXTBEFORE(A7,","), "-", ""), " ", "")</f>
        <v/>
      </c>
      <c r="H7">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
      </c>
      <c r="I7">
        <f>_xlfn.TEXTBEFORE(_xlfn.TEXTAFTER(A7, "("), ")")</f>
        <v/>
      </c>
      <c r="J7">
        <f>_xlfn.LET(
_xlpm.doi,IF(C7&lt;&gt;"",C7,_xlfn.TEXTAFTER(A7,"https://doi.org/")),
SUBSTITUTE(
SUBSTITUTE(
SUBSTITUTE(
SUBSTITUTE(
_xlpm.doi,
"/","%2F"),
":","%3A"),
"&lt;","%3C"),
"&gt;","%3E")
)</f>
        <v/>
      </c>
      <c r="K7">
        <f>TRIM(_xlfn.TEXTJOIN("_",FALSE,F7,(SUBSTITUTE(SUBSTITUTE(D7," ",""), "_", ""))))</f>
        <v/>
      </c>
      <c r="L7">
        <f>J7 &amp; "_" &amp; SUBSTITUTE(SUBSTITUTE(SUBSTITUTE(D7,CHAR(160),"")," ",""),"_","")</f>
        <v/>
      </c>
      <c r="M7">
        <f t="array" ref="M7">IFERROR(INDEX(FileList!$A$1:$A$100,MATCH(TRUE,EXACT(L7,_xlfn.TEXTBEFORE(FileList!$A$1:$A$100,".tsv")),0)),"notfound")</f>
        <v/>
      </c>
      <c r="AG7" s="2" t="inlineStr">
        <is>
          <t>isotropic fractionator</t>
        </is>
      </c>
      <c r="AJ7" s="2" t="inlineStr">
        <is>
          <t>review</t>
        </is>
      </c>
      <c r="AL7" s="2" t="inlineStr">
        <is>
          <t>review</t>
        </is>
      </c>
      <c r="AM7" s="2" t="inlineStr">
        <is>
          <t>review</t>
        </is>
      </c>
    </row>
    <row r="8" ht="16" customHeight="1">
      <c r="A8" s="2" t="inlineStr">
        <is>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is>
      </c>
      <c r="D8" s="2" t="inlineStr">
        <is>
          <t>cell number</t>
        </is>
      </c>
      <c r="E8">
        <f>RIGHT(A8,1)</f>
        <v/>
      </c>
      <c r="F8">
        <f>G8 &amp; IF(H8&lt;&gt;"", "_" &amp; H8, "_") &amp; IF(I8&lt;&gt;"", "_" &amp; I8, "_") &amp; IF(B8&lt;&gt;"", "_" &amp; B8, "")</f>
        <v/>
      </c>
      <c r="G8">
        <f>SUBSTITUTE(SUBSTITUTE(_xlfn.TEXTBEFORE(A8,","), "-", ""), " ", "")</f>
        <v/>
      </c>
      <c r="H8">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
      </c>
      <c r="I8">
        <f>_xlfn.TEXTBEFORE(_xlfn.TEXTAFTER(A8, "("), ")")</f>
        <v/>
      </c>
      <c r="J8">
        <f>_xlfn.LET(
_xlpm.doi,IF(C8&lt;&gt;"",C8,_xlfn.TEXTAFTER(A8,"https://doi.org/")),
SUBSTITUTE(
SUBSTITUTE(
SUBSTITUTE(
SUBSTITUTE(
_xlpm.doi,
"/","%2F"),
":","%3A"),
"&lt;","%3C"),
"&gt;","%3E")
)</f>
        <v/>
      </c>
      <c r="K8">
        <f>TRIM(_xlfn.TEXTJOIN("_",FALSE,F8,(SUBSTITUTE(SUBSTITUTE(D8," ",""), "_", ""))))</f>
        <v/>
      </c>
      <c r="L8">
        <f>J8 &amp; "_" &amp; SUBSTITUTE(SUBSTITUTE(SUBSTITUTE(D8,CHAR(160),"")," ",""),"_","")</f>
        <v/>
      </c>
      <c r="M8">
        <f t="array" ref="M8">IFERROR(INDEX(FileList!$A$1:$A$100,MATCH(TRUE,EXACT(L8,_xlfn.TEXTBEFORE(FileList!$A$1:$A$100,".tsv")),0)),"notfound")</f>
        <v/>
      </c>
      <c r="AG8" s="2" t="inlineStr">
        <is>
          <t>isotropic fractionator</t>
        </is>
      </c>
      <c r="AJ8" s="2" t="inlineStr">
        <is>
          <t>review</t>
        </is>
      </c>
      <c r="AL8" s="2" t="inlineStr">
        <is>
          <t>review</t>
        </is>
      </c>
      <c r="AM8" s="2" t="inlineStr">
        <is>
          <t>review</t>
        </is>
      </c>
    </row>
    <row r="9" ht="16" customHeight="1">
      <c r="A9" s="2" t="inlineStr">
        <is>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is>
      </c>
      <c r="D9" s="2" t="inlineStr">
        <is>
          <t>volumes</t>
        </is>
      </c>
      <c r="E9">
        <f>RIGHT(A9,1)</f>
        <v/>
      </c>
      <c r="F9">
        <f>G9 &amp; IF(H9&lt;&gt;"", "_" &amp; H9, "_") &amp; IF(I9&lt;&gt;"", "_" &amp; I9, "_") &amp; IF(B9&lt;&gt;"", "_" &amp; B9, "")</f>
        <v/>
      </c>
      <c r="G9">
        <f>SUBSTITUTE(SUBSTITUTE(_xlfn.TEXTBEFORE(A9,","), "-", ""), " ", "")</f>
        <v/>
      </c>
      <c r="H9">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
      </c>
      <c r="I9">
        <f>_xlfn.TEXTBEFORE(_xlfn.TEXTAFTER(A9, "("), ")")</f>
        <v/>
      </c>
      <c r="J9">
        <f>_xlfn.LET(
_xlpm.doi,IF(C9&lt;&gt;"",C9,_xlfn.TEXTAFTER(A9,"https://doi.org/")),
SUBSTITUTE(
SUBSTITUTE(
SUBSTITUTE(
SUBSTITUTE(
_xlpm.doi,
"/","%2F"),
":","%3A"),
"&lt;","%3C"),
"&gt;","%3E")
)</f>
        <v/>
      </c>
      <c r="K9">
        <f>TRIM(_xlfn.TEXTJOIN("_",FALSE,F9,(SUBSTITUTE(SUBSTITUTE(D9," ",""), "_", ""))))</f>
        <v/>
      </c>
      <c r="L9">
        <f>J9 &amp; "_" &amp; SUBSTITUTE(SUBSTITUTE(SUBSTITUTE(D9,CHAR(160),"")," ",""),"_","")</f>
        <v/>
      </c>
      <c r="M9">
        <f t="array" ref="M9">IFERROR(INDEX(FileList!$A$1:$A$100,MATCH(TRUE,EXACT(L9,_xlfn.TEXTBEFORE(FileList!$A$1:$A$100,".tsv")),0)),"notfound")</f>
        <v/>
      </c>
      <c r="AG9" s="2" t="inlineStr">
        <is>
          <t>isotropic fractionator</t>
        </is>
      </c>
      <c r="AJ9" s="2" t="inlineStr">
        <is>
          <t>review</t>
        </is>
      </c>
      <c r="AL9" s="2" t="inlineStr">
        <is>
          <t>review</t>
        </is>
      </c>
      <c r="AM9" s="2" t="inlineStr">
        <is>
          <t>review</t>
        </is>
      </c>
    </row>
    <row r="10" ht="16" customHeight="1">
      <c r="A10" s="2" t="inlineStr">
        <is>
          <t>Barger, N., Hanson, K. L., Teffer, K., Schenker-Ahmed, N. M., &amp; Semendeferi, K. (2014). Evidence for evolutionary specialization in human limbic structures. Front Hum Neurosci, 8, 277. https://doi.org/10.3389/fnhum.2014.00277</t>
        </is>
      </c>
      <c r="D10" s="2" t="inlineStr">
        <is>
          <t>Table 1</t>
        </is>
      </c>
      <c r="E10">
        <f>RIGHT(A10,1)</f>
        <v/>
      </c>
      <c r="F10">
        <f>G10 &amp; IF(H10&lt;&gt;"", "_" &amp; H10, "_") &amp; IF(I10&lt;&gt;"", "_" &amp; I10, "_") &amp; IF(B10&lt;&gt;"", "_" &amp; B10, "")</f>
        <v/>
      </c>
      <c r="G10">
        <f>SUBSTITUTE(SUBSTITUTE(_xlfn.TEXTBEFORE(A10,","), "-", ""), " ", "")</f>
        <v/>
      </c>
      <c r="H10">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
      </c>
      <c r="I10">
        <f>_xlfn.TEXTBEFORE(_xlfn.TEXTAFTER(A10, "("), ")")</f>
        <v/>
      </c>
      <c r="J10">
        <f>_xlfn.LET(
_xlpm.doi,IF(C10&lt;&gt;"",C10,_xlfn.TEXTAFTER(A10,"https://doi.org/")),
SUBSTITUTE(
SUBSTITUTE(
SUBSTITUTE(
SUBSTITUTE(
_xlpm.doi,
"/","%2F"),
":","%3A"),
"&lt;","%3C"),
"&gt;","%3E")
)</f>
        <v/>
      </c>
      <c r="K10">
        <f>TRIM(_xlfn.TEXTJOIN("_",FALSE,F10,(SUBSTITUTE(SUBSTITUTE(D10," ",""), "_", ""))))</f>
        <v/>
      </c>
      <c r="L10">
        <f>J10 &amp; "_" &amp; SUBSTITUTE(SUBSTITUTE(SUBSTITUTE(D10,CHAR(160),"")," ",""),"_","")</f>
        <v/>
      </c>
      <c r="M10">
        <f t="array" ref="M10">IFERROR(INDEX(FileList!$A$1:$A$100,MATCH(TRUE,EXACT(L10,_xlfn.TEXTBEFORE(FileList!$A$1:$A$100,".tsv")),0)),"notfound")</f>
        <v/>
      </c>
      <c r="N10" s="2" t="inlineStr">
        <is>
          <t>Table 1 | Volume of amygdala, hippocampus, and striatum in hominoid species collected with stereological methods.</t>
        </is>
      </c>
      <c r="P10" s="2" t="n"/>
      <c r="Z10" s="2" t="inlineStr">
        <is>
          <t>Zilles</t>
        </is>
      </c>
      <c r="AF10" s="2" t="inlineStr">
        <is>
          <t>histological sections</t>
        </is>
      </c>
      <c r="AG10" s="2" t="inlineStr">
        <is>
          <t>Zilles</t>
        </is>
      </c>
      <c r="AI10" s="2" t="n"/>
      <c r="AJ10" s="2" t="n"/>
      <c r="AL10" s="2" t="n"/>
      <c r="AM10" s="2" t="n"/>
    </row>
    <row r="11" ht="16" customHeight="1">
      <c r="A11" s="2" t="inlineStr">
        <is>
          <t>Barger, N., Stefanacci, L., &amp; Semendeferi, K. (2007). A comparative volumetric analysis of the amygdaloid complex and basolateral division in the human and ape brain. Am J Phys Anthropol, 134(3), 392-403. https://doi.org/10.1002/ajpa.20684</t>
        </is>
      </c>
      <c r="D11" s="2" t="inlineStr">
        <is>
          <t>TABLE 1</t>
        </is>
      </c>
      <c r="E11">
        <f>RIGHT(A11,1)</f>
        <v/>
      </c>
      <c r="F11">
        <f>G11 &amp; IF(H11&lt;&gt;"", "_" &amp; H11, "_") &amp; IF(I11&lt;&gt;"", "_" &amp; I11, "_") &amp; IF(B11&lt;&gt;"", "_" &amp; B11, "")</f>
        <v/>
      </c>
      <c r="G11">
        <f>SUBSTITUTE(SUBSTITUTE(_xlfn.TEXTBEFORE(A11,","), "-", ""), " ", "")</f>
        <v/>
      </c>
      <c r="H11">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
      </c>
      <c r="I11">
        <f>_xlfn.TEXTBEFORE(_xlfn.TEXTAFTER(A11, "("), ")")</f>
        <v/>
      </c>
      <c r="J11">
        <f>_xlfn.LET(
_xlpm.doi,IF(C11&lt;&gt;"",C11,_xlfn.TEXTAFTER(A11,"https://doi.org/")),
SUBSTITUTE(
SUBSTITUTE(
SUBSTITUTE(
SUBSTITUTE(
_xlpm.doi,
"/","%2F"),
":","%3A"),
"&lt;","%3C"),
"&gt;","%3E")
)</f>
        <v/>
      </c>
      <c r="K11">
        <f>TRIM(_xlfn.TEXTJOIN("_",FALSE,F11,(SUBSTITUTE(SUBSTITUTE(D11," ",""), "_", ""))))</f>
        <v/>
      </c>
      <c r="L11">
        <f>J11 &amp; "_" &amp; SUBSTITUTE(SUBSTITUTE(SUBSTITUTE(D11,CHAR(160),"")," ",""),"_","")</f>
        <v/>
      </c>
      <c r="M11">
        <f t="array" ref="M11">IFERROR(INDEX(FileList!$A$1:$A$100,MATCH(TRUE,EXACT(L11,_xlfn.TEXTBEFORE(FileList!$A$1:$A$100,".tsv")),0)),"notfound")</f>
        <v/>
      </c>
      <c r="N11" s="2" t="inlineStr">
        <is>
          <t>TABLE 1. Volumetric estimates of the amygdaloid complex and the basolateral division</t>
        </is>
      </c>
      <c r="P11" s="2" t="inlineStr">
        <is>
          <t>FINISHED</t>
        </is>
      </c>
      <c r="Z11" s="2" t="inlineStr">
        <is>
          <t>Zilles</t>
        </is>
      </c>
      <c r="AF11" s="2" t="inlineStr">
        <is>
          <t xml:space="preserve"> </t>
        </is>
      </c>
      <c r="AG11" s="2" t="inlineStr">
        <is>
          <t>Zilles</t>
        </is>
      </c>
      <c r="AI11" s="3" t="inlineStr">
        <is>
          <t>amygdala subdivision volumes</t>
        </is>
      </c>
      <c r="AJ11" s="3" t="inlineStr">
        <is>
          <t>Apes &amp; humans</t>
        </is>
      </c>
      <c r="AL11" s="3" t="inlineStr">
        <is>
          <t>primary</t>
        </is>
      </c>
      <c r="AM11" s="3" t="inlineStr">
        <is>
          <t>volume</t>
        </is>
      </c>
    </row>
    <row r="12" ht="16" customHeight="1">
      <c r="A12" s="2"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D12" s="2" t="inlineStr">
        <is>
          <t>Fig 4 A</t>
        </is>
      </c>
      <c r="E12">
        <f>RIGHT(A12,1)</f>
        <v/>
      </c>
      <c r="F12">
        <f>G12 &amp; IF(H12&lt;&gt;"", "_" &amp; H12, "_") &amp; IF(I12&lt;&gt;"", "_" &amp; I12, "_") &amp; IF(B12&lt;&gt;"", "_" &amp; B12, "")</f>
        <v/>
      </c>
      <c r="G12">
        <f>SUBSTITUTE(SUBSTITUTE(_xlfn.TEXTBEFORE(A12,","), "-", ""), " ", "")</f>
        <v/>
      </c>
      <c r="H12">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
      </c>
      <c r="I12">
        <f>_xlfn.TEXTBEFORE(_xlfn.TEXTAFTER(A12, "("), ")")</f>
        <v/>
      </c>
      <c r="J12">
        <f>_xlfn.LET(
_xlpm.doi,IF(C12&lt;&gt;"",C12,_xlfn.TEXTAFTER(A12,"https://doi.org/")),
SUBSTITUTE(
SUBSTITUTE(
SUBSTITUTE(
SUBSTITUTE(
_xlpm.doi,
"/","%2F"),
":","%3A"),
"&lt;","%3C"),
"&gt;","%3E")
)</f>
        <v/>
      </c>
      <c r="K12">
        <f>TRIM(_xlfn.TEXTJOIN("_",FALSE,F12,(SUBSTITUTE(SUBSTITUTE(D12," ",""), "_", ""))))</f>
        <v/>
      </c>
      <c r="L12">
        <f>J12 &amp; "_" &amp; SUBSTITUTE(SUBSTITUTE(SUBSTITUTE(D12,CHAR(160),"")," ",""),"_","")</f>
        <v/>
      </c>
      <c r="M12">
        <f t="array" ref="M12">IFERROR(INDEX(FileList!$A$1:$A$100,MATCH(TRUE,EXACT(L12,_xlfn.TEXTBEFORE(FileList!$A$1:$A$100,".tsv")),0)),"notfound")</f>
        <v/>
      </c>
      <c r="N12" s="2" t="n"/>
      <c r="O12" t="inlineStr">
        <is>
          <t>Fig4A_allsubjects_volumes</t>
        </is>
      </c>
      <c r="P12" s="2" t="inlineStr">
        <is>
          <t>FINISHED</t>
        </is>
      </c>
      <c r="Y12" s="2" t="inlineStr">
        <is>
          <t>Barks</t>
        </is>
      </c>
    </row>
    <row r="13" ht="16" customHeight="1">
      <c r="A13" s="2"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D13" s="2" t="inlineStr">
        <is>
          <t>Fig 5 A</t>
        </is>
      </c>
      <c r="E13">
        <f>RIGHT(A13,1)</f>
        <v/>
      </c>
      <c r="F13">
        <f>G13 &amp; IF(H13&lt;&gt;"", "_" &amp; H13, "_") &amp; IF(I13&lt;&gt;"", "_" &amp; I13, "_") &amp; IF(B13&lt;&gt;"", "_" &amp; B13, "")</f>
        <v/>
      </c>
      <c r="G13">
        <f>SUBSTITUTE(SUBSTITUTE(_xlfn.TEXTBEFORE(A13,","), "-", ""), " ", "")</f>
        <v/>
      </c>
      <c r="H13">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
      </c>
      <c r="I13">
        <f>_xlfn.TEXTBEFORE(_xlfn.TEXTAFTER(A13, "("), ")")</f>
        <v/>
      </c>
      <c r="J13">
        <f>_xlfn.LET(
_xlpm.doi,IF(C13&lt;&gt;"",C13,_xlfn.TEXTAFTER(A13,"https://doi.org/")),
SUBSTITUTE(
SUBSTITUTE(
SUBSTITUTE(
SUBSTITUTE(
_xlpm.doi,
"/","%2F"),
":","%3A"),
"&lt;","%3C"),
"&gt;","%3E")
)</f>
        <v/>
      </c>
      <c r="K13">
        <f>TRIM(_xlfn.TEXTJOIN("_",FALSE,F13,(SUBSTITUTE(SUBSTITUTE(D13," ",""), "_", ""))))</f>
        <v/>
      </c>
      <c r="L13">
        <f>J13 &amp; "_" &amp; SUBSTITUTE(SUBSTITUTE(SUBSTITUTE(D13,CHAR(160),"")," ",""),"_","")</f>
        <v/>
      </c>
      <c r="M13">
        <f t="array" ref="M13">IFERROR(INDEX(FileList!$A$1:$A$100,MATCH(TRUE,EXACT(L13,_xlfn.TEXTBEFORE(FileList!$A$1:$A$100,".tsv")),0)),"notfound")</f>
        <v/>
      </c>
      <c r="N13" s="2" t="n"/>
      <c r="O13" t="inlineStr">
        <is>
          <t>Fig5A_adultsonly_volumes</t>
        </is>
      </c>
      <c r="P13" s="2" t="inlineStr">
        <is>
          <t>FINISHED</t>
        </is>
      </c>
    </row>
    <row r="14" ht="16" customHeight="1">
      <c r="A14" s="2"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D14" s="2" t="inlineStr">
        <is>
          <t>TABLE 1</t>
        </is>
      </c>
      <c r="E14">
        <f>RIGHT(A14,1)</f>
        <v/>
      </c>
      <c r="F14">
        <f>G14 &amp; IF(H14&lt;&gt;"", "_" &amp; H14, "_") &amp; IF(I14&lt;&gt;"", "_" &amp; I14, "_") &amp; IF(B14&lt;&gt;"", "_" &amp; B14, "")</f>
        <v/>
      </c>
      <c r="G14">
        <f>SUBSTITUTE(SUBSTITUTE(_xlfn.TEXTBEFORE(A14,","), "-", ""), " ", "")</f>
        <v/>
      </c>
      <c r="H14">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
      </c>
      <c r="I14">
        <f>_xlfn.TEXTBEFORE(_xlfn.TEXTAFTER(A14, "("), ")")</f>
        <v/>
      </c>
      <c r="J14">
        <f>_xlfn.LET(
_xlpm.doi,IF(C14&lt;&gt;"",C14,_xlfn.TEXTAFTER(A14,"https://doi.org/")),
SUBSTITUTE(
SUBSTITUTE(
SUBSTITUTE(
SUBSTITUTE(
_xlpm.doi,
"/","%2F"),
":","%3A"),
"&lt;","%3C"),
"&gt;","%3E")
)</f>
        <v/>
      </c>
      <c r="K14">
        <f>TRIM(_xlfn.TEXTJOIN("_",FALSE,F14,(SUBSTITUTE(SUBSTITUTE(D14," ",""), "_", ""))))</f>
        <v/>
      </c>
      <c r="L14">
        <f>J14 &amp; "_" &amp; SUBSTITUTE(SUBSTITUTE(SUBSTITUTE(D14,CHAR(160),"")," ",""),"_","")</f>
        <v/>
      </c>
      <c r="M14">
        <f t="array" ref="M14">IFERROR(INDEX(FileList!$A$1:$A$100,MATCH(TRUE,EXACT(L14,_xlfn.TEXTBEFORE(FileList!$A$1:$A$100,".tsv")),0)),"notfound")</f>
        <v/>
      </c>
      <c r="N14" s="2" t="inlineStr">
        <is>
          <t>TABLE 1. Individual data</t>
        </is>
      </c>
      <c r="P14" s="2" t="inlineStr">
        <is>
          <t>FINISHED</t>
        </is>
      </c>
      <c r="Y14" s="2" t="inlineStr">
        <is>
          <t>Barks</t>
        </is>
      </c>
    </row>
    <row r="15" ht="16" customHeight="1">
      <c r="A15" s="2"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D15" s="2" t="inlineStr">
        <is>
          <t>TABLE 2</t>
        </is>
      </c>
      <c r="E15">
        <f>RIGHT(A15,1)</f>
        <v/>
      </c>
      <c r="F15">
        <f>G15 &amp; IF(H15&lt;&gt;"", "_" &amp; H15, "_") &amp; IF(I15&lt;&gt;"", "_" &amp; I15, "_") &amp; IF(B15&lt;&gt;"", "_" &amp; B15, "")</f>
        <v/>
      </c>
      <c r="G15">
        <f>SUBSTITUTE(SUBSTITUTE(_xlfn.TEXTBEFORE(A15,","), "-", ""), " ", "")</f>
        <v/>
      </c>
      <c r="H15">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
      </c>
      <c r="I15">
        <f>_xlfn.TEXTBEFORE(_xlfn.TEXTAFTER(A15, "("), ")")</f>
        <v/>
      </c>
      <c r="J15">
        <f>_xlfn.LET(
_xlpm.doi,IF(C15&lt;&gt;"",C15,_xlfn.TEXTAFTER(A15,"https://doi.org/")),
SUBSTITUTE(
SUBSTITUTE(
SUBSTITUTE(
SUBSTITUTE(
_xlpm.doi,
"/","%2F"),
":","%3A"),
"&lt;","%3C"),
"&gt;","%3E")
)</f>
        <v/>
      </c>
      <c r="K15">
        <f>TRIM(_xlfn.TEXTJOIN("_",FALSE,F15,(SUBSTITUTE(SUBSTITUTE(D15," ",""), "_", ""))))</f>
        <v/>
      </c>
      <c r="L15">
        <f>J15 &amp; "_" &amp; SUBSTITUTE(SUBSTITUTE(SUBSTITUTE(D15,CHAR(160),"")," ",""),"_","")</f>
        <v/>
      </c>
      <c r="M15">
        <f t="array" ref="M15">IFERROR(INDEX(FileList!$A$1:$A$100,MATCH(TRUE,EXACT(L15,_xlfn.TEXTBEFORE(FileList!$A$1:$A$100,".tsv")),0)),"notfound")</f>
        <v/>
      </c>
      <c r="N15" s="2" t="inlineStr">
        <is>
          <t>TABLE 2. Stereological sampling of brains</t>
        </is>
      </c>
      <c r="P15" s="2" t="inlineStr">
        <is>
          <t>FINISHED</t>
        </is>
      </c>
    </row>
    <row r="16" ht="16" customHeight="1">
      <c r="A16" s="2"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D16" s="2" t="inlineStr">
        <is>
          <t>unpublishedviaDeCasien</t>
        </is>
      </c>
      <c r="E16">
        <f>RIGHT(A16,1)</f>
        <v/>
      </c>
      <c r="F16">
        <f>G16 &amp; IF(H16&lt;&gt;"", "_" &amp; H16, "_") &amp; IF(I16&lt;&gt;"", "_" &amp; I16, "_") &amp; IF(B16&lt;&gt;"", "_" &amp; B16, "")</f>
        <v/>
      </c>
      <c r="G16">
        <f>SUBSTITUTE(SUBSTITUTE(_xlfn.TEXTBEFORE(A16,","), "-", ""), " ", "")</f>
        <v/>
      </c>
      <c r="H16">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
      </c>
      <c r="I16">
        <f>_xlfn.TEXTBEFORE(_xlfn.TEXTAFTER(A16, "("), ")")</f>
        <v/>
      </c>
      <c r="J16">
        <f>_xlfn.LET(
_xlpm.doi,IF(C16&lt;&gt;"",C16,_xlfn.TEXTAFTER(A16,"https://doi.org/")),
SUBSTITUTE(
SUBSTITUTE(
SUBSTITUTE(
SUBSTITUTE(
_xlpm.doi,
"/","%2F"),
":","%3A"),
"&lt;","%3C"),
"&gt;","%3E")
)</f>
        <v/>
      </c>
      <c r="K16">
        <f>TRIM(_xlfn.TEXTJOIN("_",FALSE,F16,(SUBSTITUTE(SUBSTITUTE(D16," ",""), "_", ""))))</f>
        <v/>
      </c>
      <c r="L16">
        <f>J16 &amp; "_" &amp; SUBSTITUTE(SUBSTITUTE(SUBSTITUTE(D16,CHAR(160),"")," ",""),"_","")</f>
        <v/>
      </c>
      <c r="M16">
        <f t="array" ref="M16">IFERROR(INDEX(FileList!$A$1:$A$100,MATCH(TRUE,EXACT(L16,_xlfn.TEXTBEFORE(FileList!$A$1:$A$100,".tsv")),0)),"notfound")</f>
        <v/>
      </c>
      <c r="N16" s="2" t="n"/>
      <c r="O16" t="inlineStr">
        <is>
          <t>"Sherwood et al.64 and Barks et al.65 provided neocortex, hippocampus, striatum, thalamus, cerebellum, amygdala and insula measures for multiple gorilla species (Gorilla gorilla gorilla, G. g. graueri and G. beringei) from post-mortem MRI scans" (DeCasien and Higham 2019)</t>
        </is>
      </c>
      <c r="P16" s="2" t="n"/>
    </row>
    <row r="17" ht="16" customHeight="1">
      <c r="A17" s="2" t="inlineStr">
        <is>
          <t>Baron, G., Frahm, H. D., &amp; Stephan, H. (1988). Comparison of brain structure volumes in Insectivora and Primates. VIII. Vestibular complex. J Hirnforsch, 29(5), 509-523. http://www.ncbi.nlm.nih.gov/pubmed/3216099</t>
        </is>
      </c>
      <c r="C17" s="2" t="inlineStr">
        <is>
          <t>PMID:3216099</t>
        </is>
      </c>
      <c r="D17" s="2" t="inlineStr">
        <is>
          <t>Table 1</t>
        </is>
      </c>
      <c r="E17">
        <f>RIGHT(A17,1)</f>
        <v/>
      </c>
      <c r="F17">
        <f>G17 &amp; IF(H17&lt;&gt;"", "_" &amp; H17, "_") &amp; IF(I17&lt;&gt;"", "_" &amp; I17, "_") &amp; IF(B17&lt;&gt;"", "_" &amp; B17, "")</f>
        <v/>
      </c>
      <c r="G17">
        <f>SUBSTITUTE(SUBSTITUTE(_xlfn.TEXTBEFORE(A17,","), "-", ""), " ", "")</f>
        <v/>
      </c>
      <c r="H17">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
      </c>
      <c r="I17">
        <f>_xlfn.TEXTBEFORE(_xlfn.TEXTAFTER(A17, "("), ")")</f>
        <v/>
      </c>
      <c r="J17">
        <f>_xlfn.LET(
_xlpm.doi,IF(C17&lt;&gt;"",C17,_xlfn.TEXTAFTER(A17,"https://doi.org/")),
SUBSTITUTE(
SUBSTITUTE(
SUBSTITUTE(
SUBSTITUTE(
_xlpm.doi,
"/","%2F"),
":","%3A"),
"&lt;","%3C"),
"&gt;","%3E")
)</f>
        <v/>
      </c>
      <c r="K17">
        <f>TRIM(_xlfn.TEXTJOIN("_",FALSE,F17,(SUBSTITUTE(SUBSTITUTE(D17," ",""), "_", ""))))</f>
        <v/>
      </c>
      <c r="L17">
        <f>J17 &amp; "_" &amp; SUBSTITUTE(SUBSTITUTE(SUBSTITUTE(D17,CHAR(160),"")," ",""),"_","")</f>
        <v/>
      </c>
      <c r="M17">
        <f t="array" ref="M17">IFERROR(INDEX(FileList!$A$1:$A$100,MATCH(TRUE,EXACT(L17,_xlfn.TEXTBEFORE(FileList!$A$1:$A$100,".tsv")),0)),"notfound")</f>
        <v/>
      </c>
      <c r="N17" s="2" t="inlineStr">
        <is>
          <t>Table 1. Volumes and indices of the vestibular complex (VC) and its main components (VM, V1, VL, VS) in Insectivora and Scadentia</t>
        </is>
      </c>
      <c r="P17" s="2" t="inlineStr">
        <is>
          <t>FINISHED</t>
        </is>
      </c>
      <c r="Y17" s="2" t="inlineStr">
        <is>
          <t>Stephan</t>
        </is>
      </c>
      <c r="Z17" s="2" t="inlineStr">
        <is>
          <t>Stephan</t>
        </is>
      </c>
      <c r="AF17" s="2" t="inlineStr">
        <is>
          <t>histological sections</t>
        </is>
      </c>
      <c r="AG17" s="2" t="inlineStr">
        <is>
          <t>Stephan</t>
        </is>
      </c>
      <c r="AI17" s="2" t="inlineStr">
        <is>
          <t>vestibular nuclear complex volume</t>
        </is>
      </c>
      <c r="AJ17" s="2" t="inlineStr">
        <is>
          <t>Insectivora, Scandentia &amp; Primates</t>
        </is>
      </c>
      <c r="AL17" s="2" t="inlineStr">
        <is>
          <t>primary</t>
        </is>
      </c>
      <c r="AM17" s="2" t="inlineStr">
        <is>
          <t>volume</t>
        </is>
      </c>
    </row>
    <row r="18" ht="17" customHeight="1">
      <c r="A18" s="2" t="inlineStr">
        <is>
          <t>Baron, G., Frahm, H. D., Bhatnagar, K. P., &amp; Stephan, H. (1983). Comparison of brain structure volumes in Insectivora and Primates. III. Main olfactory bulb (MOB). J Hirnforsch, 24(5), 551-568. https://www.ncbi.nlm.nih.gov/pubmed/6663055</t>
        </is>
      </c>
      <c r="C18" s="2" t="inlineStr">
        <is>
          <t>PMID:6663055</t>
        </is>
      </c>
      <c r="D18" s="2" t="inlineStr">
        <is>
          <t>Table 1</t>
        </is>
      </c>
      <c r="E18">
        <f>RIGHT(A18,1)</f>
        <v/>
      </c>
      <c r="F18">
        <f>G18 &amp; IF(H18&lt;&gt;"", "_" &amp; H18, "_") &amp; IF(I18&lt;&gt;"", "_" &amp; I18, "_") &amp; IF(B18&lt;&gt;"", "_" &amp; B18, "")</f>
        <v/>
      </c>
      <c r="G18">
        <f>SUBSTITUTE(SUBSTITUTE(_xlfn.TEXTBEFORE(A18,","), "-", ""), " ", "")</f>
        <v/>
      </c>
      <c r="H18">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
      </c>
      <c r="I18">
        <f>_xlfn.TEXTBEFORE(_xlfn.TEXTAFTER(A18, "("), ")")</f>
        <v/>
      </c>
      <c r="J18">
        <f>_xlfn.LET(
_xlpm.doi,IF(C18&lt;&gt;"",C18,_xlfn.TEXTAFTER(A18,"https://doi.org/")),
SUBSTITUTE(
SUBSTITUTE(
SUBSTITUTE(
SUBSTITUTE(
_xlpm.doi,
"/","%2F"),
":","%3A"),
"&lt;","%3C"),
"&gt;","%3E")
)</f>
        <v/>
      </c>
      <c r="K18">
        <f>TRIM(_xlfn.TEXTJOIN("_",FALSE,F18,(SUBSTITUTE(SUBSTITUTE(D18," ",""), "_", ""))))</f>
        <v/>
      </c>
      <c r="L18">
        <f>J18 &amp; "_" &amp; SUBSTITUTE(SUBSTITUTE(SUBSTITUTE(D18,CHAR(160),"")," ",""),"_","")</f>
        <v/>
      </c>
      <c r="M18">
        <f t="array" ref="M18">IFERROR(INDEX(FileList!$A$1:$A$100,MATCH(TRUE,EXACT(L18,_xlfn.TEXTBEFORE(FileList!$A$1:$A$100,".tsv")),0)),"notfound")</f>
        <v/>
      </c>
      <c r="P18" s="2" t="inlineStr">
        <is>
          <t>FINISHED</t>
        </is>
      </c>
      <c r="V18" s="2" t="inlineStr">
        <is>
          <t>table</t>
        </is>
      </c>
      <c r="W18" s="2" t="inlineStr">
        <is>
          <t>NO - not digitized</t>
        </is>
      </c>
      <c r="Y18" s="2" t="inlineStr">
        <is>
          <t>Stephan</t>
        </is>
      </c>
      <c r="Z18" s="2" t="inlineStr">
        <is>
          <t>Stephan</t>
        </is>
      </c>
      <c r="AF18" s="2" t="inlineStr">
        <is>
          <t>histological sections</t>
        </is>
      </c>
      <c r="AG18" s="2" t="inlineStr">
        <is>
          <t>Stephan</t>
        </is>
      </c>
      <c r="AI18" s="2" t="inlineStr">
        <is>
          <t>main olfactory bulb (MOB) volume</t>
        </is>
      </c>
      <c r="AJ18" s="2" t="inlineStr">
        <is>
          <t>Insectivora, Scandentia &amp; Primates</t>
        </is>
      </c>
      <c r="AK18" s="2" t="inlineStr">
        <is>
          <t>primary</t>
        </is>
      </c>
      <c r="AL18" s="2" t="inlineStr">
        <is>
          <t>primary</t>
        </is>
      </c>
      <c r="AM18" s="2" t="inlineStr">
        <is>
          <t>volume</t>
        </is>
      </c>
    </row>
    <row r="19" ht="17" customHeight="1">
      <c r="A19" s="2" t="inlineStr">
        <is>
          <t>Baron, G., Stephan, H., &amp; Frahm, H. D. (1987). Comparison of brain structure volumes in Insectivora and Primates. VI. Paleocortical components. J Hirnforsch, 28(4), 463-477. http://www.ncbi.nlm.nih.gov/pubmed/3116076</t>
        </is>
      </c>
      <c r="C19" s="2" t="inlineStr">
        <is>
          <t>PMID:3116076</t>
        </is>
      </c>
      <c r="D19" s="2" t="inlineStr">
        <is>
          <t>Table 1</t>
        </is>
      </c>
      <c r="E19">
        <f>RIGHT(A19,1)</f>
        <v/>
      </c>
      <c r="F19">
        <f>G19 &amp; IF(H19&lt;&gt;"", "_" &amp; H19, "_") &amp; IF(I19&lt;&gt;"", "_" &amp; I19, "_") &amp; IF(B19&lt;&gt;"", "_" &amp; B19, "")</f>
        <v/>
      </c>
      <c r="G19">
        <f>SUBSTITUTE(SUBSTITUTE(_xlfn.TEXTBEFORE(A19,","), "-", ""), " ", "")</f>
        <v/>
      </c>
      <c r="H19">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
      </c>
      <c r="I19">
        <f>_xlfn.TEXTBEFORE(_xlfn.TEXTAFTER(A19, "("), ")")</f>
        <v/>
      </c>
      <c r="J19">
        <f>_xlfn.LET(
_xlpm.doi,IF(C19&lt;&gt;"",C19,_xlfn.TEXTAFTER(A19,"https://doi.org/")),
SUBSTITUTE(
SUBSTITUTE(
SUBSTITUTE(
SUBSTITUTE(
_xlpm.doi,
"/","%2F"),
":","%3A"),
"&lt;","%3C"),
"&gt;","%3E")
)</f>
        <v/>
      </c>
      <c r="K19">
        <f>TRIM(_xlfn.TEXTJOIN("_",FALSE,F19,(SUBSTITUTE(SUBSTITUTE(D19," ",""), "_", ""))))</f>
        <v/>
      </c>
      <c r="L19">
        <f>J19 &amp; "_" &amp; SUBSTITUTE(SUBSTITUTE(SUBSTITUTE(D19,CHAR(160),"")," ",""),"_","")</f>
        <v/>
      </c>
      <c r="M19">
        <f t="array" ref="M19">IFERROR(INDEX(FileList!$A$1:$A$100,MATCH(TRUE,EXACT(L19,_xlfn.TEXTBEFORE(FileList!$A$1:$A$100,".tsv")),0)),"notfound")</f>
        <v/>
      </c>
      <c r="P19" s="2" t="inlineStr">
        <is>
          <t>FINISHED</t>
        </is>
      </c>
      <c r="V19" s="2" t="inlineStr">
        <is>
          <t>table</t>
        </is>
      </c>
      <c r="W19" s="2" t="inlineStr">
        <is>
          <t>NO - not digitized</t>
        </is>
      </c>
      <c r="Y19" s="2" t="inlineStr">
        <is>
          <t>Stephan</t>
        </is>
      </c>
      <c r="Z19" s="2" t="inlineStr">
        <is>
          <t>Stephan</t>
        </is>
      </c>
      <c r="AF19" s="2" t="inlineStr">
        <is>
          <t>histological sections</t>
        </is>
      </c>
      <c r="AG19" s="2" t="inlineStr">
        <is>
          <t>Stephan</t>
        </is>
      </c>
      <c r="AI19" s="2" t="inlineStr">
        <is>
          <t>brain-structure volume (Comparison series, Part)</t>
        </is>
      </c>
      <c r="AJ19" s="2" t="inlineStr">
        <is>
          <t>Insectivora, Scandentia &amp; Primates</t>
        </is>
      </c>
      <c r="AK19" s="2" t="inlineStr">
        <is>
          <t>primary</t>
        </is>
      </c>
      <c r="AL19" s="2" t="inlineStr">
        <is>
          <t>primary</t>
        </is>
      </c>
      <c r="AM19" s="2" t="inlineStr">
        <is>
          <t>volume</t>
        </is>
      </c>
    </row>
    <row r="20" ht="16" customHeight="1">
      <c r="A20" s="2" t="inlineStr">
        <is>
          <t>Baron, G., Stephan, H., &amp; Frahm, H. D. (1990). Comparison of brain structure volumes in Insectivora and primates. IX. Trigeminal complex. J Hirnforsch, 31(2), 193-200. https://www.ncbi.nlm.nih.gov/pubmed/2358663</t>
        </is>
      </c>
      <c r="C20" s="2" t="inlineStr">
        <is>
          <t>PMID:2358663</t>
        </is>
      </c>
      <c r="D20" s="2" t="inlineStr">
        <is>
          <t>Table 1</t>
        </is>
      </c>
      <c r="E20">
        <f>RIGHT(A20,1)</f>
        <v/>
      </c>
      <c r="F20">
        <f>G20 &amp; IF(H20&lt;&gt;"", "_" &amp; H20, "_") &amp; IF(I20&lt;&gt;"", "_" &amp; I20, "_") &amp; IF(B20&lt;&gt;"", "_" &amp; B20, "")</f>
        <v/>
      </c>
      <c r="G20">
        <f>SUBSTITUTE(SUBSTITUTE(_xlfn.TEXTBEFORE(A20,","), "-", ""), " ", "")</f>
        <v/>
      </c>
      <c r="H20">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
      </c>
      <c r="I20">
        <f>_xlfn.TEXTBEFORE(_xlfn.TEXTAFTER(A20, "("), ")")</f>
        <v/>
      </c>
      <c r="J20">
        <f>_xlfn.LET(
_xlpm.doi,IF(C20&lt;&gt;"",C20,_xlfn.TEXTAFTER(A20,"https://doi.org/")),
SUBSTITUTE(
SUBSTITUTE(
SUBSTITUTE(
SUBSTITUTE(
_xlpm.doi,
"/","%2F"),
":","%3A"),
"&lt;","%3C"),
"&gt;","%3E")
)</f>
        <v/>
      </c>
      <c r="K20">
        <f>TRIM(_xlfn.TEXTJOIN("_",FALSE,F20,(SUBSTITUTE(SUBSTITUTE(D20," ",""), "_", ""))))</f>
        <v/>
      </c>
      <c r="L20">
        <f>J20 &amp; "_" &amp; SUBSTITUTE(SUBSTITUTE(SUBSTITUTE(D20,CHAR(160),"")," ",""),"_","")</f>
        <v/>
      </c>
      <c r="M20">
        <f t="array" ref="M20">IFERROR(INDEX(FileList!$A$1:$A$100,MATCH(TRUE,EXACT(L20,_xlfn.TEXTBEFORE(FileList!$A$1:$A$100,".tsv")),0)),"notfound")</f>
        <v/>
      </c>
      <c r="N20" s="2" t="inlineStr">
        <is>
          <t xml:space="preserve">Table 1 .IX. Trigeminal complex </t>
        </is>
      </c>
      <c r="P20" s="2" t="inlineStr">
        <is>
          <t>FINISHED</t>
        </is>
      </c>
      <c r="V20" s="2" t="inlineStr">
        <is>
          <t>table</t>
        </is>
      </c>
      <c r="W20" s="2" t="inlineStr">
        <is>
          <t>NO - not digitized</t>
        </is>
      </c>
      <c r="Y20" s="2" t="inlineStr">
        <is>
          <t>Stephan</t>
        </is>
      </c>
      <c r="Z20" s="2" t="inlineStr">
        <is>
          <t>Stephan</t>
        </is>
      </c>
      <c r="AF20" s="2" t="inlineStr">
        <is>
          <t>histological sections</t>
        </is>
      </c>
      <c r="AG20" s="2" t="inlineStr">
        <is>
          <t>volumetry</t>
        </is>
      </c>
      <c r="AI20" s="2" t="inlineStr">
        <is>
          <t>trigeminal complex volume</t>
        </is>
      </c>
      <c r="AJ20" s="2" t="inlineStr">
        <is>
          <t>Insectivora, Scandentia &amp; Primates</t>
        </is>
      </c>
      <c r="AK20" s="2" t="inlineStr">
        <is>
          <t>primary</t>
        </is>
      </c>
      <c r="AL20" s="2" t="inlineStr">
        <is>
          <t>primary</t>
        </is>
      </c>
      <c r="AM20" s="2" t="inlineStr">
        <is>
          <t>volume</t>
        </is>
      </c>
    </row>
    <row r="21" ht="16" customHeight="1">
      <c r="A21" s="2"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D21" s="2" t="inlineStr">
        <is>
          <t>Table 1</t>
        </is>
      </c>
      <c r="E21">
        <f>RIGHT(A21,1)</f>
        <v/>
      </c>
      <c r="F21">
        <f>G21 &amp; IF(H21&lt;&gt;"", "_" &amp; H21, "_") &amp; IF(I21&lt;&gt;"", "_" &amp; I21, "_") &amp; IF(B21&lt;&gt;"", "_" &amp; B21, "")</f>
        <v/>
      </c>
      <c r="G21">
        <f>SUBSTITUTE(SUBSTITUTE(_xlfn.TEXTBEFORE(A21,","), "-", ""), " ", "")</f>
        <v/>
      </c>
      <c r="H21">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
      </c>
      <c r="I21">
        <f>_xlfn.TEXTBEFORE(_xlfn.TEXTAFTER(A21, "("), ")")</f>
        <v/>
      </c>
      <c r="J21">
        <f>_xlfn.LET(
_xlpm.doi,IF(C21&lt;&gt;"",C21,_xlfn.TEXTAFTER(A21,"https://doi.org/")),
SUBSTITUTE(
SUBSTITUTE(
SUBSTITUTE(
SUBSTITUTE(
_xlpm.doi,
"/","%2F"),
":","%3A"),
"&lt;","%3C"),
"&gt;","%3E")
)</f>
        <v/>
      </c>
      <c r="K21">
        <f>TRIM(_xlfn.TEXTJOIN("_",FALSE,F21,(SUBSTITUTE(SUBSTITUTE(D21," ",""), "_", ""))))</f>
        <v/>
      </c>
      <c r="L21">
        <f>J21 &amp; "_" &amp; SUBSTITUTE(SUBSTITUTE(SUBSTITUTE(D21,CHAR(160),"")," ",""),"_","")</f>
        <v/>
      </c>
      <c r="M21">
        <f t="array" ref="M21">IFERROR(INDEX(FileList!$A$1:$A$100,MATCH(TRUE,EXACT(L21,_xlfn.TEXTBEFORE(FileList!$A$1:$A$100,".tsv")),0)),"notfound")</f>
        <v/>
      </c>
      <c r="N21" s="2" t="inlineStr">
        <is>
          <t>Volumetric comparison of the insular cortex (Table 1)</t>
        </is>
      </c>
      <c r="P21" s="2" t="inlineStr">
        <is>
          <t>FINISHED</t>
        </is>
      </c>
      <c r="V21" s="2" t="inlineStr">
        <is>
          <t>table</t>
        </is>
      </c>
      <c r="Y21" s="2" t="inlineStr">
        <is>
          <t>Stephan, Sherwood</t>
        </is>
      </c>
      <c r="AF21" s="2" t="inlineStr">
        <is>
          <t>histological sections</t>
        </is>
      </c>
      <c r="AG21" s="2" t="inlineStr">
        <is>
          <t>volumetry</t>
        </is>
      </c>
      <c r="AI21" s="2" t="inlineStr">
        <is>
          <t>insular cortex volumes</t>
        </is>
      </c>
      <c r="AJ21" s="2" t="inlineStr">
        <is>
          <t>Primates</t>
        </is>
      </c>
      <c r="AK21" s="2" t="inlineStr">
        <is>
          <t>primary</t>
        </is>
      </c>
      <c r="AL21" s="2" t="inlineStr">
        <is>
          <t>primary</t>
        </is>
      </c>
      <c r="AM21" s="2" t="inlineStr">
        <is>
          <t>volume</t>
        </is>
      </c>
    </row>
    <row r="22" ht="16" customHeight="1">
      <c r="A22" s="2"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D22" s="2" t="inlineStr">
        <is>
          <t>Table 2</t>
        </is>
      </c>
      <c r="E22">
        <f>RIGHT(A22,1)</f>
        <v/>
      </c>
      <c r="F22">
        <f>G22 &amp; IF(H22&lt;&gt;"", "_" &amp; H22, "_") &amp; IF(I22&lt;&gt;"", "_" &amp; I22, "_") &amp; IF(B22&lt;&gt;"", "_" &amp; B22, "")</f>
        <v/>
      </c>
      <c r="G22">
        <f>SUBSTITUTE(SUBSTITUTE(_xlfn.TEXTBEFORE(A22,","), "-", ""), " ", "")</f>
        <v/>
      </c>
      <c r="H22">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
      </c>
      <c r="I22">
        <f>_xlfn.TEXTBEFORE(_xlfn.TEXTAFTER(A22, "("), ")")</f>
        <v/>
      </c>
      <c r="J22">
        <f>_xlfn.LET(
_xlpm.doi,IF(C22&lt;&gt;"",C22,_xlfn.TEXTAFTER(A22,"https://doi.org/")),
SUBSTITUTE(
SUBSTITUTE(
SUBSTITUTE(
SUBSTITUTE(
_xlpm.doi,
"/","%2F"),
":","%3A"),
"&lt;","%3C"),
"&gt;","%3E")
)</f>
        <v/>
      </c>
      <c r="K22">
        <f>TRIM(_xlfn.TEXTJOIN("_",FALSE,F22,(SUBSTITUTE(SUBSTITUTE(D22," ",""), "_", ""))))</f>
        <v/>
      </c>
      <c r="L22">
        <f>J22 &amp; "_" &amp; SUBSTITUTE(SUBSTITUTE(SUBSTITUTE(D22,CHAR(160),"")," ",""),"_","")</f>
        <v/>
      </c>
      <c r="M22">
        <f t="array" ref="M22">IFERROR(INDEX(FileList!$A$1:$A$100,MATCH(TRUE,EXACT(L22,_xlfn.TEXTBEFORE(FileList!$A$1:$A$100,".tsv")),0)),"notfound")</f>
        <v/>
      </c>
      <c r="P22" s="2" t="inlineStr">
        <is>
          <t>FINISHED</t>
        </is>
      </c>
      <c r="V22" s="2" t="inlineStr">
        <is>
          <t>table</t>
        </is>
      </c>
      <c r="Y22" s="2" t="inlineStr">
        <is>
          <t>Stephan, Sherwood</t>
        </is>
      </c>
      <c r="AF22" s="2" t="inlineStr">
        <is>
          <t>histological sections</t>
        </is>
      </c>
      <c r="AG22" s="2" t="inlineStr">
        <is>
          <t>volumetry</t>
        </is>
      </c>
      <c r="AI22" s="2" t="inlineStr">
        <is>
          <t>insular cortex volumes</t>
        </is>
      </c>
      <c r="AJ22" s="2" t="inlineStr">
        <is>
          <t>Primates</t>
        </is>
      </c>
      <c r="AK22" s="2" t="inlineStr">
        <is>
          <t>primary</t>
        </is>
      </c>
      <c r="AL22" s="2" t="inlineStr">
        <is>
          <t>primary</t>
        </is>
      </c>
      <c r="AM22" s="2" t="inlineStr">
        <is>
          <t>volume</t>
        </is>
      </c>
    </row>
    <row r="23" ht="16" customHeight="1">
      <c r="A23" s="2"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D23" s="2" t="inlineStr">
        <is>
          <t>Table 3</t>
        </is>
      </c>
      <c r="E23">
        <f>RIGHT(A23,1)</f>
        <v/>
      </c>
      <c r="F23">
        <f>G23 &amp; IF(H23&lt;&gt;"", "_" &amp; H23, "_") &amp; IF(I23&lt;&gt;"", "_" &amp; I23, "_") &amp; IF(B23&lt;&gt;"", "_" &amp; B23, "")</f>
        <v/>
      </c>
      <c r="G23">
        <f>SUBSTITUTE(SUBSTITUTE(_xlfn.TEXTBEFORE(A23,","), "-", ""), " ", "")</f>
        <v/>
      </c>
      <c r="H23">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
      </c>
      <c r="I23">
        <f>_xlfn.TEXTBEFORE(_xlfn.TEXTAFTER(A23, "("), ")")</f>
        <v/>
      </c>
      <c r="J23">
        <f>_xlfn.LET(
_xlpm.doi,IF(C23&lt;&gt;"",C23,_xlfn.TEXTAFTER(A23,"https://doi.org/")),
SUBSTITUTE(
SUBSTITUTE(
SUBSTITUTE(
SUBSTITUTE(
_xlpm.doi,
"/","%2F"),
":","%3A"),
"&lt;","%3C"),
"&gt;","%3E")
)</f>
        <v/>
      </c>
      <c r="K23">
        <f>TRIM(_xlfn.TEXTJOIN("_",FALSE,F23,(SUBSTITUTE(SUBSTITUTE(D23," ",""), "_", ""))))</f>
        <v/>
      </c>
      <c r="L23">
        <f>J23 &amp; "_" &amp; SUBSTITUTE(SUBSTITUTE(SUBSTITUTE(D23,CHAR(160),"")," ",""),"_","")</f>
        <v/>
      </c>
      <c r="M23">
        <f t="array" ref="M23">IFERROR(INDEX(FileList!$A$1:$A$100,MATCH(TRUE,EXACT(L23,_xlfn.TEXTBEFORE(FileList!$A$1:$A$100,".tsv")),0)),"notfound")</f>
        <v/>
      </c>
      <c r="V23" s="2" t="inlineStr">
        <is>
          <t>table</t>
        </is>
      </c>
      <c r="Y23" s="2" t="inlineStr">
        <is>
          <t>Stephan, Sherwood</t>
        </is>
      </c>
      <c r="AF23" s="2" t="inlineStr">
        <is>
          <t>histological sections</t>
        </is>
      </c>
      <c r="AG23" s="2" t="inlineStr">
        <is>
          <t>volumetry</t>
        </is>
      </c>
      <c r="AI23" s="2" t="inlineStr">
        <is>
          <t>insular cortex volumes</t>
        </is>
      </c>
      <c r="AJ23" s="2" t="inlineStr">
        <is>
          <t>Primates</t>
        </is>
      </c>
      <c r="AK23" s="2" t="inlineStr">
        <is>
          <t>primary</t>
        </is>
      </c>
      <c r="AL23" s="2" t="inlineStr">
        <is>
          <t>primary</t>
        </is>
      </c>
      <c r="AM23" s="2" t="inlineStr">
        <is>
          <t>volume</t>
        </is>
      </c>
    </row>
    <row r="24" ht="16" customHeight="1">
      <c r="A24" s="2" t="inlineStr">
        <is>
          <t>Brodmann, K. (1913). Neue Forschungsergebnisse der Großhirnrindenanatomie mit besonderer Berücksichtigung anthropologischer Fragen. Verhandlungen der Gesellschaft Deutscher Naturforscher und Ärzte, 85(1), 200-240</t>
        </is>
      </c>
      <c r="C24" s="2" t="inlineStr">
        <is>
          <t>10.0000/placeholder</t>
        </is>
      </c>
      <c r="D24" s="2" t="inlineStr">
        <is>
          <t>Tabelle 1</t>
        </is>
      </c>
      <c r="E24">
        <f>RIGHT(A24,1)</f>
        <v/>
      </c>
      <c r="F24">
        <f>G24 &amp; IF(H24&lt;&gt;"", "_" &amp; H24, "_") &amp; IF(I24&lt;&gt;"", "_" &amp; I24, "_") &amp; IF(B24&lt;&gt;"", "_" &amp; B24, "")</f>
        <v/>
      </c>
      <c r="G24">
        <f>SUBSTITUTE(SUBSTITUTE(_xlfn.TEXTBEFORE(A24,","), "-", ""), " ", "")</f>
        <v/>
      </c>
      <c r="H24">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
      </c>
      <c r="I24">
        <f>_xlfn.TEXTBEFORE(_xlfn.TEXTAFTER(A24, "("), ")")</f>
        <v/>
      </c>
      <c r="J24">
        <f>_xlfn.LET(
_xlpm.doi,IF(C24&lt;&gt;"",C24,_xlfn.TEXTAFTER(A24,"https://doi.org/")),
SUBSTITUTE(
SUBSTITUTE(
SUBSTITUTE(
SUBSTITUTE(
_xlpm.doi,
"/","%2F"),
":","%3A"),
"&lt;","%3C"),
"&gt;","%3E")
)</f>
        <v/>
      </c>
      <c r="K24">
        <f>TRIM(_xlfn.TEXTJOIN("_",FALSE,F24,(SUBSTITUTE(SUBSTITUTE(D24," ",""), "_", ""))))</f>
        <v/>
      </c>
      <c r="L24">
        <f>J24 &amp; "_" &amp; SUBSTITUTE(SUBSTITUTE(SUBSTITUTE(D24,CHAR(160),"")," ",""),"_","")</f>
        <v/>
      </c>
      <c r="M24">
        <f t="array" ref="M24">IFERROR(INDEX(FileList!$A$1:$A$100,MATCH(TRUE,EXACT(L24,_xlfn.TEXTBEFORE(FileList!$A$1:$A$100,".tsv")),0)),"notfound")</f>
        <v/>
      </c>
      <c r="AI24" s="2" t="inlineStr">
        <is>
          <t>cortical surface area</t>
        </is>
      </c>
      <c r="AJ24" s="2" t="inlineStr">
        <is>
          <t>Mammals (various)</t>
        </is>
      </c>
      <c r="AL24" s="2" t="inlineStr">
        <is>
          <t>primary</t>
        </is>
      </c>
      <c r="AM24" s="2" t="inlineStr">
        <is>
          <t>cortical surface area</t>
        </is>
      </c>
    </row>
    <row r="25" ht="16" customHeight="1">
      <c r="A25" s="2" t="inlineStr">
        <is>
          <t>Burger, J. R., George, M. A., Leadbetter, C., &amp; Shaikh, F. (2019). The allometry of brain size in mammals. J Mammal, 100(2), 276-283. https://doi.org/10.1093/jmammal/gyz043</t>
        </is>
      </c>
      <c r="D25" s="2" t="inlineStr">
        <is>
          <t>Supplementary Data SD1</t>
        </is>
      </c>
      <c r="E25">
        <f>RIGHT(A25,1)</f>
        <v/>
      </c>
      <c r="F25">
        <f>G25 &amp; IF(H25&lt;&gt;"", "_" &amp; H25, "_") &amp; IF(I25&lt;&gt;"", "_" &amp; I25, "_") &amp; IF(B25&lt;&gt;"", "_" &amp; B25, "")</f>
        <v/>
      </c>
      <c r="G25">
        <f>SUBSTITUTE(SUBSTITUTE(_xlfn.TEXTBEFORE(A25,","), "-", ""), " ", "")</f>
        <v/>
      </c>
      <c r="H25">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
      </c>
      <c r="I25">
        <f>_xlfn.TEXTBEFORE(_xlfn.TEXTAFTER(A25, "("), ")")</f>
        <v/>
      </c>
      <c r="J25">
        <f>_xlfn.LET(
_xlpm.doi,IF(C25&lt;&gt;"",C25,_xlfn.TEXTAFTER(A25,"https://doi.org/")),
SUBSTITUTE(
SUBSTITUTE(
SUBSTITUTE(
SUBSTITUTE(
_xlpm.doi,
"/","%2F"),
":","%3A"),
"&lt;","%3C"),
"&gt;","%3E")
)</f>
        <v/>
      </c>
      <c r="K25">
        <f>TRIM(_xlfn.TEXTJOIN("_",FALSE,F25,(SUBSTITUTE(SUBSTITUTE(D25," ",""), "_", ""))))</f>
        <v/>
      </c>
      <c r="L25">
        <f>J25 &amp; "_" &amp; SUBSTITUTE(SUBSTITUTE(SUBSTITUTE(D25,CHAR(160),"")," ",""),"_","")</f>
        <v/>
      </c>
      <c r="M25">
        <f t="array" ref="M25">IFERROR(INDEX(FileList!$A$1:$A$100,MATCH(TRUE,EXACT(L25,_xlfn.TEXTBEFORE(FileList!$A$1:$A$100,".tsv")),0)),"notfound")</f>
        <v/>
      </c>
      <c r="O25" s="2" t="inlineStr">
        <is>
          <t>Supplementary Data SD2</t>
        </is>
      </c>
      <c r="P25" s="2" t="inlineStr">
        <is>
          <t>FINISHED</t>
        </is>
      </c>
      <c r="Q25" s="2" t="inlineStr">
        <is>
          <t>already there</t>
        </is>
      </c>
      <c r="R25" s="2" t="inlineStr">
        <is>
          <t>gyz043_suppl_Supplement_Data.csv</t>
        </is>
      </c>
      <c r="S25" s="2" t="inlineStr">
        <is>
          <t>N</t>
        </is>
      </c>
      <c r="T25" s="2">
        <f>IF(S25="N", R25, "write file name")</f>
        <v/>
      </c>
      <c r="U25" s="2" t="inlineStr">
        <is>
          <t>zipped csv</t>
        </is>
      </c>
      <c r="V25" s="2" t="inlineStr">
        <is>
          <t>table</t>
        </is>
      </c>
      <c r="W25" s="2" t="inlineStr">
        <is>
          <t>NO - the article link did not work in R, and goes to a zip</t>
        </is>
      </c>
      <c r="AB25" s="2" t="inlineStr">
        <is>
          <t>derived relative brain size data are problematic</t>
        </is>
      </c>
      <c r="AH25" s="2" t="inlineStr">
        <is>
          <t>mammals</t>
        </is>
      </c>
      <c r="AI25" s="2" t="inlineStr">
        <is>
          <t>Brain and body size</t>
        </is>
      </c>
      <c r="AJ25" s="2" t="inlineStr">
        <is>
          <t>Mammals</t>
        </is>
      </c>
      <c r="AK25" s="2" t="inlineStr">
        <is>
          <t>secondary</t>
        </is>
      </c>
      <c r="AL25" s="2" t="inlineStr">
        <is>
          <t>secondary</t>
        </is>
      </c>
      <c r="AM25" s="2" t="inlineStr">
        <is>
          <t>brain &amp; body mass</t>
        </is>
      </c>
    </row>
    <row r="26" ht="16" customHeight="1">
      <c r="A26" s="2" t="inlineStr">
        <is>
          <t>Burish, M. J., Peebles, J. K., Baldwin, M. K., Tavares, L., Kaas, J. H., &amp; Herculano-Houzel, S. (2010). Cellular scaling rules for primate spinal cords. Brain Behav Evol, 76(1), 45-59. https://doi.org/10.1159/000319019</t>
        </is>
      </c>
      <c r="D26" s="2" t="inlineStr">
        <is>
          <t>Supplementary Table 1</t>
        </is>
      </c>
      <c r="E26">
        <f>RIGHT(A26,1)</f>
        <v/>
      </c>
      <c r="F26">
        <f>G26 &amp; IF(H26&lt;&gt;"", "_" &amp; H26, "_") &amp; IF(I26&lt;&gt;"", "_" &amp; I26, "_") &amp; IF(B26&lt;&gt;"", "_" &amp; B26, "")</f>
        <v/>
      </c>
      <c r="G26">
        <f>SUBSTITUTE(SUBSTITUTE(_xlfn.TEXTBEFORE(A26,","), "-", ""), " ", "")</f>
        <v/>
      </c>
      <c r="H26">
        <f>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
      </c>
      <c r="I26">
        <f>_xlfn.TEXTBEFORE(_xlfn.TEXTAFTER(A26, "("), ")")</f>
        <v/>
      </c>
      <c r="J26">
        <f>_xlfn.LET(
_xlpm.doi,IF(C26&lt;&gt;"",C26,_xlfn.TEXTAFTER(A26,"https://doi.org/")),
SUBSTITUTE(
SUBSTITUTE(
SUBSTITUTE(
SUBSTITUTE(
_xlpm.doi,
"/","%2F"),
":","%3A"),
"&lt;","%3C"),
"&gt;","%3E")
)</f>
        <v/>
      </c>
      <c r="K26">
        <f>TRIM(_xlfn.TEXTJOIN("_",FALSE,F26,(SUBSTITUTE(SUBSTITUTE(D26," ",""), "_", ""))))</f>
        <v/>
      </c>
      <c r="L26">
        <f>J26 &amp; "_" &amp; SUBSTITUTE(SUBSTITUTE(SUBSTITUTE(D26,CHAR(160),"")," ",""),"_","")</f>
        <v/>
      </c>
      <c r="M26">
        <f t="array" ref="M26">IFERROR(INDEX(FileList!$A$1:$A$100,MATCH(TRUE,EXACT(L26,_xlfn.TEXTBEFORE(FileList!$A$1:$A$100,".tsv")),0)),"notfound")</f>
        <v/>
      </c>
      <c r="N26" s="2" t="inlineStr">
        <is>
          <t>Supplementary Table 1: Dataset of individual spinal cord measurements</t>
        </is>
      </c>
      <c r="P26" s="2" t="inlineStr">
        <is>
          <t>Species - binomials need to be added</t>
        </is>
      </c>
      <c r="R26" s="2" t="inlineStr">
        <is>
          <t>Burish_etal_2010_SupplementaryTable1_snapshot.csv</t>
        </is>
      </c>
      <c r="Y26" s="2" t="inlineStr">
        <is>
          <t>HH</t>
        </is>
      </c>
      <c r="Z26" s="2" t="inlineStr">
        <is>
          <t>HH</t>
        </is>
      </c>
      <c r="AA26" s="2" t="inlineStr">
        <is>
          <t>number spinal cord neurons</t>
        </is>
      </c>
      <c r="AG26" s="2" t="inlineStr">
        <is>
          <t>isotropic fractionator</t>
        </is>
      </c>
      <c r="AH26" s="2" t="inlineStr">
        <is>
          <t>primates and tree shrew</t>
        </is>
      </c>
      <c r="AJ26" s="2" t="inlineStr">
        <is>
          <t>Primates (+ other mammals)</t>
        </is>
      </c>
      <c r="AK26" s="2" t="inlineStr">
        <is>
          <t>primary (individual)</t>
        </is>
      </c>
      <c r="AL26" s="2" t="inlineStr">
        <is>
          <t>review</t>
        </is>
      </c>
      <c r="AM26" s="2" t="inlineStr">
        <is>
          <t>review</t>
        </is>
      </c>
    </row>
    <row r="27" ht="16" customHeight="1">
      <c r="A27" s="2" t="inlineStr">
        <is>
          <t>Burish, M. J., Peebles, J. K., Baldwin, M. K., Tavares, L., Kaas, J. H., &amp; Herculano-Houzel, S. (2010). Cellular scaling rules for primate spinal cords. Brain Behav Evol, 76(1), 45-59. https://doi.org/10.1159/000319019</t>
        </is>
      </c>
      <c r="D27" s="2" t="inlineStr">
        <is>
          <t>Table 1</t>
        </is>
      </c>
      <c r="E27">
        <f>RIGHT(A27,1)</f>
        <v/>
      </c>
      <c r="F27">
        <f>G27 &amp; IF(H27&lt;&gt;"", "_" &amp; H27, "_") &amp; IF(I27&lt;&gt;"", "_" &amp; I27, "_") &amp; IF(B27&lt;&gt;"", "_" &amp; B27, "")</f>
        <v/>
      </c>
      <c r="G27">
        <f>SUBSTITUTE(SUBSTITUTE(_xlfn.TEXTBEFORE(A27,","), "-", ""), " ", "")</f>
        <v/>
      </c>
      <c r="H27">
        <f>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
      </c>
      <c r="I27">
        <f>_xlfn.TEXTBEFORE(_xlfn.TEXTAFTER(A27, "("), ")")</f>
        <v/>
      </c>
      <c r="J27">
        <f>_xlfn.LET(
_xlpm.doi,IF(C27&lt;&gt;"",C27,_xlfn.TEXTAFTER(A27,"https://doi.org/")),
SUBSTITUTE(
SUBSTITUTE(
SUBSTITUTE(
SUBSTITUTE(
_xlpm.doi,
"/","%2F"),
":","%3A"),
"&lt;","%3C"),
"&gt;","%3E")
)</f>
        <v/>
      </c>
      <c r="K27">
        <f>TRIM(_xlfn.TEXTJOIN("_",FALSE,F27,(SUBSTITUTE(SUBSTITUTE(D27," ",""), "_", ""))))</f>
        <v/>
      </c>
      <c r="L27">
        <f>J27 &amp; "_" &amp; SUBSTITUTE(SUBSTITUTE(SUBSTITUTE(D27,CHAR(160),"")," ",""),"_","")</f>
        <v/>
      </c>
      <c r="M27">
        <f t="array" ref="M27">IFERROR(INDEX(FileList!$A$1:$A$100,MATCH(TRUE,EXACT(L27,_xlfn.TEXTBEFORE(FileList!$A$1:$A$100,".tsv")),0)),"notfound")</f>
        <v/>
      </c>
      <c r="N27" s="2" t="inlineStr">
        <is>
          <t>Table 1. Cellular composition of the spinal cord</t>
        </is>
      </c>
      <c r="P27" s="2" t="inlineStr">
        <is>
          <t>FINISHED</t>
        </is>
      </c>
      <c r="Q27" s="2" t="inlineStr">
        <is>
          <t>added</t>
        </is>
      </c>
      <c r="R27" s="2" t="inlineStr">
        <is>
          <t>Burish_etal_2010_Table1_snapshot.csv</t>
        </is>
      </c>
      <c r="T27" s="2" t="inlineStr">
        <is>
          <t>Burish_etal_2010_Table1.csv</t>
        </is>
      </c>
      <c r="U27" s="2" t="inlineStr">
        <is>
          <t>pdf</t>
        </is>
      </c>
      <c r="V27" s="2" t="inlineStr">
        <is>
          <t>table</t>
        </is>
      </c>
      <c r="X27" s="2" t="inlineStr">
        <is>
          <t>https://doi.org/10.1159/000319019</t>
        </is>
      </c>
      <c r="Y27" s="2" t="inlineStr">
        <is>
          <t>HH</t>
        </is>
      </c>
      <c r="Z27" s="2" t="inlineStr">
        <is>
          <t>HH</t>
        </is>
      </c>
      <c r="AA27" s="2" t="inlineStr">
        <is>
          <t>number spinal cord neurons</t>
        </is>
      </c>
      <c r="AC27" s="2" t="inlineStr">
        <is>
          <t>species-name-error: species-name typo corrected from paper text (in .R script).</t>
        </is>
      </c>
      <c r="AG27" s="2" t="inlineStr">
        <is>
          <t>isotropic fractionator</t>
        </is>
      </c>
      <c r="AH27" s="2" t="inlineStr">
        <is>
          <t>primates and tree shrew</t>
        </is>
      </c>
      <c r="AJ27" s="2" t="inlineStr">
        <is>
          <t>Primates (+ other mammals)</t>
        </is>
      </c>
      <c r="AK27" s="2" t="inlineStr">
        <is>
          <t>primary (averages)</t>
        </is>
      </c>
      <c r="AL27" s="2" t="inlineStr">
        <is>
          <t>review</t>
        </is>
      </c>
      <c r="AM27" s="2" t="inlineStr">
        <is>
          <t>review</t>
        </is>
      </c>
    </row>
    <row r="28" ht="16" customHeight="1">
      <c r="A28" s="2" t="inlineStr">
        <is>
          <t>Bush, E. C., &amp; Allman, J. M. (2003). The scaling of white matter to gray matter in cerebellum and neocortex. Brain Behav Evol, 61(1), 1-5. https://doi.org/10.1159/000068880</t>
        </is>
      </c>
      <c r="D28" s="2" t="inlineStr">
        <is>
          <t>Table 1</t>
        </is>
      </c>
      <c r="E28">
        <f>RIGHT(A28,1)</f>
        <v/>
      </c>
      <c r="F28">
        <f>G28 &amp; IF(H28&lt;&gt;"", "_" &amp; H28, "_") &amp; IF(I28&lt;&gt;"", "_" &amp; I28, "_") &amp; IF(B28&lt;&gt;"", "_" &amp; B28, "")</f>
        <v/>
      </c>
      <c r="G28">
        <f>SUBSTITUTE(SUBSTITUTE(_xlfn.TEXTBEFORE(A28,","), "-", ""), " ", "")</f>
        <v/>
      </c>
      <c r="H28">
        <f>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
      </c>
      <c r="I28">
        <f>_xlfn.TEXTBEFORE(_xlfn.TEXTAFTER(A28, "("), ")")</f>
        <v/>
      </c>
      <c r="J28">
        <f>_xlfn.LET(
_xlpm.doi,IF(C28&lt;&gt;"",C28,_xlfn.TEXTAFTER(A28,"https://doi.org/")),
SUBSTITUTE(
SUBSTITUTE(
SUBSTITUTE(
SUBSTITUTE(
_xlpm.doi,
"/","%2F"),
":","%3A"),
"&lt;","%3C"),
"&gt;","%3E")
)</f>
        <v/>
      </c>
      <c r="K28">
        <f>TRIM(_xlfn.TEXTJOIN("_",FALSE,F28,(SUBSTITUTE(SUBSTITUTE(D28," ",""), "_", ""))))</f>
        <v/>
      </c>
      <c r="L28">
        <f>J28 &amp; "_" &amp; SUBSTITUTE(SUBSTITUTE(SUBSTITUTE(D28,CHAR(160),"")," ",""),"_","")</f>
        <v/>
      </c>
      <c r="M28">
        <f t="array" ref="M28">IFERROR(INDEX(FileList!$A$1:$A$100,MATCH(TRUE,EXACT(L28,_xlfn.TEXTBEFORE(FileList!$A$1:$A$100,".tsv")),0)),"notfound")</f>
        <v/>
      </c>
      <c r="N28" s="2" t="inlineStr">
        <is>
          <t>Table 2. Major axis regression slopes and 95% confidence intervals</t>
        </is>
      </c>
      <c r="P28" s="2" t="inlineStr">
        <is>
          <t>not extracted (regression statistics, not species trait data)</t>
        </is>
      </c>
      <c r="Y28" s="2" t="inlineStr">
        <is>
          <t>Allman</t>
        </is>
      </c>
      <c r="Z28" s="2" t="inlineStr">
        <is>
          <t>AFIP</t>
        </is>
      </c>
    </row>
    <row r="29" ht="16" customHeight="1">
      <c r="A29" s="2" t="inlineStr">
        <is>
          <t>Bush, E. C., &amp; Allman, J. M. (2004). The scaling of frontal cortex in primates and carnivores. Proc Natl Acad Sci U S A, 101(11), 3962-3966. https://doi.org/10.1073/pnas.0305760101</t>
        </is>
      </c>
      <c r="B29" s="2" t="inlineStr">
        <is>
          <t>a</t>
        </is>
      </c>
      <c r="D29" s="2" t="inlineStr">
        <is>
          <t>Table 2</t>
        </is>
      </c>
      <c r="E29">
        <f>RIGHT(A29,1)</f>
        <v/>
      </c>
      <c r="F29">
        <f>G29 &amp; IF(H29&lt;&gt;"", "_" &amp; H29, "_") &amp; IF(I29&lt;&gt;"", "_" &amp; I29, "_") &amp; IF(B29&lt;&gt;"", "_" &amp; B29, "")</f>
        <v/>
      </c>
      <c r="G29">
        <f>SUBSTITUTE(SUBSTITUTE(_xlfn.TEXTBEFORE(A29,","), "-", ""), " ", "")</f>
        <v/>
      </c>
      <c r="H29">
        <f>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
      </c>
      <c r="I29">
        <f>_xlfn.TEXTBEFORE(_xlfn.TEXTAFTER(A29, "("), ")")</f>
        <v/>
      </c>
      <c r="J29">
        <f>_xlfn.LET(
_xlpm.doi,IF(C29&lt;&gt;"",C29,_xlfn.TEXTAFTER(A29,"https://doi.org/")),
SUBSTITUTE(
SUBSTITUTE(
SUBSTITUTE(
SUBSTITUTE(
_xlpm.doi,
"/","%2F"),
":","%3A"),
"&lt;","%3C"),
"&gt;","%3E")
)</f>
        <v/>
      </c>
      <c r="K29">
        <f>TRIM(_xlfn.TEXTJOIN("_",FALSE,F29,(SUBSTITUTE(SUBSTITUTE(D29," ",""), "_", ""))))</f>
        <v/>
      </c>
      <c r="L29">
        <f>J29 &amp; "_" &amp; SUBSTITUTE(SUBSTITUTE(SUBSTITUTE(D29,CHAR(160),"")," ",""),"_","")</f>
        <v/>
      </c>
      <c r="M29">
        <f t="array" ref="M29">IFERROR(INDEX(FileList!$A$1:$A$100,MATCH(TRUE,EXACT(L29,_xlfn.TEXTBEFORE(FileList!$A$1:$A$100,".tsv")),0)),"notfound")</f>
        <v/>
      </c>
      <c r="N29" s="2" t="inlineStr">
        <is>
          <t>Table 1. White matter and gray matter volumes (cm3) for neocortex and cerebellum for 45 mammals</t>
        </is>
      </c>
      <c r="P29" s="2" t="inlineStr">
        <is>
          <t>Data readable</t>
        </is>
      </c>
      <c r="R29" s="2" t="inlineStr">
        <is>
          <t>Bush_Allman_2003_Table1_snapshot.csv</t>
        </is>
      </c>
      <c r="S29" s="2" t="inlineStr">
        <is>
          <t>Y</t>
        </is>
      </c>
      <c r="T29" s="2" t="inlineStr">
        <is>
          <t>Bush_Allman_2003_Table1.csv</t>
        </is>
      </c>
      <c r="U29" s="2" t="inlineStr">
        <is>
          <t>pdf</t>
        </is>
      </c>
      <c r="V29" s="2" t="inlineStr">
        <is>
          <t>table</t>
        </is>
      </c>
      <c r="Y29" s="2" t="inlineStr">
        <is>
          <t>Allman</t>
        </is>
      </c>
      <c r="Z29" s="2" t="inlineStr">
        <is>
          <t>AFIP</t>
        </is>
      </c>
      <c r="AF29" s="2" t="inlineStr">
        <is>
          <t>histological sections</t>
        </is>
      </c>
      <c r="AG29" s="2" t="inlineStr">
        <is>
          <t>volumetry</t>
        </is>
      </c>
      <c r="AH29" s="2" t="inlineStr">
        <is>
          <t>mammals (incl. primates)</t>
        </is>
      </c>
      <c r="AI29" s="2" t="inlineStr">
        <is>
          <t>neocortex &amp; cerebellum grey/white volumes</t>
        </is>
      </c>
      <c r="AK29" s="2" t="inlineStr">
        <is>
          <t>primary</t>
        </is>
      </c>
    </row>
    <row r="30" ht="16" customHeight="1">
      <c r="A30" s="2" t="inlineStr">
        <is>
          <t>Bush, E. C., &amp; Allman, J. M. (2004). Three-dimensional structure and evolution of primate primary visual cortex. Anat Rec (Hoboken), 281(1), 1088-1094. https://doi.org/10.1002/ar.a.20114</t>
        </is>
      </c>
      <c r="B30" s="2" t="inlineStr">
        <is>
          <t>b</t>
        </is>
      </c>
      <c r="D30" s="2" t="inlineStr">
        <is>
          <t>TABLE 1</t>
        </is>
      </c>
      <c r="E30">
        <f>RIGHT(A30,1)</f>
        <v/>
      </c>
      <c r="F30">
        <f>G30 &amp; IF(H30&lt;&gt;"", "_" &amp; H30, "_") &amp; IF(I30&lt;&gt;"", "_" &amp; I30, "_") &amp; IF(B30&lt;&gt;"", "_" &amp; B30, "")</f>
        <v/>
      </c>
      <c r="G30">
        <f>SUBSTITUTE(SUBSTITUTE(_xlfn.TEXTBEFORE(A30,","), "-", ""), " ", "")</f>
        <v/>
      </c>
      <c r="H30">
        <f>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
      </c>
      <c r="I30">
        <f>_xlfn.TEXTBEFORE(_xlfn.TEXTAFTER(A30, "("), ")")</f>
        <v/>
      </c>
      <c r="J30">
        <f>_xlfn.LET(
_xlpm.doi,IF(C30&lt;&gt;"",C30,_xlfn.TEXTAFTER(A30,"https://doi.org/")),
SUBSTITUTE(
SUBSTITUTE(
SUBSTITUTE(
SUBSTITUTE(
_xlpm.doi,
"/","%2F"),
":","%3A"),
"&lt;","%3C"),
"&gt;","%3E")
)</f>
        <v/>
      </c>
      <c r="K30">
        <f>TRIM(_xlfn.TEXTJOIN("_",FALSE,F30,(SUBSTITUTE(SUBSTITUTE(D30," ",""), "_", ""))))</f>
        <v/>
      </c>
      <c r="L30">
        <f>J30 &amp; "_" &amp; SUBSTITUTE(SUBSTITUTE(SUBSTITUTE(D30,CHAR(160),"")," ",""),"_","")</f>
        <v/>
      </c>
      <c r="M30">
        <f t="array" ref="M30">IFERROR(INDEX(FileList!$A$1:$A$100,MATCH(TRUE,EXACT(L30,_xlfn.TEXTBEFORE(FileList!$A$1:$A$100,".tsv")),0)),"notfound")</f>
        <v/>
      </c>
      <c r="N30" s="2" t="inlineStr">
        <is>
          <t>Table 1. Measurements in V1 and the rest of the brain for a sample of primates</t>
        </is>
      </c>
      <c r="P30" s="2" t="inlineStr">
        <is>
          <t>Data readable</t>
        </is>
      </c>
      <c r="R30" s="2" t="inlineStr">
        <is>
          <t>Bush_Allman_2004_Table1_snapshot.csv</t>
        </is>
      </c>
      <c r="S30" s="2" t="inlineStr">
        <is>
          <t>Y</t>
        </is>
      </c>
      <c r="T30" s="2" t="inlineStr">
        <is>
          <t>Bush_Allman_2004_Table1.csv</t>
        </is>
      </c>
      <c r="U30" s="2" t="inlineStr">
        <is>
          <t>pdf</t>
        </is>
      </c>
      <c r="V30" s="2" t="inlineStr">
        <is>
          <t>table</t>
        </is>
      </c>
      <c r="Y30" s="2" t="inlineStr">
        <is>
          <t>Allman</t>
        </is>
      </c>
      <c r="Z30" s="2" t="inlineStr">
        <is>
          <t>AFIP</t>
        </is>
      </c>
      <c r="AF30" s="2" t="inlineStr">
        <is>
          <t>histological sections</t>
        </is>
      </c>
      <c r="AG30" s="2" t="inlineStr">
        <is>
          <t>volumetry/stereology</t>
        </is>
      </c>
      <c r="AH30" s="2" t="inlineStr">
        <is>
          <t>primates</t>
        </is>
      </c>
      <c r="AI30" s="2" t="inlineStr">
        <is>
          <t>V1 grey, LGN, V1 surface, neocortex GM/WM</t>
        </is>
      </c>
      <c r="AK30" s="2" t="inlineStr">
        <is>
          <t>primary</t>
        </is>
      </c>
    </row>
    <row r="31" ht="16" customHeight="1">
      <c r="A31" s="2" t="inlineStr">
        <is>
          <t>Caspar, K. R., Pallasdies, F., Mader, L., Sartorelli, H., &amp; Begall, S. (2022). The evolution and biological correlates of hand preferences in anthropoid primates. Elife, 11, e77875. https://doi.org/10.7554/eLife.77875</t>
        </is>
      </c>
      <c r="D31" s="2" t="inlineStr">
        <is>
          <t>Supplementary file 3</t>
        </is>
      </c>
      <c r="E31">
        <f>RIGHT(A31,1)</f>
        <v/>
      </c>
      <c r="F31">
        <f>G31 &amp; IF(H31&lt;&gt;"", "_" &amp; H31, "_") &amp; IF(I31&lt;&gt;"", "_" &amp; I31, "_") &amp; IF(B31&lt;&gt;"", "_" &amp; B31, "")</f>
        <v/>
      </c>
      <c r="G31">
        <f>SUBSTITUTE(SUBSTITUTE(_xlfn.TEXTBEFORE(A31,","), "-", ""), " ", "")</f>
        <v/>
      </c>
      <c r="H31">
        <f>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
      </c>
      <c r="I31">
        <f>_xlfn.TEXTBEFORE(_xlfn.TEXTAFTER(A31, "("), ")")</f>
        <v/>
      </c>
      <c r="J31">
        <f>_xlfn.LET(
_xlpm.doi,IF(C31&lt;&gt;"",C31,_xlfn.TEXTAFTER(A31,"https://doi.org/")),
SUBSTITUTE(
SUBSTITUTE(
SUBSTITUTE(
SUBSTITUTE(
_xlpm.doi,
"/","%2F"),
":","%3A"),
"&lt;","%3C"),
"&gt;","%3E")
)</f>
        <v/>
      </c>
      <c r="K31">
        <f>TRIM(_xlfn.TEXTJOIN("_",FALSE,F31,(SUBSTITUTE(SUBSTITUTE(D31," ",""), "_", ""))))</f>
        <v/>
      </c>
      <c r="L31">
        <f>J31 &amp; "_" &amp; SUBSTITUTE(SUBSTITUTE(SUBSTITUTE(D31,CHAR(160),"")," ",""),"_","")</f>
        <v/>
      </c>
      <c r="M31">
        <f t="array" ref="M31">IFERROR(INDEX(FileList!$A$1:$A$100,MATCH(TRUE,EXACT(L31,_xlfn.TEXTBEFORE(FileList!$A$1:$A$100,".tsv")),0)),"notfound")</f>
        <v/>
      </c>
      <c r="N31" s="2" t="inlineStr">
        <is>
          <t>part 2: ecological table</t>
        </is>
      </c>
      <c r="P31" s="2" t="inlineStr">
        <is>
          <t>FINISHED</t>
        </is>
      </c>
      <c r="Q31" s="2" t="inlineStr">
        <is>
          <t>added</t>
        </is>
      </c>
      <c r="R31" s="2" t="inlineStr">
        <is>
          <t>elife-77875-supp3-v1.xlsx</t>
        </is>
      </c>
      <c r="S31" s="2" t="inlineStr">
        <is>
          <t>N</t>
        </is>
      </c>
      <c r="T31" s="2">
        <f>IF(S31="N", R31, "write file name")</f>
        <v/>
      </c>
      <c r="U31" s="2" t="inlineStr">
        <is>
          <t>xlsx</t>
        </is>
      </c>
      <c r="V31" s="2" t="inlineStr">
        <is>
          <t>table</t>
        </is>
      </c>
      <c r="W31" s="2" t="inlineStr">
        <is>
          <t>YES - download link</t>
        </is>
      </c>
      <c r="X31" s="2" t="inlineStr">
        <is>
          <t>https://cdn.elifesciences.org/articles/77875/elife-77875-supp3-v1.xlsx</t>
        </is>
      </c>
      <c r="AH31" s="2" t="inlineStr">
        <is>
          <t>primates</t>
        </is>
      </c>
      <c r="AI31" s="2" t="inlineStr">
        <is>
          <t>Habitual Tool Use, Ecology, Female brain size</t>
        </is>
      </c>
      <c r="AJ31" s="2" t="inlineStr">
        <is>
          <t>Primates</t>
        </is>
      </c>
      <c r="AK31" s="2" t="inlineStr">
        <is>
          <t>secondary</t>
        </is>
      </c>
      <c r="AL31" s="2" t="inlineStr">
        <is>
          <t>secondary</t>
        </is>
      </c>
      <c r="AM31" s="2" t="inlineStr">
        <is>
          <t>behavioural (handedness, tool use, ecology)</t>
        </is>
      </c>
    </row>
    <row r="32" ht="16" customHeight="1">
      <c r="A32" s="2" t="inlineStr">
        <is>
          <t>Caspar, K. R., Pallasdies, F., Mader, L., Sartorelli, H., &amp; Begall, S. (2022). The evolution and biological correlates of hand preferences in anthropoid primates. Elife, 11, e77875. https://doi.org/10.7554/eLife.77875</t>
        </is>
      </c>
      <c r="D32" s="2" t="inlineStr">
        <is>
          <t>Table 1</t>
        </is>
      </c>
      <c r="E32">
        <f>RIGHT(A32,1)</f>
        <v/>
      </c>
      <c r="F32">
        <f>G32 &amp; IF(H32&lt;&gt;"", "_" &amp; H32, "_") &amp; IF(I32&lt;&gt;"", "_" &amp; I32, "_") &amp; IF(B32&lt;&gt;"", "_" &amp; B32, "")</f>
        <v/>
      </c>
      <c r="G32">
        <f>SUBSTITUTE(SUBSTITUTE(_xlfn.TEXTBEFORE(A32,","), "-", ""), " ", "")</f>
        <v/>
      </c>
      <c r="H32">
        <f>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
      </c>
      <c r="I32">
        <f>_xlfn.TEXTBEFORE(_xlfn.TEXTAFTER(A32, "("), ")")</f>
        <v/>
      </c>
      <c r="J32">
        <f>_xlfn.LET(
_xlpm.doi,IF(C32&lt;&gt;"",C32,_xlfn.TEXTAFTER(A32,"https://doi.org/")),
SUBSTITUTE(
SUBSTITUTE(
SUBSTITUTE(
SUBSTITUTE(
_xlpm.doi,
"/","%2F"),
":","%3A"),
"&lt;","%3C"),
"&gt;","%3E")
)</f>
        <v/>
      </c>
      <c r="K32">
        <f>TRIM(_xlfn.TEXTJOIN("_",FALSE,F32,(SUBSTITUTE(SUBSTITUTE(D32," ",""), "_", ""))))</f>
        <v/>
      </c>
      <c r="L32">
        <f>J32 &amp; "_" &amp; SUBSTITUTE(SUBSTITUTE(SUBSTITUTE(D32,CHAR(160),"")," ",""),"_","")</f>
        <v/>
      </c>
      <c r="M32">
        <f t="array" ref="M32">IFERROR(INDEX(FileList!$A$1:$A$100,MATCH(TRUE,EXACT(L32,_xlfn.TEXTBEFORE(FileList!$A$1:$A$100,".tsv")),0)),"notfound")</f>
        <v/>
      </c>
      <c r="N32" s="2" t="inlineStr">
        <is>
          <t>part 1: handedness summary table</t>
        </is>
      </c>
      <c r="P32" s="2" t="inlineStr">
        <is>
          <t>FINISHED</t>
        </is>
      </c>
      <c r="Q32" s="2" t="inlineStr">
        <is>
          <t>added</t>
        </is>
      </c>
      <c r="R32" s="2" t="inlineStr">
        <is>
          <t>Caspar_etal_2022_Table1_snapshot.xlsx</t>
        </is>
      </c>
      <c r="S32" s="2" t="inlineStr">
        <is>
          <t>Y</t>
        </is>
      </c>
      <c r="T32" s="2" t="inlineStr">
        <is>
          <t>Caspar_etal_2022_Table1.csv</t>
        </is>
      </c>
      <c r="U32" s="2" t="inlineStr">
        <is>
          <t>pdf</t>
        </is>
      </c>
      <c r="V32" s="2" t="inlineStr">
        <is>
          <t>table</t>
        </is>
      </c>
      <c r="W32" s="2" t="inlineStr">
        <is>
          <t>YES - but formatting issues</t>
        </is>
      </c>
      <c r="X32" s="2" t="inlineStr">
        <is>
          <t>https://elifesciences.org/download/aHR0cHM6Ly9jZG4uZWxpZmVzY2llbmNlcy5vcmcvYXJ0aWNsZXMvNzc4NzUvZWxpZmUtNzc4NzUtdjEucGRmP2Nhbm9uaWNhbFVyaT1odHRwczovL2VsaWZlc2NpZW5jZXMub3JnL2FydGljbGVzLzc3ODc1/elife-77875-v1.pdf?_hash=NStjcL9fTlmy3AQDwSiM0YgMVB3UYjO8nDg0UbwN5gM%3D</t>
        </is>
      </c>
      <c r="AB32" s="2" t="inlineStr">
        <is>
          <t>perhaps useful to get raw data as well?</t>
        </is>
      </c>
      <c r="AH32" s="2" t="inlineStr">
        <is>
          <t>primates</t>
        </is>
      </c>
      <c r="AI32" s="2" t="inlineStr">
        <is>
          <t>Handedness derived data</t>
        </is>
      </c>
      <c r="AJ32" s="2" t="inlineStr">
        <is>
          <t>Primates</t>
        </is>
      </c>
      <c r="AK32" s="2" t="inlineStr">
        <is>
          <t>derived from primary</t>
        </is>
      </c>
      <c r="AL32" s="2" t="inlineStr">
        <is>
          <t>secondary</t>
        </is>
      </c>
      <c r="AM32" s="2" t="inlineStr">
        <is>
          <t>behavioural (handedness)</t>
        </is>
      </c>
    </row>
    <row r="33" ht="16" customHeight="1">
      <c r="A33" s="2" t="inlineStr">
        <is>
          <t>Caves, E. M., Brandley, N. C., &amp; Johnsen, S. (2018). Visual Acuity and the Evolution of Signals. Trends Ecol Evol, 33(5), 358-372. https://doi.org/10.1016/j.tree.2018.03.001</t>
        </is>
      </c>
      <c r="D33" s="2" t="inlineStr">
        <is>
          <t>Table S1</t>
        </is>
      </c>
      <c r="E33">
        <f>RIGHT(A33,1)</f>
        <v/>
      </c>
      <c r="F33">
        <f>G33 &amp; IF(H33&lt;&gt;"", "_" &amp; H33, "_") &amp; IF(I33&lt;&gt;"", "_" &amp; I33, "_") &amp; IF(B33&lt;&gt;"", "_" &amp; B33, "")</f>
        <v/>
      </c>
      <c r="G33">
        <f>SUBSTITUTE(SUBSTITUTE(_xlfn.TEXTBEFORE(A33,","), "-", ""), " ", "")</f>
        <v/>
      </c>
      <c r="H33">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
      </c>
      <c r="I33">
        <f>_xlfn.TEXTBEFORE(_xlfn.TEXTAFTER(A33, "("), ")")</f>
        <v/>
      </c>
      <c r="J33">
        <f>_xlfn.LET(
_xlpm.doi,IF(C33&lt;&gt;"",C33,_xlfn.TEXTAFTER(A33,"https://doi.org/")),
SUBSTITUTE(
SUBSTITUTE(
SUBSTITUTE(
SUBSTITUTE(
_xlpm.doi,
"/","%2F"),
":","%3A"),
"&lt;","%3C"),
"&gt;","%3E")
)</f>
        <v/>
      </c>
      <c r="K33">
        <f>TRIM(_xlfn.TEXTJOIN("_",FALSE,F33,(SUBSTITUTE(SUBSTITUTE(D33," ",""), "_", ""))))</f>
        <v/>
      </c>
      <c r="L33">
        <f>J33 &amp; "_" &amp; SUBSTITUTE(SUBSTITUTE(SUBSTITUTE(D33,CHAR(160),"")," ",""),"_","")</f>
        <v/>
      </c>
      <c r="M33">
        <f t="array" ref="M33">IFERROR(INDEX(FileList!$A$1:$A$100,MATCH(TRUE,EXACT(L33,_xlfn.TEXTBEFORE(FileList!$A$1:$A$100,".tsv")),0)),"notfound")</f>
        <v/>
      </c>
      <c r="N33" s="3" t="n"/>
      <c r="P33" s="2" t="n"/>
      <c r="Q33" s="2" t="n"/>
      <c r="R33" s="2" t="n"/>
      <c r="S33" s="2" t="n"/>
      <c r="T33" s="2" t="n"/>
      <c r="U33" s="2" t="n"/>
      <c r="V33" s="2" t="n"/>
      <c r="W33" s="2" t="n"/>
      <c r="X33" s="3" t="n"/>
      <c r="AB33" s="2" t="n"/>
      <c r="AH33" s="3" t="n"/>
      <c r="AI33" s="2" t="n"/>
      <c r="AJ33" s="2" t="n"/>
      <c r="AK33" s="2" t="n"/>
      <c r="AL33" s="2" t="n"/>
      <c r="AM33" s="2" t="n"/>
    </row>
    <row r="34" ht="16" customHeight="1">
      <c r="A34" s="2" t="inlineStr">
        <is>
          <t>Changizi, M. A. (2001). Principles underlying mammalian neocortical scaling. Biol Cybern, 84(3), 207-215. https://doi.org/10.1007/s004220000205</t>
        </is>
      </c>
      <c r="D34" s="2" t="inlineStr">
        <is>
          <t>Figure 3</t>
        </is>
      </c>
      <c r="E34">
        <f>RIGHT(A34,1)</f>
        <v/>
      </c>
      <c r="F34">
        <f>G34 &amp; IF(H34&lt;&gt;"", "_" &amp; H34, "_") &amp; IF(I34&lt;&gt;"", "_" &amp; I34, "_") &amp; IF(B34&lt;&gt;"", "_" &amp; B34, "")</f>
        <v/>
      </c>
      <c r="G34">
        <f>SUBSTITUTE(SUBSTITUTE(_xlfn.TEXTBEFORE(A34,","), "-", ""), " ", "")</f>
        <v/>
      </c>
      <c r="H34">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
      </c>
      <c r="I34">
        <f>_xlfn.TEXTBEFORE(_xlfn.TEXTAFTER(A34, "("), ")")</f>
        <v/>
      </c>
      <c r="J34">
        <f>_xlfn.LET(
_xlpm.doi,IF(C34&lt;&gt;"",C34,_xlfn.TEXTAFTER(A34,"https://doi.org/")),
SUBSTITUTE(
SUBSTITUTE(
SUBSTITUTE(
SUBSTITUTE(
_xlpm.doi,
"/","%2F"),
":","%3A"),
"&lt;","%3C"),
"&gt;","%3E")
)</f>
        <v/>
      </c>
      <c r="K34">
        <f>TRIM(_xlfn.TEXTJOIN("_",FALSE,F34,(SUBSTITUTE(SUBSTITUTE(D34," ",""), "_", ""))))</f>
        <v/>
      </c>
      <c r="L34">
        <f>J34 &amp; "_" &amp; SUBSTITUTE(SUBSTITUTE(SUBSTITUTE(D34,CHAR(160),"")," ",""),"_","")</f>
        <v/>
      </c>
      <c r="M34">
        <f t="array" ref="M34">IFERROR(INDEX(FileList!$A$1:$A$100,MATCH(TRUE,EXACT(L34,_xlfn.TEXTBEFORE(FileList!$A$1:$A$100,".tsv")),0)),"notfound")</f>
        <v/>
      </c>
      <c r="P34" s="2" t="inlineStr">
        <is>
          <t>Species -- wait for Project Kaskan</t>
        </is>
      </c>
      <c r="Q34" s="2" t="inlineStr">
        <is>
          <t>NA</t>
        </is>
      </c>
      <c r="R34" s="2" t="inlineStr">
        <is>
          <t>Changizi__2001_Figure3_snapshot.csv</t>
        </is>
      </c>
      <c r="S34" s="2" t="inlineStr">
        <is>
          <t>Y</t>
        </is>
      </c>
      <c r="T34" s="2" t="inlineStr">
        <is>
          <t>Changizi__2001_Figure3.csv</t>
        </is>
      </c>
      <c r="U34" s="2" t="inlineStr">
        <is>
          <t>pdf</t>
        </is>
      </c>
      <c r="V34" s="2" t="inlineStr">
        <is>
          <t>figure and caption</t>
        </is>
      </c>
      <c r="W34" s="2" t="inlineStr">
        <is>
          <t>NO - paywall</t>
        </is>
      </c>
      <c r="AB34" s="2" t="inlineStr">
        <is>
          <t>summary to check more precise areas from ProjectKaskan</t>
        </is>
      </c>
      <c r="AI34" s="2" t="inlineStr">
        <is>
          <t>number of cortical areas</t>
        </is>
      </c>
      <c r="AJ34" s="2" t="inlineStr">
        <is>
          <t>Mammals</t>
        </is>
      </c>
      <c r="AK34" s="2" t="inlineStr">
        <is>
          <t>primary (derived from published materials)</t>
        </is>
      </c>
      <c r="AL34" s="2" t="inlineStr">
        <is>
          <t>secondary</t>
        </is>
      </c>
      <c r="AM34" s="2" t="inlineStr">
        <is>
          <t>cortical area count / scaling</t>
        </is>
      </c>
    </row>
    <row r="35" ht="16" customHeight="1">
      <c r="A35" s="2" t="inlineStr">
        <is>
          <t>Chen, Z., &amp; Wiens, J. J. (2020). The origins of acoustic communication in vertebrates. Nature Communications, 11(1), 369. https://doi.org/10.1038/s41467-020-14356-3</t>
        </is>
      </c>
      <c r="D35" s="2" t="inlineStr">
        <is>
          <t>Supplementary Data 3</t>
        </is>
      </c>
      <c r="E35">
        <f>RIGHT(A35,1)</f>
        <v/>
      </c>
      <c r="F35">
        <f>G35 &amp; IF(H35&lt;&gt;"", "_" &amp; H35, "_") &amp; IF(I35&lt;&gt;"", "_" &amp; I35, "_") &amp; IF(B35&lt;&gt;"", "_" &amp; B35, "")</f>
        <v/>
      </c>
      <c r="G35">
        <f>SUBSTITUTE(SUBSTITUTE(_xlfn.TEXTBEFORE(A35,","), "-", ""), " ", "")</f>
        <v/>
      </c>
      <c r="H35">
        <f>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
      </c>
      <c r="I35">
        <f>_xlfn.TEXTBEFORE(_xlfn.TEXTAFTER(A35, "("), ")")</f>
        <v/>
      </c>
      <c r="J35">
        <f>_xlfn.LET(
_xlpm.doi,IF(C35&lt;&gt;"",C35,_xlfn.TEXTAFTER(A35,"https://doi.org/")),
SUBSTITUTE(
SUBSTITUTE(
SUBSTITUTE(
SUBSTITUTE(
_xlpm.doi,
"/","%2F"),
":","%3A"),
"&lt;","%3C"),
"&gt;","%3E")
)</f>
        <v/>
      </c>
      <c r="K35">
        <f>TRIM(_xlfn.TEXTJOIN("_",FALSE,F35,(SUBSTITUTE(SUBSTITUTE(D35," ",""), "_", ""))))</f>
        <v/>
      </c>
      <c r="L35">
        <f>J35 &amp; "_" &amp; SUBSTITUTE(SUBSTITUTE(SUBSTITUTE(D35,CHAR(160),"")," ",""),"_","")</f>
        <v/>
      </c>
      <c r="M35">
        <f t="array" ref="M35">IFERROR(INDEX(FileList!$A$1:$A$100,MATCH(TRUE,EXACT(L35,_xlfn.TEXTBEFORE(FileList!$A$1:$A$100,".tsv")),0)),"notfound")</f>
        <v/>
      </c>
      <c r="P35" s="2" t="inlineStr">
        <is>
          <t>FINISHED</t>
        </is>
      </c>
      <c r="Q35" s="2" t="inlineStr">
        <is>
          <t>added</t>
        </is>
      </c>
      <c r="R35" s="2" t="inlineStr">
        <is>
          <t>41467_2020_14356_MOESM6_ESM.xlsx</t>
        </is>
      </c>
      <c r="S35" s="2" t="inlineStr">
        <is>
          <t>N</t>
        </is>
      </c>
      <c r="T35" s="2">
        <f>IF(S35="N", R35, "write file name")</f>
        <v/>
      </c>
      <c r="U35" s="2" t="inlineStr">
        <is>
          <t>xlsx</t>
        </is>
      </c>
      <c r="V35" s="2" t="inlineStr">
        <is>
          <t>table</t>
        </is>
      </c>
      <c r="W35" s="2" t="inlineStr">
        <is>
          <t>YES - download link</t>
        </is>
      </c>
      <c r="X35" s="2" t="inlineStr">
        <is>
          <t>https://static-content.springer.com/esm/art%3A10.1038%2Fs41467-020-14356-3/MediaObjects/41467_2020_14356_MOESM6_ESM.xlsx</t>
        </is>
      </c>
      <c r="AA35" s="2" t="inlineStr">
        <is>
          <t>dial activity (Supp 4)</t>
        </is>
      </c>
      <c r="AB35" s="2" t="inlineStr">
        <is>
          <t>maybe delete: not relevent in current dataset, unless for imputations?</t>
        </is>
      </c>
      <c r="AH35" s="2" t="inlineStr">
        <is>
          <t>vertebrates</t>
        </is>
      </c>
      <c r="AI35" s="2" t="inlineStr">
        <is>
          <t>acoustic communication</t>
        </is>
      </c>
      <c r="AJ35" s="2" t="inlineStr">
        <is>
          <t>Tetrapod vertebrates</t>
        </is>
      </c>
      <c r="AK35" s="2" t="inlineStr">
        <is>
          <t>secondary</t>
        </is>
      </c>
      <c r="AL35" s="2" t="inlineStr">
        <is>
          <t>secondary</t>
        </is>
      </c>
      <c r="AM35" s="2" t="inlineStr">
        <is>
          <t>behavioural (acoustic communication)</t>
        </is>
      </c>
    </row>
    <row r="36" ht="16" customHeight="1">
      <c r="A36" s="2" t="inlineStr">
        <is>
          <t>Collins, C. E., Airey, D. C., Young, N. A., Leitch, D. B., &amp; Kaas, J. H. (2010). Neuron densities vary across and within cortical areas in primates. Proc Natl Acad Sci U S A, 107(36), 15927-15932. https://doi.org/10.1073/pnas.1010356107</t>
        </is>
      </c>
      <c r="D36" s="2" t="inlineStr">
        <is>
          <t>Dataset S1</t>
        </is>
      </c>
      <c r="E36">
        <f>RIGHT(A36,1)</f>
        <v/>
      </c>
      <c r="F36">
        <f>G36 &amp; IF(H36&lt;&gt;"", "_" &amp; H36, "_") &amp; IF(I36&lt;&gt;"", "_" &amp; I36, "_") &amp; IF(B36&lt;&gt;"", "_" &amp; B36, "")</f>
        <v/>
      </c>
      <c r="G36">
        <f>SUBSTITUTE(SUBSTITUTE(_xlfn.TEXTBEFORE(A36,","), "-", ""), " ", "")</f>
        <v/>
      </c>
      <c r="H36">
        <f>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
      </c>
      <c r="I36">
        <f>_xlfn.TEXTBEFORE(_xlfn.TEXTAFTER(A36, "("), ")")</f>
        <v/>
      </c>
      <c r="J36">
        <f>_xlfn.LET(
_xlpm.doi,IF(C36&lt;&gt;"",C36,_xlfn.TEXTAFTER(A36,"https://doi.org/")),
SUBSTITUTE(
SUBSTITUTE(
SUBSTITUTE(
SUBSTITUTE(
_xlpm.doi,
"/","%2F"),
":","%3A"),
"&lt;","%3C"),
"&gt;","%3E")
)</f>
        <v/>
      </c>
      <c r="K36">
        <f>TRIM(_xlfn.TEXTJOIN("_",FALSE,F36,(SUBSTITUTE(SUBSTITUTE(D36," ",""), "_", ""))))</f>
        <v/>
      </c>
      <c r="L36">
        <f>J36 &amp; "_" &amp; SUBSTITUTE(SUBSTITUTE(SUBSTITUTE(D36,CHAR(160),"")," ",""),"_","")</f>
        <v/>
      </c>
      <c r="M36">
        <f t="array" ref="M36">IFERROR(INDEX(FileList!$A$1:$A$100,MATCH(TRUE,EXACT(L36,_xlfn.TEXTBEFORE(FileList!$A$1:$A$100,".tsv")),0)),"notfound")</f>
        <v/>
      </c>
      <c r="Y36" s="2" t="inlineStr">
        <is>
          <t>Kaas</t>
        </is>
      </c>
      <c r="AI36" s="2" t="inlineStr">
        <is>
          <t>cortical area surface area, neuron density</t>
        </is>
      </c>
      <c r="AJ36" s="2" t="inlineStr">
        <is>
          <t>Primates</t>
        </is>
      </c>
      <c r="AK36" s="2" t="inlineStr">
        <is>
          <t>primary</t>
        </is>
      </c>
      <c r="AL36" s="2" t="inlineStr">
        <is>
          <t>primary</t>
        </is>
      </c>
      <c r="AM36" s="2" t="inlineStr">
        <is>
          <t>cortical surface area</t>
        </is>
      </c>
    </row>
    <row r="37" ht="16" customHeight="1">
      <c r="A37" s="2" t="inlineStr">
        <is>
          <t>Collins, C. E., Turner, E. C., Sawyer, E. K., Reed, J. L., Young, N. A., Flaherty, D. K., &amp; Kaas, J. H. (2016). Cortical cell and neuron density estimates in one chimpanzee hemisphere. Proc Natl Acad Sci U S A, 113(3), 740-745. https://doi.org/10.1073/pnas.1524208113</t>
        </is>
      </c>
      <c r="D37" s="2" t="inlineStr">
        <is>
          <t>Table 1</t>
        </is>
      </c>
      <c r="E37">
        <f>RIGHT(A37,1)</f>
        <v/>
      </c>
      <c r="F37">
        <f>G37 &amp; IF(H37&lt;&gt;"", "_" &amp; H37, "_") &amp; IF(I37&lt;&gt;"", "_" &amp; I37, "_") &amp; IF(B37&lt;&gt;"", "_" &amp; B37, "")</f>
        <v/>
      </c>
      <c r="G37">
        <f>SUBSTITUTE(SUBSTITUTE(_xlfn.TEXTBEFORE(A37,","), "-", ""), " ", "")</f>
        <v/>
      </c>
      <c r="H37">
        <f>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
      </c>
      <c r="I37">
        <f>_xlfn.TEXTBEFORE(_xlfn.TEXTAFTER(A37, "("), ")")</f>
        <v/>
      </c>
      <c r="J37">
        <f>_xlfn.LET(
_xlpm.doi,IF(C37&lt;&gt;"",C37,_xlfn.TEXTAFTER(A37,"https://doi.org/")),
SUBSTITUTE(
SUBSTITUTE(
SUBSTITUTE(
SUBSTITUTE(
_xlpm.doi,
"/","%2F"),
":","%3A"),
"&lt;","%3C"),
"&gt;","%3E")
)</f>
        <v/>
      </c>
      <c r="K37">
        <f>TRIM(_xlfn.TEXTJOIN("_",FALSE,F37,(SUBSTITUTE(SUBSTITUTE(D37," ",""), "_", ""))))</f>
        <v/>
      </c>
      <c r="L37">
        <f>J37 &amp; "_" &amp; SUBSTITUTE(SUBSTITUTE(SUBSTITUTE(D37,CHAR(160),"")," ",""),"_","")</f>
        <v/>
      </c>
      <c r="M37">
        <f t="array" ref="M37">IFERROR(INDEX(FileList!$A$1:$A$100,MATCH(TRUE,EXACT(L37,_xlfn.TEXTBEFORE(FileList!$A$1:$A$100,".tsv")),0)),"notfound")</f>
        <v/>
      </c>
      <c r="N37" s="2" t="inlineStr">
        <is>
          <t>Cortical cell and neuron density in one chimpanzee hemisphere (Table 1)</t>
        </is>
      </c>
      <c r="V37" s="2" t="inlineStr">
        <is>
          <t>table</t>
        </is>
      </c>
      <c r="Y37" s="2" t="inlineStr">
        <is>
          <t>Kaas</t>
        </is>
      </c>
      <c r="Z37" s="2" t="inlineStr">
        <is>
          <t>HH</t>
        </is>
      </c>
      <c r="AG37" s="2" t="inlineStr">
        <is>
          <t>isotropic fractionator</t>
        </is>
      </c>
      <c r="AI37" s="2" t="inlineStr">
        <is>
          <t>cortical neuron/cell density</t>
        </is>
      </c>
      <c r="AJ37" s="2" t="inlineStr">
        <is>
          <t>Primates</t>
        </is>
      </c>
      <c r="AK37" s="2" t="inlineStr">
        <is>
          <t>primary</t>
        </is>
      </c>
      <c r="AL37" s="2" t="inlineStr">
        <is>
          <t>primary</t>
        </is>
      </c>
      <c r="AM37" s="2" t="inlineStr">
        <is>
          <t>neuron/cell density &amp; number</t>
        </is>
      </c>
    </row>
    <row r="38" ht="16" customHeight="1">
      <c r="A38" s="2" t="inlineStr">
        <is>
          <t>de Sousa, A. A., Sherwood, C. C., Hof, P. R., &amp; Zilles, K. (2013). Lamination of the lateral geniculate nucleus of catarrhine primates. Brain Behav Evol, 81(2), 93-108. https://doi.org/10.1159/000346495</t>
        </is>
      </c>
      <c r="D38" s="2" t="inlineStr">
        <is>
          <t>Table 1</t>
        </is>
      </c>
      <c r="E38">
        <f>RIGHT(A38,1)</f>
        <v/>
      </c>
      <c r="F38">
        <f>G38 &amp; IF(H38&lt;&gt;"", "_" &amp; H38, "_") &amp; IF(I38&lt;&gt;"", "_" &amp; I38, "_") &amp; IF(B38&lt;&gt;"", "_" &amp; B38, "")</f>
        <v/>
      </c>
      <c r="G38">
        <f>SUBSTITUTE(SUBSTITUTE(_xlfn.TEXTBEFORE(A38,","), "-", ""), " ", "")</f>
        <v/>
      </c>
      <c r="H38">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
      </c>
      <c r="I38">
        <f>_xlfn.TEXTBEFORE(_xlfn.TEXTAFTER(A38, "("), ")")</f>
        <v/>
      </c>
      <c r="J38">
        <f>_xlfn.LET(
_xlpm.doi,IF(C38&lt;&gt;"",C38,_xlfn.TEXTAFTER(A38,"https://doi.org/")),
SUBSTITUTE(
SUBSTITUTE(
SUBSTITUTE(
SUBSTITUTE(
_xlpm.doi,
"/","%2F"),
":","%3A"),
"&lt;","%3C"),
"&gt;","%3E")
)</f>
        <v/>
      </c>
      <c r="K38">
        <f>TRIM(_xlfn.TEXTJOIN("_",FALSE,F38,(SUBSTITUTE(SUBSTITUTE(D38," ",""), "_", ""))))</f>
        <v/>
      </c>
      <c r="L38">
        <f>J38 &amp; "_" &amp; SUBSTITUTE(SUBSTITUTE(SUBSTITUTE(D38,CHAR(160),"")," ",""),"_","")</f>
        <v/>
      </c>
      <c r="M38">
        <f t="array" ref="M38">IFERROR(INDEX(FileList!$A$1:$A$100,MATCH(TRUE,EXACT(L38,_xlfn.TEXTBEFORE(FileList!$A$1:$A$100,".tsv")),0)),"notfound")</f>
        <v/>
      </c>
      <c r="N38" s="2" t="inlineStr">
        <is>
          <t>Table 1. LGN parvocellular lamination, species mean brain weights and LGN volumes</t>
        </is>
      </c>
      <c r="P38" s="2" t="inlineStr">
        <is>
          <t>Data readable</t>
        </is>
      </c>
      <c r="R38" s="2" t="inlineStr">
        <is>
          <t>deSousa_etal_2013_Table1_snapshot.csv</t>
        </is>
      </c>
      <c r="S38" s="2" t="inlineStr">
        <is>
          <t>Y</t>
        </is>
      </c>
      <c r="T38" s="2" t="inlineStr">
        <is>
          <t>deSousa_etal_2013_Table1.csv</t>
        </is>
      </c>
      <c r="U38" s="2" t="inlineStr">
        <is>
          <t>pdf</t>
        </is>
      </c>
      <c r="V38" s="2" t="inlineStr">
        <is>
          <t>table</t>
        </is>
      </c>
      <c r="Y38" s="2" t="inlineStr">
        <is>
          <t>Stephan, Zilles</t>
        </is>
      </c>
      <c r="Z38" s="2" t="inlineStr">
        <is>
          <t>Stephan, Zilles, AFIP, Sherwood, Hof</t>
        </is>
      </c>
      <c r="AF38" s="2" t="inlineStr">
        <is>
          <t>histological sections</t>
        </is>
      </c>
      <c r="AG38" s="2" t="inlineStr">
        <is>
          <t>volumetry</t>
        </is>
      </c>
      <c r="AH38" s="2" t="inlineStr">
        <is>
          <t>catarrhine primates</t>
        </is>
      </c>
      <c r="AI38" s="2" t="inlineStr">
        <is>
          <t>LGN volume + parvocellular lamination + brain weight</t>
        </is>
      </c>
      <c r="AJ38" s="2" t="inlineStr">
        <is>
          <t>Primates (+ Insectivora)</t>
        </is>
      </c>
      <c r="AK38" s="2" t="inlineStr">
        <is>
          <t>primary</t>
        </is>
      </c>
      <c r="AL38" s="2" t="inlineStr">
        <is>
          <t>primary</t>
        </is>
      </c>
      <c r="AM38" s="2" t="inlineStr">
        <is>
          <t>volume</t>
        </is>
      </c>
    </row>
    <row r="39" ht="16" customHeight="1">
      <c r="A39" s="2" t="inlineStr">
        <is>
          <t>de Sousa, A. A., Sherwood, C. C., Mohlberg, H., Amunts, K., Schleicher, A., MacLeod, C. E., Hof, P. R., Frahm, H., &amp; Zilles, K. (2010). Hominoid visual brain structure volumes and the position of the lunate sulcus. J Hum Evol, 58(4), 281-292. https://doi.org/10.1016/j.jhevol.2009.11.011</t>
        </is>
      </c>
      <c r="D39" s="2" t="inlineStr">
        <is>
          <t>Sup Table 2</t>
        </is>
      </c>
      <c r="E39">
        <f>RIGHT(A39,1)</f>
        <v/>
      </c>
      <c r="F39">
        <f>G39 &amp; IF(H39&lt;&gt;"", "_" &amp; H39, "_") &amp; IF(I39&lt;&gt;"", "_" &amp; I39, "_") &amp; IF(B39&lt;&gt;"", "_" &amp; B39, "")</f>
        <v/>
      </c>
      <c r="G39">
        <f>SUBSTITUTE(SUBSTITUTE(_xlfn.TEXTBEFORE(A39,","), "-", ""), " ", "")</f>
        <v/>
      </c>
      <c r="H39">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
      </c>
      <c r="I39">
        <f>_xlfn.TEXTBEFORE(_xlfn.TEXTAFTER(A39, "("), ")")</f>
        <v/>
      </c>
      <c r="J39">
        <f>_xlfn.LET(
_xlpm.doi,IF(C39&lt;&gt;"",C39,_xlfn.TEXTAFTER(A39,"https://doi.org/")),
SUBSTITUTE(
SUBSTITUTE(
SUBSTITUTE(
SUBSTITUTE(
_xlpm.doi,
"/","%2F"),
":","%3A"),
"&lt;","%3C"),
"&gt;","%3E")
)</f>
        <v/>
      </c>
      <c r="K39">
        <f>TRIM(_xlfn.TEXTJOIN("_",FALSE,F39,(SUBSTITUTE(SUBSTITUTE(D39," ",""), "_", ""))))</f>
        <v/>
      </c>
      <c r="L39">
        <f>J39 &amp; "_" &amp; SUBSTITUTE(SUBSTITUTE(SUBSTITUTE(D39,CHAR(160),"")," ",""),"_","")</f>
        <v/>
      </c>
      <c r="M39">
        <f t="array" ref="M39">IFERROR(INDEX(FileList!$A$1:$A$100,MATCH(TRUE,EXACT(L39,_xlfn.TEXTBEFORE(FileList!$A$1:$A$100,".tsv")),0)),"notfound")</f>
        <v/>
      </c>
      <c r="N39" s="2" t="inlineStr">
        <is>
          <t>Supplementary Table 2. Primate species mean volumes</t>
        </is>
      </c>
      <c r="O39" s="2" t="inlineStr">
        <is>
          <t>VALUE ERROR — neocortex (kept in snapshot, corrected in data)</t>
        </is>
      </c>
      <c r="P39" s="2" t="inlineStr">
        <is>
          <t>FINISHED</t>
        </is>
      </c>
      <c r="R39" s="2" t="inlineStr">
        <is>
          <t>deSousa_etal_2010_SupTable2_snapshot.xlsx</t>
        </is>
      </c>
      <c r="S39" s="2" t="inlineStr">
        <is>
          <t>Y</t>
        </is>
      </c>
      <c r="T39" s="2" t="inlineStr">
        <is>
          <t>deSousa_etal_2010_SupTable2.csv</t>
        </is>
      </c>
      <c r="V39" s="2" t="inlineStr">
        <is>
          <t>doc (online supplement, mmc2.doc)</t>
        </is>
      </c>
      <c r="X39" s="2" t="inlineStr">
        <is>
          <t>https://doi.org/10.1016/j.jhevol.2009.11.011</t>
        </is>
      </c>
      <c r="Y39" s="2" t="inlineStr">
        <is>
          <t>Stephan,Zilles</t>
        </is>
      </c>
      <c r="Z39" s="2" t="inlineStr">
        <is>
          <t>Stephan, Zilles, AFIP, Sherwood, Hof</t>
        </is>
      </c>
      <c r="AB39" s="2" t="inlineStr">
        <is>
          <t>Online supplementary Table 2 (file 1-s2.0-S0047248410000023-mmc2.doc). Snapshot reproduces the published table verbatim incl. the error; cleaned CSV corrects it. See deSousa_etal_2010.ReadMe.md.</t>
        </is>
      </c>
      <c r="AC39" s="2" t="inlineStr">
        <is>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is>
      </c>
      <c r="AD39" s="2" t="inlineStr">
        <is>
          <t>units labelled 'g' in source but values are cm3</t>
        </is>
      </c>
      <c r="AF39" s="2" t="inlineStr">
        <is>
          <t>histological sections</t>
        </is>
      </c>
      <c r="AG39" s="2" t="inlineStr">
        <is>
          <t>volumetry</t>
        </is>
      </c>
      <c r="AH39" s="2" t="inlineStr">
        <is>
          <t>value error (transcription) + species-name errors</t>
        </is>
      </c>
      <c r="AI39" s="2" t="inlineStr">
        <is>
          <t>brain, neocortex, V1 (area striata), LGN mean volumes</t>
        </is>
      </c>
      <c r="AJ39" s="2" t="inlineStr">
        <is>
          <t>Primates (+ Insectivora)</t>
        </is>
      </c>
      <c r="AK39" s="2" t="inlineStr">
        <is>
          <t>primary</t>
        </is>
      </c>
      <c r="AL39" s="2" t="inlineStr">
        <is>
          <t>primary</t>
        </is>
      </c>
      <c r="AM39" s="2" t="inlineStr">
        <is>
          <t>volume</t>
        </is>
      </c>
    </row>
    <row r="40" ht="16" customHeight="1">
      <c r="A40" s="2" t="inlineStr">
        <is>
          <t>de Sousa, A. A., Sherwood, C. C., Mohlberg, H., Amunts, K., Schleicher, A., MacLeod, C. E., Hof, P. R., Frahm, H., &amp; Zilles, K. (2010). Hominoid visual brain structure volumes and the position of the lunate sulcus. J Hum Evol, 58(4), 281-292. https://doi.org/10.1016/j.jhevol.2009.11.011</t>
        </is>
      </c>
      <c r="D40" s="2" t="inlineStr">
        <is>
          <t>Table 1</t>
        </is>
      </c>
      <c r="E40">
        <f>RIGHT(A40,1)</f>
        <v/>
      </c>
      <c r="F40">
        <f>G40 &amp; IF(H40&lt;&gt;"", "_" &amp; H40, "_") &amp; IF(I40&lt;&gt;"", "_" &amp; I40, "_") &amp; IF(B40&lt;&gt;"", "_" &amp; B40, "")</f>
        <v/>
      </c>
      <c r="G40">
        <f>SUBSTITUTE(SUBSTITUTE(_xlfn.TEXTBEFORE(A40,","), "-", ""), " ", "")</f>
        <v/>
      </c>
      <c r="H40">
        <f>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
      </c>
      <c r="I40">
        <f>_xlfn.TEXTBEFORE(_xlfn.TEXTAFTER(A40, "("), ")")</f>
        <v/>
      </c>
      <c r="J40">
        <f>_xlfn.LET(
_xlpm.doi,IF(C40&lt;&gt;"",C40,_xlfn.TEXTAFTER(A40,"https://doi.org/")),
SUBSTITUTE(
SUBSTITUTE(
SUBSTITUTE(
SUBSTITUTE(
_xlpm.doi,
"/","%2F"),
":","%3A"),
"&lt;","%3C"),
"&gt;","%3E")
)</f>
        <v/>
      </c>
      <c r="K40">
        <f>TRIM(_xlfn.TEXTJOIN("_",FALSE,F40,(SUBSTITUTE(SUBSTITUTE(D40," ",""), "_", ""))))</f>
        <v/>
      </c>
      <c r="L40">
        <f>J40 &amp; "_" &amp; SUBSTITUTE(SUBSTITUTE(SUBSTITUTE(D40,CHAR(160),"")," ",""),"_","")</f>
        <v/>
      </c>
      <c r="M40">
        <f t="array" ref="M40">IFERROR(INDEX(FileList!$A$1:$A$100,MATCH(TRUE,EXACT(L40,_xlfn.TEXTBEFORE(FileList!$A$1:$A$100,".tsv")),0)),"notfound")</f>
        <v/>
      </c>
      <c r="N40" s="2" t="inlineStr">
        <is>
          <t>Hominoid visual brain structure volumes (Table 1)</t>
        </is>
      </c>
      <c r="V40" s="2" t="inlineStr">
        <is>
          <t>table</t>
        </is>
      </c>
      <c r="Y40" s="2" t="inlineStr">
        <is>
          <t>Stephan, Zilles</t>
        </is>
      </c>
      <c r="Z40" s="2" t="inlineStr">
        <is>
          <t>Stephan, Zilles, AFIP, Sherwood, Hof</t>
        </is>
      </c>
      <c r="AF40" s="2" t="inlineStr">
        <is>
          <t>histological sections &amp; MRI</t>
        </is>
      </c>
      <c r="AG40" s="2" t="inlineStr">
        <is>
          <t>volumetry</t>
        </is>
      </c>
      <c r="AI40" s="2" t="inlineStr">
        <is>
          <t>visual brain structure volumes</t>
        </is>
      </c>
      <c r="AJ40" s="2" t="inlineStr">
        <is>
          <t>Primates (+ Insectivora)</t>
        </is>
      </c>
      <c r="AK40" s="2" t="inlineStr">
        <is>
          <t>primary</t>
        </is>
      </c>
      <c r="AL40" s="2" t="inlineStr">
        <is>
          <t>primary</t>
        </is>
      </c>
      <c r="AM40" s="2" t="inlineStr">
        <is>
          <t>volume</t>
        </is>
      </c>
    </row>
    <row r="41" ht="16" customHeight="1">
      <c r="A41" s="2" t="inlineStr">
        <is>
          <t>DeCasien, A. R., &amp; Higham, J. P. (2019). Primate mosaic brain evolution reflects selection on sensory and cognitive specialization. Nat Ecol Evol, 3(10), 1483-1493. https://doi.org/10.1038/s41559-019-0969-0</t>
        </is>
      </c>
      <c r="D41" s="2" t="inlineStr">
        <is>
          <t>Supplementary Data 1-Activity Period</t>
        </is>
      </c>
      <c r="E41">
        <f>RIGHT(A41,1)</f>
        <v/>
      </c>
      <c r="F41">
        <f>G41 &amp; IF(H41&lt;&gt;"", "_" &amp; H41, "_") &amp; IF(I41&lt;&gt;"", "_" &amp; I41, "_") &amp; IF(B41&lt;&gt;"", "_" &amp; B41, "")</f>
        <v/>
      </c>
      <c r="G41">
        <f>SUBSTITUTE(SUBSTITUTE(_xlfn.TEXTBEFORE(A41,","), "-", ""), " ", "")</f>
        <v/>
      </c>
      <c r="H41">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
      </c>
      <c r="I41">
        <f>_xlfn.TEXTBEFORE(_xlfn.TEXTAFTER(A41, "("), ")")</f>
        <v/>
      </c>
      <c r="J41">
        <f>_xlfn.LET(
_xlpm.doi,IF(C41&lt;&gt;"",C41,_xlfn.TEXTAFTER(A41,"https://doi.org/")),
SUBSTITUTE(
SUBSTITUTE(
SUBSTITUTE(
SUBSTITUTE(
_xlpm.doi,
"/","%2F"),
":","%3A"),
"&lt;","%3C"),
"&gt;","%3E")
)</f>
        <v/>
      </c>
      <c r="K41">
        <f>TRIM(_xlfn.TEXTJOIN("_",FALSE,F41,(SUBSTITUTE(SUBSTITUTE(D42," ",""), "_", ""))))</f>
        <v/>
      </c>
      <c r="L41">
        <f>J41 &amp; "_" &amp; SUBSTITUTE(SUBSTITUTE(SUBSTITUTE(D41,CHAR(160),"")," ",""),"_","")</f>
        <v/>
      </c>
      <c r="M41">
        <f t="array" ref="M41">IFERROR(INDEX(FileList!$A$1:$A$100,MATCH(TRUE,EXACT(L41,_xlfn.TEXTBEFORE(FileList!$A$1:$A$100,".tsv")),0)),"notfound")</f>
        <v/>
      </c>
      <c r="N41" s="2" t="inlineStr">
        <is>
          <t>Supplementary Data 1 Brain Region Data (mm3)</t>
        </is>
      </c>
      <c r="U41" s="2" t="inlineStr">
        <is>
          <t>xlsx</t>
        </is>
      </c>
      <c r="V41" s="2" t="inlineStr">
        <is>
          <t>table Sheet 1</t>
        </is>
      </c>
      <c r="W41" s="2" t="inlineStr">
        <is>
          <t>YES - download link</t>
        </is>
      </c>
      <c r="X41" s="2" t="inlineStr">
        <is>
          <t>https://www.nature.com/articles/s41559-019-0969-0#Sec13</t>
        </is>
      </c>
      <c r="AB41" s="6" t="n"/>
      <c r="AF41" s="2" t="inlineStr">
        <is>
          <t>histological sections</t>
        </is>
      </c>
      <c r="AH41" s="2" t="inlineStr">
        <is>
          <t>primates</t>
        </is>
      </c>
      <c r="AI41" s="2" t="inlineStr">
        <is>
          <t>Activity Period</t>
        </is>
      </c>
      <c r="AJ41" s="2" t="inlineStr">
        <is>
          <t>Primates</t>
        </is>
      </c>
      <c r="AK41" s="2" t="inlineStr">
        <is>
          <t>secondary</t>
        </is>
      </c>
      <c r="AL41" s="2" t="inlineStr">
        <is>
          <t>secondary</t>
        </is>
      </c>
      <c r="AM41" s="2" t="inlineStr">
        <is>
          <t>ecology (activity period)</t>
        </is>
      </c>
    </row>
    <row r="42" ht="16" customHeight="1">
      <c r="A42" s="2" t="inlineStr">
        <is>
          <t>DeCasien, A. R., &amp; Higham, J. P. (2019). Primate mosaic brain evolution reflects selection on sensory and cognitive specialization. Nat Ecol Evol, 3(10), 1483-1493. https://doi.org/10.1038/s41559-019-0969-0</t>
        </is>
      </c>
      <c r="D42" s="2" t="inlineStr">
        <is>
          <t>Supplementary Data 1-Brain Region</t>
        </is>
      </c>
      <c r="E42">
        <f>RIGHT(A42,1)</f>
        <v/>
      </c>
      <c r="F42">
        <f>G42 &amp; IF(H42&lt;&gt;"", "_" &amp; H42, "_") &amp; IF(I42&lt;&gt;"", "_" &amp; I42, "_") &amp; IF(B42&lt;&gt;"", "_" &amp; B42, "")</f>
        <v/>
      </c>
      <c r="G42">
        <f>SUBSTITUTE(SUBSTITUTE(_xlfn.TEXTBEFORE(A42,","), "-", ""), " ", "")</f>
        <v/>
      </c>
      <c r="H42">
        <f>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
      </c>
      <c r="I42">
        <f>_xlfn.TEXTBEFORE(_xlfn.TEXTAFTER(A42, "("), ")")</f>
        <v/>
      </c>
      <c r="J42">
        <f>_xlfn.LET(
_xlpm.doi,IF(C42&lt;&gt;"",C42,_xlfn.TEXTAFTER(A42,"https://doi.org/")),
SUBSTITUTE(
SUBSTITUTE(
SUBSTITUTE(
SUBSTITUTE(
_xlpm.doi,
"/","%2F"),
":","%3A"),
"&lt;","%3C"),
"&gt;","%3E")
)</f>
        <v/>
      </c>
      <c r="K42">
        <f>TRIM(_xlfn.TEXTJOIN("_",FALSE,F42,(SUBSTITUTE(SUBSTITUTE(D42," ",""), "_", ""))))</f>
        <v/>
      </c>
      <c r="L42">
        <f>J42 &amp; "_" &amp; SUBSTITUTE(SUBSTITUTE(SUBSTITUTE(D42,CHAR(160),"")," ",""),"_","")</f>
        <v/>
      </c>
      <c r="M42">
        <f t="array" ref="M42">IFERROR(INDEX(FileList!$A$1:$A$100,MATCH(TRUE,EXACT(L42,_xlfn.TEXTBEFORE(FileList!$A$1:$A$100,".tsv")),0)),"notfound")</f>
        <v/>
      </c>
      <c r="N42" s="2" t="inlineStr">
        <is>
          <t>Supplementary Data 1 Brain Region Data (mm3)</t>
        </is>
      </c>
      <c r="U42" s="2" t="inlineStr">
        <is>
          <t>xlsx</t>
        </is>
      </c>
      <c r="V42" s="2" t="inlineStr">
        <is>
          <t>table Sheet 1</t>
        </is>
      </c>
      <c r="W42" s="2" t="inlineStr">
        <is>
          <t>YES - download link</t>
        </is>
      </c>
      <c r="X42" s="2" t="inlineStr">
        <is>
          <t>https://www.nature.com/articles/s41559-019-0969-0#Sec13</t>
        </is>
      </c>
      <c r="AB42" s="3" t="inlineStr">
        <is>
          <t>mostly Stephan and other Ddorf studies</t>
        </is>
      </c>
      <c r="AF42" s="2" t="inlineStr">
        <is>
          <t>histological sections</t>
        </is>
      </c>
      <c r="AH42" s="2" t="inlineStr">
        <is>
          <t>primates</t>
        </is>
      </c>
      <c r="AI42" s="2" t="inlineStr">
        <is>
          <t>Brain Regions Volumes</t>
        </is>
      </c>
      <c r="AJ42" s="2" t="inlineStr">
        <is>
          <t>Primates</t>
        </is>
      </c>
      <c r="AK42" s="2" t="inlineStr">
        <is>
          <t>secondary</t>
        </is>
      </c>
      <c r="AL42" s="2" t="inlineStr">
        <is>
          <t>secondary</t>
        </is>
      </c>
      <c r="AM42" s="2" t="inlineStr">
        <is>
          <t>volume</t>
        </is>
      </c>
    </row>
    <row r="43" ht="15" customHeight="1">
      <c r="A43" s="2" t="inlineStr">
        <is>
          <t>DeCasien, A. R., &amp; Higham, J. P. (2019). Primate mosaic brain evolution reflects selection on sensory and cognitive specialization. Nat Ecol Evol, 3(10), 1483-1493. https://doi.org/10.1038/s41559-019-0969-0</t>
        </is>
      </c>
      <c r="D43" s="2" t="inlineStr">
        <is>
          <t>Supplementary Data 1-Diet</t>
        </is>
      </c>
      <c r="E43">
        <f>RIGHT(A43,1)</f>
        <v/>
      </c>
      <c r="F43">
        <f>G43 &amp; IF(H43&lt;&gt;"", "_" &amp; H43, "_") &amp; IF(I43&lt;&gt;"", "_" &amp; I43, "_") &amp; IF(B43&lt;&gt;"", "_" &amp; B43, "")</f>
        <v/>
      </c>
      <c r="G43">
        <f>SUBSTITUTE(SUBSTITUTE(_xlfn.TEXTBEFORE(A43,","), "-", ""), " ", "")</f>
        <v/>
      </c>
      <c r="H43">
        <f>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
      </c>
      <c r="I43">
        <f>_xlfn.TEXTBEFORE(_xlfn.TEXTAFTER(A43, "("), ")")</f>
        <v/>
      </c>
      <c r="J43">
        <f>_xlfn.LET(
_xlpm.doi,IF(C43&lt;&gt;"",C43,_xlfn.TEXTAFTER(A43,"https://doi.org/")),
SUBSTITUTE(
SUBSTITUTE(
SUBSTITUTE(
SUBSTITUTE(
_xlpm.doi,
"/","%2F"),
":","%3A"),
"&lt;","%3C"),
"&gt;","%3E")
)</f>
        <v/>
      </c>
      <c r="K43">
        <f>TRIM(_xlfn.TEXTJOIN("_",FALSE,F43,(SUBSTITUTE(SUBSTITUTE(D44," ",""), "_", ""))))</f>
        <v/>
      </c>
      <c r="L43">
        <f>J43 &amp; "_" &amp; SUBSTITUTE(SUBSTITUTE(SUBSTITUTE(D43,CHAR(160),"")," ",""),"_","")</f>
        <v/>
      </c>
      <c r="M43">
        <f t="array" ref="M43">IFERROR(INDEX(FileList!$A$1:$A$100,MATCH(TRUE,EXACT(L43,_xlfn.TEXTBEFORE(FileList!$A$1:$A$100,".tsv")),0)),"notfound")</f>
        <v/>
      </c>
      <c r="N43" s="2" t="inlineStr">
        <is>
          <t>Supplementary Data 1 Brain Region Data (mm3)</t>
        </is>
      </c>
      <c r="U43" s="2" t="inlineStr">
        <is>
          <t>xlsx</t>
        </is>
      </c>
      <c r="V43" s="2" t="inlineStr">
        <is>
          <t>table Sheet 1</t>
        </is>
      </c>
      <c r="W43" s="2" t="inlineStr">
        <is>
          <t>YES - download link</t>
        </is>
      </c>
      <c r="X43" s="2" t="inlineStr">
        <is>
          <t>https://www.nature.com/articles/s41559-019-0969-0#Sec13</t>
        </is>
      </c>
      <c r="AF43" s="2" t="inlineStr">
        <is>
          <t>histological sections</t>
        </is>
      </c>
      <c r="AH43" s="2" t="inlineStr">
        <is>
          <t>primates</t>
        </is>
      </c>
      <c r="AI43" s="2" t="inlineStr">
        <is>
          <t>Diet</t>
        </is>
      </c>
      <c r="AJ43" s="2" t="inlineStr">
        <is>
          <t>Primates</t>
        </is>
      </c>
      <c r="AK43" s="2" t="inlineStr">
        <is>
          <t>secondary</t>
        </is>
      </c>
      <c r="AL43" s="2" t="inlineStr">
        <is>
          <t>secondary</t>
        </is>
      </c>
      <c r="AM43" s="2" t="inlineStr">
        <is>
          <t>ecology (diet)</t>
        </is>
      </c>
    </row>
    <row r="44" ht="16" customHeight="1">
      <c r="A44" s="2" t="inlineStr">
        <is>
          <t>DeCasien, A. R., &amp; Higham, J. P. (2019). Primate mosaic brain evolution reflects selection on sensory and cognitive specialization. Nat Ecol Evol, 3(10), 1483-1493. https://doi.org/10.1038/s41559-019-0969-0</t>
        </is>
      </c>
      <c r="D44" s="2" t="inlineStr">
        <is>
          <t>Supplementary Data 1-Social System</t>
        </is>
      </c>
      <c r="E44">
        <f>RIGHT(A44,1)</f>
        <v/>
      </c>
      <c r="F44">
        <f>G44 &amp; IF(H44&lt;&gt;"", "_" &amp; H44, "_") &amp; IF(I44&lt;&gt;"", "_" &amp; I44, "_") &amp; IF(B44&lt;&gt;"", "_" &amp; B44, "")</f>
        <v/>
      </c>
      <c r="G44">
        <f>SUBSTITUTE(SUBSTITUTE(_xlfn.TEXTBEFORE(A44,","), "-", ""), " ", "")</f>
        <v/>
      </c>
      <c r="H44">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
      </c>
      <c r="I44">
        <f>_xlfn.TEXTBEFORE(_xlfn.TEXTAFTER(A44, "("), ")")</f>
        <v/>
      </c>
      <c r="J44">
        <f>_xlfn.LET(
_xlpm.doi,IF(C44&lt;&gt;"",C44,_xlfn.TEXTAFTER(A44,"https://doi.org/")),
SUBSTITUTE(
SUBSTITUTE(
SUBSTITUTE(
SUBSTITUTE(
_xlpm.doi,
"/","%2F"),
":","%3A"),
"&lt;","%3C"),
"&gt;","%3E")
)</f>
        <v/>
      </c>
      <c r="K44">
        <f>TRIM(_xlfn.TEXTJOIN("_",FALSE,F44,(SUBSTITUTE(SUBSTITUTE(D44," ",""), "_", ""))))</f>
        <v/>
      </c>
      <c r="L44">
        <f>J44 &amp; "_" &amp; SUBSTITUTE(SUBSTITUTE(SUBSTITUTE(D44,CHAR(160),"")," ",""),"_","")</f>
        <v/>
      </c>
      <c r="M44">
        <f t="array" ref="M44">IFERROR(INDEX(FileList!$A$1:$A$100,MATCH(TRUE,EXACT(L44,_xlfn.TEXTBEFORE(FileList!$A$1:$A$100,".tsv")),0)),"notfound")</f>
        <v/>
      </c>
      <c r="N44" s="2" t="inlineStr">
        <is>
          <t>Supplementary Data 1 Brain Region Data (mm3)</t>
        </is>
      </c>
      <c r="U44" s="2" t="inlineStr">
        <is>
          <t>xlsx</t>
        </is>
      </c>
      <c r="V44" s="2" t="inlineStr">
        <is>
          <t>table Sheet 1</t>
        </is>
      </c>
      <c r="W44" s="2" t="inlineStr">
        <is>
          <t>YES - download link</t>
        </is>
      </c>
      <c r="X44" s="2" t="inlineStr">
        <is>
          <t>https://www.nature.com/articles/s41559-019-0969-0#Sec13</t>
        </is>
      </c>
      <c r="AF44" s="2" t="inlineStr">
        <is>
          <t>histological sections</t>
        </is>
      </c>
      <c r="AH44" s="2" t="inlineStr">
        <is>
          <t>primates</t>
        </is>
      </c>
      <c r="AI44" s="2" t="inlineStr">
        <is>
          <t>Social System</t>
        </is>
      </c>
      <c r="AJ44" s="2" t="inlineStr">
        <is>
          <t>Primates</t>
        </is>
      </c>
      <c r="AK44" s="2" t="inlineStr">
        <is>
          <t>secondary</t>
        </is>
      </c>
      <c r="AL44" s="2" t="inlineStr">
        <is>
          <t>secondary</t>
        </is>
      </c>
      <c r="AM44" s="2" t="inlineStr">
        <is>
          <t>ecology (social system)</t>
        </is>
      </c>
    </row>
    <row r="45" ht="16" customHeight="1">
      <c r="A45" s="2" t="inlineStr">
        <is>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is>
      </c>
      <c r="D45" s="2" t="inlineStr">
        <is>
          <t>Table 1</t>
        </is>
      </c>
      <c r="E45">
        <f>RIGHT(A45,1)</f>
        <v/>
      </c>
      <c r="F45">
        <f>G45 &amp; IF(H45&lt;&gt;"", "_" &amp; H45, "_") &amp; IF(I45&lt;&gt;"", "_" &amp; I45, "_") &amp; IF(B45&lt;&gt;"", "_" &amp; B45, "")</f>
        <v/>
      </c>
      <c r="G45">
        <f>SUBSTITUTE(SUBSTITUTE(_xlfn.TEXTBEFORE(A45,","), "-", ""), " ", "")</f>
        <v/>
      </c>
      <c r="H45">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
      </c>
      <c r="I45">
        <f>_xlfn.TEXTBEFORE(_xlfn.TEXTAFTER(A45, "("), ")")</f>
        <v/>
      </c>
      <c r="J45">
        <f>_xlfn.LET(
_xlpm.doi,IF(C45&lt;&gt;"",C45,_xlfn.TEXTAFTER(A45,"https://doi.org/")),
SUBSTITUTE(
SUBSTITUTE(
SUBSTITUTE(
SUBSTITUTE(
_xlpm.doi,
"/","%2F"),
":","%3A"),
"&lt;","%3C"),
"&gt;","%3E")
)</f>
        <v/>
      </c>
      <c r="K45">
        <f>TRIM(_xlfn.TEXTJOIN("_",FALSE,F45,(SUBSTITUTE(SUBSTITUTE(D45," ",""), "_", ""))))</f>
        <v/>
      </c>
      <c r="L45">
        <f>J45 &amp; "_" &amp; SUBSTITUTE(SUBSTITUTE(SUBSTITUTE(D45,CHAR(160),"")," ",""),"_","")</f>
        <v/>
      </c>
      <c r="M45">
        <f t="array" ref="M45">IFERROR(INDEX(FileList!$A$1:$A$100,MATCH(TRUE,EXACT(L45,_xlfn.TEXTBEFORE(FileList!$A$1:$A$100,".tsv")),0)),"notfound")</f>
        <v/>
      </c>
      <c r="O45" s="2" t="inlineStr">
        <is>
          <t>VALUE ERROR — cell-count typos (superseded by unpublished)</t>
        </is>
      </c>
      <c r="P45" s="2" t="inlineStr">
        <is>
          <t>FINISHED</t>
        </is>
      </c>
      <c r="Q45" s="2" t="inlineStr">
        <is>
          <t>added</t>
        </is>
      </c>
      <c r="R45" s="2" t="inlineStr">
        <is>
          <t>DosSantos_etal_2020_Table1_snapshot.csv</t>
        </is>
      </c>
      <c r="S45" s="2" t="inlineStr">
        <is>
          <t>Y</t>
        </is>
      </c>
      <c r="T45" s="2" t="inlineStr">
        <is>
          <t>DosSantos_etal_2020_Table1.csv</t>
        </is>
      </c>
      <c r="U45" s="2" t="inlineStr">
        <is>
          <t>pdf online</t>
        </is>
      </c>
      <c r="V45" s="2" t="inlineStr">
        <is>
          <t>table</t>
        </is>
      </c>
      <c r="Y45" s="2" t="inlineStr">
        <is>
          <t>HH</t>
        </is>
      </c>
      <c r="Z45" s="2" t="inlineStr">
        <is>
          <t>HH</t>
        </is>
      </c>
      <c r="AC45" s="2" t="inlineStr">
        <is>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is>
      </c>
      <c r="AE45" s="2" t="inlineStr">
        <is>
          <t>EXCLUDED from merged cellcounts (cell-count typos); DosSantos_etal_2020_unpublished used instead (commented out in cellcounts_compiled.R).</t>
        </is>
      </c>
      <c r="AG45" s="2" t="inlineStr">
        <is>
          <t>isotropic fractionator</t>
        </is>
      </c>
      <c r="AH45" s="2" t="inlineStr">
        <is>
          <t>microglia</t>
        </is>
      </c>
      <c r="AI45" s="2" t="inlineStr">
        <is>
          <t>Cell numbers, region size</t>
        </is>
      </c>
      <c r="AJ45" s="2" t="inlineStr">
        <is>
          <t>Mammals</t>
        </is>
      </c>
      <c r="AK45" s="2" t="inlineStr">
        <is>
          <t>primary; secondary (compiled team data)</t>
        </is>
      </c>
      <c r="AL45" s="2" t="inlineStr">
        <is>
          <t>primary</t>
        </is>
      </c>
      <c r="AM45" s="2" t="inlineStr">
        <is>
          <t>cell count (microglia)</t>
        </is>
      </c>
    </row>
    <row r="46" ht="16" customHeight="1">
      <c r="A46" s="2" t="inlineStr">
        <is>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is>
      </c>
      <c r="D46" s="2" t="inlineStr">
        <is>
          <t>unpublished</t>
        </is>
      </c>
      <c r="E46">
        <f>RIGHT(A46,1)</f>
        <v/>
      </c>
      <c r="F46">
        <f>G46 &amp; IF(H46&lt;&gt;"", "_" &amp; H46, "_") &amp; IF(I46&lt;&gt;"", "_" &amp; I46, "_") &amp; IF(B46&lt;&gt;"", "_" &amp; B46, "")</f>
        <v/>
      </c>
      <c r="G46">
        <f>SUBSTITUTE(SUBSTITUTE(_xlfn.TEXTBEFORE(A46,","), "-", ""), " ", "")</f>
        <v/>
      </c>
      <c r="H46">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
      </c>
      <c r="I46">
        <f>_xlfn.TEXTBEFORE(_xlfn.TEXTAFTER(A46, "("), ")")</f>
        <v/>
      </c>
      <c r="J46">
        <f>_xlfn.LET(
_xlpm.doi,IF(C46&lt;&gt;"",C46,_xlfn.TEXTAFTER(A46,"https://doi.org/")),
SUBSTITUTE(
SUBSTITUTE(
SUBSTITUTE(
SUBSTITUTE(
_xlpm.doi,
"/","%2F"),
":","%3A"),
"&lt;","%3C"),
"&gt;","%3E")
)</f>
        <v/>
      </c>
      <c r="K46">
        <f>TRIM(_xlfn.TEXTJOIN("_",FALSE,F46,(SUBSTITUTE(SUBSTITUTE(D46," ",""), "_", ""))))</f>
        <v/>
      </c>
      <c r="L46">
        <f>J46 &amp; "_" &amp; SUBSTITUTE(SUBSTITUTE(SUBSTITUTE(D46,CHAR(160),"")," ",""),"_","")</f>
        <v/>
      </c>
      <c r="M46">
        <f t="array" ref="M46">IFERROR(INDEX(FileList!$A$1:$A$100,MATCH(TRUE,EXACT(L46,_xlfn.TEXTBEFORE(FileList!$A$1:$A$100,".tsv")),0)),"notfound")</f>
        <v/>
      </c>
      <c r="O46" s="2" t="inlineStr">
        <is>
          <t>corrected source used in merge (instead of published Table 1)</t>
        </is>
      </c>
      <c r="P46" s="2" t="inlineStr">
        <is>
          <t>FINISHED</t>
        </is>
      </c>
      <c r="Q46" s="2" t="inlineStr">
        <is>
          <t>added</t>
        </is>
      </c>
      <c r="R46" s="2" t="inlineStr">
        <is>
          <t>DosSantos_etal_2020_Table1_snapshot.csv</t>
        </is>
      </c>
      <c r="S46" s="2" t="inlineStr">
        <is>
          <t>Y</t>
        </is>
      </c>
      <c r="T46" s="2" t="inlineStr">
        <is>
          <t>DosSantos_etal_2020_Table1.csv</t>
        </is>
      </c>
      <c r="U46" s="2" t="inlineStr">
        <is>
          <t>pdf online</t>
        </is>
      </c>
      <c r="V46" s="2" t="inlineStr">
        <is>
          <t>table</t>
        </is>
      </c>
      <c r="X46" s="2" t="inlineStr">
        <is>
          <t>https://doi.org/10.1523/JNEUROSCI.2339-19.2020</t>
        </is>
      </c>
      <c r="Y46" s="2" t="inlineStr">
        <is>
          <t>HH</t>
        </is>
      </c>
      <c r="Z46" s="2" t="inlineStr">
        <is>
          <t>HH</t>
        </is>
      </c>
      <c r="AC46" s="2" t="inlineStr">
        <is>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is>
      </c>
      <c r="AG46" s="2" t="inlineStr">
        <is>
          <t>isotropic fractionator</t>
        </is>
      </c>
      <c r="AH46" s="2" t="inlineStr">
        <is>
          <t>microglia</t>
        </is>
      </c>
      <c r="AI46" s="2" t="inlineStr">
        <is>
          <t>Cell numbers, region size</t>
        </is>
      </c>
      <c r="AJ46" s="2" t="inlineStr">
        <is>
          <t>Mammals</t>
        </is>
      </c>
      <c r="AK46" s="2" t="inlineStr">
        <is>
          <t>primary; secondary (compiled team data)</t>
        </is>
      </c>
      <c r="AL46" s="2" t="inlineStr">
        <is>
          <t>primary</t>
        </is>
      </c>
      <c r="AM46" s="2" t="inlineStr">
        <is>
          <t>cell count (microglia)</t>
        </is>
      </c>
    </row>
    <row r="47" ht="16" customHeight="1">
      <c r="A47" s="2" t="inlineStr">
        <is>
          <t>Dos Santos, S. E., Porfirio, J., da Cunha, F. B., Manger, P. R., Tavares, W., Pessoa, L., Raghanti, M. A., Sherwood, C. C., &amp; Herculano-Houzel, S. (2017). Cellular Scaling Rules for the Brains of Marsupials: Not as "Primitive" as Expected. Brain Behav Evol. https://doi.org/10.1159/000452856</t>
        </is>
      </c>
      <c r="D47" s="2" t="inlineStr">
        <is>
          <t>Table S1</t>
        </is>
      </c>
      <c r="E47">
        <f>RIGHT(A47,1)</f>
        <v/>
      </c>
      <c r="F47">
        <f>G47 &amp; IF(H47&lt;&gt;"", "_" &amp; H47, "_") &amp; IF(I47&lt;&gt;"", "_" &amp; I47, "_") &amp; IF(B47&lt;&gt;"", "_" &amp; B47, "")</f>
        <v/>
      </c>
      <c r="G47">
        <f>SUBSTITUTE(SUBSTITUTE(_xlfn.TEXTBEFORE(A47,","), "-", ""), " ", "")</f>
        <v/>
      </c>
      <c r="H47">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
      </c>
      <c r="I47">
        <f>_xlfn.TEXTBEFORE(_xlfn.TEXTAFTER(A47, "("), ")")</f>
        <v/>
      </c>
      <c r="J47">
        <f>_xlfn.LET(
_xlpm.doi,IF(C47&lt;&gt;"",C47,_xlfn.TEXTAFTER(A47,"https://doi.org/")),
SUBSTITUTE(
SUBSTITUTE(
SUBSTITUTE(
SUBSTITUTE(
_xlpm.doi,
"/","%2F"),
":","%3A"),
"&lt;","%3C"),
"&gt;","%3E")
)</f>
        <v/>
      </c>
      <c r="K47">
        <f>TRIM(_xlfn.TEXTJOIN("_",FALSE,F47,(SUBSTITUTE(SUBSTITUTE(D47," ",""), "_", ""))))</f>
        <v/>
      </c>
      <c r="L47">
        <f>J47 &amp; "_" &amp; SUBSTITUTE(SUBSTITUTE(SUBSTITUTE(D47,CHAR(160),"")," ",""),"_","")</f>
        <v/>
      </c>
      <c r="M47">
        <f t="array" ref="M47">IFERROR(INDEX(FileList!$A$1:$A$100,MATCH(TRUE,EXACT(L47,_xlfn.TEXTBEFORE(FileList!$A$1:$A$100,".tsv")),0)),"notfound")</f>
        <v/>
      </c>
      <c r="O47" s="2" t="inlineStr">
        <is>
          <t>ERRATUM !</t>
        </is>
      </c>
      <c r="P47" s="2" t="inlineStr">
        <is>
          <t>FINISHED</t>
        </is>
      </c>
      <c r="Q47" s="2" t="inlineStr">
        <is>
          <t>added</t>
        </is>
      </c>
      <c r="R47" s="2" t="inlineStr">
        <is>
          <t>DosSantos_etal_2017_TableS1_snapshot.csv</t>
        </is>
      </c>
      <c r="S47" s="2" t="inlineStr">
        <is>
          <t>Y</t>
        </is>
      </c>
      <c r="T47" s="2" t="inlineStr">
        <is>
          <t>DosSantos_etal_2017_TableS1.csv</t>
        </is>
      </c>
      <c r="U47" s="2" t="inlineStr">
        <is>
          <t>doc, erratum (on pdf)</t>
        </is>
      </c>
      <c r="V47" s="2" t="inlineStr">
        <is>
          <t>table, erratum</t>
        </is>
      </c>
      <c r="W47" s="2" t="inlineStr">
        <is>
          <t>YES - download link</t>
        </is>
      </c>
      <c r="X47" s="2" t="inlineStr">
        <is>
          <t>https://ndownloader.figstatic.com/files/7428211</t>
        </is>
      </c>
      <c r="Y47" s="2" t="inlineStr">
        <is>
          <t>HH</t>
        </is>
      </c>
      <c r="Z47" s="2" t="inlineStr">
        <is>
          <t>HH</t>
        </is>
      </c>
      <c r="AC47" s="2" t="inlineStr">
        <is>
          <t>erratum</t>
        </is>
      </c>
      <c r="AG47" s="2" t="inlineStr">
        <is>
          <t>isotropic fractionator</t>
        </is>
      </c>
      <c r="AH47" s="2" t="inlineStr">
        <is>
          <t>marsupials</t>
        </is>
      </c>
      <c r="AI47" s="2" t="inlineStr">
        <is>
          <t>Cell numbers, region size</t>
        </is>
      </c>
      <c r="AJ47" s="2" t="inlineStr">
        <is>
          <t>Marsupials</t>
        </is>
      </c>
      <c r="AK47" s="2" t="inlineStr">
        <is>
          <t>primary</t>
        </is>
      </c>
      <c r="AL47" s="2" t="inlineStr">
        <is>
          <t>primary</t>
        </is>
      </c>
      <c r="AM47" s="2" t="inlineStr">
        <is>
          <t>cell count (isotropic fractionator)</t>
        </is>
      </c>
    </row>
    <row r="48" ht="16" customHeight="1">
      <c r="A48" s="2" t="inlineStr">
        <is>
          <t>Eagleman, D. M., &amp; Vaughn, D. A. (2021). The Defensive Activation Theory: REM Sleep as a Mechanism to Prevent Takeover of the Visual Cortex [Hypothesis and Theory]. Front Neurosci, 15(598), 632853. https://doi.org/10.3389/fnins.2021.632853</t>
        </is>
      </c>
      <c r="D48" s="2" t="inlineStr">
        <is>
          <t>TABLE 1</t>
        </is>
      </c>
      <c r="E48">
        <f>RIGHT(A48,1)</f>
        <v/>
      </c>
      <c r="F48">
        <f>G48 &amp; IF(H48&lt;&gt;"", "_" &amp; H48, "_") &amp; IF(I48&lt;&gt;"", "_" &amp; I48, "_") &amp; IF(B48&lt;&gt;"", "_" &amp; B48, "")</f>
        <v/>
      </c>
      <c r="G48">
        <f>SUBSTITUTE(SUBSTITUTE(_xlfn.TEXTBEFORE(A48,","), "-", ""), " ", "")</f>
        <v/>
      </c>
      <c r="H48">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
      </c>
      <c r="I48">
        <f>_xlfn.TEXTBEFORE(_xlfn.TEXTAFTER(A48, "("), ")")</f>
        <v/>
      </c>
      <c r="J48">
        <f>_xlfn.LET(
_xlpm.doi,IF(C48&lt;&gt;"",C48,_xlfn.TEXTAFTER(A48,"https://doi.org/")),
SUBSTITUTE(
SUBSTITUTE(
SUBSTITUTE(
SUBSTITUTE(
_xlpm.doi,
"/","%2F"),
":","%3A"),
"&lt;","%3C"),
"&gt;","%3E")
)</f>
        <v/>
      </c>
      <c r="K48">
        <f>TRIM(_xlfn.TEXTJOIN("_",FALSE,F48,(SUBSTITUTE(SUBSTITUTE(D48," ",""), "_", ""))))</f>
        <v/>
      </c>
      <c r="L48">
        <f>J48 &amp; "_" &amp; SUBSTITUTE(SUBSTITUTE(SUBSTITUTE(D48,CHAR(160),"")," ",""),"_","")</f>
        <v/>
      </c>
      <c r="M48">
        <f t="array" ref="M48">IFERROR(INDEX(FileList!$A$1:$A$100,MATCH(TRUE,EXACT(L48,_xlfn.TEXTBEFORE(FileList!$A$1:$A$100,".tsv")),0)),"notfound")</f>
        <v/>
      </c>
      <c r="N48" s="2" t="inlineStr">
        <is>
          <t>TABLE 1 | Three behavioral correlates of plasticity and the proportion of REM (versus non-REM) sleep in 25 primate species.</t>
        </is>
      </c>
      <c r="U48" s="2" t="inlineStr">
        <is>
          <t>pdf</t>
        </is>
      </c>
      <c r="AI48" s="2" t="inlineStr">
        <is>
          <t>proportion REM and developmental milestones</t>
        </is>
      </c>
      <c r="AJ48" s="2" t="inlineStr">
        <is>
          <t>Mammals</t>
        </is>
      </c>
      <c r="AK48" s="2" t="inlineStr">
        <is>
          <t>secondary</t>
        </is>
      </c>
      <c r="AL48" s="2" t="inlineStr">
        <is>
          <t>secondary</t>
        </is>
      </c>
      <c r="AM48" s="2" t="inlineStr">
        <is>
          <t>behaviour/physiology (REM sleep, development)</t>
        </is>
      </c>
    </row>
    <row r="49" ht="16" customHeight="1">
      <c r="A49" s="2" t="inlineStr">
        <is>
          <t>Falcone, C., Wolf-Ochoa, M., Amina, S., Hong, T., Vakilzadeh, G., Hopkins, W. D., Hof, P. R., Sherwood, C. C., Manger, P. R., Noctor, S. C., &amp; Martinez-Cerdeno, V. (2019). Cortical interlaminar astrocytes across the therian mammal radiation. J Comp Neurol, 527(10), 1654-1674. https://doi.org/10.1002/cne.24605</t>
        </is>
      </c>
      <c r="D49" s="2" t="inlineStr">
        <is>
          <t>TABLE 1</t>
        </is>
      </c>
      <c r="E49">
        <f>RIGHT(A49,1)</f>
        <v/>
      </c>
      <c r="F49">
        <f>G49 &amp; IF(H49&lt;&gt;"", "_" &amp; H49, "_") &amp; IF(I49&lt;&gt;"", "_" &amp; I49, "_") &amp; IF(B49&lt;&gt;"", "_" &amp; B49, "")</f>
        <v/>
      </c>
      <c r="G49">
        <f>SUBSTITUTE(SUBSTITUTE(_xlfn.TEXTBEFORE(A49,","), "-", ""), " ", "")</f>
        <v/>
      </c>
      <c r="H49">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
      </c>
      <c r="I49">
        <f>_xlfn.TEXTBEFORE(_xlfn.TEXTAFTER(A49, "("), ")")</f>
        <v/>
      </c>
      <c r="J49">
        <f>_xlfn.LET(
_xlpm.doi,IF(C49&lt;&gt;"",C49,_xlfn.TEXTAFTER(A49,"https://doi.org/")),
SUBSTITUTE(
SUBSTITUTE(
SUBSTITUTE(
SUBSTITUTE(
_xlpm.doi,
"/","%2F"),
":","%3A"),
"&lt;","%3C"),
"&gt;","%3E")
)</f>
        <v/>
      </c>
      <c r="K49">
        <f>TRIM(_xlfn.TEXTJOIN("_",FALSE,F49,(SUBSTITUTE(SUBSTITUTE(D49," ",""), "_", ""))))</f>
        <v/>
      </c>
      <c r="L49">
        <f>J49 &amp; "_" &amp; SUBSTITUTE(SUBSTITUTE(SUBSTITUTE(D49,CHAR(160),"")," ",""),"_","")</f>
        <v/>
      </c>
      <c r="M49">
        <f t="array" ref="M49">IFERROR(INDEX(FileList!$A$1:$A$100,MATCH(TRUE,EXACT(L49,_xlfn.TEXTBEFORE(FileList!$A$1:$A$100,".tsv")),0)),"notfound")</f>
        <v/>
      </c>
      <c r="N49" s="2" t="inlineStr">
        <is>
          <t>TABLE 1 Pial and subpial ILA presence in mammalian species analyzed. Highlighted in red are the species where proper subpial ILA are present</t>
        </is>
      </c>
      <c r="U49" s="2" t="inlineStr">
        <is>
          <t>pdf</t>
        </is>
      </c>
      <c r="AI49" s="2" t="inlineStr">
        <is>
          <t>interlaminar astrocyte morphology</t>
        </is>
      </c>
      <c r="AJ49" s="2" t="inlineStr">
        <is>
          <t>Primates &amp; other mammals</t>
        </is>
      </c>
      <c r="AK49" s="2" t="inlineStr">
        <is>
          <t>primary</t>
        </is>
      </c>
      <c r="AL49" s="2" t="inlineStr">
        <is>
          <t>primary</t>
        </is>
      </c>
      <c r="AM49" s="2" t="inlineStr">
        <is>
          <t>cell morphology (interlaminar astrocytes)</t>
        </is>
      </c>
    </row>
    <row r="50" ht="16" customHeight="1">
      <c r="A50" s="2" t="inlineStr">
        <is>
          <t>Falcone, C., Wolf-Ochoa, M., Amina, S., Hong, T., Vakilzadeh, G., Hopkins, W. D., Hof, P. R., Sherwood, C. C., Manger, P. R., Noctor, S. C., &amp; Martinez-Cerdeno, V. (2019). Cortical interlaminar astrocytes across the therian mammal radiation. J Comp Neurol, 527(10), 1654-1674. https://doi.org/10.1002/cne.24605</t>
        </is>
      </c>
      <c r="D50" s="2" t="inlineStr">
        <is>
          <t>TABLE 2</t>
        </is>
      </c>
      <c r="E50">
        <f>RIGHT(A50,1)</f>
        <v/>
      </c>
      <c r="F50">
        <f>G50 &amp; IF(H50&lt;&gt;"", "_" &amp; H50, "_") &amp; IF(I50&lt;&gt;"", "_" &amp; I50, "_") &amp; IF(B50&lt;&gt;"", "_" &amp; B50, "")</f>
        <v/>
      </c>
      <c r="G50">
        <f>SUBSTITUTE(SUBSTITUTE(_xlfn.TEXTBEFORE(A50,","), "-", ""), " ", "")</f>
        <v/>
      </c>
      <c r="H50">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
      </c>
      <c r="I50">
        <f>_xlfn.TEXTBEFORE(_xlfn.TEXTAFTER(A50, "("), ")")</f>
        <v/>
      </c>
      <c r="J50">
        <f>_xlfn.LET(
_xlpm.doi,IF(C50&lt;&gt;"",C50,_xlfn.TEXTAFTER(A50,"https://doi.org/")),
SUBSTITUTE(
SUBSTITUTE(
SUBSTITUTE(
SUBSTITUTE(
_xlpm.doi,
"/","%2F"),
":","%3A"),
"&lt;","%3C"),
"&gt;","%3E")
)</f>
        <v/>
      </c>
      <c r="K50">
        <f>TRIM(_xlfn.TEXTJOIN("_",FALSE,F50,(SUBSTITUTE(SUBSTITUTE(D50," ",""), "_", ""))))</f>
        <v/>
      </c>
      <c r="L50">
        <f>J50 &amp; "_" &amp; SUBSTITUTE(SUBSTITUTE(SUBSTITUTE(D50,CHAR(160),"")," ",""),"_","")</f>
        <v/>
      </c>
      <c r="M50">
        <f t="array" ref="M50">IFERROR(INDEX(FileList!$A$1:$A$100,MATCH(TRUE,EXACT(L50,_xlfn.TEXTBEFORE(FileList!$A$1:$A$100,".tsv")),0)),"notfound")</f>
        <v/>
      </c>
      <c r="N50" s="2" t="inlineStr">
        <is>
          <t>TABLE 2 ILA linear density, number of primary processes, number of total processes, total length, and complexity, of mammalian species analyzed</t>
        </is>
      </c>
      <c r="U50" s="2" t="inlineStr">
        <is>
          <t>pdf</t>
        </is>
      </c>
      <c r="AI50" s="2" t="inlineStr">
        <is>
          <t>interlaminar astrocyte morphology</t>
        </is>
      </c>
      <c r="AJ50" s="2" t="inlineStr">
        <is>
          <t>Primates &amp; other mammals</t>
        </is>
      </c>
      <c r="AK50" s="2" t="inlineStr">
        <is>
          <t>primary</t>
        </is>
      </c>
      <c r="AL50" s="2" t="inlineStr">
        <is>
          <t>primary</t>
        </is>
      </c>
      <c r="AM50" s="2" t="inlineStr">
        <is>
          <t>cell morphology (interlaminar astrocytes)</t>
        </is>
      </c>
    </row>
    <row r="51" ht="16" customHeight="1">
      <c r="A51" s="2" t="inlineStr">
        <is>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is>
      </c>
      <c r="D51" s="2" t="inlineStr">
        <is>
          <t>Table 6.1</t>
        </is>
      </c>
      <c r="E51">
        <f>RIGHT(A51,1)</f>
        <v/>
      </c>
      <c r="F51">
        <f>G51 &amp; IF(H51&lt;&gt;"", "_" &amp; H51, "_") &amp; IF(I51&lt;&gt;"", "_" &amp; I51, "_") &amp; IF(B51&lt;&gt;"", "_" &amp; B51, "")</f>
        <v/>
      </c>
      <c r="G51">
        <f>SUBSTITUTE(SUBSTITUTE(_xlfn.TEXTBEFORE(A51,","), "-", ""), " ", "")</f>
        <v/>
      </c>
      <c r="H51">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
      </c>
      <c r="I51">
        <f>_xlfn.TEXTBEFORE(_xlfn.TEXTAFTER(A51, "("), ")")</f>
        <v/>
      </c>
      <c r="J51">
        <f>_xlfn.LET(
_xlpm.doi,IF(C51&lt;&gt;"",C51,_xlfn.TEXTAFTER(A51,"https://doi.org/")),
SUBSTITUTE(
SUBSTITUTE(
SUBSTITUTE(
SUBSTITUTE(
_xlpm.doi,
"/","%2F"),
":","%3A"),
"&lt;","%3C"),
"&gt;","%3E")
)</f>
        <v/>
      </c>
      <c r="K51">
        <f>TRIM(_xlfn.TEXTJOIN("_",FALSE,F51,(SUBSTITUTE(SUBSTITUTE(D51," ",""), "_", ""))))</f>
        <v/>
      </c>
      <c r="L51">
        <f>J51 &amp; "_" &amp; SUBSTITUTE(SUBSTITUTE(SUBSTITUTE(D51,CHAR(160),"")," ",""),"_","")</f>
        <v/>
      </c>
      <c r="M51">
        <f t="array" ref="M51">IFERROR(INDEX(FileList!$A$1:$A$100,MATCH(TRUE,EXACT(L51,_xlfn.TEXTBEFORE(FileList!$A$1:$A$100,".tsv")),0)),"notfound")</f>
        <v/>
      </c>
      <c r="P51" s="2" t="inlineStr">
        <is>
          <t>Species -- wait for Project Kaskan</t>
        </is>
      </c>
      <c r="Q51" s="2" t="inlineStr">
        <is>
          <t>NA</t>
        </is>
      </c>
      <c r="R51" s="2" t="inlineStr">
        <is>
          <t>Finlay_etal_2006_Table6.1_snapshot.xlsx</t>
        </is>
      </c>
      <c r="S51" s="2" t="inlineStr">
        <is>
          <t>Y</t>
        </is>
      </c>
      <c r="T51" s="2" t="inlineStr">
        <is>
          <t>Finlay_etal_2006_Table6.1.csv</t>
        </is>
      </c>
      <c r="U51" s="2" t="inlineStr">
        <is>
          <t>pdf</t>
        </is>
      </c>
      <c r="V51" s="2" t="inlineStr">
        <is>
          <t>table</t>
        </is>
      </c>
      <c r="W51" s="2" t="inlineStr">
        <is>
          <t>YES - but formatting issues</t>
        </is>
      </c>
      <c r="X51" s="2" t="inlineStr">
        <is>
          <t>https://www.researchgate.net/publication/299027052_Developmental_constraints_on_or_developmental_structure_in_brain_evolution</t>
        </is>
      </c>
      <c r="AB51" s="2" t="inlineStr">
        <is>
          <t>summary to check more precise areas from ProjectKaskan</t>
        </is>
      </c>
      <c r="AH51" s="2" t="inlineStr">
        <is>
          <t>mammals</t>
        </is>
      </c>
      <c r="AI51" s="2" t="inlineStr">
        <is>
          <t>cerebral cortex surface area and number of areas (broadly defined)</t>
        </is>
      </c>
      <c r="AJ51" s="2" t="inlineStr">
        <is>
          <t>Mammals</t>
        </is>
      </c>
      <c r="AK51" s="2" t="inlineStr">
        <is>
          <t>primary (derived from published materials)</t>
        </is>
      </c>
      <c r="AL51" s="2" t="inlineStr">
        <is>
          <t>secondary</t>
        </is>
      </c>
      <c r="AM51" s="2" t="inlineStr">
        <is>
          <t>cortical surface area / volume</t>
        </is>
      </c>
    </row>
    <row r="52" ht="16" customHeight="1">
      <c r="A52" s="2" t="inlineStr">
        <is>
          <t>Frahm, H. D., &amp; Zilles, K. (1994). Volumetric comparison of hippocampal regions in 44 primate species. J Hirnforsch, 35(3), 343-354. https://www.ncbi.nlm.nih.gov/pubmed/7983368</t>
        </is>
      </c>
      <c r="C52" s="2" t="inlineStr">
        <is>
          <t>PMID:7983368</t>
        </is>
      </c>
      <c r="D52" s="2" t="inlineStr">
        <is>
          <t>Table 1</t>
        </is>
      </c>
      <c r="E52">
        <f>RIGHT(A52,1)</f>
        <v/>
      </c>
      <c r="F52">
        <f>G52 &amp; IF(H52&lt;&gt;"", "_" &amp; H52, "_") &amp; IF(I52&lt;&gt;"", "_" &amp; I52, "_") &amp; IF(B52&lt;&gt;"", "_" &amp; B52, "")</f>
        <v/>
      </c>
      <c r="G52">
        <f>SUBSTITUTE(SUBSTITUTE(_xlfn.TEXTBEFORE(A52,","), "-", ""), " ", "")</f>
        <v/>
      </c>
      <c r="H52">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
      </c>
      <c r="I52">
        <f>_xlfn.TEXTBEFORE(_xlfn.TEXTAFTER(A52, "("), ")")</f>
        <v/>
      </c>
      <c r="J52">
        <f>_xlfn.LET(
_xlpm.doi,IF(C52&lt;&gt;"",C52,_xlfn.TEXTAFTER(A52,"https://doi.org/")),
SUBSTITUTE(
SUBSTITUTE(
SUBSTITUTE(
SUBSTITUTE(
_xlpm.doi,
"/","%2F"),
":","%3A"),
"&lt;","%3C"),
"&gt;","%3E")
)</f>
        <v/>
      </c>
      <c r="K52">
        <f>TRIM(_xlfn.TEXTJOIN("_",FALSE,F52,(SUBSTITUTE(SUBSTITUTE(D52," ",""), "_", ""))))</f>
        <v/>
      </c>
      <c r="L52">
        <f>J52 &amp; "_" &amp; SUBSTITUTE(SUBSTITUTE(SUBSTITUTE(D52,CHAR(160),"")," ",""),"_","")</f>
        <v/>
      </c>
      <c r="M52">
        <f t="array" ref="M52">IFERROR(INDEX(FileList!$A$1:$A$100,MATCH(TRUE,EXACT(L52,_xlfn.TEXTBEFORE(FileList!$A$1:$A$100,".tsv")),0)),"notfound")</f>
        <v/>
      </c>
      <c r="N52" s="2" t="inlineStr">
        <is>
          <t>Hippocampal regions in 44 primates (Table 1)</t>
        </is>
      </c>
      <c r="V52" s="2" t="inlineStr">
        <is>
          <t>table</t>
        </is>
      </c>
      <c r="W52" s="2" t="inlineStr">
        <is>
          <t>NO - not digitized</t>
        </is>
      </c>
      <c r="Y52" s="2" t="inlineStr">
        <is>
          <t>Stephan</t>
        </is>
      </c>
      <c r="Z52" s="2" t="inlineStr">
        <is>
          <t>Stephan</t>
        </is>
      </c>
      <c r="AF52" s="2" t="inlineStr">
        <is>
          <t>histological sections</t>
        </is>
      </c>
      <c r="AG52" s="2" t="inlineStr">
        <is>
          <t>volumetry</t>
        </is>
      </c>
      <c r="AI52" s="2" t="inlineStr">
        <is>
          <t>hippocampal region volumes</t>
        </is>
      </c>
      <c r="AJ52" s="2" t="inlineStr">
        <is>
          <t>Insectivora, Scandentia &amp; Primates</t>
        </is>
      </c>
      <c r="AK52" s="2" t="inlineStr">
        <is>
          <t>primary</t>
        </is>
      </c>
      <c r="AL52" s="2" t="inlineStr">
        <is>
          <t>primary</t>
        </is>
      </c>
      <c r="AM52" s="2" t="inlineStr">
        <is>
          <t>volume</t>
        </is>
      </c>
    </row>
    <row r="53" ht="16" customHeight="1">
      <c r="A53" s="2" t="inlineStr">
        <is>
          <t>Frahm, H. D., &amp; Zilles, K. (1994). Volumetric comparison of hippocampal regions in 44 primate species. J Hirnforsch, 35(3), 343-354. https://www.ncbi.nlm.nih.gov/pubmed/7983368</t>
        </is>
      </c>
      <c r="C53" s="2" t="inlineStr">
        <is>
          <t>PMID:7983368</t>
        </is>
      </c>
      <c r="D53" s="2" t="inlineStr">
        <is>
          <t>Table 2</t>
        </is>
      </c>
      <c r="E53">
        <f>RIGHT(A53,1)</f>
        <v/>
      </c>
      <c r="F53">
        <f>G53 &amp; IF(H53&lt;&gt;"", "_" &amp; H53, "_") &amp; IF(I53&lt;&gt;"", "_" &amp; I53, "_") &amp; IF(B53&lt;&gt;"", "_" &amp; B53, "")</f>
        <v/>
      </c>
      <c r="G53">
        <f>SUBSTITUTE(SUBSTITUTE(_xlfn.TEXTBEFORE(A53,","), "-", ""), " ", "")</f>
        <v/>
      </c>
      <c r="H53">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
      </c>
      <c r="I53">
        <f>_xlfn.TEXTBEFORE(_xlfn.TEXTAFTER(A53, "("), ")")</f>
        <v/>
      </c>
      <c r="J53">
        <f>_xlfn.LET(
_xlpm.doi,IF(C53&lt;&gt;"",C53,_xlfn.TEXTAFTER(A53,"https://doi.org/")),
SUBSTITUTE(
SUBSTITUTE(
SUBSTITUTE(
SUBSTITUTE(
_xlpm.doi,
"/","%2F"),
":","%3A"),
"&lt;","%3C"),
"&gt;","%3E")
)</f>
        <v/>
      </c>
      <c r="K53">
        <f>TRIM(_xlfn.TEXTJOIN("_",FALSE,F53,(SUBSTITUTE(SUBSTITUTE(D53," ",""), "_", ""))))</f>
        <v/>
      </c>
      <c r="L53">
        <f>J53 &amp; "_" &amp; SUBSTITUTE(SUBSTITUTE(SUBSTITUTE(D53,CHAR(160),"")," ",""),"_","")</f>
        <v/>
      </c>
      <c r="M53">
        <f t="array" ref="M53">IFERROR(INDEX(FileList!$A$1:$A$100,MATCH(TRUE,EXACT(L53,_xlfn.TEXTBEFORE(FileList!$A$1:$A$100,".tsv")),0)),"notfound")</f>
        <v/>
      </c>
    </row>
    <row r="54" ht="16" customHeight="1">
      <c r="A54" s="2" t="inlineStr">
        <is>
          <t>Frahm, H. D., Rehkamper, G., &amp; Nevo, E. (1997). Brain structure volumes in the mole rat, Spalax ehrenbergi (Spalacidae, Rodentia) in comparison to the rat and subterrestrial insectivores. J Hirnforsch, 38(2), 209-222. https://www.ncbi.nlm.nih.gov/pubmed/9176733</t>
        </is>
      </c>
      <c r="C54" s="2" t="inlineStr">
        <is>
          <t>PMID:9176733</t>
        </is>
      </c>
      <c r="D54" s="2" t="inlineStr">
        <is>
          <t>Table 1</t>
        </is>
      </c>
      <c r="E54">
        <f>RIGHT(A54,1)</f>
        <v/>
      </c>
      <c r="F54">
        <f>G54 &amp; IF(H54&lt;&gt;"", "_" &amp; H54, "_") &amp; IF(I54&lt;&gt;"", "_" &amp; I54, "_") &amp; IF(B54&lt;&gt;"", "_" &amp; B54, "")</f>
        <v/>
      </c>
      <c r="G54">
        <f>SUBSTITUTE(SUBSTITUTE(_xlfn.TEXTBEFORE(A54,","), "-", ""), " ", "")</f>
        <v/>
      </c>
      <c r="H54">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
      </c>
      <c r="I54">
        <f>_xlfn.TEXTBEFORE(_xlfn.TEXTAFTER(A54, "("), ")")</f>
        <v/>
      </c>
      <c r="J54">
        <f>_xlfn.LET(
_xlpm.doi,IF(C54&lt;&gt;"",C54,_xlfn.TEXTAFTER(A54,"https://doi.org/")),
SUBSTITUTE(
SUBSTITUTE(
SUBSTITUTE(
SUBSTITUTE(
_xlpm.doi,
"/","%2F"),
":","%3A"),
"&lt;","%3C"),
"&gt;","%3E")
)</f>
        <v/>
      </c>
      <c r="K54">
        <f>TRIM(_xlfn.TEXTJOIN("_",FALSE,F54,(SUBSTITUTE(SUBSTITUTE(D54," ",""), "_", ""))))</f>
        <v/>
      </c>
      <c r="L54">
        <f>J54 &amp; "_" &amp; SUBSTITUTE(SUBSTITUTE(SUBSTITUTE(D54,CHAR(160),"")," ",""),"_","")</f>
        <v/>
      </c>
      <c r="M54">
        <f t="array" ref="M54">IFERROR(INDEX(FileList!$A$1:$A$100,MATCH(TRUE,EXACT(L54,_xlfn.TEXTBEFORE(FileList!$A$1:$A$100,".tsv")),0)),"notfound")</f>
        <v/>
      </c>
      <c r="N54" s="2" t="inlineStr">
        <is>
          <t>Brain structure volumes in Spalax ehrenbergi (Table 1)</t>
        </is>
      </c>
      <c r="V54" s="2" t="inlineStr">
        <is>
          <t>table</t>
        </is>
      </c>
      <c r="W54" s="2" t="inlineStr">
        <is>
          <t>NO - not digitized</t>
        </is>
      </c>
      <c r="Y54" s="2" t="inlineStr">
        <is>
          <t>Stephan</t>
        </is>
      </c>
      <c r="Z54" s="2" t="inlineStr">
        <is>
          <t>Stephan</t>
        </is>
      </c>
      <c r="AF54" s="2" t="inlineStr">
        <is>
          <t>histological sections</t>
        </is>
      </c>
      <c r="AG54" s="2" t="inlineStr">
        <is>
          <t>volumetry</t>
        </is>
      </c>
      <c r="AI54" s="2" t="inlineStr">
        <is>
          <t>brain structure volumes (Spalax)</t>
        </is>
      </c>
      <c r="AJ54" s="2" t="inlineStr">
        <is>
          <t>Insectivora, Scandentia &amp; Primates</t>
        </is>
      </c>
      <c r="AK54" s="2" t="inlineStr">
        <is>
          <t>primary</t>
        </is>
      </c>
      <c r="AL54" s="2" t="inlineStr">
        <is>
          <t>primary</t>
        </is>
      </c>
      <c r="AM54" s="2" t="inlineStr">
        <is>
          <t>volume</t>
        </is>
      </c>
    </row>
    <row r="55" ht="19" customHeight="1">
      <c r="A55" s="2" t="inlineStr">
        <is>
          <t>Frahm, H. D., Stephan, H., &amp; Baron, G. (1984). Comparison of brain structure volumes in insectivora and primates. V. Area striata (AS). J Hirnforsch, 25(5), 537-557. https://www.ncbi.nlm.nih.gov/pubmed/6501869</t>
        </is>
      </c>
      <c r="C55" s="2" t="inlineStr">
        <is>
          <t>PMID:6501869</t>
        </is>
      </c>
      <c r="D55" s="2" t="inlineStr">
        <is>
          <t>Table 1</t>
        </is>
      </c>
      <c r="E55">
        <f>RIGHT(A55,1)</f>
        <v/>
      </c>
      <c r="F55">
        <f>G55 &amp; IF(H55&lt;&gt;"", "_" &amp; H55, "_") &amp; IF(I55&lt;&gt;"", "_" &amp; I55, "_") &amp; IF(B55&lt;&gt;"", "_" &amp; B55, "")</f>
        <v/>
      </c>
      <c r="G55">
        <f>SUBSTITUTE(SUBSTITUTE(_xlfn.TEXTBEFORE(A55,","), "-", ""), " ", "")</f>
        <v/>
      </c>
      <c r="H55">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
      </c>
      <c r="I55">
        <f>_xlfn.TEXTBEFORE(_xlfn.TEXTAFTER(A55, "("), ")")</f>
        <v/>
      </c>
      <c r="J55">
        <f>_xlfn.LET(
_xlpm.doi,IF(C55&lt;&gt;"",C55,_xlfn.TEXTAFTER(A55,"https://doi.org/")),
SUBSTITUTE(
SUBSTITUTE(
SUBSTITUTE(
SUBSTITUTE(
_xlpm.doi,
"/","%2F"),
":","%3A"),
"&lt;","%3C"),
"&gt;","%3E")
)</f>
        <v/>
      </c>
      <c r="K55">
        <f>TRIM(_xlfn.TEXTJOIN("_",FALSE,F55,(SUBSTITUTE(SUBSTITUTE(D55," ",""), "_", ""))))</f>
        <v/>
      </c>
      <c r="L55">
        <f>J55 &amp; "_" &amp; SUBSTITUTE(SUBSTITUTE(SUBSTITUTE(D55,CHAR(160),"")," ",""),"_","")</f>
        <v/>
      </c>
      <c r="M55">
        <f t="array" ref="M55">IFERROR(INDEX(FileList!$A$1:$A$100,MATCH(TRUE,EXACT(L55,_xlfn.TEXTBEFORE(FileList!$A$1:$A$100,".tsv")),0)),"notfound")</f>
        <v/>
      </c>
      <c r="N55" s="2" t="inlineStr">
        <is>
          <t>Table 1. Volumes of area striata and some of its laminar components (in mm3).</t>
        </is>
      </c>
      <c r="V55" s="2" t="inlineStr">
        <is>
          <t>table</t>
        </is>
      </c>
      <c r="W55" s="2" t="inlineStr">
        <is>
          <t>NO - not digitized</t>
        </is>
      </c>
      <c r="Y55" s="2" t="inlineStr">
        <is>
          <t>Stephan</t>
        </is>
      </c>
      <c r="Z55" s="2" t="inlineStr">
        <is>
          <t>Stephan</t>
        </is>
      </c>
      <c r="AF55" s="2" t="inlineStr">
        <is>
          <t>histological sections</t>
        </is>
      </c>
      <c r="AG55" s="2" t="inlineStr">
        <is>
          <t>volumetry</t>
        </is>
      </c>
      <c r="AI55" s="2" t="inlineStr">
        <is>
          <t>area striata volume</t>
        </is>
      </c>
      <c r="AJ55" s="2" t="inlineStr">
        <is>
          <t>Insectivora, Scandentia &amp; Primates</t>
        </is>
      </c>
      <c r="AK55" s="2" t="inlineStr">
        <is>
          <t>primary</t>
        </is>
      </c>
      <c r="AL55" s="2" t="inlineStr">
        <is>
          <t>primary</t>
        </is>
      </c>
      <c r="AM55" s="2" t="inlineStr">
        <is>
          <t>volume</t>
        </is>
      </c>
    </row>
    <row r="56" ht="17" customHeight="1">
      <c r="A56" s="2" t="inlineStr">
        <is>
          <t>Frahm, H. D., Stephan, H., &amp; Stephan, M. (1982). Comparison of brain structure volumes in Insectivora and Primates. I. Neocortex. J Hirnforsch, 23(4), 375-389. https://www.ncbi.nlm.nih.gov/pubmed/7161477</t>
        </is>
      </c>
      <c r="C56" s="2" t="inlineStr">
        <is>
          <t>PMID:7161477</t>
        </is>
      </c>
      <c r="D56" s="2" t="inlineStr">
        <is>
          <t>Table 2</t>
        </is>
      </c>
      <c r="E56">
        <f>RIGHT(A56,1)</f>
        <v/>
      </c>
      <c r="F56">
        <f>G56 &amp; IF(H56&lt;&gt;"", "_" &amp; H56, "_") &amp; IF(I56&lt;&gt;"", "_" &amp; I56, "_") &amp; IF(B56&lt;&gt;"", "_" &amp; B56, "")</f>
        <v/>
      </c>
      <c r="G56">
        <f>SUBSTITUTE(SUBSTITUTE(_xlfn.TEXTBEFORE(A56,","), "-", ""), " ", "")</f>
        <v/>
      </c>
      <c r="H56">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
      </c>
      <c r="I56">
        <f>_xlfn.TEXTBEFORE(_xlfn.TEXTAFTER(A56, "("), ")")</f>
        <v/>
      </c>
      <c r="J56">
        <f>_xlfn.LET(
_xlpm.doi,IF(C56&lt;&gt;"",C56,_xlfn.TEXTAFTER(A56,"https://doi.org/")),
SUBSTITUTE(
SUBSTITUTE(
SUBSTITUTE(
SUBSTITUTE(
_xlpm.doi,
"/","%2F"),
":","%3A"),
"&lt;","%3C"),
"&gt;","%3E")
)</f>
        <v/>
      </c>
      <c r="K56">
        <f>TRIM(_xlfn.TEXTJOIN("_",FALSE,F56,(SUBSTITUTE(SUBSTITUTE(D56," ",""), "_", ""))))</f>
        <v/>
      </c>
      <c r="L56">
        <f>J56 &amp; "_" &amp; SUBSTITUTE(SUBSTITUTE(SUBSTITUTE(D56,CHAR(160),"")," ",""),"_","")</f>
        <v/>
      </c>
      <c r="M56">
        <f t="array" ref="M56">IFERROR(INDEX(FileList!$A$1:$A$100,MATCH(TRUE,EXACT(L56,_xlfn.TEXTBEFORE(FileList!$A$1:$A$100,".tsv")),0)),"notfound")</f>
        <v/>
      </c>
      <c r="N56" s="2" t="inlineStr">
        <is>
          <t>Table 2. Volumes and percentages of total neocortex, white and grey matters, and laminae 1 and 2-6 in Insectivora, Scandentia, and Primates.</t>
        </is>
      </c>
      <c r="V56" s="2" t="inlineStr">
        <is>
          <t>table</t>
        </is>
      </c>
      <c r="W56" s="2" t="inlineStr">
        <is>
          <t>NO - not digitized</t>
        </is>
      </c>
      <c r="Y56" s="2" t="inlineStr">
        <is>
          <t>Stephan</t>
        </is>
      </c>
      <c r="Z56" s="2" t="inlineStr">
        <is>
          <t>Stephan</t>
        </is>
      </c>
      <c r="AF56" s="2" t="inlineStr">
        <is>
          <t>histological sections</t>
        </is>
      </c>
      <c r="AG56" s="2" t="inlineStr">
        <is>
          <t>volumetry</t>
        </is>
      </c>
      <c r="AI56" s="2" t="inlineStr">
        <is>
          <t>neocortex volume</t>
        </is>
      </c>
      <c r="AJ56" s="2" t="inlineStr">
        <is>
          <t>Insectivora, Scandentia &amp; Primates</t>
        </is>
      </c>
      <c r="AK56" s="2" t="inlineStr">
        <is>
          <t>primary</t>
        </is>
      </c>
      <c r="AL56" s="2" t="inlineStr">
        <is>
          <t>primary</t>
        </is>
      </c>
      <c r="AM56" s="2" t="inlineStr">
        <is>
          <t>volume</t>
        </is>
      </c>
    </row>
    <row r="57" ht="17" customHeight="1">
      <c r="A57" s="2" t="inlineStr">
        <is>
          <t>Frahm, H. D., Zilles, K., Schleicher, A., &amp; Stephan, H. (1998). The size of the middle temporal area in primates. J Hirnforsch, 39(1), 45-54. https://www.ncbi.nlm.nih.gov/pubmed/9672110</t>
        </is>
      </c>
      <c r="C57" s="2" t="inlineStr">
        <is>
          <t>PMID:9672110</t>
        </is>
      </c>
      <c r="D57" s="2" t="inlineStr">
        <is>
          <t>Table 1</t>
        </is>
      </c>
      <c r="E57">
        <f>RIGHT(A57,1)</f>
        <v/>
      </c>
      <c r="F57">
        <f>G57 &amp; IF(H57&lt;&gt;"", "_" &amp; H57, "_") &amp; IF(I57&lt;&gt;"", "_" &amp; I57, "_") &amp; IF(B57&lt;&gt;"", "_" &amp; B57, "")</f>
        <v/>
      </c>
      <c r="G57">
        <f>SUBSTITUTE(SUBSTITUTE(_xlfn.TEXTBEFORE(A57,","), "-", ""), " ", "")</f>
        <v/>
      </c>
      <c r="H57">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
      </c>
      <c r="I57">
        <f>_xlfn.TEXTBEFORE(_xlfn.TEXTAFTER(A57, "("), ")")</f>
        <v/>
      </c>
      <c r="J57">
        <f>_xlfn.LET(
_xlpm.doi,IF(C57&lt;&gt;"",C57,_xlfn.TEXTAFTER(A57,"https://doi.org/")),
SUBSTITUTE(
SUBSTITUTE(
SUBSTITUTE(
SUBSTITUTE(
_xlpm.doi,
"/","%2F"),
":","%3A"),
"&lt;","%3C"),
"&gt;","%3E")
)</f>
        <v/>
      </c>
      <c r="K57">
        <f>TRIM(_xlfn.TEXTJOIN("_",FALSE,F57,(SUBSTITUTE(SUBSTITUTE(D57," ",""), "_", ""))))</f>
        <v/>
      </c>
      <c r="L57">
        <f>J57 &amp; "_" &amp; SUBSTITUTE(SUBSTITUTE(SUBSTITUTE(D57,CHAR(160),"")," ",""),"_","")</f>
        <v/>
      </c>
      <c r="M57">
        <f t="array" ref="M57">IFERROR(INDEX(FileList!$A$1:$A$100,MATCH(TRUE,EXACT(L57,_xlfn.TEXTBEFORE(FileList!$A$1:$A$100,".tsv")),0)),"notfound")</f>
        <v/>
      </c>
      <c r="N57" s="2" t="inlineStr">
        <is>
          <t>Size of the middle temporal area in primates (Table 1)</t>
        </is>
      </c>
      <c r="V57" s="2" t="inlineStr">
        <is>
          <t>table</t>
        </is>
      </c>
      <c r="W57" s="2" t="inlineStr">
        <is>
          <t>NO - not digitized</t>
        </is>
      </c>
      <c r="Y57" s="2" t="inlineStr">
        <is>
          <t>Stephan</t>
        </is>
      </c>
      <c r="Z57" s="2" t="inlineStr">
        <is>
          <t>Stephan</t>
        </is>
      </c>
      <c r="AF57" s="2" t="inlineStr">
        <is>
          <t>histological sections</t>
        </is>
      </c>
      <c r="AG57" s="2" t="inlineStr">
        <is>
          <t>volumetry</t>
        </is>
      </c>
      <c r="AI57" s="2" t="inlineStr">
        <is>
          <t>middle temporal area (MT) size</t>
        </is>
      </c>
      <c r="AJ57" s="2" t="inlineStr">
        <is>
          <t>Insectivora, Scandentia &amp; Primates</t>
        </is>
      </c>
      <c r="AK57" s="2" t="inlineStr">
        <is>
          <t>primary</t>
        </is>
      </c>
      <c r="AL57" s="2" t="inlineStr">
        <is>
          <t>primary</t>
        </is>
      </c>
      <c r="AM57" s="2" t="inlineStr">
        <is>
          <t>volume</t>
        </is>
      </c>
    </row>
    <row r="58" ht="17" customHeight="1">
      <c r="A58" s="2" t="inlineStr">
        <is>
          <t>Fu, Y., Rusznak, Z., Herculano-Houzel, S., Watson, C., &amp; Paxinos, G. (2013). Cellular composition characterizing postnatal development and maturation of the mouse brain and spinal cord. Brain Struct Funct, 218(5), 1337-1354. https://doi.org/10.1007/s00429-012-0462-x</t>
        </is>
      </c>
      <c r="D58" s="2" t="inlineStr">
        <is>
          <t>Table 1</t>
        </is>
      </c>
      <c r="E58">
        <f>RIGHT(A58,1)</f>
        <v/>
      </c>
      <c r="F58">
        <f>G58 &amp; IF(H58&lt;&gt;"", "_" &amp; H58, "_") &amp; IF(I58&lt;&gt;"", "_" &amp; I58, "_") &amp; IF(B58&lt;&gt;"", "_" &amp; B58, "")</f>
        <v/>
      </c>
      <c r="G58">
        <f>SUBSTITUTE(SUBSTITUTE(_xlfn.TEXTBEFORE(A58,","), "-", ""), " ", "")</f>
        <v/>
      </c>
      <c r="H58">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
      </c>
      <c r="I58">
        <f>_xlfn.TEXTBEFORE(_xlfn.TEXTAFTER(A58, "("), ")")</f>
        <v/>
      </c>
      <c r="J58">
        <f>_xlfn.LET(
_xlpm.doi,IF(C58&lt;&gt;"",C58,_xlfn.TEXTAFTER(A58,"https://doi.org/")),
SUBSTITUTE(
SUBSTITUTE(
SUBSTITUTE(
SUBSTITUTE(
_xlpm.doi,
"/","%2F"),
":","%3A"),
"&lt;","%3C"),
"&gt;","%3E")
)</f>
        <v/>
      </c>
      <c r="K58">
        <f>TRIM(_xlfn.TEXTJOIN("_",FALSE,F58,(SUBSTITUTE(SUBSTITUTE(D58," ",""), "_", ""))))</f>
        <v/>
      </c>
      <c r="L58">
        <f>J58 &amp; "_" &amp; SUBSTITUTE(SUBSTITUTE(SUBSTITUTE(D58,CHAR(160),"")," ",""),"_","")</f>
        <v/>
      </c>
      <c r="M58">
        <f t="array" ref="M58">IFERROR(INDEX(FileList!$A$1:$A$100,MATCH(TRUE,EXACT(L58,_xlfn.TEXTBEFORE(FileList!$A$1:$A$100,".tsv")),0)),"notfound")</f>
        <v/>
      </c>
      <c r="N58" s="2" t="inlineStr">
        <is>
          <t>Table 1 Age-dependent changes affecting the mouse central nervous system and pituitary</t>
        </is>
      </c>
      <c r="P58" s="2" t="inlineStr">
        <is>
          <t>NOT STARTED</t>
        </is>
      </c>
      <c r="AA58" s="2" t="inlineStr">
        <is>
          <t>number spinal cord neurons</t>
        </is>
      </c>
      <c r="AJ58" s="2" t="inlineStr">
        <is>
          <t>review</t>
        </is>
      </c>
      <c r="AK58" s="2" t="inlineStr">
        <is>
          <t>mouse (developmental)</t>
        </is>
      </c>
      <c r="AL58" s="2" t="inlineStr">
        <is>
          <t>review</t>
        </is>
      </c>
      <c r="AM58" s="2" t="inlineStr">
        <is>
          <t>review</t>
        </is>
      </c>
    </row>
    <row r="59" ht="17" customHeight="1">
      <c r="A59" s="2" t="inlineStr">
        <is>
          <t>Garwicz, M., Christensson, M., &amp; Psouni, E. (2009). A unifying model for timing of walking onset in humans and other mammals. Proc Natl Acad Sci U S A, 106(51), 21889-21893. https://doi.org/10.1073/pnas.0905777106</t>
        </is>
      </c>
      <c r="D59" s="2" t="inlineStr">
        <is>
          <t>Table S1</t>
        </is>
      </c>
      <c r="E59">
        <f>RIGHT(A59,1)</f>
        <v/>
      </c>
      <c r="F59">
        <f>G59 &amp; IF(H59&lt;&gt;"", "_" &amp; H59, "_") &amp; IF(I59&lt;&gt;"", "_" &amp; I59, "_") &amp; IF(B59&lt;&gt;"", "_" &amp; B59, "")</f>
        <v/>
      </c>
      <c r="G59">
        <f>SUBSTITUTE(SUBSTITUTE(_xlfn.TEXTBEFORE(A59,","), "-", ""), " ", "")</f>
        <v/>
      </c>
      <c r="H59">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
      </c>
      <c r="I59">
        <f>_xlfn.TEXTBEFORE(_xlfn.TEXTAFTER(A59, "("), ")")</f>
        <v/>
      </c>
      <c r="J59">
        <f>_xlfn.LET(
_xlpm.doi,IF(C59&lt;&gt;"",C59,_xlfn.TEXTAFTER(A59,"https://doi.org/")),
SUBSTITUTE(
SUBSTITUTE(
SUBSTITUTE(
SUBSTITUTE(
_xlpm.doi,
"/","%2F"),
":","%3A"),
"&lt;","%3C"),
"&gt;","%3E")
)</f>
        <v/>
      </c>
      <c r="K59">
        <f>TRIM(_xlfn.TEXTJOIN("_",FALSE,F59,(SUBSTITUTE(SUBSTITUTE(D59," ",""), "_", ""))))</f>
        <v/>
      </c>
      <c r="L59">
        <f>J59 &amp; "_" &amp; SUBSTITUTE(SUBSTITUTE(SUBSTITUTE(D59,CHAR(160),"")," ",""),"_","")</f>
        <v/>
      </c>
      <c r="M59">
        <f t="array" ref="M59">IFERROR(INDEX(FileList!$A$1:$A$100,MATCH(TRUE,EXACT(L59,_xlfn.TEXTBEFORE(FileList!$A$1:$A$100,".tsv")),0)),"notfound")</f>
        <v/>
      </c>
      <c r="N59" s="2" t="inlineStr">
        <is>
          <t>Table S1. Taxonomy of species included in the sample</t>
        </is>
      </c>
      <c r="U59" s="2" t="inlineStr">
        <is>
          <t>pdf</t>
        </is>
      </c>
      <c r="W59" s="2" t="inlineStr">
        <is>
          <t>YES - download link</t>
        </is>
      </c>
      <c r="X59" s="2" t="inlineStr">
        <is>
          <t>https://www.pnas.org/doi/suppl/10.1073/pnas.0905777106/suppl_file/0905777106si.pdf</t>
        </is>
      </c>
      <c r="AJ59" s="2" t="inlineStr">
        <is>
          <t>Mammals</t>
        </is>
      </c>
      <c r="AL59" s="2" t="inlineStr">
        <is>
          <t>secondary</t>
        </is>
      </c>
      <c r="AM59" s="2" t="inlineStr">
        <is>
          <t>behavioural/developmental (motor onset)</t>
        </is>
      </c>
    </row>
    <row r="60" ht="17" customHeight="1">
      <c r="A60" s="2" t="inlineStr">
        <is>
          <t>Garwicz, M., Christensson, M., &amp; Psouni, E. (2009). A unifying model for timing of walking onset in humans and other mammals. Proc Natl Acad Sci U S A, 106(51), 21889-21893. https://doi.org/10.1073/pnas.0905777106</t>
        </is>
      </c>
      <c r="D60" s="2" t="inlineStr">
        <is>
          <t>Table S2</t>
        </is>
      </c>
      <c r="E60">
        <f>RIGHT(A60,1)</f>
        <v/>
      </c>
      <c r="F60">
        <f>G60 &amp; IF(H60&lt;&gt;"", "_" &amp; H60, "_") &amp; IF(I60&lt;&gt;"", "_" &amp; I60, "_") &amp; IF(B60&lt;&gt;"", "_" &amp; B60, "")</f>
        <v/>
      </c>
      <c r="G60">
        <f>SUBSTITUTE(SUBSTITUTE(_xlfn.TEXTBEFORE(A60,","), "-", ""), " ", "")</f>
        <v/>
      </c>
      <c r="H60">
        <f>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
      </c>
      <c r="I60">
        <f>_xlfn.TEXTBEFORE(_xlfn.TEXTAFTER(A60, "("), ")")</f>
        <v/>
      </c>
      <c r="J60">
        <f>_xlfn.LET(
_xlpm.doi,IF(C60&lt;&gt;"",C60,_xlfn.TEXTAFTER(A60,"https://doi.org/")),
SUBSTITUTE(
SUBSTITUTE(
SUBSTITUTE(
SUBSTITUTE(
_xlpm.doi,
"/","%2F"),
":","%3A"),
"&lt;","%3C"),
"&gt;","%3E")
)</f>
        <v/>
      </c>
      <c r="K60">
        <f>TRIM(_xlfn.TEXTJOIN("_",FALSE,F60,(SUBSTITUTE(SUBSTITUTE(D60," ",""), "_", ""))))</f>
        <v/>
      </c>
      <c r="L60">
        <f>J60 &amp; "_" &amp; SUBSTITUTE(SUBSTITUTE(SUBSTITUTE(D60,CHAR(160),"")," ",""),"_","")</f>
        <v/>
      </c>
      <c r="M60">
        <f t="array" ref="M60">IFERROR(INDEX(FileList!$A$1:$A$100,MATCH(TRUE,EXACT(L60,_xlfn.TEXTBEFORE(FileList!$A$1:$A$100,".tsv")),0)),"notfound")</f>
        <v/>
      </c>
      <c r="N60" s="2" t="inlineStr">
        <is>
          <t>Table S2. Database for multiple-regression model</t>
        </is>
      </c>
      <c r="U60" s="2" t="inlineStr">
        <is>
          <t>pdf</t>
        </is>
      </c>
      <c r="W60" s="2" t="inlineStr">
        <is>
          <t>YES - download link</t>
        </is>
      </c>
      <c r="X60" s="2" t="inlineStr">
        <is>
          <t>https://www.pnas.org/doi/suppl/10.1073/pnas.0905777106/suppl_file/0905777106si.pdf</t>
        </is>
      </c>
      <c r="AJ60" s="2" t="inlineStr">
        <is>
          <t>Mammals</t>
        </is>
      </c>
      <c r="AL60" s="2" t="inlineStr">
        <is>
          <t>secondary</t>
        </is>
      </c>
      <c r="AM60" s="2" t="inlineStr">
        <is>
          <t>behavioural/developmental (motor onset)</t>
        </is>
      </c>
    </row>
    <row r="61" ht="16" customHeight="1">
      <c r="A61" s="2" t="inlineStr">
        <is>
          <t>Genoud, M., Isler, K., &amp; Martin, R. D. (2018). Comparative analyses of basal rate of metabolism in mammals: data selection does matter. Biol Rev Camb Philos Soc, 93(1), 404-438. https://doi.org/10.1111/brv.12350</t>
        </is>
      </c>
      <c r="D61" s="2" t="inlineStr">
        <is>
          <t>Table S2</t>
        </is>
      </c>
      <c r="E61">
        <f>RIGHT(A61,1)</f>
        <v/>
      </c>
      <c r="F61">
        <f>G61 &amp; IF(H61&lt;&gt;"", "_" &amp; H61, "_") &amp; IF(I61&lt;&gt;"", "_" &amp; I61, "_") &amp; IF(B61&lt;&gt;"", "_" &amp; B61, "")</f>
        <v/>
      </c>
      <c r="G61">
        <f>SUBSTITUTE(SUBSTITUTE(_xlfn.TEXTBEFORE(A61,","), "-", ""), " ", "")</f>
        <v/>
      </c>
      <c r="H61">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
      </c>
      <c r="I61">
        <f>_xlfn.TEXTBEFORE(_xlfn.TEXTAFTER(A61, "("), ")")</f>
        <v/>
      </c>
      <c r="J61">
        <f>_xlfn.LET(
_xlpm.doi,IF(C61&lt;&gt;"",C61,_xlfn.TEXTAFTER(A61,"https://doi.org/")),
SUBSTITUTE(
SUBSTITUTE(
SUBSTITUTE(
SUBSTITUTE(
_xlpm.doi,
"/","%2F"),
":","%3A"),
"&lt;","%3C"),
"&gt;","%3E")
)</f>
        <v/>
      </c>
      <c r="K61">
        <f>TRIM(_xlfn.TEXTJOIN("_",FALSE,F61,(SUBSTITUTE(SUBSTITUTE(D61," ",""), "_", ""))))</f>
        <v/>
      </c>
      <c r="L61">
        <f>J61 &amp; "_" &amp; SUBSTITUTE(SUBSTITUTE(SUBSTITUTE(D61,CHAR(160),"")," ",""),"_","")</f>
        <v/>
      </c>
      <c r="M61">
        <f t="array" ref="M61">IFERROR(INDEX(FileList!$A$1:$A$100,MATCH(TRUE,EXACT(L61,_xlfn.TEXTBEFORE(FileList!$A$1:$A$100,".tsv")),0)),"notfound")</f>
        <v/>
      </c>
      <c r="N61" s="2" t="inlineStr">
        <is>
          <t>Table S2. Basal metabolic rate (BMR) database.</t>
        </is>
      </c>
      <c r="P61" s="2" t="inlineStr">
        <is>
          <t>NOT STARTED</t>
        </is>
      </c>
      <c r="AA61" s="2" t="inlineStr">
        <is>
          <t>BMR</t>
        </is>
      </c>
      <c r="AJ61" s="2" t="inlineStr">
        <is>
          <t>review</t>
        </is>
      </c>
      <c r="AL61" s="2" t="inlineStr">
        <is>
          <t>review</t>
        </is>
      </c>
      <c r="AM61" s="2" t="inlineStr">
        <is>
          <t>review</t>
        </is>
      </c>
    </row>
    <row r="62" ht="16" customHeight="1">
      <c r="A62" s="2" t="inlineStr">
        <is>
          <t>Granatosky, M. C. (2018). A Review of locomotor diversity in mammals with analyses exploring the influence of substrate use, body mass and intermembral index in primates. Journal of Zoology, 306(4), 207-216. https://doi.org/10.1111/jzo.12608</t>
        </is>
      </c>
      <c r="D62" s="2" t="inlineStr">
        <is>
          <t>Table S1</t>
        </is>
      </c>
      <c r="E62">
        <f>RIGHT(A62,1)</f>
        <v/>
      </c>
      <c r="F62">
        <f>G62 &amp; IF(H62&lt;&gt;"", "_" &amp; H62, "_") &amp; IF(I62&lt;&gt;"", "_" &amp; I62, "_") &amp; IF(B62&lt;&gt;"", "_" &amp; B62, "")</f>
        <v/>
      </c>
      <c r="G62">
        <f>SUBSTITUTE(SUBSTITUTE(_xlfn.TEXTBEFORE(A62,","), "-", ""), " ", "")</f>
        <v/>
      </c>
      <c r="H62">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
      </c>
      <c r="I62">
        <f>_xlfn.TEXTBEFORE(_xlfn.TEXTAFTER(A62, "("), ")")</f>
        <v/>
      </c>
      <c r="J62">
        <f>_xlfn.LET(
_xlpm.doi,IF(C62&lt;&gt;"",C62,_xlfn.TEXTAFTER(A62,"https://doi.org/")),
SUBSTITUTE(
SUBSTITUTE(
SUBSTITUTE(
SUBSTITUTE(
_xlpm.doi,
"/","%2F"),
":","%3A"),
"&lt;","%3C"),
"&gt;","%3E")
)</f>
        <v/>
      </c>
      <c r="K62">
        <f>TRIM(_xlfn.TEXTJOIN("_",FALSE,F62,(SUBSTITUTE(SUBSTITUTE(D62," ",""), "_", ""))))</f>
        <v/>
      </c>
      <c r="L62">
        <f>J62 &amp; "_" &amp; SUBSTITUTE(SUBSTITUTE(SUBSTITUTE(D62,CHAR(160),"")," ",""),"_","")</f>
        <v/>
      </c>
      <c r="M62">
        <f t="array" ref="M62">IFERROR(INDEX(FileList!$A$1:$A$100,MATCH(TRUE,EXACT(L62,_xlfn.TEXTBEFORE(FileList!$A$1:$A$100,".tsv")),0)),"notfound")</f>
        <v/>
      </c>
      <c r="N62" s="2" t="inlineStr">
        <is>
          <t>Table S1. Locomotor profiles for the species used in this
study.</t>
        </is>
      </c>
      <c r="P62" s="2" t="inlineStr">
        <is>
          <t>NOT STARTED</t>
        </is>
      </c>
      <c r="X62" s="2" t="inlineStr">
        <is>
          <t>https://karger.com/bbe/article-pdf/86/3-4/145/2264694/000437413.pdf</t>
        </is>
      </c>
      <c r="AJ62" s="2" t="inlineStr">
        <is>
          <t>Mammals</t>
        </is>
      </c>
      <c r="AL62" s="2" t="inlineStr">
        <is>
          <t>secondary</t>
        </is>
      </c>
      <c r="AM62" s="2" t="inlineStr">
        <is>
          <t>behavioural (locomotion)</t>
        </is>
      </c>
    </row>
    <row r="63" ht="16" customHeight="1">
      <c r="A63" s="2" t="inlineStr">
        <is>
          <t>Haarlem, C. S., Hynes, C., Jackson, A. L., Mitchell, K. J., O'Connell, R. G., &amp; Healy, K. (2026). Pace of ecology drives the tempo of visual perception across the animal kingdom. Nat Ecol Evol. https://doi.org/10.1038/s41559-026-02994-7</t>
        </is>
      </c>
      <c r="D63" s="2" t="inlineStr">
        <is>
          <t>CFF dataset</t>
        </is>
      </c>
      <c r="E63">
        <f>RIGHT(A63,1)</f>
        <v/>
      </c>
      <c r="F63">
        <f>G63 &amp; IF(H63&lt;&gt;"", "_" &amp; H63, "_") &amp; IF(I63&lt;&gt;"", "_" &amp; I63, "_") &amp; IF(B63&lt;&gt;"", "_" &amp; B63, "")</f>
        <v/>
      </c>
      <c r="G63">
        <f>SUBSTITUTE(SUBSTITUTE(_xlfn.TEXTBEFORE(A63,","), "-", ""), " ", "")</f>
        <v/>
      </c>
      <c r="H63">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
      </c>
      <c r="I63">
        <f>_xlfn.TEXTBEFORE(_xlfn.TEXTAFTER(A63, "("), ")")</f>
        <v/>
      </c>
      <c r="J63">
        <f>_xlfn.LET(
_xlpm.doi,IF(C63&lt;&gt;"",C63,_xlfn.TEXTAFTER(A63,"https://doi.org/")),
SUBSTITUTE(
SUBSTITUTE(
SUBSTITUTE(
SUBSTITUTE(
_xlpm.doi,
"/","%2F"),
":","%3A"),
"&lt;","%3C"),
"&gt;","%3E")
)</f>
        <v/>
      </c>
      <c r="K63">
        <f>TRIM(_xlfn.TEXTJOIN("_",FALSE,F63,(SUBSTITUTE(SUBSTITUTE(D63," ",""), "_", ""))))</f>
        <v/>
      </c>
      <c r="L63">
        <f>J63 &amp; "_" &amp; SUBSTITUTE(SUBSTITUTE(SUBSTITUTE(D63,CHAR(160),"")," ",""),"_","")</f>
        <v/>
      </c>
      <c r="M63">
        <f t="array" ref="M63">IFERROR(INDEX(FileList!$A$1:$A$100,MATCH(TRUE,EXACT(L63,_xlfn.TEXTBEFORE(FileList!$A$1:$A$100,".tsv")),0)),"notfound")</f>
        <v/>
      </c>
      <c r="N63" s="4" t="inlineStr">
        <is>
          <t>CFF dataset</t>
        </is>
      </c>
      <c r="X63" s="2" t="inlineStr">
        <is>
          <t>https://karger.com/bbe/article-pdf/86/3-4/145/2264694/000437413.pdf</t>
        </is>
      </c>
      <c r="AJ63" s="2" t="inlineStr">
        <is>
          <t>review</t>
        </is>
      </c>
      <c r="AL63" s="2" t="inlineStr">
        <is>
          <t>review</t>
        </is>
      </c>
      <c r="AM63" s="2" t="inlineStr">
        <is>
          <t>review</t>
        </is>
      </c>
    </row>
    <row r="64" ht="16" customHeight="1">
      <c r="A64" s="2" t="inlineStr">
        <is>
          <t>Heffner, R. S., &amp; Masterton, R. B. (1983). The role of the corticospinal tract in the evolution of human digital dexterity. Brain Behav Evol, 23(3-4), 165-183. https://doi.org/10.1159/000121494</t>
        </is>
      </c>
      <c r="D64" s="2" t="inlineStr">
        <is>
          <t>Table I</t>
        </is>
      </c>
      <c r="E64">
        <f>RIGHT(A64,1)</f>
        <v/>
      </c>
      <c r="F64">
        <f>G64 &amp; IF(H64&lt;&gt;"", "_" &amp; H64, "_") &amp; IF(I64&lt;&gt;"", "_" &amp; I64, "_") &amp; IF(B64&lt;&gt;"", "_" &amp; B64, "")</f>
        <v/>
      </c>
      <c r="G64">
        <f>SUBSTITUTE(SUBSTITUTE(_xlfn.TEXTBEFORE(A64,","), "-", ""), " ", "")</f>
        <v/>
      </c>
      <c r="H64">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
      </c>
      <c r="I64">
        <f>_xlfn.TEXTBEFORE(_xlfn.TEXTAFTER(A64, "("), ")")</f>
        <v/>
      </c>
      <c r="J64">
        <f>_xlfn.LET(
_xlpm.doi,IF(C64&lt;&gt;"",C64,_xlfn.TEXTAFTER(A64,"https://doi.org/")),
SUBSTITUTE(
SUBSTITUTE(
SUBSTITUTE(
SUBSTITUTE(
_xlpm.doi,
"/","%2F"),
":","%3A"),
"&lt;","%3C"),
"&gt;","%3E")
)</f>
        <v/>
      </c>
      <c r="K64">
        <f>TRIM(_xlfn.TEXTJOIN("_",FALSE,F64,(SUBSTITUTE(SUBSTITUTE(D64," ",""), "_", ""))))</f>
        <v/>
      </c>
      <c r="L64">
        <f>J64 &amp; "_" &amp; SUBSTITUTE(SUBSTITUTE(SUBSTITUTE(D64,CHAR(160),"")," ",""),"_","")</f>
        <v/>
      </c>
      <c r="M64">
        <f t="array" ref="M64">IFERROR(INDEX(FileList!$A$1:$A$100,MATCH(TRUE,EXACT(L64,_xlfn.TEXTBEFORE(FileList!$A$1:$A$100,".tsv")),0)),"notfound")</f>
        <v/>
      </c>
      <c r="P64" s="2" t="inlineStr">
        <is>
          <t>NOT STARTED</t>
        </is>
      </c>
      <c r="Q64" s="2" t="inlineStr">
        <is>
          <t>NA</t>
        </is>
      </c>
      <c r="T64" s="2">
        <f>IF(S64="N", R64, "write file name")</f>
        <v/>
      </c>
      <c r="U64" s="2" t="inlineStr">
        <is>
          <t>pdf</t>
        </is>
      </c>
      <c r="V64" s="2" t="inlineStr">
        <is>
          <t>table</t>
        </is>
      </c>
      <c r="W64" s="2" t="inlineStr">
        <is>
          <t>NO - paywall</t>
        </is>
      </c>
      <c r="X64" s="2" t="inlineStr">
        <is>
          <t>https://karger.com/bbe/article-pdf/86/3-4/145/2264694/000437413.pdf</t>
        </is>
      </c>
      <c r="AD64" s="2" t="inlineStr">
        <is>
          <t>compare to 1975</t>
        </is>
      </c>
      <c r="AH64" s="2" t="inlineStr">
        <is>
          <t>mammals</t>
        </is>
      </c>
      <c r="AI64" s="2" t="inlineStr">
        <is>
          <t>digital dexterity</t>
        </is>
      </c>
      <c r="AJ64" s="2" t="inlineStr">
        <is>
          <t>Mammals</t>
        </is>
      </c>
      <c r="AL64" s="2" t="inlineStr">
        <is>
          <t>secondary</t>
        </is>
      </c>
      <c r="AM64" s="2" t="inlineStr">
        <is>
          <t>behavioural (digital dexterity)</t>
        </is>
      </c>
    </row>
    <row r="65" ht="16" customHeight="1">
      <c r="A65" s="2" t="inlineStr">
        <is>
          <t>Heffner, R., &amp; Masterton, B. (1975). Variation in form of the pyramidal tract and its relationship to digital dexterity. Brain Behav Evol, 12(3), 161-200. https://doi.org/10.1159/000124401</t>
        </is>
      </c>
      <c r="D65" s="2" t="inlineStr">
        <is>
          <t>Table I</t>
        </is>
      </c>
      <c r="E65">
        <f>RIGHT(A65,1)</f>
        <v/>
      </c>
      <c r="F65">
        <f>G65 &amp; IF(H65&lt;&gt;"", "_" &amp; H65, "_") &amp; IF(I65&lt;&gt;"", "_" &amp; I65, "_") &amp; IF(B65&lt;&gt;"", "_" &amp; B65, "")</f>
        <v/>
      </c>
      <c r="G65">
        <f>SUBSTITUTE(SUBSTITUTE(_xlfn.TEXTBEFORE(A65,","), "-", ""), " ", "")</f>
        <v/>
      </c>
      <c r="H65">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
      </c>
      <c r="I65">
        <f>_xlfn.TEXTBEFORE(_xlfn.TEXTAFTER(A65, "("), ")")</f>
        <v/>
      </c>
      <c r="J65">
        <f>_xlfn.LET(
_xlpm.doi,IF(C65&lt;&gt;"",C65,_xlfn.TEXTAFTER(A65,"https://doi.org/")),
SUBSTITUTE(
SUBSTITUTE(
SUBSTITUTE(
SUBSTITUTE(
_xlpm.doi,
"/","%2F"),
":","%3A"),
"&lt;","%3C"),
"&gt;","%3E")
)</f>
        <v/>
      </c>
      <c r="K65">
        <f>TRIM(_xlfn.TEXTJOIN("_",FALSE,F65,(SUBSTITUTE(SUBSTITUTE(D65," ",""), "_", ""))))</f>
        <v/>
      </c>
      <c r="L65">
        <f>J65 &amp; "_" &amp; SUBSTITUTE(SUBSTITUTE(SUBSTITUTE(D65,CHAR(160),"")," ",""),"_","")</f>
        <v/>
      </c>
      <c r="M65">
        <f t="array" ref="M65">IFERROR(INDEX(FileList!$A$1:$A$100,MATCH(TRUE,EXACT(L65,_xlfn.TEXTBEFORE(FileList!$A$1:$A$100,".tsv")),0)),"notfound")</f>
        <v/>
      </c>
      <c r="P65" s="2" t="inlineStr">
        <is>
          <t>FINISHED</t>
        </is>
      </c>
      <c r="Q65" s="2" t="inlineStr">
        <is>
          <t>added</t>
        </is>
      </c>
      <c r="R65" s="2" t="inlineStr">
        <is>
          <t>Heffner_Masterton_1975_TableI_snapshot.xlsx</t>
        </is>
      </c>
      <c r="S65" s="2" t="inlineStr">
        <is>
          <t>Y</t>
        </is>
      </c>
      <c r="T65" s="2" t="inlineStr">
        <is>
          <t>Heffner_Masterton_1975_TableI.csv</t>
        </is>
      </c>
      <c r="U65" s="2" t="inlineStr">
        <is>
          <t>pdf</t>
        </is>
      </c>
      <c r="V65" s="2" t="inlineStr">
        <is>
          <t>table</t>
        </is>
      </c>
      <c r="W65" s="2" t="inlineStr">
        <is>
          <t>NO - paywall</t>
        </is>
      </c>
      <c r="X65" s="2" t="inlineStr">
        <is>
          <t>https://karger.com/bbe/article-pdf/86/3-4/145/2264694/000437413.pdf</t>
        </is>
      </c>
      <c r="AA65" s="2" t="inlineStr">
        <is>
          <t>area of pyramidal tract; deepest lamina</t>
        </is>
      </c>
      <c r="AH65" s="2" t="inlineStr">
        <is>
          <t>mammals</t>
        </is>
      </c>
      <c r="AI65" s="2" t="inlineStr">
        <is>
          <t>digital dexterity</t>
        </is>
      </c>
      <c r="AJ65" s="2" t="inlineStr">
        <is>
          <t>Mammals</t>
        </is>
      </c>
      <c r="AK65" s="2" t="inlineStr">
        <is>
          <t>mostly secondary</t>
        </is>
      </c>
      <c r="AL65" s="2" t="inlineStr">
        <is>
          <t>both</t>
        </is>
      </c>
      <c r="AM65" s="2" t="inlineStr">
        <is>
          <t>behavioural (digital dexterity) + corticospinal tract</t>
        </is>
      </c>
    </row>
    <row r="66" ht="16" customHeight="1">
      <c r="A66" s="2" t="inlineStr">
        <is>
          <t>Heiss, W. D., Habedank, B., Klein, J. C., Herholz, K., Wienhard, K., Lenox, M., &amp; Nutt, R. (2004). Metabolic rates in small brain nuclei determined by high-resolution PET. J Nucl Med, 45(11), 1811-1815. https://www.ncbi.nlm.nih.gov/pubmed/15534048</t>
        </is>
      </c>
      <c r="C66" s="2" t="inlineStr">
        <is>
          <t>PMID:15534048</t>
        </is>
      </c>
      <c r="D66" s="2" t="inlineStr">
        <is>
          <t>TABLE 1</t>
        </is>
      </c>
      <c r="E66">
        <f>RIGHT(A66,1)</f>
        <v/>
      </c>
      <c r="F66">
        <f>G66 &amp; IF(H66&lt;&gt;"", "_" &amp; H66, "_") &amp; IF(I66&lt;&gt;"", "_" &amp; I66, "_") &amp; IF(B66&lt;&gt;"", "_" &amp; B66, "")</f>
        <v/>
      </c>
      <c r="G66">
        <f>SUBSTITUTE(SUBSTITUTE(_xlfn.TEXTBEFORE(A66,","), "-", ""), " ", "")</f>
        <v/>
      </c>
      <c r="H66">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
      </c>
      <c r="I66">
        <f>_xlfn.TEXTBEFORE(_xlfn.TEXTAFTER(A66, "("), ")")</f>
        <v/>
      </c>
      <c r="J66">
        <f>_xlfn.LET(
_xlpm.doi,IF(C66&lt;&gt;"",C66,_xlfn.TEXTAFTER(A66,"https://doi.org/")),
SUBSTITUTE(
SUBSTITUTE(
SUBSTITUTE(
SUBSTITUTE(
_xlpm.doi,
"/","%2F"),
":","%3A"),
"&lt;","%3C"),
"&gt;","%3E")
)</f>
        <v/>
      </c>
      <c r="K66">
        <f>TRIM(_xlfn.TEXTJOIN("_",FALSE,F66,(SUBSTITUTE(SUBSTITUTE(D66," ",""), "_", ""))))</f>
        <v/>
      </c>
      <c r="L66">
        <f>J66 &amp; "_" &amp; SUBSTITUTE(SUBSTITUTE(SUBSTITUTE(D66,CHAR(160),"")," ",""),"_","")</f>
        <v/>
      </c>
      <c r="M66">
        <f t="array" ref="M66">IFERROR(INDEX(FileList!$A$1:$A$100,MATCH(TRUE,EXACT(L66,_xlfn.TEXTBEFORE(FileList!$A$1:$A$100,".tsv")),0)),"notfound")</f>
        <v/>
      </c>
      <c r="N66" s="2" t="inlineStr">
        <is>
          <t>TABLE 1 rCMRGlc Values</t>
        </is>
      </c>
      <c r="X66" s="2" t="inlineStr">
        <is>
          <t>https://karger.com/bbe/article-pdf/86/3-4/145/2264694/000437413.pdf</t>
        </is>
      </c>
      <c r="AI66" s="2" t="inlineStr">
        <is>
          <t>regional cerebral metabolic rates for glucose</t>
        </is>
      </c>
      <c r="AJ66" s="2" t="inlineStr">
        <is>
          <t>Humans</t>
        </is>
      </c>
      <c r="AL66" s="2" t="inlineStr">
        <is>
          <t>primary</t>
        </is>
      </c>
      <c r="AM66" s="2" t="inlineStr">
        <is>
          <t>metabolic (regional cerebral glucose, PET)</t>
        </is>
      </c>
    </row>
    <row r="67" ht="16" customHeight="1">
      <c r="A67" s="2" t="inlineStr">
        <is>
          <t>Heldstab, S. A., Kosonen, Z. K., Koski, S. E., Burkart, J. M., van Schaik, C. P., &amp; Isler, K. (2016). Manipulation complexity in primates coevolved with brain size and terrestriality. Sci Rep, 6, 24528. https://doi.org/10.1038/srep24528</t>
        </is>
      </c>
      <c r="D67" s="2" t="inlineStr">
        <is>
          <t>Table S1</t>
        </is>
      </c>
      <c r="E67">
        <f>RIGHT(A67,1)</f>
        <v/>
      </c>
      <c r="F67">
        <f>G67 &amp; IF(H67&lt;&gt;"", "_" &amp; H67, "_") &amp; IF(I67&lt;&gt;"", "_" &amp; I67, "_") &amp; IF(B67&lt;&gt;"", "_" &amp; B67, "")</f>
        <v/>
      </c>
      <c r="G67">
        <f>SUBSTITUTE(SUBSTITUTE(_xlfn.TEXTBEFORE(A67,","), "-", ""), " ", "")</f>
        <v/>
      </c>
      <c r="H67">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
      </c>
      <c r="I67">
        <f>_xlfn.TEXTBEFORE(_xlfn.TEXTAFTER(A67, "("), ")")</f>
        <v/>
      </c>
      <c r="J67">
        <f>_xlfn.LET(
_xlpm.doi,IF(C67&lt;&gt;"",C67,_xlfn.TEXTAFTER(A67,"https://doi.org/")),
SUBSTITUTE(
SUBSTITUTE(
SUBSTITUTE(
SUBSTITUTE(
_xlpm.doi,
"/","%2F"),
":","%3A"),
"&lt;","%3C"),
"&gt;","%3E")
)</f>
        <v/>
      </c>
      <c r="K67">
        <f>TRIM(_xlfn.TEXTJOIN("_",FALSE,F67,(SUBSTITUTE(SUBSTITUTE(D67," ",""), "_", ""))))</f>
        <v/>
      </c>
      <c r="L67">
        <f>J67 &amp; "_" &amp; SUBSTITUTE(SUBSTITUTE(SUBSTITUTE(D67,CHAR(160),"")," ",""),"_","")</f>
        <v/>
      </c>
      <c r="M67">
        <f t="array" ref="M67">IFERROR(INDEX(FileList!$A$1:$A$100,MATCH(TRUE,EXACT(L67,_xlfn.TEXTBEFORE(FileList!$A$1:$A$100,".tsv")),0)),"notfound")</f>
        <v/>
      </c>
      <c r="P67" s="2" t="inlineStr">
        <is>
          <t>NOT STARTED</t>
        </is>
      </c>
      <c r="Q67" s="2" t="inlineStr">
        <is>
          <t>NA</t>
        </is>
      </c>
      <c r="T67" s="2">
        <f>IF(S67="N", R67, "write file name")</f>
        <v/>
      </c>
      <c r="U67" s="2" t="inlineStr">
        <is>
          <t>pdf</t>
        </is>
      </c>
      <c r="V67" s="2" t="inlineStr">
        <is>
          <t>table</t>
        </is>
      </c>
      <c r="X67" s="2" t="inlineStr">
        <is>
          <t>https://karger.com/bbe/article-pdf/86/3-4/145/2264694/000437413.pdf</t>
        </is>
      </c>
      <c r="AH67" s="2" t="inlineStr">
        <is>
          <t>primates</t>
        </is>
      </c>
      <c r="AI67" s="2" t="inlineStr">
        <is>
          <t>manipulation complexity</t>
        </is>
      </c>
      <c r="AJ67" s="2" t="inlineStr">
        <is>
          <t>Primates</t>
        </is>
      </c>
      <c r="AL67" s="2" t="inlineStr">
        <is>
          <t>secondary</t>
        </is>
      </c>
      <c r="AM67" s="2" t="inlineStr">
        <is>
          <t>behavioural (manipulation complexity)</t>
        </is>
      </c>
    </row>
    <row r="68" ht="16" customHeight="1">
      <c r="A68" s="2" t="inlineStr">
        <is>
          <t>Herculano-Houzel, S. (2015). Decreasing sleep requirement with increasing numbers of neurons as a driver for bigger brains and bodies in mammalian evolution. Proc Biol Sci, 282(1816), 20151853. https://doi.org/10.1098/rspb.2015.1853</t>
        </is>
      </c>
      <c r="D68" s="2" t="inlineStr">
        <is>
          <t>Table 1</t>
        </is>
      </c>
      <c r="E68">
        <f>RIGHT(A68,1)</f>
        <v/>
      </c>
      <c r="F68">
        <f>G68 &amp; IF(H68&lt;&gt;"", "_" &amp; H68, "_") &amp; IF(I68&lt;&gt;"", "_" &amp; I68, "_") &amp; IF(B68&lt;&gt;"", "_" &amp; B68, "")</f>
        <v/>
      </c>
      <c r="G68">
        <f>SUBSTITUTE(SUBSTITUTE(_xlfn.TEXTBEFORE(A68,","), "-", ""), " ", "")</f>
        <v/>
      </c>
      <c r="H68">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
      </c>
      <c r="I68">
        <f>_xlfn.TEXTBEFORE(_xlfn.TEXTAFTER(A68, "("), ")")</f>
        <v/>
      </c>
      <c r="J68">
        <f>_xlfn.LET(
_xlpm.doi,IF(C68&lt;&gt;"",C68,_xlfn.TEXTAFTER(A68,"https://doi.org/")),
SUBSTITUTE(
SUBSTITUTE(
SUBSTITUTE(
SUBSTITUTE(
_xlpm.doi,
"/","%2F"),
":","%3A"),
"&lt;","%3C"),
"&gt;","%3E")
)</f>
        <v/>
      </c>
      <c r="K68">
        <f>TRIM(_xlfn.TEXTJOIN("_",FALSE,F68,(SUBSTITUTE(SUBSTITUTE(D68," ",""), "_", ""))))</f>
        <v/>
      </c>
      <c r="L68">
        <f>J68 &amp; "_" &amp; SUBSTITUTE(SUBSTITUTE(SUBSTITUTE(D68,CHAR(160),"")," ",""),"_","")</f>
        <v/>
      </c>
      <c r="M68">
        <f t="array" ref="M68">IFERROR(INDEX(FileList!$A$1:$A$100,MATCH(TRUE,EXACT(L68,_xlfn.TEXTBEFORE(FileList!$A$1:$A$100,".tsv")),0)),"notfound")</f>
        <v/>
      </c>
      <c r="U68" s="2" t="inlineStr">
        <is>
          <t>pdf</t>
        </is>
      </c>
      <c r="V68" s="2" t="inlineStr">
        <is>
          <t>table</t>
        </is>
      </c>
      <c r="AI68" s="2" t="inlineStr">
        <is>
          <t>sleep time &amp; neuron density</t>
        </is>
      </c>
      <c r="AJ68" s="2" t="inlineStr">
        <is>
          <t>Mammals</t>
        </is>
      </c>
      <c r="AL68" s="2" t="inlineStr">
        <is>
          <t>both</t>
        </is>
      </c>
      <c r="AM68" s="2" t="inlineStr">
        <is>
          <t>sleep + neuron density</t>
        </is>
      </c>
    </row>
    <row r="69" ht="16" customHeight="1">
      <c r="A69" s="2" t="inlineStr">
        <is>
          <t>Herculano-Houzel, S. (2015). Decreasing sleep requirement with increasing numbers of neurons as a driver for bigger brains and bodies in mammalian evolution. Proc Biol Sci, 282(1816), 20151853. https://doi.org/10.1098/rspb.2015.1853</t>
        </is>
      </c>
      <c r="D69" s="2" t="inlineStr">
        <is>
          <t>Table 2</t>
        </is>
      </c>
      <c r="E69">
        <f>RIGHT(A69,1)</f>
        <v/>
      </c>
      <c r="F69">
        <f>G69 &amp; IF(H69&lt;&gt;"", "_" &amp; H69, "_") &amp; IF(I69&lt;&gt;"", "_" &amp; I69, "_") &amp; IF(B69&lt;&gt;"", "_" &amp; B69, "")</f>
        <v/>
      </c>
      <c r="G69">
        <f>SUBSTITUTE(SUBSTITUTE(_xlfn.TEXTBEFORE(A69,","), "-", ""), " ", "")</f>
        <v/>
      </c>
      <c r="H69">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
      </c>
      <c r="I69">
        <f>_xlfn.TEXTBEFORE(_xlfn.TEXTAFTER(A69, "("), ")")</f>
        <v/>
      </c>
      <c r="J69">
        <f>_xlfn.LET(
_xlpm.doi,IF(C69&lt;&gt;"",C69,_xlfn.TEXTAFTER(A69,"https://doi.org/")),
SUBSTITUTE(
SUBSTITUTE(
SUBSTITUTE(
SUBSTITUTE(
_xlpm.doi,
"/","%2F"),
":","%3A"),
"&lt;","%3C"),
"&gt;","%3E")
)</f>
        <v/>
      </c>
      <c r="K69">
        <f>TRIM(_xlfn.TEXTJOIN("_",FALSE,F69,(SUBSTITUTE(SUBSTITUTE(D69," ",""), "_", ""))))</f>
        <v/>
      </c>
      <c r="L69">
        <f>J69 &amp; "_" &amp; SUBSTITUTE(SUBSTITUTE(SUBSTITUTE(D69,CHAR(160),"")," ",""),"_","")</f>
        <v/>
      </c>
      <c r="M69">
        <f t="array" ref="M69">IFERROR(INDEX(FileList!$A$1:$A$100,MATCH(TRUE,EXACT(L69,_xlfn.TEXTBEFORE(FileList!$A$1:$A$100,".tsv")),0)),"notfound")</f>
        <v/>
      </c>
      <c r="N69" s="2" t="inlineStr">
        <is>
          <t>Table 2. Dataset on the ontogeny of sleep and cellular composition of the rat brain used in this study.</t>
        </is>
      </c>
      <c r="U69" s="2" t="inlineStr">
        <is>
          <t>pdf</t>
        </is>
      </c>
      <c r="V69" s="2" t="inlineStr">
        <is>
          <t>table</t>
        </is>
      </c>
      <c r="AI69" s="2" t="inlineStr">
        <is>
          <t>Per cent of hours asleep and brain size and composition</t>
        </is>
      </c>
      <c r="AJ69" s="2" t="inlineStr">
        <is>
          <t>Mammals</t>
        </is>
      </c>
      <c r="AK69" s="2" t="inlineStr">
        <is>
          <t>secondary</t>
        </is>
      </c>
      <c r="AL69" s="2" t="inlineStr">
        <is>
          <t>both</t>
        </is>
      </c>
      <c r="AM69" s="2" t="inlineStr">
        <is>
          <t>sleep (per cent hours asleep)</t>
        </is>
      </c>
    </row>
    <row r="70" ht="16" customHeight="1">
      <c r="A70" s="2"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70" s="2" t="inlineStr">
        <is>
          <t>Table 1</t>
        </is>
      </c>
      <c r="E70">
        <f>RIGHT(A70,1)</f>
        <v/>
      </c>
      <c r="F70">
        <f>G70 &amp; IF(H70&lt;&gt;"", "_" &amp; H70, "_") &amp; IF(I70&lt;&gt;"", "_" &amp; I70, "_") &amp; IF(B70&lt;&gt;"", "_" &amp; B70, "")</f>
        <v/>
      </c>
      <c r="G70">
        <f>SUBSTITUTE(SUBSTITUTE(_xlfn.TEXTBEFORE(A70,","), "-", ""), " ", "")</f>
        <v/>
      </c>
      <c r="H70">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
      </c>
      <c r="I70">
        <f>_xlfn.TEXTBEFORE(_xlfn.TEXTAFTER(A70, "("), ")")</f>
        <v/>
      </c>
      <c r="J70">
        <f>_xlfn.LET(
_xlpm.doi,IF(C70&lt;&gt;"",C70,_xlfn.TEXTAFTER(A70,"https://doi.org/")),
SUBSTITUTE(
SUBSTITUTE(
SUBSTITUTE(
SUBSTITUTE(
_xlpm.doi,
"/","%2F"),
":","%3A"),
"&lt;","%3C"),
"&gt;","%3E")
)</f>
        <v/>
      </c>
      <c r="K70">
        <f>TRIM(_xlfn.TEXTJOIN("_",FALSE,F70,(SUBSTITUTE(SUBSTITUTE(D70," ",""), "_", ""))))</f>
        <v/>
      </c>
      <c r="L70">
        <f>J70 &amp; "_" &amp; SUBSTITUTE(SUBSTITUTE(SUBSTITUTE(D70,CHAR(160),"")," ",""),"_","")</f>
        <v/>
      </c>
      <c r="M70">
        <f t="array" ref="M70">IFERROR(INDEX(FileList!$A$1:$A$100,MATCH(TRUE,EXACT(L70,_xlfn.TEXTBEFORE(FileList!$A$1:$A$100,".tsv")),0)),"notfound")</f>
        <v/>
      </c>
      <c r="N70" s="2" t="inlineStr">
        <is>
          <t>Table 1. Cerebral cortex</t>
        </is>
      </c>
      <c r="P70" s="2" t="inlineStr">
        <is>
          <t>FINISHED</t>
        </is>
      </c>
      <c r="Q70" s="2" t="inlineStr">
        <is>
          <t>added</t>
        </is>
      </c>
      <c r="R70" s="2" t="inlineStr">
        <is>
          <t>HerculanoHouzel_etal_2015_Table1_snapshot.xlsx</t>
        </is>
      </c>
      <c r="S70" s="2" t="inlineStr">
        <is>
          <t>Y</t>
        </is>
      </c>
      <c r="T70" s="2" t="inlineStr">
        <is>
          <t>HerculanoHouzel_etal_2015_Table1.csv</t>
        </is>
      </c>
      <c r="U70" s="2" t="inlineStr">
        <is>
          <t>pdf</t>
        </is>
      </c>
      <c r="V70" s="2" t="inlineStr">
        <is>
          <t>table</t>
        </is>
      </c>
      <c r="W70" s="2" t="inlineStr">
        <is>
          <t>YES - but formatting issues</t>
        </is>
      </c>
      <c r="X70" s="2" t="inlineStr">
        <is>
          <t>https://karger.com/bbe/article-pdf/86/3-4/145/2264694/000437413.pdf</t>
        </is>
      </c>
      <c r="Y70" s="2" t="inlineStr">
        <is>
          <t>HH</t>
        </is>
      </c>
      <c r="Z70" s="2" t="inlineStr">
        <is>
          <t>HH</t>
        </is>
      </c>
      <c r="AC70" s="2" t="inlineStr">
        <is>
          <t>formatting-fix: ' + ' shown for ' ± ' (Rattus norvegicus, col N,n) corrected in .R script.</t>
        </is>
      </c>
      <c r="AG70" s="2" t="inlineStr">
        <is>
          <t>isotropic fractionator</t>
        </is>
      </c>
      <c r="AH70" s="2" t="inlineStr">
        <is>
          <t>placental mammals</t>
        </is>
      </c>
      <c r="AI70" s="2" t="inlineStr">
        <is>
          <t>Cell numbers, region size</t>
        </is>
      </c>
      <c r="AJ70" s="2" t="inlineStr">
        <is>
          <t>Mammals (placental)</t>
        </is>
      </c>
      <c r="AL70" s="2" t="inlineStr">
        <is>
          <t>primary</t>
        </is>
      </c>
      <c r="AM70" s="2" t="inlineStr">
        <is>
          <t>cell count (isotropic fractionator)</t>
        </is>
      </c>
    </row>
    <row r="71" ht="16" customHeight="1">
      <c r="A71" s="2"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71" s="2" t="inlineStr">
        <is>
          <t>Table 2</t>
        </is>
      </c>
      <c r="E71">
        <f>RIGHT(A71,1)</f>
        <v/>
      </c>
      <c r="F71">
        <f>G71 &amp; IF(H71&lt;&gt;"", "_" &amp; H71, "_") &amp; IF(I71&lt;&gt;"", "_" &amp; I71, "_") &amp; IF(B71&lt;&gt;"", "_" &amp; B71, "")</f>
        <v/>
      </c>
      <c r="G71">
        <f>SUBSTITUTE(SUBSTITUTE(_xlfn.TEXTBEFORE(A71,","), "-", ""), " ", "")</f>
        <v/>
      </c>
      <c r="H71">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
      </c>
      <c r="I71">
        <f>_xlfn.TEXTBEFORE(_xlfn.TEXTAFTER(A71, "("), ")")</f>
        <v/>
      </c>
      <c r="J71">
        <f>_xlfn.LET(
_xlpm.doi,IF(C71&lt;&gt;"",C71,_xlfn.TEXTAFTER(A71,"https://doi.org/")),
SUBSTITUTE(
SUBSTITUTE(
SUBSTITUTE(
SUBSTITUTE(
_xlpm.doi,
"/","%2F"),
":","%3A"),
"&lt;","%3C"),
"&gt;","%3E")
)</f>
        <v/>
      </c>
      <c r="K71">
        <f>TRIM(_xlfn.TEXTJOIN("_",FALSE,F71,(SUBSTITUTE(SUBSTITUTE(D71," ",""), "_", ""))))</f>
        <v/>
      </c>
      <c r="L71">
        <f>J71 &amp; "_" &amp; SUBSTITUTE(SUBSTITUTE(SUBSTITUTE(D71,CHAR(160),"")," ",""),"_","")</f>
        <v/>
      </c>
      <c r="M71">
        <f t="array" ref="M71">IFERROR(INDEX(FileList!$A$1:$A$100,MATCH(TRUE,EXACT(L71,_xlfn.TEXTBEFORE(FileList!$A$1:$A$100,".tsv")),0)),"notfound")</f>
        <v/>
      </c>
      <c r="N71" s="2" t="inlineStr">
        <is>
          <t>Table 2. Cerebellum</t>
        </is>
      </c>
      <c r="P71" s="2" t="inlineStr">
        <is>
          <t>FINISHED</t>
        </is>
      </c>
      <c r="Q71" s="2" t="inlineStr">
        <is>
          <t>added</t>
        </is>
      </c>
      <c r="R71" s="2" t="inlineStr">
        <is>
          <t>HerculanoHouzel_etal_2015_Table2_snapshot.xlsx</t>
        </is>
      </c>
      <c r="S71" s="2" t="inlineStr">
        <is>
          <t>Y</t>
        </is>
      </c>
      <c r="T71" s="2" t="inlineStr">
        <is>
          <t>HerculanoHouzel_etal_2015_Table2.csv</t>
        </is>
      </c>
      <c r="U71" s="2" t="inlineStr">
        <is>
          <t>pdf</t>
        </is>
      </c>
      <c r="V71" s="2" t="inlineStr">
        <is>
          <t>table</t>
        </is>
      </c>
      <c r="W71" s="2" t="inlineStr">
        <is>
          <t>YES - but formatting issues</t>
        </is>
      </c>
      <c r="X71" s="2" t="inlineStr">
        <is>
          <t>https://karger.com/bbe/article-pdf/86/3-4/145/2264694/000437413.pdf</t>
        </is>
      </c>
      <c r="Y71" s="2" t="inlineStr">
        <is>
          <t>HH</t>
        </is>
      </c>
      <c r="Z71" s="2" t="inlineStr">
        <is>
          <t>HH</t>
        </is>
      </c>
      <c r="AG71" s="2" t="inlineStr">
        <is>
          <t>isotropic fractionator</t>
        </is>
      </c>
      <c r="AH71" s="2" t="inlineStr">
        <is>
          <t>placental mammals</t>
        </is>
      </c>
      <c r="AI71" s="2" t="inlineStr">
        <is>
          <t>Cell numbers, region size</t>
        </is>
      </c>
      <c r="AJ71" s="2" t="inlineStr">
        <is>
          <t>Mammals (placental)</t>
        </is>
      </c>
      <c r="AL71" s="2" t="inlineStr">
        <is>
          <t>primary</t>
        </is>
      </c>
      <c r="AM71" s="2" t="inlineStr">
        <is>
          <t>cell count (isotropic fractionator)</t>
        </is>
      </c>
    </row>
    <row r="72" ht="16" customHeight="1">
      <c r="A72" s="2"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72" s="2" t="inlineStr">
        <is>
          <t>Table 3</t>
        </is>
      </c>
      <c r="E72">
        <f>RIGHT(A72,1)</f>
        <v/>
      </c>
      <c r="F72">
        <f>G72 &amp; IF(H72&lt;&gt;"", "_" &amp; H72, "_") &amp; IF(I72&lt;&gt;"", "_" &amp; I72, "_") &amp; IF(B72&lt;&gt;"", "_" &amp; B72, "")</f>
        <v/>
      </c>
      <c r="G72">
        <f>SUBSTITUTE(SUBSTITUTE(_xlfn.TEXTBEFORE(A72,","), "-", ""), " ", "")</f>
        <v/>
      </c>
      <c r="H72">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
      </c>
      <c r="I72">
        <f>_xlfn.TEXTBEFORE(_xlfn.TEXTAFTER(A72, "("), ")")</f>
        <v/>
      </c>
      <c r="J72">
        <f>_xlfn.LET(
_xlpm.doi,IF(C72&lt;&gt;"",C72,_xlfn.TEXTAFTER(A72,"https://doi.org/")),
SUBSTITUTE(
SUBSTITUTE(
SUBSTITUTE(
SUBSTITUTE(
_xlpm.doi,
"/","%2F"),
":","%3A"),
"&lt;","%3C"),
"&gt;","%3E")
)</f>
        <v/>
      </c>
      <c r="K72">
        <f>TRIM(_xlfn.TEXTJOIN("_",FALSE,F72,(SUBSTITUTE(SUBSTITUTE(D72," ",""), "_", ""))))</f>
        <v/>
      </c>
      <c r="L72">
        <f>J72 &amp; "_" &amp; SUBSTITUTE(SUBSTITUTE(SUBSTITUTE(D72,CHAR(160),"")," ",""),"_","")</f>
        <v/>
      </c>
      <c r="M72">
        <f t="array" ref="M72">IFERROR(INDEX(FileList!$A$1:$A$100,MATCH(TRUE,EXACT(L72,_xlfn.TEXTBEFORE(FileList!$A$1:$A$100,".tsv")),0)),"notfound")</f>
        <v/>
      </c>
      <c r="N72" s="2" t="inlineStr">
        <is>
          <t>Table 3. RoB</t>
        </is>
      </c>
      <c r="P72" s="2" t="inlineStr">
        <is>
          <t>FINISHED</t>
        </is>
      </c>
      <c r="Q72" s="2" t="inlineStr">
        <is>
          <t>added</t>
        </is>
      </c>
      <c r="R72" s="2" t="inlineStr">
        <is>
          <t>HerculanoHouzel_etal_2015_Table3_snapshot.xlsx</t>
        </is>
      </c>
      <c r="S72" s="2" t="inlineStr">
        <is>
          <t>Y</t>
        </is>
      </c>
      <c r="T72" s="2" t="inlineStr">
        <is>
          <t>HerculanoHouzel_etal_2015_Table3.csv</t>
        </is>
      </c>
      <c r="U72" s="2" t="inlineStr">
        <is>
          <t>pdf</t>
        </is>
      </c>
      <c r="V72" s="2" t="inlineStr">
        <is>
          <t>table</t>
        </is>
      </c>
      <c r="W72" s="2" t="inlineStr">
        <is>
          <t>YES - but formatting issues</t>
        </is>
      </c>
      <c r="X72" s="2" t="inlineStr">
        <is>
          <t>https://karger.com/bbe/article-pdf/86/3-4/145/2264694/000437413.pdf</t>
        </is>
      </c>
      <c r="Y72" s="2" t="inlineStr">
        <is>
          <t>HH</t>
        </is>
      </c>
      <c r="Z72" s="2" t="inlineStr">
        <is>
          <t>HH</t>
        </is>
      </c>
      <c r="AG72" s="2" t="inlineStr">
        <is>
          <t>isotropic fractionator</t>
        </is>
      </c>
      <c r="AH72" s="2" t="inlineStr">
        <is>
          <t>placental mammals</t>
        </is>
      </c>
      <c r="AI72" s="2" t="inlineStr">
        <is>
          <t>Cell numbers, region size</t>
        </is>
      </c>
      <c r="AJ72" s="2" t="inlineStr">
        <is>
          <t>Mammals (placental)</t>
        </is>
      </c>
      <c r="AL72" s="2" t="inlineStr">
        <is>
          <t>primary</t>
        </is>
      </c>
      <c r="AM72" s="2" t="inlineStr">
        <is>
          <t>cell count (isotropic fractionator)</t>
        </is>
      </c>
    </row>
    <row r="73" ht="16" customHeight="1">
      <c r="A73" s="2"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73" s="2" t="inlineStr">
        <is>
          <t>Table 4</t>
        </is>
      </c>
      <c r="E73">
        <f>RIGHT(A73,1)</f>
        <v/>
      </c>
      <c r="F73">
        <f>G73 &amp; IF(H73&lt;&gt;"", "_" &amp; H73, "_") &amp; IF(I73&lt;&gt;"", "_" &amp; I73, "_") &amp; IF(B73&lt;&gt;"", "_" &amp; B73, "")</f>
        <v/>
      </c>
      <c r="G73">
        <f>SUBSTITUTE(SUBSTITUTE(_xlfn.TEXTBEFORE(A73,","), "-", ""), " ", "")</f>
        <v/>
      </c>
      <c r="H73">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
      </c>
      <c r="I73">
        <f>_xlfn.TEXTBEFORE(_xlfn.TEXTAFTER(A73, "("), ")")</f>
        <v/>
      </c>
      <c r="J73">
        <f>_xlfn.LET(
_xlpm.doi,IF(C73&lt;&gt;"",C73,_xlfn.TEXTAFTER(A73,"https://doi.org/")),
SUBSTITUTE(
SUBSTITUTE(
SUBSTITUTE(
SUBSTITUTE(
_xlpm.doi,
"/","%2F"),
":","%3A"),
"&lt;","%3C"),
"&gt;","%3E")
)</f>
        <v/>
      </c>
      <c r="K73">
        <f>TRIM(_xlfn.TEXTJOIN("_",FALSE,F73,(SUBSTITUTE(SUBSTITUTE(D73," ",""), "_", ""))))</f>
        <v/>
      </c>
      <c r="L73">
        <f>J73 &amp; "_" &amp; SUBSTITUTE(SUBSTITUTE(SUBSTITUTE(D73,CHAR(160),"")," ",""),"_","")</f>
        <v/>
      </c>
      <c r="M73">
        <f t="array" ref="M73">IFERROR(INDEX(FileList!$A$1:$A$100,MATCH(TRUE,EXACT(L73,_xlfn.TEXTBEFORE(FileList!$A$1:$A$100,".tsv")),0)),"notfound")</f>
        <v/>
      </c>
      <c r="N73" s="2" t="inlineStr">
        <is>
          <t>Table 4. Olfactory bulb</t>
        </is>
      </c>
      <c r="P73" s="2" t="inlineStr">
        <is>
          <t>FINISHED</t>
        </is>
      </c>
      <c r="Q73" s="2" t="inlineStr">
        <is>
          <t>added</t>
        </is>
      </c>
      <c r="R73" s="2" t="inlineStr">
        <is>
          <t>HerculanoHouzel_etal_2015_Table4_snapshot.xlsx</t>
        </is>
      </c>
      <c r="S73" s="2" t="inlineStr">
        <is>
          <t>Y</t>
        </is>
      </c>
      <c r="T73" s="2" t="inlineStr">
        <is>
          <t>HerculanoHouzel_etal_2015_Table4.csv</t>
        </is>
      </c>
      <c r="U73" s="2" t="inlineStr">
        <is>
          <t>pdf</t>
        </is>
      </c>
      <c r="V73" s="2" t="inlineStr">
        <is>
          <t>table</t>
        </is>
      </c>
      <c r="W73" s="2" t="inlineStr">
        <is>
          <t>YES - but formatting issues</t>
        </is>
      </c>
      <c r="X73" s="2" t="inlineStr">
        <is>
          <t>https://karger.com/bbe/article-pdf/86/3-4/145/2264694/000437413.pdf</t>
        </is>
      </c>
      <c r="Y73" s="2" t="inlineStr">
        <is>
          <t>HH</t>
        </is>
      </c>
      <c r="Z73" s="2" t="inlineStr">
        <is>
          <t>HH</t>
        </is>
      </c>
      <c r="AG73" s="2" t="inlineStr">
        <is>
          <t>isotropic fractionator</t>
        </is>
      </c>
      <c r="AH73" s="2" t="inlineStr">
        <is>
          <t>placental mammals</t>
        </is>
      </c>
      <c r="AI73" s="2" t="inlineStr">
        <is>
          <t>Cell numbers, region size</t>
        </is>
      </c>
      <c r="AJ73" s="2" t="inlineStr">
        <is>
          <t>Mammals (placental)</t>
        </is>
      </c>
      <c r="AL73" s="2" t="inlineStr">
        <is>
          <t>primary</t>
        </is>
      </c>
      <c r="AM73" s="2" t="inlineStr">
        <is>
          <t>cell count (isotropic fractionator)</t>
        </is>
      </c>
    </row>
    <row r="74" ht="16" customHeight="1">
      <c r="A74" s="2"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74" s="2" t="inlineStr">
        <is>
          <t>Table 5</t>
        </is>
      </c>
      <c r="E74">
        <f>RIGHT(A74,1)</f>
        <v/>
      </c>
      <c r="F74">
        <f>G74 &amp; IF(H74&lt;&gt;"", "_" &amp; H74, "_") &amp; IF(I74&lt;&gt;"", "_" &amp; I74, "_") &amp; IF(B74&lt;&gt;"", "_" &amp; B74, "")</f>
        <v/>
      </c>
      <c r="G74">
        <f>SUBSTITUTE(SUBSTITUTE(_xlfn.TEXTBEFORE(A74,","), "-", ""), " ", "")</f>
        <v/>
      </c>
      <c r="H74">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
      </c>
      <c r="I74">
        <f>_xlfn.TEXTBEFORE(_xlfn.TEXTAFTER(A74, "("), ")")</f>
        <v/>
      </c>
      <c r="J74">
        <f>_xlfn.LET(
_xlpm.doi,IF(C74&lt;&gt;"",C74,_xlfn.TEXTAFTER(A74,"https://doi.org/")),
SUBSTITUTE(
SUBSTITUTE(
SUBSTITUTE(
SUBSTITUTE(
_xlpm.doi,
"/","%2F"),
":","%3A"),
"&lt;","%3C"),
"&gt;","%3E")
)</f>
        <v/>
      </c>
      <c r="K74">
        <f>TRIM(_xlfn.TEXTJOIN("_",FALSE,F74,(SUBSTITUTE(SUBSTITUTE(D74," ",""), "_", ""))))</f>
        <v/>
      </c>
      <c r="L74">
        <f>J74 &amp; "_" &amp; SUBSTITUTE(SUBSTITUTE(SUBSTITUTE(D74,CHAR(160),"")," ",""),"_","")</f>
        <v/>
      </c>
      <c r="M74">
        <f t="array" ref="M74">IFERROR(INDEX(FileList!$A$1:$A$100,MATCH(TRUE,EXACT(L74,_xlfn.TEXTBEFORE(FileList!$A$1:$A$100,".tsv")),0)),"notfound")</f>
        <v/>
      </c>
      <c r="N74" s="2" t="inlineStr">
        <is>
          <t>Table 5. Whole brain</t>
        </is>
      </c>
      <c r="P74" s="2" t="inlineStr">
        <is>
          <t>FINISHED</t>
        </is>
      </c>
      <c r="Q74" s="2" t="inlineStr">
        <is>
          <t>added</t>
        </is>
      </c>
      <c r="R74" s="2" t="inlineStr">
        <is>
          <t>HerculanoHouzel_etal_2015_Table5_snapshot.xlsx</t>
        </is>
      </c>
      <c r="S74" s="2" t="inlineStr">
        <is>
          <t>Y</t>
        </is>
      </c>
      <c r="T74" s="2" t="inlineStr">
        <is>
          <t>HerculanoHouzel_etal_2015_Table5.csv</t>
        </is>
      </c>
      <c r="U74" s="2" t="inlineStr">
        <is>
          <t>pdf</t>
        </is>
      </c>
      <c r="V74" s="2" t="inlineStr">
        <is>
          <t>table</t>
        </is>
      </c>
      <c r="W74" s="2" t="inlineStr">
        <is>
          <t>YES - but formatting issues</t>
        </is>
      </c>
      <c r="X74" s="2" t="inlineStr">
        <is>
          <t>https://karger.com/bbe/article-pdf/86/3-4/145/2264694/000437413.pdf</t>
        </is>
      </c>
      <c r="Y74" s="2" t="inlineStr">
        <is>
          <t>HH</t>
        </is>
      </c>
      <c r="Z74" s="2" t="inlineStr">
        <is>
          <t>HH</t>
        </is>
      </c>
      <c r="AG74" s="2" t="inlineStr">
        <is>
          <t>isotropic fractionator</t>
        </is>
      </c>
      <c r="AH74" s="2" t="inlineStr">
        <is>
          <t>placental mammals</t>
        </is>
      </c>
      <c r="AI74" s="2" t="inlineStr">
        <is>
          <t>Cell numbers, region size</t>
        </is>
      </c>
      <c r="AJ74" s="2" t="inlineStr">
        <is>
          <t>Mammals (placental)</t>
        </is>
      </c>
      <c r="AL74" s="2" t="inlineStr">
        <is>
          <t>primary</t>
        </is>
      </c>
      <c r="AM74" s="2" t="inlineStr">
        <is>
          <t>cell count (isotropic fractionator)</t>
        </is>
      </c>
    </row>
    <row r="75" ht="16" customHeight="1">
      <c r="A75" s="2" t="inlineStr">
        <is>
          <t>Herculano-Houzel, S., da Cunha, F. B., Reed, J. L., Kaswera-Kyamakya, C., Gillissen, E., &amp; Manger, P. R. (2020). Microchiropterans have a diminutive cerebral cortex, not an enlarged cerebellum, compared to megachiropterans and other mammals. J Comp Neurol, 528(17), 2978-2993. https://doi.org/10.1002/cne.24985</t>
        </is>
      </c>
      <c r="D75" s="2" t="inlineStr">
        <is>
          <t>TABLE 1</t>
        </is>
      </c>
      <c r="E75">
        <f>RIGHT(A75,1)</f>
        <v/>
      </c>
      <c r="F75">
        <f>G75 &amp; IF(H75&lt;&gt;"", "_" &amp; H75, "_") &amp; IF(I75&lt;&gt;"", "_" &amp; I75, "_") &amp; IF(B75&lt;&gt;"", "_" &amp; B75, "")</f>
        <v/>
      </c>
      <c r="G75">
        <f>SUBSTITUTE(SUBSTITUTE(_xlfn.TEXTBEFORE(A75,","), "-", ""), " ", "")</f>
        <v/>
      </c>
      <c r="H75">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
      </c>
      <c r="I75">
        <f>_xlfn.TEXTBEFORE(_xlfn.TEXTAFTER(A75, "("), ")")</f>
        <v/>
      </c>
      <c r="J75">
        <f>_xlfn.LET(
_xlpm.doi,IF(C75&lt;&gt;"",C75,_xlfn.TEXTAFTER(A75,"https://doi.org/")),
SUBSTITUTE(
SUBSTITUTE(
SUBSTITUTE(
SUBSTITUTE(
_xlpm.doi,
"/","%2F"),
":","%3A"),
"&lt;","%3C"),
"&gt;","%3E")
)</f>
        <v/>
      </c>
      <c r="K75">
        <f>TRIM(_xlfn.TEXTJOIN("_",FALSE,F75,(SUBSTITUTE(SUBSTITUTE(D75," ",""), "_", ""))))</f>
        <v/>
      </c>
      <c r="L75">
        <f>J75 &amp; "_" &amp; SUBSTITUTE(SUBSTITUTE(SUBSTITUTE(D75,CHAR(160),"")," ",""),"_","")</f>
        <v/>
      </c>
      <c r="M75">
        <f t="array" ref="M75">IFERROR(INDEX(FileList!$A$1:$A$100,MATCH(TRUE,EXACT(L75,_xlfn.TEXTBEFORE(FileList!$A$1:$A$100,".tsv")),0)),"notfound")</f>
        <v/>
      </c>
      <c r="N75" s="2" t="inlineStr">
        <is>
          <t>TABLE 1 Dataset</t>
        </is>
      </c>
      <c r="P75" s="2" t="inlineStr">
        <is>
          <t>FINISHED</t>
        </is>
      </c>
      <c r="Q75" s="2" t="inlineStr">
        <is>
          <t>added</t>
        </is>
      </c>
      <c r="R75" s="2" t="inlineStr">
        <is>
          <t>HerculanoHouzel_etal_2020_TABLE1_snapshot.csv</t>
        </is>
      </c>
      <c r="S75" s="2" t="inlineStr">
        <is>
          <t>Y</t>
        </is>
      </c>
      <c r="T75" s="2" t="inlineStr">
        <is>
          <t>HerculanoHouzel_etal_2020_Table1.csv</t>
        </is>
      </c>
      <c r="U75" s="2" t="inlineStr">
        <is>
          <t>pdf</t>
        </is>
      </c>
      <c r="V75" s="2" t="inlineStr">
        <is>
          <t>table</t>
        </is>
      </c>
      <c r="W75" s="2" t="inlineStr">
        <is>
          <t>NO - paywall</t>
        </is>
      </c>
      <c r="X75" s="2" t="inlineStr">
        <is>
          <t>https://doi.org/10.1002/cne.24985</t>
        </is>
      </c>
      <c r="Y75" s="2" t="inlineStr">
        <is>
          <t>HH</t>
        </is>
      </c>
      <c r="Z75" s="2" t="inlineStr">
        <is>
          <t>HH</t>
        </is>
      </c>
      <c r="AC75" s="2" t="inlineStr">
        <is>
          <t>species-name-error: species-name typo corrected from paper text (in .R script).</t>
        </is>
      </c>
      <c r="AG75" s="2" t="inlineStr">
        <is>
          <t>isotropic fractionator</t>
        </is>
      </c>
      <c r="AH75" s="2" t="inlineStr">
        <is>
          <t>bats</t>
        </is>
      </c>
      <c r="AI75" s="2" t="inlineStr">
        <is>
          <t>region size</t>
        </is>
      </c>
      <c r="AJ75" s="2" t="inlineStr">
        <is>
          <t>Bats</t>
        </is>
      </c>
      <c r="AL75" s="2" t="inlineStr">
        <is>
          <t>primary</t>
        </is>
      </c>
      <c r="AM75" s="2" t="inlineStr">
        <is>
          <t>volume (region size)</t>
        </is>
      </c>
    </row>
    <row r="76" ht="16" customHeight="1">
      <c r="A76" s="2" t="inlineStr">
        <is>
          <t>Herculano-Houzel, S., da Cunha, F. B., Reed, J. L., Kaswera-Kyamakya, C., Gillissen, E., &amp; Manger, P. R. (2020). Microchiropterans have a diminutive cerebral cortex, not an enlarged cerebellum, compared to megachiropterans and other mammals. J Comp Neurol, 528(17), 2978-2993. https://doi.org/10.1002/cne.24985</t>
        </is>
      </c>
      <c r="D76" s="2" t="inlineStr">
        <is>
          <t>TABLE 2</t>
        </is>
      </c>
      <c r="E76">
        <f>RIGHT(A76,1)</f>
        <v/>
      </c>
      <c r="F76">
        <f>G76 &amp; IF(H76&lt;&gt;"", "_" &amp; H76, "_") &amp; IF(I76&lt;&gt;"", "_" &amp; I76, "_") &amp; IF(B76&lt;&gt;"", "_" &amp; B76, "")</f>
        <v/>
      </c>
      <c r="G76">
        <f>SUBSTITUTE(SUBSTITUTE(_xlfn.TEXTBEFORE(A76,","), "-", ""), " ", "")</f>
        <v/>
      </c>
      <c r="H76">
        <f>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
      </c>
      <c r="I76">
        <f>_xlfn.TEXTBEFORE(_xlfn.TEXTAFTER(A76, "("), ")")</f>
        <v/>
      </c>
      <c r="J76">
        <f>_xlfn.LET(
_xlpm.doi,IF(C76&lt;&gt;"",C76,_xlfn.TEXTAFTER(A76,"https://doi.org/")),
SUBSTITUTE(
SUBSTITUTE(
SUBSTITUTE(
SUBSTITUTE(
_xlpm.doi,
"/","%2F"),
":","%3A"),
"&lt;","%3C"),
"&gt;","%3E")
)</f>
        <v/>
      </c>
      <c r="K76">
        <f>TRIM(_xlfn.TEXTJOIN("_",FALSE,F76,(SUBSTITUTE(SUBSTITUTE(D76," ",""), "_", ""))))</f>
        <v/>
      </c>
      <c r="L76">
        <f>J76 &amp; "_" &amp; SUBSTITUTE(SUBSTITUTE(SUBSTITUTE(D76,CHAR(160),"")," ",""),"_","")</f>
        <v/>
      </c>
      <c r="M76">
        <f t="array" ref="M76">IFERROR(INDEX(FileList!$A$1:$A$100,MATCH(TRUE,EXACT(L76,_xlfn.TEXTBEFORE(FileList!$A$1:$A$100,".tsv")),0)),"notfound")</f>
        <v/>
      </c>
      <c r="N76" s="2" t="inlineStr">
        <is>
          <t>TABLE 2 Numbers of neurons and neuronal density (neurons/mg)</t>
        </is>
      </c>
      <c r="P76" s="2" t="inlineStr">
        <is>
          <t>FINISHED</t>
        </is>
      </c>
      <c r="Q76" s="2" t="inlineStr">
        <is>
          <t>added</t>
        </is>
      </c>
      <c r="R76" s="2" t="inlineStr">
        <is>
          <t>HerculanoHouzel_etal_2020_TABLE2_snapshot.csv</t>
        </is>
      </c>
      <c r="S76" s="2" t="inlineStr">
        <is>
          <t>Y</t>
        </is>
      </c>
      <c r="T76" s="2" t="inlineStr">
        <is>
          <t>HerculanoHouzel_etal_2020_Table2.csv</t>
        </is>
      </c>
      <c r="U76" s="2" t="inlineStr">
        <is>
          <t>pdf</t>
        </is>
      </c>
      <c r="V76" s="2" t="inlineStr">
        <is>
          <t>table</t>
        </is>
      </c>
      <c r="W76" s="2" t="inlineStr">
        <is>
          <t>NO - paywall</t>
        </is>
      </c>
      <c r="X76" s="2" t="inlineStr">
        <is>
          <t>https://doi.org/10.1002/cne.24985</t>
        </is>
      </c>
      <c r="Y76" s="2" t="inlineStr">
        <is>
          <t>HH</t>
        </is>
      </c>
      <c r="Z76" s="2" t="inlineStr">
        <is>
          <t>HH</t>
        </is>
      </c>
      <c r="AC76" s="2" t="inlineStr">
        <is>
          <t>species-name-error: species-name typo corrected from paper text (in .R script).</t>
        </is>
      </c>
      <c r="AG76" s="2" t="inlineStr">
        <is>
          <t>isotropic fractionator</t>
        </is>
      </c>
      <c r="AH76" s="2" t="inlineStr">
        <is>
          <t>bats</t>
        </is>
      </c>
      <c r="AI76" s="2" t="inlineStr">
        <is>
          <t>Cell numbers</t>
        </is>
      </c>
      <c r="AJ76" s="2" t="inlineStr">
        <is>
          <t>Bats</t>
        </is>
      </c>
      <c r="AL76" s="2" t="inlineStr">
        <is>
          <t>primary</t>
        </is>
      </c>
      <c r="AM76" s="2" t="inlineStr">
        <is>
          <t>cell count (isotropic fractionator)</t>
        </is>
      </c>
    </row>
    <row r="77" ht="16" customHeight="1">
      <c r="A77" s="2" t="inlineStr">
        <is>
          <t>Herculano-Houzel, S., Watson, C., &amp; Paxinos, G. (2013). Distribution of neurons in functional areas of the mouse cerebral cortex reveals quantitatively different cortical zones. Front Neuroanat, 7, 35. https://doi.org/10.3389/fnana.2013.00035</t>
        </is>
      </c>
      <c r="D77" s="2" t="inlineStr">
        <is>
          <t>Figure 2 Top Left</t>
        </is>
      </c>
      <c r="E77">
        <f>RIGHT(A77,1)</f>
        <v/>
      </c>
      <c r="F77">
        <f>G77 &amp; IF(H77&lt;&gt;"", "_" &amp; H77, "_") &amp; IF(I77&lt;&gt;"", "_" &amp; I77, "_") &amp; IF(B77&lt;&gt;"", "_" &amp; B77, "")</f>
        <v/>
      </c>
      <c r="G77">
        <f>SUBSTITUTE(SUBSTITUTE(_xlfn.TEXTBEFORE(A77,","), "-", ""), " ", "")</f>
        <v/>
      </c>
      <c r="H77">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
      </c>
      <c r="I77">
        <f>_xlfn.TEXTBEFORE(_xlfn.TEXTAFTER(A77, "("), ")")</f>
        <v/>
      </c>
      <c r="J77">
        <f>_xlfn.LET(
_xlpm.doi,IF(C77&lt;&gt;"",C77,_xlfn.TEXTAFTER(A77,"https://doi.org/")),
SUBSTITUTE(
SUBSTITUTE(
SUBSTITUTE(
SUBSTITUTE(
_xlpm.doi,
"/","%2F"),
":","%3A"),
"&lt;","%3C"),
"&gt;","%3E")
)</f>
        <v/>
      </c>
      <c r="K77">
        <f>TRIM(_xlfn.TEXTJOIN("_",FALSE,F77,(SUBSTITUTE(SUBSTITUTE(D77," ",""), "_", ""))))</f>
        <v/>
      </c>
      <c r="L77">
        <f>J77 &amp; "_" &amp; SUBSTITUTE(SUBSTITUTE(SUBSTITUTE(D77,CHAR(160),"")," ",""),"_","")</f>
        <v/>
      </c>
      <c r="M77">
        <f t="array" ref="M77">IFERROR(INDEX(FileList!$A$1:$A$100,MATCH(TRUE,EXACT(L77,_xlfn.TEXTBEFORE(FileList!$A$1:$A$100,".tsv")),0)),"notfound")</f>
        <v/>
      </c>
      <c r="Q77" s="2" t="inlineStr">
        <is>
          <t>already there</t>
        </is>
      </c>
      <c r="Y77" s="2" t="inlineStr">
        <is>
          <t>HH</t>
        </is>
      </c>
      <c r="Z77" s="2" t="inlineStr">
        <is>
          <t>HH</t>
        </is>
      </c>
      <c r="AG77" s="2" t="inlineStr">
        <is>
          <t>isotropic fractionator</t>
        </is>
      </c>
      <c r="AI77" s="2" t="inlineStr">
        <is>
          <t>cell numbers</t>
        </is>
      </c>
      <c r="AJ77" s="2" t="inlineStr">
        <is>
          <t>Mammals</t>
        </is>
      </c>
      <c r="AL77" s="2" t="inlineStr">
        <is>
          <t>primary</t>
        </is>
      </c>
      <c r="AM77" s="2" t="inlineStr">
        <is>
          <t>cell count (isotropic fractionator)</t>
        </is>
      </c>
    </row>
    <row r="78" ht="16" customHeight="1">
      <c r="A78" s="2" t="inlineStr">
        <is>
          <t>Herculano-Houzel, S., Watson, C., &amp; Paxinos, G. (2013). Distribution of neurons in functional areas of the mouse cerebral cortex reveals quantitatively different cortical zones. Front Neuroanat, 7, 35. https://doi.org/10.3389/fnana.2013.00035</t>
        </is>
      </c>
      <c r="D78" s="2" t="inlineStr">
        <is>
          <t>Table 1-a</t>
        </is>
      </c>
      <c r="E78">
        <f>RIGHT(A78,1)</f>
        <v/>
      </c>
      <c r="F78">
        <f>G78 &amp; IF(H78&lt;&gt;"", "_" &amp; H78, "_") &amp; IF(I78&lt;&gt;"", "_" &amp; I78, "_") &amp; IF(B78&lt;&gt;"", "_" &amp; B78, "")</f>
        <v/>
      </c>
      <c r="G78">
        <f>SUBSTITUTE(SUBSTITUTE(_xlfn.TEXTBEFORE(A78,","), "-", ""), " ", "")</f>
        <v/>
      </c>
      <c r="H78">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
      </c>
      <c r="I78">
        <f>_xlfn.TEXTBEFORE(_xlfn.TEXTAFTER(A78, "("), ")")</f>
        <v/>
      </c>
      <c r="J78">
        <f>_xlfn.LET(
_xlpm.doi,IF(C78&lt;&gt;"",C78,_xlfn.TEXTAFTER(A78,"https://doi.org/")),
SUBSTITUTE(
SUBSTITUTE(
SUBSTITUTE(
SUBSTITUTE(
_xlpm.doi,
"/","%2F"),
":","%3A"),
"&lt;","%3C"),
"&gt;","%3E")
)</f>
        <v/>
      </c>
      <c r="K78">
        <f>TRIM(_xlfn.TEXTJOIN("_",FALSE,F78,(SUBSTITUTE(SUBSTITUTE(D78," ",""), "_", ""))))</f>
        <v/>
      </c>
      <c r="L78">
        <f>J78 &amp; "_" &amp; SUBSTITUTE(SUBSTITUTE(SUBSTITUTE(D78,CHAR(160),"")," ",""),"_","")</f>
        <v/>
      </c>
      <c r="M78">
        <f t="array" ref="M78">IFERROR(INDEX(FileList!$A$1:$A$100,MATCH(TRUE,EXACT(L78,_xlfn.TEXTBEFORE(FileList!$A$1:$A$100,".tsv")),0)),"notfound")</f>
        <v/>
      </c>
      <c r="Q78" s="2" t="inlineStr">
        <is>
          <t>already there</t>
        </is>
      </c>
      <c r="V78" s="3" t="inlineStr">
        <is>
          <t>table</t>
        </is>
      </c>
      <c r="Y78" s="2" t="inlineStr">
        <is>
          <t>HH</t>
        </is>
      </c>
      <c r="Z78" s="2" t="inlineStr">
        <is>
          <t>HH</t>
        </is>
      </c>
      <c r="AG78" s="2" t="inlineStr">
        <is>
          <t>isotropic fractionator</t>
        </is>
      </c>
      <c r="AI78" s="2" t="inlineStr">
        <is>
          <t>cell numbers</t>
        </is>
      </c>
      <c r="AJ78" s="2" t="inlineStr">
        <is>
          <t>Mammals</t>
        </is>
      </c>
      <c r="AL78" s="2" t="inlineStr">
        <is>
          <t>primary</t>
        </is>
      </c>
      <c r="AM78" s="2" t="inlineStr">
        <is>
          <t>cell count (isotropic fractionator)</t>
        </is>
      </c>
    </row>
    <row r="79" ht="16" customHeight="1">
      <c r="A79" s="2" t="inlineStr">
        <is>
          <t>Herculano-Houzel, S., Watson, C., &amp; Paxinos, G. (2013). Distribution of neurons in functional areas of the mouse cerebral cortex reveals quantitatively different cortical zones. Front Neuroanat, 7, 35. https://doi.org/10.3389/fnana.2013.00035</t>
        </is>
      </c>
      <c r="D79" s="2" t="inlineStr">
        <is>
          <t>Table 1-b</t>
        </is>
      </c>
      <c r="E79">
        <f>RIGHT(A79,1)</f>
        <v/>
      </c>
      <c r="F79">
        <f>G79 &amp; IF(H79&lt;&gt;"", "_" &amp; H79, "_") &amp; IF(I79&lt;&gt;"", "_" &amp; I79, "_") &amp; IF(B79&lt;&gt;"", "_" &amp; B79, "")</f>
        <v/>
      </c>
      <c r="G79">
        <f>SUBSTITUTE(SUBSTITUTE(_xlfn.TEXTBEFORE(A79,","), "-", ""), " ", "")</f>
        <v/>
      </c>
      <c r="H79">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
      </c>
      <c r="I79">
        <f>_xlfn.TEXTBEFORE(_xlfn.TEXTAFTER(A79, "("), ")")</f>
        <v/>
      </c>
      <c r="J79">
        <f>_xlfn.LET(
_xlpm.doi,IF(C79&lt;&gt;"",C79,_xlfn.TEXTAFTER(A79,"https://doi.org/")),
SUBSTITUTE(
SUBSTITUTE(
SUBSTITUTE(
SUBSTITUTE(
_xlpm.doi,
"/","%2F"),
":","%3A"),
"&lt;","%3C"),
"&gt;","%3E")
)</f>
        <v/>
      </c>
      <c r="K79">
        <f>TRIM(_xlfn.TEXTJOIN("_",FALSE,F79,(SUBSTITUTE(SUBSTITUTE(D79," ",""), "_", ""))))</f>
        <v/>
      </c>
      <c r="L79">
        <f>J79 &amp; "_" &amp; SUBSTITUTE(SUBSTITUTE(SUBSTITUTE(D79,CHAR(160),"")," ",""),"_","")</f>
        <v/>
      </c>
      <c r="M79">
        <f t="array" ref="M79">IFERROR(INDEX(FileList!$A$1:$A$100,MATCH(TRUE,EXACT(L79,_xlfn.TEXTBEFORE(FileList!$A$1:$A$100,".tsv")),0)),"notfound")</f>
        <v/>
      </c>
      <c r="Q79" s="2" t="inlineStr">
        <is>
          <t>already there</t>
        </is>
      </c>
      <c r="V79" s="3" t="inlineStr">
        <is>
          <t>table</t>
        </is>
      </c>
      <c r="Y79" s="2" t="inlineStr">
        <is>
          <t>HH</t>
        </is>
      </c>
      <c r="Z79" s="2" t="inlineStr">
        <is>
          <t>HH</t>
        </is>
      </c>
      <c r="AG79" s="2" t="inlineStr">
        <is>
          <t>isotropic fractionator</t>
        </is>
      </c>
      <c r="AI79" s="2" t="inlineStr">
        <is>
          <t>cell numbers</t>
        </is>
      </c>
      <c r="AJ79" s="2" t="inlineStr">
        <is>
          <t>Mammals</t>
        </is>
      </c>
      <c r="AL79" s="2" t="inlineStr">
        <is>
          <t>primary</t>
        </is>
      </c>
      <c r="AM79" s="2" t="inlineStr">
        <is>
          <t>cell count (isotropic fractionator)</t>
        </is>
      </c>
    </row>
    <row r="80" ht="16" customHeight="1">
      <c r="A80" s="2" t="inlineStr">
        <is>
          <t>Isler, K., Christopher Kirk, E., Miller, J. M. A., Albrecht, G. A., Gelvin, B. R., &amp; Martin, R. D. (2008). Endocranial volumes of primate species: scaling analyses using a comprehensive and reliable data set. J Hum Evol, 55(6), 967. https://doi.org/10.1016/j.jhevol.2008.08.004</t>
        </is>
      </c>
      <c r="D80" s="2" t="inlineStr">
        <is>
          <t>Table 2</t>
        </is>
      </c>
      <c r="E80">
        <f>RIGHT(A80,1)</f>
        <v/>
      </c>
      <c r="F80">
        <f>G80 &amp; IF(H80&lt;&gt;"", "_" &amp; H80, "_") &amp; IF(I80&lt;&gt;"", "_" &amp; I80, "_") &amp; IF(B80&lt;&gt;"", "_" &amp; B80, "")</f>
        <v/>
      </c>
      <c r="G80">
        <f>SUBSTITUTE(SUBSTITUTE(_xlfn.TEXTBEFORE(A80,","), "-", ""), " ", "")</f>
        <v/>
      </c>
      <c r="H80">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
      </c>
      <c r="I80">
        <f>_xlfn.TEXTBEFORE(_xlfn.TEXTAFTER(A80, "("), ")")</f>
        <v/>
      </c>
      <c r="J80">
        <f>_xlfn.LET(
_xlpm.doi,IF(C80&lt;&gt;"",C80,_xlfn.TEXTAFTER(A80,"https://doi.org/")),
SUBSTITUTE(
SUBSTITUTE(
SUBSTITUTE(
SUBSTITUTE(
_xlpm.doi,
"/","%2F"),
":","%3A"),
"&lt;","%3C"),
"&gt;","%3E")
)</f>
        <v/>
      </c>
      <c r="K80">
        <f>TRIM(_xlfn.TEXTJOIN("_",FALSE,F80,(SUBSTITUTE(SUBSTITUTE(D80," ",""), "_", ""))))</f>
        <v/>
      </c>
      <c r="L80">
        <f>J80 &amp; "_" &amp; SUBSTITUTE(SUBSTITUTE(SUBSTITUTE(D80,CHAR(160),"")," ",""),"_","")</f>
        <v/>
      </c>
      <c r="M80">
        <f t="array" ref="M80">IFERROR(INDEX(FileList!$A$1:$A$100,MATCH(TRUE,EXACT(L80,_xlfn.TEXTBEFORE(FileList!$A$1:$A$100,".tsv")),0)),"notfound")</f>
        <v/>
      </c>
      <c r="Q80" s="2" t="inlineStr">
        <is>
          <t>already there</t>
        </is>
      </c>
      <c r="V80" s="3" t="inlineStr">
        <is>
          <t>table</t>
        </is>
      </c>
      <c r="AI80" s="2" t="inlineStr">
        <is>
          <t>endocranial volume</t>
        </is>
      </c>
      <c r="AJ80" s="2" t="inlineStr">
        <is>
          <t>Primates</t>
        </is>
      </c>
      <c r="AL80" s="2" t="inlineStr">
        <is>
          <t>secondary</t>
        </is>
      </c>
      <c r="AM80" s="2" t="inlineStr">
        <is>
          <t>endocranial / brain volume</t>
        </is>
      </c>
    </row>
    <row r="81" ht="16" customHeight="1">
      <c r="A81" s="2" t="inlineStr">
        <is>
          <t>Isler, K., Christopher Kirk, E., Miller, J. M. A., Albrecht, G. A., Gelvin, B. R., &amp; Martin, R. D. (2008). Endocranial volumes of primate species: scaling analyses using a comprehensive and reliable data set. J Hum Evol, 55(6), 967. https://doi.org/10.1016/j.jhevol.2008.08.004</t>
        </is>
      </c>
      <c r="D81" s="2" t="inlineStr">
        <is>
          <t>Table 7</t>
        </is>
      </c>
      <c r="E81">
        <f>RIGHT(A81,1)</f>
        <v/>
      </c>
      <c r="F81">
        <f>G81 &amp; IF(H81&lt;&gt;"", "_" &amp; H81, "_") &amp; IF(I81&lt;&gt;"", "_" &amp; I81, "_") &amp; IF(B81&lt;&gt;"", "_" &amp; B81, "")</f>
        <v/>
      </c>
      <c r="G81">
        <f>SUBSTITUTE(SUBSTITUTE(_xlfn.TEXTBEFORE(A81,","), "-", ""), " ", "")</f>
        <v/>
      </c>
      <c r="H81">
        <f>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
      </c>
      <c r="I81">
        <f>_xlfn.TEXTBEFORE(_xlfn.TEXTAFTER(A81, "("), ")")</f>
        <v/>
      </c>
      <c r="J81">
        <f>_xlfn.LET(
_xlpm.doi,IF(C81&lt;&gt;"",C81,_xlfn.TEXTAFTER(A81,"https://doi.org/")),
SUBSTITUTE(
SUBSTITUTE(
SUBSTITUTE(
SUBSTITUTE(
_xlpm.doi,
"/","%2F"),
":","%3A"),
"&lt;","%3C"),
"&gt;","%3E")
)</f>
        <v/>
      </c>
      <c r="K81">
        <f>TRIM(_xlfn.TEXTJOIN("_",FALSE,F81,(SUBSTITUTE(SUBSTITUTE(D81," ",""), "_", ""))))</f>
        <v/>
      </c>
      <c r="L81">
        <f>J81 &amp; "_" &amp; SUBSTITUTE(SUBSTITUTE(SUBSTITUTE(D81,CHAR(160),"")," ",""),"_","")</f>
        <v/>
      </c>
      <c r="M81">
        <f t="array" ref="M81">IFERROR(INDEX(FileList!$A$1:$A$100,MATCH(TRUE,EXACT(L81,_xlfn.TEXTBEFORE(FileList!$A$1:$A$100,".tsv")),0)),"notfound")</f>
        <v/>
      </c>
      <c r="Q81" s="2" t="inlineStr">
        <is>
          <t>already there</t>
        </is>
      </c>
      <c r="V81" s="3" t="inlineStr">
        <is>
          <t>table</t>
        </is>
      </c>
      <c r="AI81" s="2" t="inlineStr">
        <is>
          <t>endocranial volume</t>
        </is>
      </c>
      <c r="AJ81" s="2" t="inlineStr">
        <is>
          <t>Primates</t>
        </is>
      </c>
      <c r="AL81" s="2" t="inlineStr">
        <is>
          <t>secondary</t>
        </is>
      </c>
      <c r="AM81" s="2" t="inlineStr">
        <is>
          <t>endocranial / brain volume</t>
        </is>
      </c>
    </row>
    <row r="82" ht="16" customHeight="1">
      <c r="A82" s="2" t="inlineStr">
        <is>
          <t>Isler, K., Christopher Kirk, E., Miller, J. M. A., Albrecht, G. A., Gelvin, B. R., &amp; Martin, R. D. (2008). Endocranial volumes of primate species: scaling analyses using a comprehensive and reliable data set. J Hum Evol, 55(6), 967. https://doi.org/10.1016/j.jhevol.2008.08.004</t>
        </is>
      </c>
      <c r="D82" s="2" t="inlineStr">
        <is>
          <t>Table S1</t>
        </is>
      </c>
      <c r="E82">
        <f>RIGHT(A82,1)</f>
        <v/>
      </c>
      <c r="F82">
        <f>G82 &amp; IF(H82&lt;&gt;"", "_" &amp; H82, "_") &amp; IF(I82&lt;&gt;"", "_" &amp; I82, "_") &amp; IF(B82&lt;&gt;"", "_" &amp; B82, "")</f>
        <v/>
      </c>
      <c r="G82">
        <f>SUBSTITUTE(SUBSTITUTE(_xlfn.TEXTBEFORE(A82,","), "-", ""), " ", "")</f>
        <v/>
      </c>
      <c r="H82">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
      </c>
      <c r="I82">
        <f>_xlfn.TEXTBEFORE(_xlfn.TEXTAFTER(A82, "("), ")")</f>
        <v/>
      </c>
      <c r="J82">
        <f>_xlfn.LET(
_xlpm.doi,IF(C82&lt;&gt;"",C82,_xlfn.TEXTAFTER(A82,"https://doi.org/")),
SUBSTITUTE(
SUBSTITUTE(
SUBSTITUTE(
SUBSTITUTE(
_xlpm.doi,
"/","%2F"),
":","%3A"),
"&lt;","%3C"),
"&gt;","%3E")
)</f>
        <v/>
      </c>
      <c r="K82">
        <f>TRIM(_xlfn.TEXTJOIN("_",FALSE,F82,(SUBSTITUTE(SUBSTITUTE(D82," ",""), "_", ""))))</f>
        <v/>
      </c>
      <c r="L82">
        <f>J82 &amp; "_" &amp; SUBSTITUTE(SUBSTITUTE(SUBSTITUTE(D82,CHAR(160),"")," ",""),"_","")</f>
        <v/>
      </c>
      <c r="M82">
        <f t="array" ref="M82">IFERROR(INDEX(FileList!$A$1:$A$100,MATCH(TRUE,EXACT(L82,_xlfn.TEXTBEFORE(FileList!$A$1:$A$100,".tsv")),0)),"notfound")</f>
        <v/>
      </c>
      <c r="Q82" s="2" t="inlineStr">
        <is>
          <t>already there</t>
        </is>
      </c>
      <c r="V82" s="3" t="inlineStr">
        <is>
          <t>table</t>
        </is>
      </c>
      <c r="AI82" s="2" t="inlineStr">
        <is>
          <t>endocranial volume</t>
        </is>
      </c>
      <c r="AJ82" s="2" t="inlineStr">
        <is>
          <t>Primates</t>
        </is>
      </c>
      <c r="AL82" s="2" t="inlineStr">
        <is>
          <t>secondary</t>
        </is>
      </c>
      <c r="AM82" s="2" t="inlineStr">
        <is>
          <t>endocranial / brain volume</t>
        </is>
      </c>
    </row>
    <row r="83" ht="16" customHeight="1">
      <c r="A83" s="2" t="inlineStr">
        <is>
          <t>Isler, K., Christopher Kirk, E., Miller, J. M. A., Albrecht, G. A., Gelvin, B. R., &amp; Martin, R. D. (2008). Endocranial volumes of primate species: scaling analyses using a comprehensive and reliable data set. J Hum Evol, 55(6), 967. https://doi.org/10.1016/j.jhevol.2008.08.004</t>
        </is>
      </c>
      <c r="D83" s="2" t="inlineStr">
        <is>
          <t>Table S2</t>
        </is>
      </c>
      <c r="E83">
        <f>RIGHT(A83,1)</f>
        <v/>
      </c>
      <c r="F83">
        <f>G83 &amp; IF(H83&lt;&gt;"", "_" &amp; H83, "_") &amp; IF(I83&lt;&gt;"", "_" &amp; I83, "_") &amp; IF(B83&lt;&gt;"", "_" &amp; B83, "")</f>
        <v/>
      </c>
      <c r="G83">
        <f>SUBSTITUTE(SUBSTITUTE(_xlfn.TEXTBEFORE(A83,","), "-", ""), " ", "")</f>
        <v/>
      </c>
      <c r="H83">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
      </c>
      <c r="I83">
        <f>_xlfn.TEXTBEFORE(_xlfn.TEXTAFTER(A83, "("), ")")</f>
        <v/>
      </c>
      <c r="J83">
        <f>_xlfn.LET(
_xlpm.doi,IF(C83&lt;&gt;"",C83,_xlfn.TEXTAFTER(A83,"https://doi.org/")),
SUBSTITUTE(
SUBSTITUTE(
SUBSTITUTE(
SUBSTITUTE(
_xlpm.doi,
"/","%2F"),
":","%3A"),
"&lt;","%3C"),
"&gt;","%3E")
)</f>
        <v/>
      </c>
      <c r="K83">
        <f>TRIM(_xlfn.TEXTJOIN("_",FALSE,F83,(SUBSTITUTE(SUBSTITUTE(D83," ",""), "_", ""))))</f>
        <v/>
      </c>
      <c r="L83">
        <f>J83 &amp; "_" &amp; SUBSTITUTE(SUBSTITUTE(SUBSTITUTE(D83,CHAR(160),"")," ",""),"_","")</f>
        <v/>
      </c>
      <c r="M83">
        <f t="array" ref="M83">IFERROR(INDEX(FileList!$A$1:$A$100,MATCH(TRUE,EXACT(L83,_xlfn.TEXTBEFORE(FileList!$A$1:$A$100,".tsv")),0)),"notfound")</f>
        <v/>
      </c>
      <c r="Q83" s="2" t="inlineStr">
        <is>
          <t>already there</t>
        </is>
      </c>
      <c r="V83" s="3" t="inlineStr">
        <is>
          <t>table</t>
        </is>
      </c>
      <c r="AI83" s="2" t="inlineStr">
        <is>
          <t>endocranial volume</t>
        </is>
      </c>
      <c r="AJ83" s="2" t="inlineStr">
        <is>
          <t>Primates</t>
        </is>
      </c>
      <c r="AL83" s="2" t="inlineStr">
        <is>
          <t>secondary</t>
        </is>
      </c>
      <c r="AM83" s="2" t="inlineStr">
        <is>
          <t>endocranial / brain volume</t>
        </is>
      </c>
    </row>
    <row r="84" ht="16" customHeight="1">
      <c r="A84" s="2" t="inlineStr">
        <is>
          <t>Isler, K., Christopher Kirk, E., Miller, J. M. A., Albrecht, G. A., Gelvin, B. R., &amp; Martin, R. D. (2008). Endocranial volumes of primate species: scaling analyses using a comprehensive and reliable data set. J Hum Evol, 55(6), 967. https://doi.org/10.1016/j.jhevol.2008.08.004</t>
        </is>
      </c>
      <c r="D84" s="2" t="inlineStr">
        <is>
          <t>Table S3</t>
        </is>
      </c>
      <c r="E84">
        <f>RIGHT(A84,1)</f>
        <v/>
      </c>
      <c r="F84">
        <f>G84 &amp; IF(H84&lt;&gt;"", "_" &amp; H84, "_") &amp; IF(I84&lt;&gt;"", "_" &amp; I84, "_") &amp; IF(B84&lt;&gt;"", "_" &amp; B84, "")</f>
        <v/>
      </c>
      <c r="G84">
        <f>SUBSTITUTE(SUBSTITUTE(_xlfn.TEXTBEFORE(A84,","), "-", ""), " ", "")</f>
        <v/>
      </c>
      <c r="H84">
        <f>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
      </c>
      <c r="I84">
        <f>_xlfn.TEXTBEFORE(_xlfn.TEXTAFTER(A84, "("), ")")</f>
        <v/>
      </c>
      <c r="J84">
        <f>_xlfn.LET(
_xlpm.doi,IF(C84&lt;&gt;"",C84,_xlfn.TEXTAFTER(A84,"https://doi.org/")),
SUBSTITUTE(
SUBSTITUTE(
SUBSTITUTE(
SUBSTITUTE(
_xlpm.doi,
"/","%2F"),
":","%3A"),
"&lt;","%3C"),
"&gt;","%3E")
)</f>
        <v/>
      </c>
      <c r="K84">
        <f>TRIM(_xlfn.TEXTJOIN("_",FALSE,F84,(SUBSTITUTE(SUBSTITUTE(D84," ",""), "_", ""))))</f>
        <v/>
      </c>
      <c r="L84">
        <f>J84 &amp; "_" &amp; SUBSTITUTE(SUBSTITUTE(SUBSTITUTE(D84,CHAR(160),"")," ",""),"_","")</f>
        <v/>
      </c>
      <c r="M84">
        <f t="array" ref="M84">IFERROR(INDEX(FileList!$A$1:$A$100,MATCH(TRUE,EXACT(L84,_xlfn.TEXTBEFORE(FileList!$A$1:$A$100,".tsv")),0)),"notfound")</f>
        <v/>
      </c>
      <c r="Q84" s="2" t="inlineStr">
        <is>
          <t>already there</t>
        </is>
      </c>
      <c r="V84" s="3" t="inlineStr">
        <is>
          <t>table</t>
        </is>
      </c>
      <c r="AI84" s="2" t="inlineStr">
        <is>
          <t>endocranial volume</t>
        </is>
      </c>
      <c r="AJ84" s="2" t="inlineStr">
        <is>
          <t>Primates</t>
        </is>
      </c>
      <c r="AL84" s="2" t="inlineStr">
        <is>
          <t>secondary</t>
        </is>
      </c>
      <c r="AM84" s="2" t="inlineStr">
        <is>
          <t>endocranial / brain volume</t>
        </is>
      </c>
    </row>
    <row r="85" ht="16" customHeight="1">
      <c r="A85" s="2" t="inlineStr">
        <is>
          <t>Isler, K., Christopher Kirk, E., Miller, J. M. A., Albrecht, G. A., Gelvin, B. R., &amp; Martin, R. D. (2008). Endocranial volumes of primate species: scaling analyses using a comprehensive and reliable data set. J Hum Evol, 55(6), 967. https://doi.org/10.1016/j.jhevol.2008.08.004</t>
        </is>
      </c>
      <c r="D85" s="2" t="inlineStr">
        <is>
          <t>Tree.nex</t>
        </is>
      </c>
      <c r="E85">
        <f>RIGHT(A85,1)</f>
        <v/>
      </c>
      <c r="F85">
        <f>G85 &amp; IF(H85&lt;&gt;"", "_" &amp; H85, "_") &amp; IF(I85&lt;&gt;"", "_" &amp; I85, "_") &amp; IF(B85&lt;&gt;"", "_" &amp; B85, "")</f>
        <v/>
      </c>
      <c r="G85">
        <f>SUBSTITUTE(SUBSTITUTE(_xlfn.TEXTBEFORE(A85,","), "-", ""), " ", "")</f>
        <v/>
      </c>
      <c r="H85">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
      </c>
      <c r="I85">
        <f>_xlfn.TEXTBEFORE(_xlfn.TEXTAFTER(A85, "("), ")")</f>
        <v/>
      </c>
      <c r="J85">
        <f>_xlfn.LET(
_xlpm.doi,IF(C85&lt;&gt;"",C85,_xlfn.TEXTAFTER(A85,"https://doi.org/")),
SUBSTITUTE(
SUBSTITUTE(
SUBSTITUTE(
SUBSTITUTE(
_xlpm.doi,
"/","%2F"),
":","%3A"),
"&lt;","%3C"),
"&gt;","%3E")
)</f>
        <v/>
      </c>
      <c r="K85">
        <f>TRIM(_xlfn.TEXTJOIN("_",FALSE,F85,(SUBSTITUTE(SUBSTITUTE(D85," ",""), "_", ""))))</f>
        <v/>
      </c>
      <c r="L85">
        <f>J85 &amp; "_" &amp; SUBSTITUTE(SUBSTITUTE(SUBSTITUTE(D85,CHAR(160),"")," ",""),"_","")</f>
        <v/>
      </c>
      <c r="M85">
        <f t="array" ref="M85">IFERROR(INDEX(FileList!$A$1:$A$100,MATCH(TRUE,EXACT(L85,_xlfn.TEXTBEFORE(FileList!$A$1:$A$100,".tsv")),0)),"notfound")</f>
        <v/>
      </c>
      <c r="Q85" s="2" t="inlineStr">
        <is>
          <t>already there</t>
        </is>
      </c>
      <c r="V85" t="inlineStr">
        <is>
          <t>tree</t>
        </is>
      </c>
      <c r="AI85" s="2" t="inlineStr">
        <is>
          <t>phylogenetic tree</t>
        </is>
      </c>
      <c r="AJ85" s="2" t="inlineStr">
        <is>
          <t>Primates</t>
        </is>
      </c>
      <c r="AL85" s="2" t="inlineStr">
        <is>
          <t>secondary</t>
        </is>
      </c>
      <c r="AM85" s="2" t="inlineStr">
        <is>
          <t>phylogeny (tree)</t>
        </is>
      </c>
    </row>
    <row r="86" ht="15.75" customHeight="1">
      <c r="A86" s="2" t="inlineStr">
        <is>
          <t>Iwaniuk, A. N., Nelson, J. E., &amp; Pellis, S. M. (2001). Do big-brained animals play more? Comparative analyses of play and relative brain size in mammals. J Comp Psychol, 115(1), 29-41. https://doi.org/10.1037/0735-7036.115.1.29</t>
        </is>
      </c>
      <c r="D86" s="2" t="inlineStr">
        <is>
          <t>Table 1</t>
        </is>
      </c>
      <c r="E86">
        <f>RIGHT(A86,1)</f>
        <v/>
      </c>
      <c r="F86">
        <f>G86 &amp; IF(H86&lt;&gt;"", "_" &amp; H86, "_") &amp; IF(I86&lt;&gt;"", "_" &amp; I86, "_") &amp; IF(B86&lt;&gt;"", "_" &amp; B86, "")</f>
        <v/>
      </c>
      <c r="G86">
        <f>SUBSTITUTE(SUBSTITUTE(_xlfn.TEXTBEFORE(A86,","), "-", ""), " ", "")</f>
        <v/>
      </c>
      <c r="H86">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
      </c>
      <c r="I86">
        <f>_xlfn.TEXTBEFORE(_xlfn.TEXTAFTER(A86, "("), ")")</f>
        <v/>
      </c>
      <c r="J86">
        <f>_xlfn.LET(
_xlpm.doi,IF(C86&lt;&gt;"",C86,_xlfn.TEXTAFTER(A86,"https://doi.org/")),
SUBSTITUTE(
SUBSTITUTE(
SUBSTITUTE(
SUBSTITUTE(
_xlpm.doi,
"/","%2F"),
":","%3A"),
"&lt;","%3C"),
"&gt;","%3E")
)</f>
        <v/>
      </c>
      <c r="K86">
        <f>TRIM(_xlfn.TEXTJOIN("_",FALSE,F86,(SUBSTITUTE(SUBSTITUTE(D86," ",""), "_", ""))))</f>
        <v/>
      </c>
      <c r="L86">
        <f>J86 &amp; "_" &amp; SUBSTITUTE(SUBSTITUTE(SUBSTITUTE(D86,CHAR(160),"")," ",""),"_","")</f>
        <v/>
      </c>
      <c r="M86">
        <f t="array" ref="M86">IFERROR(INDEX(FileList!$A$1:$A$100,MATCH(TRUE,EXACT(L86,_xlfn.TEXTBEFORE(FileList!$A$1:$A$100,".tsv")),0)),"notfound")</f>
        <v/>
      </c>
      <c r="N86" s="2" t="inlineStr">
        <is>
          <t>Table 1 Encephalization Quotients (EQs) and Play Scores for 15 Mammalian Orders</t>
        </is>
      </c>
      <c r="P86" s="2" t="inlineStr">
        <is>
          <t>only manually added M1 species; do all species and record steps</t>
        </is>
      </c>
      <c r="Q86" s="2" t="inlineStr">
        <is>
          <t>NA</t>
        </is>
      </c>
      <c r="T86" s="2">
        <f>IF(S86="N", R86, "write file name")</f>
        <v/>
      </c>
      <c r="U86" s="2" t="inlineStr">
        <is>
          <t>pdf</t>
        </is>
      </c>
      <c r="V86" s="2" t="inlineStr">
        <is>
          <t>table</t>
        </is>
      </c>
      <c r="AH86" s="2" t="inlineStr">
        <is>
          <t>mammal clades</t>
        </is>
      </c>
      <c r="AI86" s="2" t="inlineStr">
        <is>
          <t>play</t>
        </is>
      </c>
      <c r="AJ86" s="2" t="inlineStr">
        <is>
          <t>Mammals</t>
        </is>
      </c>
      <c r="AL86" s="2" t="inlineStr">
        <is>
          <t>secondary</t>
        </is>
      </c>
      <c r="AM86" s="2" t="inlineStr">
        <is>
          <t>behavioural (play)</t>
        </is>
      </c>
    </row>
    <row r="87" ht="15.75" customHeight="1">
      <c r="A87" s="2" t="inlineStr">
        <is>
          <t>Iwaniuk, A. N., Nelson, J. E., &amp; Pellis, S. M. (2001). Do big-brained animals play more? Comparative analyses of play and relative brain size in mammals. J Comp Psychol, 115(1), 29-41. https://doi.org/10.1037/0735-7036.115.1.29</t>
        </is>
      </c>
      <c r="D87" s="2" t="inlineStr">
        <is>
          <t>Table 2</t>
        </is>
      </c>
      <c r="E87">
        <f>RIGHT(A87,1)</f>
        <v/>
      </c>
      <c r="F87">
        <f>G87 &amp; IF(H87&lt;&gt;"", "_" &amp; H87, "_") &amp; IF(I87&lt;&gt;"", "_" &amp; I87, "_") &amp; IF(B87&lt;&gt;"", "_" &amp; B87, "")</f>
        <v/>
      </c>
      <c r="G87">
        <f>SUBSTITUTE(SUBSTITUTE(_xlfn.TEXTBEFORE(A87,","), "-", ""), " ", "")</f>
        <v/>
      </c>
      <c r="H87">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
      </c>
      <c r="I87">
        <f>_xlfn.TEXTBEFORE(_xlfn.TEXTAFTER(A87, "("), ")")</f>
        <v/>
      </c>
      <c r="J87">
        <f>_xlfn.LET(
_xlpm.doi,IF(C87&lt;&gt;"",C87,_xlfn.TEXTAFTER(A87,"https://doi.org/")),
SUBSTITUTE(
SUBSTITUTE(
SUBSTITUTE(
SUBSTITUTE(
_xlpm.doi,
"/","%2F"),
":","%3A"),
"&lt;","%3C"),
"&gt;","%3E")
)</f>
        <v/>
      </c>
      <c r="K87">
        <f>TRIM(_xlfn.TEXTJOIN("_",FALSE,F87,(SUBSTITUTE(SUBSTITUTE(D87," ",""), "_", ""))))</f>
        <v/>
      </c>
      <c r="L87">
        <f>J87 &amp; "_" &amp; SUBSTITUTE(SUBSTITUTE(SUBSTITUTE(D87,CHAR(160),"")," ",""),"_","")</f>
        <v/>
      </c>
      <c r="M87">
        <f t="array" ref="M87">IFERROR(INDEX(FileList!$A$1:$A$100,MATCH(TRUE,EXACT(L87,_xlfn.TEXTBEFORE(FileList!$A$1:$A$100,".tsv")),0)),"notfound")</f>
        <v/>
      </c>
      <c r="N87" s="2" t="inlineStr">
        <is>
          <t>Table 2 The Five Play Scores and Relative Brain Sizes for the Species of Muroid Rodents Examined</t>
        </is>
      </c>
      <c r="P87" s="2" t="inlineStr">
        <is>
          <t>only manually added M1 species; do all species and record steps</t>
        </is>
      </c>
      <c r="Q87" s="2" t="inlineStr">
        <is>
          <t>NA</t>
        </is>
      </c>
      <c r="T87" s="2">
        <f>IF(S87="N", R87, "write file name")</f>
        <v/>
      </c>
      <c r="U87" s="2" t="inlineStr">
        <is>
          <t>pdf</t>
        </is>
      </c>
      <c r="V87" s="2" t="inlineStr">
        <is>
          <t>table</t>
        </is>
      </c>
      <c r="AH87" s="2" t="inlineStr">
        <is>
          <t>mammal clades</t>
        </is>
      </c>
      <c r="AI87" s="2" t="inlineStr">
        <is>
          <t>play</t>
        </is>
      </c>
      <c r="AJ87" s="2" t="inlineStr">
        <is>
          <t>Mammals</t>
        </is>
      </c>
      <c r="AL87" s="2" t="inlineStr">
        <is>
          <t>secondary</t>
        </is>
      </c>
      <c r="AM87" s="2" t="inlineStr">
        <is>
          <t>behavioural (play)</t>
        </is>
      </c>
    </row>
    <row r="88" ht="15.75" customHeight="1">
      <c r="A88" s="2" t="inlineStr">
        <is>
          <t>Iwaniuk, A. N., Nelson, J. E., &amp; Pellis, S. M. (2001). Do big-brained animals play more? Comparative analyses of play and relative brain size in mammals. J Comp Psychol, 115(1), 29-41. https://doi.org/10.1037/0735-7036.115.1.29</t>
        </is>
      </c>
      <c r="D88" s="2" t="inlineStr">
        <is>
          <t>Table 3</t>
        </is>
      </c>
      <c r="E88">
        <f>RIGHT(A88,1)</f>
        <v/>
      </c>
      <c r="F88">
        <f>G88 &amp; IF(H88&lt;&gt;"", "_" &amp; H88, "_") &amp; IF(I88&lt;&gt;"", "_" &amp; I88, "_") &amp; IF(B88&lt;&gt;"", "_" &amp; B88, "")</f>
        <v/>
      </c>
      <c r="G88">
        <f>SUBSTITUTE(SUBSTITUTE(_xlfn.TEXTBEFORE(A88,","), "-", ""), " ", "")</f>
        <v/>
      </c>
      <c r="H88">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
      </c>
      <c r="I88">
        <f>_xlfn.TEXTBEFORE(_xlfn.TEXTAFTER(A88, "("), ")")</f>
        <v/>
      </c>
      <c r="J88">
        <f>_xlfn.LET(
_xlpm.doi,IF(C88&lt;&gt;"",C88,_xlfn.TEXTAFTER(A88,"https://doi.org/")),
SUBSTITUTE(
SUBSTITUTE(
SUBSTITUTE(
SUBSTITUTE(
_xlpm.doi,
"/","%2F"),
":","%3A"),
"&lt;","%3C"),
"&gt;","%3E")
)</f>
        <v/>
      </c>
      <c r="K88">
        <f>TRIM(_xlfn.TEXTJOIN("_",FALSE,F88,(SUBSTITUTE(SUBSTITUTE(D88," ",""), "_", ""))))</f>
        <v/>
      </c>
      <c r="L88">
        <f>J88 &amp; "_" &amp; SUBSTITUTE(SUBSTITUTE(SUBSTITUTE(D88,CHAR(160),"")," ",""),"_","")</f>
        <v/>
      </c>
      <c r="M88">
        <f t="array" ref="M88">IFERROR(INDEX(FileList!$A$1:$A$100,MATCH(TRUE,EXACT(L88,_xlfn.TEXTBEFORE(FileList!$A$1:$A$100,".tsv")),0)),"notfound")</f>
        <v/>
      </c>
      <c r="N88" s="2" t="inlineStr">
        <is>
          <t>Table 3 The Play Scores and Relative Brain ( EQ) and Neocortex Sizes for the Marsupials Examined</t>
        </is>
      </c>
      <c r="P88" s="2" t="inlineStr">
        <is>
          <t>only manually added M1 species; do all species and record steps</t>
        </is>
      </c>
      <c r="Q88" s="2" t="inlineStr">
        <is>
          <t>NA</t>
        </is>
      </c>
      <c r="T88" s="2">
        <f>IF(S88="N", R88, "write file name")</f>
        <v/>
      </c>
      <c r="U88" s="2" t="inlineStr">
        <is>
          <t>pdf</t>
        </is>
      </c>
      <c r="V88" s="2" t="inlineStr">
        <is>
          <t>table</t>
        </is>
      </c>
      <c r="AH88" s="2" t="inlineStr">
        <is>
          <t>mammal clades</t>
        </is>
      </c>
      <c r="AI88" s="2" t="inlineStr">
        <is>
          <t>play</t>
        </is>
      </c>
      <c r="AJ88" s="2" t="inlineStr">
        <is>
          <t>Mammals</t>
        </is>
      </c>
      <c r="AL88" s="2" t="inlineStr">
        <is>
          <t>secondary</t>
        </is>
      </c>
      <c r="AM88" s="2" t="inlineStr">
        <is>
          <t>behavioural (play)</t>
        </is>
      </c>
    </row>
    <row r="89" ht="15.75" customHeight="1">
      <c r="A89" s="2" t="inlineStr">
        <is>
          <t>Iwaniuk, A. N., Nelson, J. E., &amp; Pellis, S. M. (2001). Do big-brained animals play more? Comparative analyses of play and relative brain size in mammals. J Comp Psychol, 115(1), 29-41. https://doi.org/10.1037/0735-7036.115.1.29</t>
        </is>
      </c>
      <c r="D89" s="2" t="inlineStr">
        <is>
          <t>Table 4</t>
        </is>
      </c>
      <c r="E89">
        <f>RIGHT(A89,1)</f>
        <v/>
      </c>
      <c r="F89">
        <f>G89 &amp; IF(H89&lt;&gt;"", "_" &amp; H89, "_") &amp; IF(I89&lt;&gt;"", "_" &amp; I89, "_") &amp; IF(B89&lt;&gt;"", "_" &amp; B89, "")</f>
        <v/>
      </c>
      <c r="G89">
        <f>SUBSTITUTE(SUBSTITUTE(_xlfn.TEXTBEFORE(A89,","), "-", ""), " ", "")</f>
        <v/>
      </c>
      <c r="H89">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
      </c>
      <c r="I89">
        <f>_xlfn.TEXTBEFORE(_xlfn.TEXTAFTER(A89, "("), ")")</f>
        <v/>
      </c>
      <c r="J89">
        <f>_xlfn.LET(
_xlpm.doi,IF(C89&lt;&gt;"",C89,_xlfn.TEXTAFTER(A89,"https://doi.org/")),
SUBSTITUTE(
SUBSTITUTE(
SUBSTITUTE(
SUBSTITUTE(
_xlpm.doi,
"/","%2F"),
":","%3A"),
"&lt;","%3C"),
"&gt;","%3E")
)</f>
        <v/>
      </c>
      <c r="K89">
        <f>TRIM(_xlfn.TEXTJOIN("_",FALSE,F89,(SUBSTITUTE(SUBSTITUTE(D89," ",""), "_", ""))))</f>
        <v/>
      </c>
      <c r="L89">
        <f>J89 &amp; "_" &amp; SUBSTITUTE(SUBSTITUTE(SUBSTITUTE(D89,CHAR(160),"")," ",""),"_","")</f>
        <v/>
      </c>
      <c r="M89">
        <f t="array" ref="M89">IFERROR(INDEX(FileList!$A$1:$A$100,MATCH(TRUE,EXACT(L89,_xlfn.TEXTBEFORE(FileList!$A$1:$A$100,".tsv")),0)),"notfound")</f>
        <v/>
      </c>
      <c r="N89" s="2" t="inlineStr">
        <is>
          <t>Table 4 Play Scores and Relative Brain and Neocortex Sizes for the Primates Examined</t>
        </is>
      </c>
      <c r="P89" s="2" t="inlineStr">
        <is>
          <t>only manually added M1 species; do all species and record steps</t>
        </is>
      </c>
      <c r="Q89" s="2" t="inlineStr">
        <is>
          <t>NA</t>
        </is>
      </c>
      <c r="T89" s="2">
        <f>IF(S89="N", R89, "write file name")</f>
        <v/>
      </c>
      <c r="U89" s="2" t="inlineStr">
        <is>
          <t>pdf</t>
        </is>
      </c>
      <c r="V89" s="2" t="inlineStr">
        <is>
          <t>table</t>
        </is>
      </c>
      <c r="AH89" s="2" t="inlineStr">
        <is>
          <t>mammal clades</t>
        </is>
      </c>
      <c r="AI89" s="2" t="inlineStr">
        <is>
          <t>play</t>
        </is>
      </c>
      <c r="AJ89" s="2" t="inlineStr">
        <is>
          <t>Mammals</t>
        </is>
      </c>
      <c r="AL89" s="2" t="inlineStr">
        <is>
          <t>secondary</t>
        </is>
      </c>
      <c r="AM89" s="2" t="inlineStr">
        <is>
          <t>behavioural (play)</t>
        </is>
      </c>
    </row>
    <row r="90" ht="15.75" customHeight="1">
      <c r="A90" s="2" t="inlineStr">
        <is>
          <t>Iwaniuk, A. N., Pellis, S. M., &amp; Whishaw, I. Q. (1999). Is digital dexterity really related to corticospinal projections?: a re-analysis of the Heffner and Masterton data set using modern comparative statistics. Behav Brain Res, 101(2), 173-187. https://doi.org/10.1016/s0166-4328(98)00151-x</t>
        </is>
      </c>
      <c r="D90" s="2" t="inlineStr">
        <is>
          <t>References</t>
        </is>
      </c>
      <c r="E90">
        <f>RIGHT(A90,1)</f>
        <v/>
      </c>
      <c r="F90">
        <f>G90 &amp; IF(H90&lt;&gt;"", "_" &amp; H90, "_") &amp; IF(I90&lt;&gt;"", "_" &amp; I90, "_") &amp; IF(B90&lt;&gt;"", "_" &amp; B90, "")</f>
        <v/>
      </c>
      <c r="G90">
        <f>SUBSTITUTE(SUBSTITUTE(_xlfn.TEXTBEFORE(A90,","), "-", ""), " ", "")</f>
        <v/>
      </c>
      <c r="H90">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
      </c>
      <c r="I90">
        <f>_xlfn.TEXTBEFORE(_xlfn.TEXTAFTER(A90, "("), ")")</f>
        <v/>
      </c>
      <c r="J90">
        <f>_xlfn.LET(
_xlpm.doi,IF(C90&lt;&gt;"",C90,_xlfn.TEXTAFTER(A90,"https://doi.org/")),
SUBSTITUTE(
SUBSTITUTE(
SUBSTITUTE(
SUBSTITUTE(
_xlpm.doi,
"/","%2F"),
":","%3A"),
"&lt;","%3C"),
"&gt;","%3E")
)</f>
        <v/>
      </c>
      <c r="K90">
        <f>TRIM(_xlfn.TEXTJOIN("_",FALSE,F90,(SUBSTITUTE(SUBSTITUTE(D90," ",""), "_", ""))))</f>
        <v/>
      </c>
      <c r="L90">
        <f>J90 &amp; "_" &amp; SUBSTITUTE(SUBSTITUTE(SUBSTITUTE(D90,CHAR(160),"")," ",""),"_","")</f>
        <v/>
      </c>
      <c r="M90">
        <f t="array" ref="M90">IFERROR(INDEX(FileList!$A$1:$A$100,MATCH(TRUE,EXACT(L90,_xlfn.TEXTBEFORE(FileList!$A$1:$A$100,".tsv")),0)),"notfound")</f>
        <v/>
      </c>
      <c r="N90" s="2" t="inlineStr">
        <is>
          <t>References</t>
        </is>
      </c>
      <c r="P90" s="2" t="inlineStr">
        <is>
          <t>NOT STARTED</t>
        </is>
      </c>
      <c r="V90" s="2" t="inlineStr">
        <is>
          <t>reference list</t>
        </is>
      </c>
      <c r="W90" s="2" t="inlineStr">
        <is>
          <t>NO - paywall</t>
        </is>
      </c>
      <c r="AI90" s="2" t="inlineStr">
        <is>
          <t>forelimb use / dexterity</t>
        </is>
      </c>
      <c r="AJ90" s="2" t="inlineStr">
        <is>
          <t>Mammals</t>
        </is>
      </c>
      <c r="AL90" s="2" t="inlineStr">
        <is>
          <t>secondary</t>
        </is>
      </c>
      <c r="AM90" s="2" t="inlineStr">
        <is>
          <t>behavioural (forelimb use)</t>
        </is>
      </c>
    </row>
    <row r="91" ht="15.75" customHeight="1">
      <c r="A91" s="2" t="inlineStr">
        <is>
          <t>Iwaniuk, A. N., Pellis, S. M., &amp; Whishaw, I. Q. (1999). Is digital dexterity really related to corticospinal projections?: a re-analysis of the Heffner and Masterton data set using modern comparative statistics. Behav Brain Res, 101(2), 173-187. https://doi.org/10.1016/s0166-4328(98)00151-x</t>
        </is>
      </c>
      <c r="D91" s="2" t="inlineStr">
        <is>
          <t>Table 1</t>
        </is>
      </c>
      <c r="E91">
        <f>RIGHT(A91,1)</f>
        <v/>
      </c>
      <c r="F91">
        <f>G91 &amp; IF(H91&lt;&gt;"", "_" &amp; H91, "_") &amp; IF(I91&lt;&gt;"", "_" &amp; I91, "_") &amp; IF(B91&lt;&gt;"", "_" &amp; B91, "")</f>
        <v/>
      </c>
      <c r="G91">
        <f>SUBSTITUTE(SUBSTITUTE(_xlfn.TEXTBEFORE(A91,","), "-", ""), " ", "")</f>
        <v/>
      </c>
      <c r="H91">
        <f>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
      </c>
      <c r="I91">
        <f>_xlfn.TEXTBEFORE(_xlfn.TEXTAFTER(A91, "("), ")")</f>
        <v/>
      </c>
      <c r="J91">
        <f>_xlfn.LET(
_xlpm.doi,IF(C91&lt;&gt;"",C91,_xlfn.TEXTAFTER(A91,"https://doi.org/")),
SUBSTITUTE(
SUBSTITUTE(
SUBSTITUTE(
SUBSTITUTE(
_xlpm.doi,
"/","%2F"),
":","%3A"),
"&lt;","%3C"),
"&gt;","%3E")
)</f>
        <v/>
      </c>
      <c r="K91">
        <f>TRIM(_xlfn.TEXTJOIN("_",FALSE,F91,(SUBSTITUTE(SUBSTITUTE(D91," ",""), "_", ""))))</f>
        <v/>
      </c>
      <c r="L91">
        <f>J91 &amp; "_" &amp; SUBSTITUTE(SUBSTITUTE(SUBSTITUTE(D91,CHAR(160),"")," ",""),"_","")</f>
        <v/>
      </c>
      <c r="M91">
        <f t="array" ref="M91">IFERROR(INDEX(FileList!$A$1:$A$100,MATCH(TRUE,EXACT(L91,_xlfn.TEXTBEFORE(FileList!$A$1:$A$100,".tsv")),0)),"notfound")</f>
        <v/>
      </c>
      <c r="N91" s="2" t="inlineStr">
        <is>
          <t>Table 1 The anatomical and behavioural traits used the comparative analysis</t>
        </is>
      </c>
      <c r="P91" s="2" t="inlineStr">
        <is>
          <t>NOT STARTED</t>
        </is>
      </c>
      <c r="V91" s="2" t="inlineStr">
        <is>
          <t>table</t>
        </is>
      </c>
      <c r="W91" s="2" t="inlineStr">
        <is>
          <t>NO - paywall</t>
        </is>
      </c>
      <c r="AI91" s="2" t="inlineStr">
        <is>
          <t>forelimb use / dexterity</t>
        </is>
      </c>
      <c r="AJ91" s="2" t="inlineStr">
        <is>
          <t>Mammals</t>
        </is>
      </c>
      <c r="AL91" s="2" t="inlineStr">
        <is>
          <t>secondary</t>
        </is>
      </c>
      <c r="AM91" s="2" t="inlineStr">
        <is>
          <t>behavioural (forelimb use)</t>
        </is>
      </c>
    </row>
    <row r="92" ht="15.75" customHeight="1">
      <c r="A92" s="2" t="inlineStr">
        <is>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is>
      </c>
      <c r="D92" s="2" t="inlineStr">
        <is>
          <t>Table 1</t>
        </is>
      </c>
      <c r="E92">
        <f>RIGHT(A92,1)</f>
        <v/>
      </c>
      <c r="F92">
        <f>G92 &amp; IF(H92&lt;&gt;"", "_" &amp; H92, "_") &amp; IF(I92&lt;&gt;"", "_" &amp; I92, "_") &amp; IF(B92&lt;&gt;"", "_" &amp; B92, "")</f>
        <v/>
      </c>
      <c r="G92">
        <f>SUBSTITUTE(SUBSTITUTE(_xlfn.TEXTBEFORE(A92,","), "-", ""), " ", "")</f>
        <v/>
      </c>
      <c r="H92">
        <f>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
      </c>
      <c r="I92">
        <f>_xlfn.TEXTBEFORE(_xlfn.TEXTAFTER(A92, "("), ")")</f>
        <v/>
      </c>
      <c r="J92">
        <f>_xlfn.LET(
_xlpm.doi,IF(C92&lt;&gt;"",C92,_xlfn.TEXTAFTER(A92,"https://doi.org/")),
SUBSTITUTE(
SUBSTITUTE(
SUBSTITUTE(
SUBSTITUTE(
_xlpm.doi,
"/","%2F"),
":","%3A"),
"&lt;","%3C"),
"&gt;","%3E")
)</f>
        <v/>
      </c>
      <c r="K92">
        <f>TRIM(_xlfn.TEXTJOIN("_",FALSE,F92,(SUBSTITUTE(SUBSTITUTE(D92," ",""), "_", ""))))</f>
        <v/>
      </c>
      <c r="L92">
        <f>J92 &amp; "_" &amp; SUBSTITUTE(SUBSTITUTE(SUBSTITUTE(D92,CHAR(160),"")," ",""),"_","")</f>
        <v/>
      </c>
      <c r="M92">
        <f t="array" ref="M92">IFERROR(INDEX(FileList!$A$1:$A$100,MATCH(TRUE,EXACT(L92,_xlfn.TEXTBEFORE(FileList!$A$1:$A$100,".tsv")),0)),"notfound")</f>
        <v/>
      </c>
      <c r="N92" s="2" t="inlineStr">
        <is>
          <t>TABLE 1 | Summary of the cellular composition of the major brain structures of eight carnivoran species.</t>
        </is>
      </c>
      <c r="P92" s="2" t="inlineStr">
        <is>
          <t>FINISHED</t>
        </is>
      </c>
      <c r="Q92" s="2" t="inlineStr">
        <is>
          <t>added</t>
        </is>
      </c>
      <c r="R92" s="2" t="inlineStr">
        <is>
          <t>JardimMesseder_etal_2017_Table1_snapshot.csv</t>
        </is>
      </c>
      <c r="S92" s="2" t="inlineStr">
        <is>
          <t>Y</t>
        </is>
      </c>
      <c r="T92" s="2" t="inlineStr">
        <is>
          <t>JardimMesseder_etal_2017_Table1.csv</t>
        </is>
      </c>
      <c r="U92" s="2" t="inlineStr">
        <is>
          <t>pdf</t>
        </is>
      </c>
      <c r="V92" s="2" t="inlineStr">
        <is>
          <t>table</t>
        </is>
      </c>
      <c r="W92" s="2" t="inlineStr">
        <is>
          <t>YES - but formatting issues</t>
        </is>
      </c>
      <c r="X92" s="2" t="inlineStr">
        <is>
          <t>https://doi.org/10.3389/fnana.2017.00118</t>
        </is>
      </c>
      <c r="Y92" s="2" t="inlineStr">
        <is>
          <t>HH</t>
        </is>
      </c>
      <c r="Z92" s="2" t="inlineStr">
        <is>
          <t>HH</t>
        </is>
      </c>
      <c r="AG92" s="2" t="inlineStr">
        <is>
          <t>isotropic fractionator</t>
        </is>
      </c>
      <c r="AH92" s="2" t="inlineStr">
        <is>
          <t>companion animals</t>
        </is>
      </c>
      <c r="AI92" s="2" t="inlineStr">
        <is>
          <t>Cell numbers, region size</t>
        </is>
      </c>
      <c r="AJ92" s="2" t="inlineStr">
        <is>
          <t>Carnivores &amp; other companion mammals</t>
        </is>
      </c>
      <c r="AK92" s="2" t="inlineStr">
        <is>
          <t>primary</t>
        </is>
      </c>
      <c r="AL92" s="2" t="inlineStr">
        <is>
          <t>primary</t>
        </is>
      </c>
      <c r="AM92" s="2" t="inlineStr">
        <is>
          <t>cell count (isotropic fractionator)</t>
        </is>
      </c>
    </row>
    <row r="93" ht="15.75" customHeight="1">
      <c r="A93" s="2" t="inlineStr">
        <is>
          <t>Johansen, A., Beliveau, V., Colliander, E., Raval, N. R., Dam, V. H., Gillings, N., Aznar, S., Svarer, C., Plaven-Sigray, P., &amp; Knudsen, G. M. (2024). An In Vivo High-Resolution Human Brain Atlas of Synaptic Density. J Neurosci, 44(33). https://doi.org/10.1523/JNEUROSCI.1750-23.2024</t>
        </is>
      </c>
      <c r="D93" s="2" t="inlineStr">
        <is>
          <t>Table 2</t>
        </is>
      </c>
      <c r="E93">
        <f>RIGHT(A93,1)</f>
        <v/>
      </c>
      <c r="F93">
        <f>G93 &amp; IF(H93&lt;&gt;"", "_" &amp; H93, "_") &amp; IF(I93&lt;&gt;"", "_" &amp; I93, "_") &amp; IF(B93&lt;&gt;"", "_" &amp; B93, "")</f>
        <v/>
      </c>
      <c r="G93">
        <f>SUBSTITUTE(SUBSTITUTE(_xlfn.TEXTBEFORE(A93,","), "-", ""), " ", "")</f>
        <v/>
      </c>
      <c r="H93">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
      </c>
      <c r="I93">
        <f>_xlfn.TEXTBEFORE(_xlfn.TEXTAFTER(A93, "("), ")")</f>
        <v/>
      </c>
      <c r="J93">
        <f>_xlfn.LET(
_xlpm.doi,IF(C93&lt;&gt;"",C93,_xlfn.TEXTAFTER(A93,"https://doi.org/")),
SUBSTITUTE(
SUBSTITUTE(
SUBSTITUTE(
SUBSTITUTE(
_xlpm.doi,
"/","%2F"),
":","%3A"),
"&lt;","%3C"),
"&gt;","%3E")
)</f>
        <v/>
      </c>
      <c r="K93">
        <f>TRIM(_xlfn.TEXTJOIN("_",FALSE,F93,(SUBSTITUTE(SUBSTITUTE(D93," ",""), "_", ""))))</f>
        <v/>
      </c>
      <c r="L93">
        <f>J93 &amp; "_" &amp; SUBSTITUTE(SUBSTITUTE(SUBSTITUTE(D93,CHAR(160),"")," ",""),"_","")</f>
        <v/>
      </c>
      <c r="M93">
        <f t="array" ref="M93">IFERROR(INDEX(FileList!$A$1:$A$100,MATCH(TRUE,EXACT(L93,_xlfn.TEXTBEFORE(FileList!$A$1:$A$100,".tsv")),0)),"notfound")</f>
        <v/>
      </c>
      <c r="N93" s="2" t="inlineStr">
        <is>
          <t>Table 2. Summary of SV2A Bmax (pmol/mL) in individual regions in the left and right hemisphere and for a weighted average (total)</t>
        </is>
      </c>
      <c r="V93" s="4" t="inlineStr">
        <is>
          <t>table</t>
        </is>
      </c>
      <c r="AI93" s="2" t="inlineStr">
        <is>
          <t>the synaptic marker Synaptic Vesicle glycoprotein 2A (SV2A)</t>
        </is>
      </c>
      <c r="AJ93" s="2" t="inlineStr">
        <is>
          <t>Humans (+ primates)</t>
        </is>
      </c>
      <c r="AL93" s="2" t="inlineStr">
        <is>
          <t>primary</t>
        </is>
      </c>
      <c r="AM93" s="2" t="inlineStr">
        <is>
          <t>synaptic density (SV2A)</t>
        </is>
      </c>
    </row>
    <row r="94" ht="15.75" customHeight="1">
      <c r="A94" s="2" t="inlineStr">
        <is>
          <t>Karbowski, J. (2007). Global and regional brain metabolic scaling and its functional consequences. BMC Biol, 5, 18. https://doi.org/10.1186/1741-7007-5-18</t>
        </is>
      </c>
      <c r="D94" s="2" t="inlineStr">
        <is>
          <t>Table 1</t>
        </is>
      </c>
      <c r="E94">
        <f>RIGHT(A94,1)</f>
        <v/>
      </c>
      <c r="F94">
        <f>G94 &amp; IF(H94&lt;&gt;"", "_" &amp; H94, "_") &amp; IF(I94&lt;&gt;"", "_" &amp; I94, "_") &amp; IF(B94&lt;&gt;"", "_" &amp; B94, "")</f>
        <v/>
      </c>
      <c r="G94">
        <f>SUBSTITUTE(SUBSTITUTE(_xlfn.TEXTBEFORE(A94,","), "-", ""), " ", "")</f>
        <v/>
      </c>
      <c r="H94">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
      </c>
      <c r="I94">
        <f>_xlfn.TEXTBEFORE(_xlfn.TEXTAFTER(A94, "("), ")")</f>
        <v/>
      </c>
      <c r="J94">
        <f>_xlfn.LET(
_xlpm.doi,IF(C94&lt;&gt;"",C94,_xlfn.TEXTAFTER(A94,"https://doi.org/")),
SUBSTITUTE(
SUBSTITUTE(
SUBSTITUTE(
SUBSTITUTE(
_xlpm.doi,
"/","%2F"),
":","%3A"),
"&lt;","%3C"),
"&gt;","%3E")
)</f>
        <v/>
      </c>
      <c r="K94">
        <f>TRIM(_xlfn.TEXTJOIN("_",FALSE,F94,(SUBSTITUTE(SUBSTITUTE(D94," ",""), "_", ""))))</f>
        <v/>
      </c>
      <c r="L94">
        <f>J94 &amp; "_" &amp; SUBSTITUTE(SUBSTITUTE(SUBSTITUTE(D94,CHAR(160),"")," ",""),"_","")</f>
        <v/>
      </c>
      <c r="M94">
        <f t="array" ref="M94">IFERROR(INDEX(FileList!$A$1:$A$100,MATCH(TRUE,EXACT(L94,_xlfn.TEXTBEFORE(FileList!$A$1:$A$100,".tsv")),0)),"notfound")</f>
        <v/>
      </c>
      <c r="N94" s="2" t="inlineStr">
        <is>
          <t>Global and regional brain metabolic scaling (Table 1)</t>
        </is>
      </c>
      <c r="V94" s="2" t="inlineStr">
        <is>
          <t>table</t>
        </is>
      </c>
      <c r="AG94" s="2" t="inlineStr">
        <is>
          <t>meta-analysis</t>
        </is>
      </c>
      <c r="AI94" s="2" t="inlineStr">
        <is>
          <t>brain metabolic scaling</t>
        </is>
      </c>
      <c r="AJ94" s="2" t="inlineStr">
        <is>
          <t>Mammals</t>
        </is>
      </c>
      <c r="AK94" s="2" t="inlineStr">
        <is>
          <t>primary</t>
        </is>
      </c>
      <c r="AL94" s="2" t="inlineStr">
        <is>
          <t>secondary</t>
        </is>
      </c>
      <c r="AM94" s="2" t="inlineStr">
        <is>
          <t>metabolic scaling</t>
        </is>
      </c>
    </row>
    <row r="95">
      <c r="A95" s="2" t="inlineStr">
        <is>
          <t>Karl, M. T., Kim, Y. D., Rajendran, K., Manger, P. R., &amp; Sherwood, C. C. (2024). Invariance of Mitochondria and Synapses in the Primary Visual Cortex of Mammals Provides Insight Into Energetics and Function. J Comp Neurol, 532(9), e25669. https://doi.org/10.1002/cne.25669</t>
        </is>
      </c>
      <c r="D95" s="2" t="inlineStr">
        <is>
          <t>TABLE 1</t>
        </is>
      </c>
      <c r="E95">
        <f>RIGHT(A95,1)</f>
        <v/>
      </c>
      <c r="F95">
        <f>G95 &amp; IF(H95&lt;&gt;"", "_" &amp; H95, "_") &amp; IF(I95&lt;&gt;"", "_" &amp; I95, "_") &amp; IF(B95&lt;&gt;"", "_" &amp; B95, "")</f>
        <v/>
      </c>
      <c r="G95">
        <f>SUBSTITUTE(SUBSTITUTE(_xlfn.TEXTBEFORE(A95,","), "-", ""), " ", "")</f>
        <v/>
      </c>
      <c r="H95">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
      </c>
      <c r="I95">
        <f>_xlfn.TEXTBEFORE(_xlfn.TEXTAFTER(A95, "("), ")")</f>
        <v/>
      </c>
      <c r="J95">
        <f>_xlfn.LET(
_xlpm.doi,IF(C95&lt;&gt;"",C95,_xlfn.TEXTAFTER(A95,"https://doi.org/")),
SUBSTITUTE(
SUBSTITUTE(
SUBSTITUTE(
SUBSTITUTE(
_xlpm.doi,
"/","%2F"),
":","%3A"),
"&lt;","%3C"),
"&gt;","%3E")
)</f>
        <v/>
      </c>
      <c r="K95">
        <f>TRIM(_xlfn.TEXTJOIN("_",FALSE,F95,(SUBSTITUTE(SUBSTITUTE(D95," ",""), "_", ""))))</f>
        <v/>
      </c>
      <c r="L95">
        <f>J95 &amp; "_" &amp; SUBSTITUTE(SUBSTITUTE(SUBSTITUTE(D95,CHAR(160),"")," ",""),"_","")</f>
        <v/>
      </c>
      <c r="M95">
        <f t="array" ref="M95">IFERROR(INDEX(FileList!$A$1:$A$100,MATCH(TRUE,EXACT(L95,_xlfn.TEXTBEFORE(FileList!$A$1:$A$100,".tsv")),0)),"notfound")</f>
        <v/>
      </c>
      <c r="N95" s="2" t="inlineStr">
        <is>
          <t>TABLE 1 Dataset used in this study.</t>
        </is>
      </c>
      <c r="P95" s="2" t="inlineStr">
        <is>
          <t>FINISHED</t>
        </is>
      </c>
      <c r="U95" s="2" t="inlineStr">
        <is>
          <t>pdf</t>
        </is>
      </c>
      <c r="V95" s="2" t="inlineStr">
        <is>
          <t>table</t>
        </is>
      </c>
      <c r="W95" s="2" t="inlineStr">
        <is>
          <t>NO - paywall</t>
        </is>
      </c>
      <c r="AI95" s="2" t="inlineStr">
        <is>
          <t>synapse density</t>
        </is>
      </c>
      <c r="AJ95" s="2" t="inlineStr">
        <is>
          <t>Mammals</t>
        </is>
      </c>
      <c r="AK95" s="2" t="inlineStr">
        <is>
          <t>primary</t>
        </is>
      </c>
      <c r="AL95" s="2" t="inlineStr">
        <is>
          <t>primary</t>
        </is>
      </c>
      <c r="AM95" s="2" t="inlineStr">
        <is>
          <t>synapse density</t>
        </is>
      </c>
    </row>
    <row r="96" ht="15.75" customHeight="1">
      <c r="A96" s="2" t="inlineStr">
        <is>
          <t>Kaufman, J. A. (2004). Pattern and scaling of regional cerebral glucose metabolism in mammals (Publication No. 3147447) [Doctoral dissertation, Washington University in St. Louis]. ProQuest Dissertations &amp; Theses Global.</t>
        </is>
      </c>
      <c r="C96" s="2" t="inlineStr">
        <is>
          <t>UMI:3147447</t>
        </is>
      </c>
      <c r="D96" s="2" t="inlineStr">
        <is>
          <t>Table A1</t>
        </is>
      </c>
      <c r="E96">
        <f>RIGHT(A96,1)</f>
        <v/>
      </c>
      <c r="F96">
        <f>G96 &amp; IF(H96&lt;&gt;"", "_" &amp; H96, "_") &amp; IF(I96&lt;&gt;"", "_" &amp; I96, "_") &amp; IF(B96&lt;&gt;"", "_" &amp; B96, "")</f>
        <v/>
      </c>
      <c r="G96">
        <f>SUBSTITUTE(SUBSTITUTE(_xlfn.TEXTBEFORE(A96,","), "-", ""), " ", "")</f>
        <v/>
      </c>
      <c r="H96">
        <f>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
      </c>
      <c r="I96">
        <f>_xlfn.TEXTBEFORE(_xlfn.TEXTAFTER(A96, "("), ")")</f>
        <v/>
      </c>
      <c r="J96">
        <f>_xlfn.LET(
_xlpm.doi,IF(C96&lt;&gt;"",C96,_xlfn.TEXTAFTER(A96,"https://doi.org/")),
SUBSTITUTE(
SUBSTITUTE(
SUBSTITUTE(
SUBSTITUTE(
_xlpm.doi,
"/","%2F"),
":","%3A"),
"&lt;","%3C"),
"&gt;","%3E")
)</f>
        <v/>
      </c>
      <c r="K96">
        <f>TRIM(_xlfn.TEXTJOIN("_",FALSE,F96,(SUBSTITUTE(SUBSTITUTE(D96," ",""), "_", ""))))</f>
        <v/>
      </c>
      <c r="L96">
        <f>J96 &amp; "_" &amp; SUBSTITUTE(SUBSTITUTE(SUBSTITUTE(D96,CHAR(160),"")," ",""),"_","")</f>
        <v/>
      </c>
      <c r="M96">
        <f t="array" ref="M96">IFERROR(INDEX(FileList!$A$1:$A$100,MATCH(TRUE,EXACT(L96,_xlfn.TEXTBEFORE(FileList!$A$1:$A$100,".tsv")),0)),"notfound")</f>
        <v/>
      </c>
      <c r="N96" s="4" t="inlineStr">
        <is>
          <t>Table A1. Basal Ganglia rCMR and rCBF (units: Glucose &amp; Oxygen umol/lOOg/min, Blood flow ml/lOOg/min)</t>
        </is>
      </c>
      <c r="P96" t="inlineStr">
        <is>
          <t>Data readable</t>
        </is>
      </c>
      <c r="R96" t="inlineStr">
        <is>
          <t>Kaufman__2004_TableA1_snapshot.csv</t>
        </is>
      </c>
      <c r="T96" t="inlineStr">
        <is>
          <t>Kaufman__2004_TableA1.csv</t>
        </is>
      </c>
      <c r="V96" s="2" t="inlineStr">
        <is>
          <t>table</t>
        </is>
      </c>
      <c r="AB96" s="2" t="inlineStr">
        <is>
          <t>Doctoral dissertation (not in PubMed; no DOI). Use ProQuest Dissertations &amp; Theses number (or WashU OpenScholarship URI) as the identifier - add the actual number.</t>
        </is>
      </c>
      <c r="AI96" s="2" t="inlineStr">
        <is>
          <t>brain/body scaling</t>
        </is>
      </c>
      <c r="AJ96" s="2" t="inlineStr">
        <is>
          <t>Mammals</t>
        </is>
      </c>
      <c r="AK96" s="2" t="inlineStr">
        <is>
          <t>primary</t>
        </is>
      </c>
      <c r="AL96" s="2" t="inlineStr">
        <is>
          <t>secondary</t>
        </is>
      </c>
      <c r="AM96" s="2" t="inlineStr">
        <is>
          <t>metabolic / brain-body scaling</t>
        </is>
      </c>
    </row>
    <row r="97" ht="15.75" customHeight="1">
      <c r="A97" s="2" t="inlineStr">
        <is>
          <t>Kaufman, J. A. (2004). Pattern and scaling of regional cerebral glucose metabolism in mammals (Publication No. 3147447) [Doctoral dissertation, Washington University in St. Louis]. ProQuest Dissertations &amp; Theses Global.</t>
        </is>
      </c>
      <c r="C97" s="2" t="inlineStr">
        <is>
          <t>UMI:3147447</t>
        </is>
      </c>
      <c r="D97" s="2" t="inlineStr">
        <is>
          <t>Table A2</t>
        </is>
      </c>
      <c r="E97">
        <f>RIGHT(A97,1)</f>
        <v/>
      </c>
      <c r="F97">
        <f>G97 &amp; IF(H97&lt;&gt;"", "_" &amp; H97, "_") &amp; IF(I97&lt;&gt;"", "_" &amp; I97, "_") &amp; IF(B97&lt;&gt;"", "_" &amp; B97, "")</f>
        <v/>
      </c>
      <c r="G97">
        <f>SUBSTITUTE(SUBSTITUTE(_xlfn.TEXTBEFORE(A97,","), "-", ""), " ", "")</f>
        <v/>
      </c>
      <c r="H97">
        <f>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
      </c>
      <c r="I97">
        <f>_xlfn.TEXTBEFORE(_xlfn.TEXTAFTER(A97, "("), ")")</f>
        <v/>
      </c>
      <c r="J97">
        <f>_xlfn.LET(
_xlpm.doi,IF(C97&lt;&gt;"",C97,_xlfn.TEXTAFTER(A97,"https://doi.org/")),
SUBSTITUTE(
SUBSTITUTE(
SUBSTITUTE(
SUBSTITUTE(
_xlpm.doi,
"/","%2F"),
":","%3A"),
"&lt;","%3C"),
"&gt;","%3E")
)</f>
        <v/>
      </c>
      <c r="K97">
        <f>TRIM(_xlfn.TEXTJOIN("_",FALSE,F97,(SUBSTITUTE(SUBSTITUTE(D97," ",""), "_", ""))))</f>
        <v/>
      </c>
      <c r="L97">
        <f>J97 &amp; "_" &amp; SUBSTITUTE(SUBSTITUTE(SUBSTITUTE(D97,CHAR(160),"")," ",""),"_","")</f>
        <v/>
      </c>
      <c r="M97">
        <f t="array" ref="M97">IFERROR(INDEX(FileList!$A$1:$A$100,MATCH(TRUE,EXACT(L97,_xlfn.TEXTBEFORE(FileList!$A$1:$A$100,".tsv")),0)),"notfound")</f>
        <v/>
      </c>
      <c r="N97" s="4" t="inlineStr">
        <is>
          <t>Table A2. Hippocampus rCMR and rCBF</t>
        </is>
      </c>
      <c r="P97" t="inlineStr">
        <is>
          <t>Data readable</t>
        </is>
      </c>
      <c r="R97" t="inlineStr">
        <is>
          <t>Kaufman__2004_TableA2_snapshot.csv</t>
        </is>
      </c>
      <c r="T97" t="inlineStr">
        <is>
          <t>Kaufman__2004_TableA2.csv</t>
        </is>
      </c>
      <c r="V97" s="2" t="inlineStr">
        <is>
          <t>table</t>
        </is>
      </c>
      <c r="AB97" s="2" t="inlineStr">
        <is>
          <t>Doctoral dissertation (not in PubMed; no DOI). Use ProQuest Dissertations &amp; Theses number (or WashU OpenScholarship URI) as the identifier - add the actual number.</t>
        </is>
      </c>
      <c r="AI97" s="2" t="inlineStr">
        <is>
          <t>brain/body scaling</t>
        </is>
      </c>
      <c r="AJ97" s="2" t="inlineStr">
        <is>
          <t>Mammals</t>
        </is>
      </c>
      <c r="AK97" s="2" t="inlineStr">
        <is>
          <t>primary</t>
        </is>
      </c>
      <c r="AL97" s="2" t="inlineStr">
        <is>
          <t>secondary</t>
        </is>
      </c>
      <c r="AM97" s="2" t="inlineStr">
        <is>
          <t>metabolic / brain-body scaling</t>
        </is>
      </c>
    </row>
    <row r="98" ht="15.75" customHeight="1">
      <c r="A98" s="2" t="inlineStr">
        <is>
          <t>Kaufman, J. A. (2004). Pattern and scaling of regional cerebral glucose metabolism in mammals (Publication No. 3147447) [Doctoral dissertation, Washington University in St. Louis]. ProQuest Dissertations &amp; Theses Global.</t>
        </is>
      </c>
      <c r="C98" s="2" t="inlineStr">
        <is>
          <t>UMI:3147447</t>
        </is>
      </c>
      <c r="D98" s="2" t="inlineStr">
        <is>
          <t>Table A3</t>
        </is>
      </c>
      <c r="E98">
        <f>RIGHT(A98,1)</f>
        <v/>
      </c>
      <c r="F98">
        <f>G98 &amp; IF(H98&lt;&gt;"", "_" &amp; H98, "_") &amp; IF(I98&lt;&gt;"", "_" &amp; I98, "_") &amp; IF(B98&lt;&gt;"", "_" &amp; B98, "")</f>
        <v/>
      </c>
      <c r="G98">
        <f>SUBSTITUTE(SUBSTITUTE(_xlfn.TEXTBEFORE(A98,","), "-", ""), " ", "")</f>
        <v/>
      </c>
      <c r="H98">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
      </c>
      <c r="I98">
        <f>_xlfn.TEXTBEFORE(_xlfn.TEXTAFTER(A98, "("), ")")</f>
        <v/>
      </c>
      <c r="J98">
        <f>_xlfn.LET(
_xlpm.doi,IF(C98&lt;&gt;"",C98,_xlfn.TEXTAFTER(A98,"https://doi.org/")),
SUBSTITUTE(
SUBSTITUTE(
SUBSTITUTE(
SUBSTITUTE(
_xlpm.doi,
"/","%2F"),
":","%3A"),
"&lt;","%3C"),
"&gt;","%3E")
)</f>
        <v/>
      </c>
      <c r="K98">
        <f>TRIM(_xlfn.TEXTJOIN("_",FALSE,F98,(SUBSTITUTE(SUBSTITUTE(D98," ",""), "_", ""))))</f>
        <v/>
      </c>
      <c r="L98">
        <f>J98 &amp; "_" &amp; SUBSTITUTE(SUBSTITUTE(SUBSTITUTE(D98,CHAR(160),"")," ",""),"_","")</f>
        <v/>
      </c>
      <c r="M98">
        <f t="array" ref="M98">IFERROR(INDEX(FileList!$A$1:$A$100,MATCH(TRUE,EXACT(L98,_xlfn.TEXTBEFORE(FileList!$A$1:$A$100,".tsv")),0)),"notfound")</f>
        <v/>
      </c>
      <c r="N98" s="4" t="inlineStr">
        <is>
          <t>Table A3. Thalamus rCMR and rCBF</t>
        </is>
      </c>
      <c r="P98" t="inlineStr">
        <is>
          <t>Data readable</t>
        </is>
      </c>
      <c r="R98" t="inlineStr">
        <is>
          <t>Kaufman__2004_TableA3_snapshot.csv</t>
        </is>
      </c>
      <c r="T98" t="inlineStr">
        <is>
          <t>Kaufman__2004_TableA3.csv</t>
        </is>
      </c>
      <c r="V98" s="2" t="inlineStr">
        <is>
          <t>table</t>
        </is>
      </c>
      <c r="AB98" s="2" t="inlineStr">
        <is>
          <t>Doctoral dissertation (not in PubMed; no DOI). Use ProQuest Dissertations &amp; Theses number (or WashU OpenScholarship URI) as the identifier - add the actual number.</t>
        </is>
      </c>
      <c r="AI98" s="2" t="inlineStr">
        <is>
          <t>brain/body scaling</t>
        </is>
      </c>
      <c r="AJ98" s="2" t="inlineStr">
        <is>
          <t>Mammals</t>
        </is>
      </c>
      <c r="AK98" s="2" t="inlineStr">
        <is>
          <t>primary</t>
        </is>
      </c>
      <c r="AL98" s="2" t="inlineStr">
        <is>
          <t>secondary</t>
        </is>
      </c>
      <c r="AM98" s="2" t="inlineStr">
        <is>
          <t>metabolic / brain-body scaling</t>
        </is>
      </c>
    </row>
    <row r="99" ht="15.75" customHeight="1">
      <c r="A99" s="2" t="inlineStr">
        <is>
          <t>Kaufman, J. A. (2004). Pattern and scaling of regional cerebral glucose metabolism in mammals (Publication No. 3147447) [Doctoral dissertation, Washington University in St. Louis]. ProQuest Dissertations &amp; Theses Global.</t>
        </is>
      </c>
      <c r="C99" s="2" t="inlineStr">
        <is>
          <t>UMI:3147447</t>
        </is>
      </c>
      <c r="D99" s="2" t="inlineStr">
        <is>
          <t>Table A4</t>
        </is>
      </c>
      <c r="E99">
        <f>RIGHT(A99,1)</f>
        <v/>
      </c>
      <c r="F99">
        <f>G99 &amp; IF(H99&lt;&gt;"", "_" &amp; H99, "_") &amp; IF(I99&lt;&gt;"", "_" &amp; I99, "_") &amp; IF(B99&lt;&gt;"", "_" &amp; B99, "")</f>
        <v/>
      </c>
      <c r="G99">
        <f>SUBSTITUTE(SUBSTITUTE(_xlfn.TEXTBEFORE(A99,","), "-", ""), " ", "")</f>
        <v/>
      </c>
      <c r="H99">
        <f>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
      </c>
      <c r="I99">
        <f>_xlfn.TEXTBEFORE(_xlfn.TEXTAFTER(A99, "("), ")")</f>
        <v/>
      </c>
      <c r="J99">
        <f>_xlfn.LET(
_xlpm.doi,IF(C99&lt;&gt;"",C99,_xlfn.TEXTAFTER(A99,"https://doi.org/")),
SUBSTITUTE(
SUBSTITUTE(
SUBSTITUTE(
SUBSTITUTE(
_xlpm.doi,
"/","%2F"),
":","%3A"),
"&lt;","%3C"),
"&gt;","%3E")
)</f>
        <v/>
      </c>
      <c r="K99">
        <f>TRIM(_xlfn.TEXTJOIN("_",FALSE,F99,(SUBSTITUTE(SUBSTITUTE(D99," ",""), "_", ""))))</f>
        <v/>
      </c>
      <c r="L99">
        <f>J99 &amp; "_" &amp; SUBSTITUTE(SUBSTITUTE(SUBSTITUTE(D99,CHAR(160),"")," ",""),"_","")</f>
        <v/>
      </c>
      <c r="M99">
        <f t="array" ref="M99">IFERROR(INDEX(FileList!$A$1:$A$100,MATCH(TRUE,EXACT(L99,_xlfn.TEXTBEFORE(FileList!$A$1:$A$100,".tsv")),0)),"notfound")</f>
        <v/>
      </c>
      <c r="N99" s="4" t="inlineStr">
        <is>
          <t>Table A4. Cerebellum rCMR and rCBF</t>
        </is>
      </c>
      <c r="P99" t="inlineStr">
        <is>
          <t>Data readable</t>
        </is>
      </c>
      <c r="R99" t="inlineStr">
        <is>
          <t>Kaufman__2004_TableA4_snapshot.csv</t>
        </is>
      </c>
      <c r="T99" t="inlineStr">
        <is>
          <t>Kaufman__2004_TableA4.csv</t>
        </is>
      </c>
      <c r="V99" s="2" t="inlineStr">
        <is>
          <t>table</t>
        </is>
      </c>
      <c r="AB99" s="2" t="inlineStr">
        <is>
          <t>Doctoral dissertation (not in PubMed; no DOI). Use ProQuest Dissertations &amp; Theses number (or WashU OpenScholarship URI) as the identifier - add the actual number.</t>
        </is>
      </c>
      <c r="AI99" s="2" t="inlineStr">
        <is>
          <t>brain/body scaling</t>
        </is>
      </c>
      <c r="AJ99" s="2" t="inlineStr">
        <is>
          <t>Mammals</t>
        </is>
      </c>
      <c r="AK99" s="2" t="inlineStr">
        <is>
          <t>primary</t>
        </is>
      </c>
      <c r="AL99" s="2" t="inlineStr">
        <is>
          <t>secondary</t>
        </is>
      </c>
      <c r="AM99" s="2" t="inlineStr">
        <is>
          <t>metabolic / brain-body scaling</t>
        </is>
      </c>
    </row>
    <row r="100" ht="15.75" customHeight="1">
      <c r="A100" s="2" t="inlineStr">
        <is>
          <t>Kaufman, J. A. (2004). Pattern and scaling of regional cerebral glucose metabolism in mammals (Publication No. 3147447) [Doctoral dissertation, Washington University in St. Louis]. ProQuest Dissertations &amp; Theses Global.</t>
        </is>
      </c>
      <c r="C100" s="2" t="inlineStr">
        <is>
          <t>UMI:3147447</t>
        </is>
      </c>
      <c r="D100" s="2" t="inlineStr">
        <is>
          <t>Table A5</t>
        </is>
      </c>
      <c r="E100">
        <f>RIGHT(A100,1)</f>
        <v/>
      </c>
      <c r="F100">
        <f>G100 &amp; IF(H100&lt;&gt;"", "_" &amp; H100, "_") &amp; IF(I100&lt;&gt;"", "_" &amp; I100, "_") &amp; IF(B100&lt;&gt;"", "_" &amp; B100, "")</f>
        <v/>
      </c>
      <c r="G100">
        <f>SUBSTITUTE(SUBSTITUTE(_xlfn.TEXTBEFORE(A100,","), "-", ""), " ", "")</f>
        <v/>
      </c>
      <c r="H100">
        <f>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
      </c>
      <c r="I100">
        <f>_xlfn.TEXTBEFORE(_xlfn.TEXTAFTER(A100, "("), ")")</f>
        <v/>
      </c>
      <c r="J100">
        <f>_xlfn.LET(
_xlpm.doi,IF(C100&lt;&gt;"",C100,_xlfn.TEXTAFTER(A100,"https://doi.org/")),
SUBSTITUTE(
SUBSTITUTE(
SUBSTITUTE(
SUBSTITUTE(
_xlpm.doi,
"/","%2F"),
":","%3A"),
"&lt;","%3C"),
"&gt;","%3E")
)</f>
        <v/>
      </c>
      <c r="K100">
        <f>TRIM(_xlfn.TEXTJOIN("_",FALSE,F100,(SUBSTITUTE(SUBSTITUTE(D100," ",""), "_", ""))))</f>
        <v/>
      </c>
      <c r="L100">
        <f>J100 &amp; "_" &amp; SUBSTITUTE(SUBSTITUTE(SUBSTITUTE(D100,CHAR(160),"")," ",""),"_","")</f>
        <v/>
      </c>
      <c r="M100">
        <f t="array" ref="M100">IFERROR(INDEX(FileList!$A$1:$A$100,MATCH(TRUE,EXACT(L100,_xlfn.TEXTBEFORE(FileList!$A$1:$A$100,".tsv")),0)),"notfound")</f>
        <v/>
      </c>
      <c r="N100" s="4" t="inlineStr">
        <is>
          <t>Table A5. White Matter rCMR and rCBF</t>
        </is>
      </c>
      <c r="P100" t="inlineStr">
        <is>
          <t>Data readable</t>
        </is>
      </c>
      <c r="R100" t="inlineStr">
        <is>
          <t>Kaufman__2004_TableA5_snapshot.csv</t>
        </is>
      </c>
      <c r="T100" t="inlineStr">
        <is>
          <t>Kaufman__2004_TableA5.csv</t>
        </is>
      </c>
      <c r="V100" s="2" t="inlineStr">
        <is>
          <t>table</t>
        </is>
      </c>
      <c r="AB100" s="2" t="inlineStr">
        <is>
          <t>Doctoral dissertation (not in PubMed; no DOI). Use ProQuest Dissertations &amp; Theses number (or WashU OpenScholarship URI) as the identifier - add the actual number.</t>
        </is>
      </c>
      <c r="AI100" s="2" t="inlineStr">
        <is>
          <t>brain/body scaling</t>
        </is>
      </c>
      <c r="AJ100" s="2" t="inlineStr">
        <is>
          <t>Mammals</t>
        </is>
      </c>
      <c r="AK100" s="2" t="inlineStr">
        <is>
          <t>primary</t>
        </is>
      </c>
      <c r="AL100" s="2" t="inlineStr">
        <is>
          <t>secondary</t>
        </is>
      </c>
      <c r="AM100" s="2" t="inlineStr">
        <is>
          <t>metabolic / brain-body scaling</t>
        </is>
      </c>
    </row>
    <row r="101" ht="15.75" customHeight="1">
      <c r="A101" s="2" t="inlineStr">
        <is>
          <t>Kaufman, J. A. (2004). Pattern and scaling of regional cerebral glucose metabolism in mammals (Publication No. 3147447) [Doctoral dissertation, Washington University in St. Louis]. ProQuest Dissertations &amp; Theses Global.</t>
        </is>
      </c>
      <c r="C101" s="2" t="inlineStr">
        <is>
          <t>UMI:3147447</t>
        </is>
      </c>
      <c r="D101" s="2" t="inlineStr">
        <is>
          <t>Table A6</t>
        </is>
      </c>
      <c r="E101">
        <f>RIGHT(A101,1)</f>
        <v/>
      </c>
      <c r="F101">
        <f>G101 &amp; IF(H101&lt;&gt;"", "_" &amp; H101, "_") &amp; IF(I101&lt;&gt;"", "_" &amp; I101, "_") &amp; IF(B101&lt;&gt;"", "_" &amp; B101, "")</f>
        <v/>
      </c>
      <c r="G101">
        <f>SUBSTITUTE(SUBSTITUTE(_xlfn.TEXTBEFORE(A101,","), "-", ""), " ", "")</f>
        <v/>
      </c>
      <c r="H101">
        <f>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
      </c>
      <c r="I101">
        <f>_xlfn.TEXTBEFORE(_xlfn.TEXTAFTER(A101, "("), ")")</f>
        <v/>
      </c>
      <c r="J101">
        <f>_xlfn.LET(
_xlpm.doi,IF(C101&lt;&gt;"",C101,_xlfn.TEXTAFTER(A101,"https://doi.org/")),
SUBSTITUTE(
SUBSTITUTE(
SUBSTITUTE(
SUBSTITUTE(
_xlpm.doi,
"/","%2F"),
":","%3A"),
"&lt;","%3C"),
"&gt;","%3E")
)</f>
        <v/>
      </c>
      <c r="K101">
        <f>TRIM(_xlfn.TEXTJOIN("_",FALSE,F101,(SUBSTITUTE(SUBSTITUTE(D101," ",""), "_", ""))))</f>
        <v/>
      </c>
      <c r="L101">
        <f>J101 &amp; "_" &amp; SUBSTITUTE(SUBSTITUTE(SUBSTITUTE(D101,CHAR(160),"")," ",""),"_","")</f>
        <v/>
      </c>
      <c r="M101">
        <f t="array" ref="M101">IFERROR(INDEX(FileList!$A$1:$A$100,MATCH(TRUE,EXACT(L101,_xlfn.TEXTBEFORE(FileList!$A$1:$A$100,".tsv")),0)),"notfound")</f>
        <v/>
      </c>
      <c r="N101" s="4" t="inlineStr">
        <is>
          <t>Table A6. Neocortex rCMR and rCBF</t>
        </is>
      </c>
      <c r="P101" t="inlineStr">
        <is>
          <t>Data readable</t>
        </is>
      </c>
      <c r="R101" t="inlineStr">
        <is>
          <t>Kaufman__2004_TableA6_snapshot.csv</t>
        </is>
      </c>
      <c r="T101" t="inlineStr">
        <is>
          <t>Kaufman__2004_TableA6.csv</t>
        </is>
      </c>
      <c r="V101" s="2" t="inlineStr">
        <is>
          <t>table</t>
        </is>
      </c>
      <c r="AB101" s="2" t="inlineStr">
        <is>
          <t>Doctoral dissertation (not in PubMed; no DOI). Use ProQuest Dissertations &amp; Theses number (or WashU OpenScholarship URI) as the identifier - add the actual number.</t>
        </is>
      </c>
      <c r="AI101" s="2" t="inlineStr">
        <is>
          <t>brain/body scaling</t>
        </is>
      </c>
      <c r="AJ101" s="2" t="inlineStr">
        <is>
          <t>Mammals</t>
        </is>
      </c>
      <c r="AK101" s="2" t="inlineStr">
        <is>
          <t>primary</t>
        </is>
      </c>
      <c r="AL101" s="2" t="inlineStr">
        <is>
          <t>secondary</t>
        </is>
      </c>
      <c r="AM101" s="2" t="inlineStr">
        <is>
          <t>metabolic / brain-body scaling</t>
        </is>
      </c>
    </row>
    <row r="102" ht="15.75" customHeight="1">
      <c r="A102" s="2" t="inlineStr">
        <is>
          <t>Kaufman, J. A. (2004). Pattern and scaling of regional cerebral glucose metabolism in mammals (Publication No. 3147447) [Doctoral dissertation, Washington University in St. Louis]. ProQuest Dissertations &amp; Theses Global.</t>
        </is>
      </c>
      <c r="C102" s="2" t="inlineStr">
        <is>
          <t>UMI:3147447</t>
        </is>
      </c>
      <c r="D102" s="2" t="inlineStr">
        <is>
          <t>Table A7</t>
        </is>
      </c>
      <c r="E102">
        <f>RIGHT(A102,1)</f>
        <v/>
      </c>
      <c r="F102">
        <f>G102 &amp; IF(H102&lt;&gt;"", "_" &amp; H102, "_") &amp; IF(I102&lt;&gt;"", "_" &amp; I102, "_") &amp; IF(B102&lt;&gt;"", "_" &amp; B102, "")</f>
        <v/>
      </c>
      <c r="G102">
        <f>SUBSTITUTE(SUBSTITUTE(_xlfn.TEXTBEFORE(A102,","), "-", ""), " ", "")</f>
        <v/>
      </c>
      <c r="H102">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
      </c>
      <c r="I102">
        <f>_xlfn.TEXTBEFORE(_xlfn.TEXTAFTER(A102, "("), ")")</f>
        <v/>
      </c>
      <c r="J102">
        <f>_xlfn.LET(
_xlpm.doi,IF(C102&lt;&gt;"",C102,_xlfn.TEXTAFTER(A102,"https://doi.org/")),
SUBSTITUTE(
SUBSTITUTE(
SUBSTITUTE(
SUBSTITUTE(
_xlpm.doi,
"/","%2F"),
":","%3A"),
"&lt;","%3C"),
"&gt;","%3E")
)</f>
        <v/>
      </c>
      <c r="K102">
        <f>TRIM(_xlfn.TEXTJOIN("_",FALSE,F102,(SUBSTITUTE(SUBSTITUTE(D102," ",""), "_", ""))))</f>
        <v/>
      </c>
      <c r="L102">
        <f>J102 &amp; "_" &amp; SUBSTITUTE(SUBSTITUTE(SUBSTITUTE(D102,CHAR(160),"")," ",""),"_","")</f>
        <v/>
      </c>
      <c r="M102">
        <f t="array" ref="M102">IFERROR(INDEX(FileList!$A$1:$A$100,MATCH(TRUE,EXACT(L102,_xlfn.TEXTBEFORE(FileList!$A$1:$A$100,".tsv")),0)),"notfound")</f>
        <v/>
      </c>
      <c r="N102" s="4" t="inlineStr">
        <is>
          <t>Table A7. Frontal Cortex rCMR and rCBF</t>
        </is>
      </c>
      <c r="P102" t="inlineStr">
        <is>
          <t>Data readable</t>
        </is>
      </c>
      <c r="R102" t="inlineStr">
        <is>
          <t>Kaufman__2004_TableA7_snapshot.csv</t>
        </is>
      </c>
      <c r="T102" t="inlineStr">
        <is>
          <t>Kaufman__2004_TableA7.csv</t>
        </is>
      </c>
      <c r="V102" s="2" t="inlineStr">
        <is>
          <t>table</t>
        </is>
      </c>
      <c r="AB102" s="2" t="inlineStr">
        <is>
          <t>Doctoral dissertation (not in PubMed; no DOI). Use ProQuest Dissertations &amp; Theses number (or WashU OpenScholarship URI) as the identifier - add the actual number.</t>
        </is>
      </c>
      <c r="AI102" s="2" t="inlineStr">
        <is>
          <t>brain/body scaling</t>
        </is>
      </c>
      <c r="AJ102" s="2" t="inlineStr">
        <is>
          <t>Mammals</t>
        </is>
      </c>
      <c r="AK102" s="2" t="inlineStr">
        <is>
          <t>primary</t>
        </is>
      </c>
      <c r="AL102" s="2" t="inlineStr">
        <is>
          <t>secondary</t>
        </is>
      </c>
      <c r="AM102" s="2" t="inlineStr">
        <is>
          <t>metabolic / brain-body scaling</t>
        </is>
      </c>
    </row>
    <row r="103" ht="15.75" customHeight="1">
      <c r="A103" s="2" t="inlineStr">
        <is>
          <t>Kaufman, J. A. (2004). Pattern and scaling of regional cerebral glucose metabolism in mammals (Publication No. 3147447) [Doctoral dissertation, Washington University in St. Louis]. ProQuest Dissertations &amp; Theses Global.</t>
        </is>
      </c>
      <c r="C103" s="2" t="inlineStr">
        <is>
          <t>UMI:3147447</t>
        </is>
      </c>
      <c r="D103" s="2" t="inlineStr">
        <is>
          <t>Table A8</t>
        </is>
      </c>
      <c r="E103">
        <f>RIGHT(A103,1)</f>
        <v/>
      </c>
      <c r="F103">
        <f>G103 &amp; IF(H103&lt;&gt;"", "_" &amp; H103, "_") &amp; IF(I103&lt;&gt;"", "_" &amp; I103, "_") &amp; IF(B103&lt;&gt;"", "_" &amp; B103, "")</f>
        <v/>
      </c>
      <c r="G103">
        <f>SUBSTITUTE(SUBSTITUTE(_xlfn.TEXTBEFORE(A103,","), "-", ""), " ", "")</f>
        <v/>
      </c>
      <c r="H103">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
      </c>
      <c r="I103">
        <f>_xlfn.TEXTBEFORE(_xlfn.TEXTAFTER(A103, "("), ")")</f>
        <v/>
      </c>
      <c r="J103">
        <f>_xlfn.LET(
_xlpm.doi,IF(C103&lt;&gt;"",C103,_xlfn.TEXTAFTER(A103,"https://doi.org/")),
SUBSTITUTE(
SUBSTITUTE(
SUBSTITUTE(
SUBSTITUTE(
_xlpm.doi,
"/","%2F"),
":","%3A"),
"&lt;","%3C"),
"&gt;","%3E")
)</f>
        <v/>
      </c>
      <c r="K103">
        <f>TRIM(_xlfn.TEXTJOIN("_",FALSE,F103,(SUBSTITUTE(SUBSTITUTE(D103," ",""), "_", ""))))</f>
        <v/>
      </c>
      <c r="L103">
        <f>J103 &amp; "_" &amp; SUBSTITUTE(SUBSTITUTE(SUBSTITUTE(D103,CHAR(160),"")," ",""),"_","")</f>
        <v/>
      </c>
      <c r="M103">
        <f t="array" ref="M103">IFERROR(INDEX(FileList!$A$1:$A$100,MATCH(TRUE,EXACT(L103,_xlfn.TEXTBEFORE(FileList!$A$1:$A$100,".tsv")),0)),"notfound")</f>
        <v/>
      </c>
      <c r="N103" s="4" t="inlineStr">
        <is>
          <t>Table A8. Parietal Cortex rCMR and rCBF</t>
        </is>
      </c>
      <c r="P103" t="inlineStr">
        <is>
          <t>Data readable</t>
        </is>
      </c>
      <c r="R103" t="inlineStr">
        <is>
          <t>Kaufman__2004_TableA8_snapshot.csv</t>
        </is>
      </c>
      <c r="T103" t="inlineStr">
        <is>
          <t>Kaufman__2004_TableA8.csv</t>
        </is>
      </c>
      <c r="V103" s="2" t="inlineStr">
        <is>
          <t>table</t>
        </is>
      </c>
      <c r="AB103" s="2" t="inlineStr">
        <is>
          <t>Doctoral dissertation (not in PubMed; no DOI). Use ProQuest Dissertations &amp; Theses number (or WashU OpenScholarship URI) as the identifier - add the actual number.</t>
        </is>
      </c>
      <c r="AI103" s="2" t="inlineStr">
        <is>
          <t>brain/body scaling</t>
        </is>
      </c>
      <c r="AJ103" s="2" t="inlineStr">
        <is>
          <t>Mammals</t>
        </is>
      </c>
      <c r="AK103" s="2" t="inlineStr">
        <is>
          <t>primary</t>
        </is>
      </c>
      <c r="AL103" s="2" t="inlineStr">
        <is>
          <t>secondary</t>
        </is>
      </c>
      <c r="AM103" s="2" t="inlineStr">
        <is>
          <t>metabolic / brain-body scaling</t>
        </is>
      </c>
    </row>
    <row r="104" ht="15.75" customHeight="1">
      <c r="A104" s="2" t="inlineStr">
        <is>
          <t>Kaufman, J. A. (2004). Pattern and scaling of regional cerebral glucose metabolism in mammals (Publication No. 3147447) [Doctoral dissertation, Washington University in St. Louis]. ProQuest Dissertations &amp; Theses Global.</t>
        </is>
      </c>
      <c r="C104" s="2" t="inlineStr">
        <is>
          <t>UMI:3147447</t>
        </is>
      </c>
      <c r="D104" s="2" t="inlineStr">
        <is>
          <t>Table A9</t>
        </is>
      </c>
      <c r="E104">
        <f>RIGHT(A104,1)</f>
        <v/>
      </c>
      <c r="F104">
        <f>G104 &amp; IF(H104&lt;&gt;"", "_" &amp; H104, "_") &amp; IF(I104&lt;&gt;"", "_" &amp; I104, "_") &amp; IF(B104&lt;&gt;"", "_" &amp; B104, "")</f>
        <v/>
      </c>
      <c r="G104">
        <f>SUBSTITUTE(SUBSTITUTE(_xlfn.TEXTBEFORE(A104,","), "-", ""), " ", "")</f>
        <v/>
      </c>
      <c r="H104">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
      </c>
      <c r="I104">
        <f>_xlfn.TEXTBEFORE(_xlfn.TEXTAFTER(A104, "("), ")")</f>
        <v/>
      </c>
      <c r="J104">
        <f>_xlfn.LET(
_xlpm.doi,IF(C104&lt;&gt;"",C104,_xlfn.TEXTAFTER(A104,"https://doi.org/")),
SUBSTITUTE(
SUBSTITUTE(
SUBSTITUTE(
SUBSTITUTE(
_xlpm.doi,
"/","%2F"),
":","%3A"),
"&lt;","%3C"),
"&gt;","%3E")
)</f>
        <v/>
      </c>
      <c r="K104">
        <f>TRIM(_xlfn.TEXTJOIN("_",FALSE,F104,(SUBSTITUTE(SUBSTITUTE(D104," ",""), "_", ""))))</f>
        <v/>
      </c>
      <c r="L104">
        <f>J104 &amp; "_" &amp; SUBSTITUTE(SUBSTITUTE(SUBSTITUTE(D104,CHAR(160),"")," ",""),"_","")</f>
        <v/>
      </c>
      <c r="M104">
        <f t="array" ref="M104">IFERROR(INDEX(FileList!$A$1:$A$100,MATCH(TRUE,EXACT(L104,_xlfn.TEXTBEFORE(FileList!$A$1:$A$100,".tsv")),0)),"notfound")</f>
        <v/>
      </c>
      <c r="N104" s="4" t="inlineStr">
        <is>
          <t>Table A9. Temporal Cortex rCMR and rCBF</t>
        </is>
      </c>
      <c r="P104" t="inlineStr">
        <is>
          <t>Data readable</t>
        </is>
      </c>
      <c r="R104" t="inlineStr">
        <is>
          <t>Kaufman__2004_TableA9_snapshot.csv</t>
        </is>
      </c>
      <c r="T104" t="inlineStr">
        <is>
          <t>Kaufman__2004_TableA9.csv</t>
        </is>
      </c>
      <c r="V104" s="2" t="inlineStr">
        <is>
          <t>table</t>
        </is>
      </c>
      <c r="AB104" s="2" t="inlineStr">
        <is>
          <t>Doctoral dissertation (not in PubMed; no DOI). Use ProQuest Dissertations &amp; Theses number (or WashU OpenScholarship URI) as the identifier - add the actual number.</t>
        </is>
      </c>
      <c r="AI104" s="2" t="inlineStr">
        <is>
          <t>brain/body scaling</t>
        </is>
      </c>
      <c r="AJ104" s="2" t="inlineStr">
        <is>
          <t>Mammals</t>
        </is>
      </c>
      <c r="AK104" s="2" t="inlineStr">
        <is>
          <t>primary</t>
        </is>
      </c>
      <c r="AL104" s="2" t="inlineStr">
        <is>
          <t>secondary</t>
        </is>
      </c>
      <c r="AM104" s="2" t="inlineStr">
        <is>
          <t>metabolic / brain-body scaling</t>
        </is>
      </c>
    </row>
    <row r="105" ht="15.75" customHeight="1">
      <c r="A105" s="2" t="inlineStr">
        <is>
          <t>Kaufman, J. A. (2004). Pattern and scaling of regional cerebral glucose metabolism in mammals (Publication No. 3147447) [Doctoral dissertation, Washington University in St. Louis]. ProQuest Dissertations &amp; Theses Global.</t>
        </is>
      </c>
      <c r="C105" s="2" t="inlineStr">
        <is>
          <t>UMI:3147447</t>
        </is>
      </c>
      <c r="D105" s="2" t="inlineStr">
        <is>
          <t>Table A10</t>
        </is>
      </c>
      <c r="E105">
        <f>RIGHT(A105,1)</f>
        <v/>
      </c>
      <c r="F105">
        <f>G105 &amp; IF(H105&lt;&gt;"", "_" &amp; H105, "_") &amp; IF(I105&lt;&gt;"", "_" &amp; I105, "_") &amp; IF(B105&lt;&gt;"", "_" &amp; B105, "")</f>
        <v/>
      </c>
      <c r="G105">
        <f>SUBSTITUTE(SUBSTITUTE(_xlfn.TEXTBEFORE(A105,","), "-", ""), " ", "")</f>
        <v/>
      </c>
      <c r="H105">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
      </c>
      <c r="I105">
        <f>_xlfn.TEXTBEFORE(_xlfn.TEXTAFTER(A105, "("), ")")</f>
        <v/>
      </c>
      <c r="J105">
        <f>_xlfn.LET(
_xlpm.doi,IF(C105&lt;&gt;"",C105,_xlfn.TEXTAFTER(A105,"https://doi.org/")),
SUBSTITUTE(
SUBSTITUTE(
SUBSTITUTE(
SUBSTITUTE(
_xlpm.doi,
"/","%2F"),
":","%3A"),
"&lt;","%3C"),
"&gt;","%3E")
)</f>
        <v/>
      </c>
      <c r="K105">
        <f>TRIM(_xlfn.TEXTJOIN("_",FALSE,F105,(SUBSTITUTE(SUBSTITUTE(D105," ",""), "_", ""))))</f>
        <v/>
      </c>
      <c r="L105">
        <f>J105 &amp; "_" &amp; SUBSTITUTE(SUBSTITUTE(SUBSTITUTE(D105,CHAR(160),"")," ",""),"_","")</f>
        <v/>
      </c>
      <c r="M105">
        <f t="array" ref="M105">IFERROR(INDEX(FileList!$A$1:$A$100,MATCH(TRUE,EXACT(L105,_xlfn.TEXTBEFORE(FileList!$A$1:$A$100,".tsv")),0)),"notfound")</f>
        <v/>
      </c>
      <c r="N105" s="4" t="inlineStr">
        <is>
          <t>Table A10. Auditory Cortex rCMR and rCBF</t>
        </is>
      </c>
      <c r="P105" t="inlineStr">
        <is>
          <t>Data readable</t>
        </is>
      </c>
      <c r="R105" t="inlineStr">
        <is>
          <t>Kaufman__2004_TableA10_snapshot.csv</t>
        </is>
      </c>
      <c r="T105" t="inlineStr">
        <is>
          <t>Kaufman__2004_TableA10.csv</t>
        </is>
      </c>
      <c r="V105" s="2" t="inlineStr">
        <is>
          <t>table</t>
        </is>
      </c>
      <c r="AB105" s="2" t="inlineStr">
        <is>
          <t>Doctoral dissertation (not in PubMed; no DOI). Use ProQuest Dissertations &amp; Theses number (or WashU OpenScholarship URI) as the identifier - add the actual number.</t>
        </is>
      </c>
      <c r="AI105" s="2" t="inlineStr">
        <is>
          <t>brain/body scaling</t>
        </is>
      </c>
      <c r="AJ105" s="2" t="inlineStr">
        <is>
          <t>Mammals</t>
        </is>
      </c>
      <c r="AK105" s="2" t="inlineStr">
        <is>
          <t>primary</t>
        </is>
      </c>
      <c r="AL105" s="2" t="inlineStr">
        <is>
          <t>secondary</t>
        </is>
      </c>
      <c r="AM105" s="2" t="inlineStr">
        <is>
          <t>metabolic / brain-body scaling</t>
        </is>
      </c>
    </row>
    <row r="106" ht="15.75" customHeight="1">
      <c r="A106" s="2" t="inlineStr">
        <is>
          <t>Kaufman, J. A. (2004). Pattern and scaling of regional cerebral glucose metabolism in mammals (Publication No. 3147447) [Doctoral dissertation, Washington University in St. Louis]. ProQuest Dissertations &amp; Theses Global.</t>
        </is>
      </c>
      <c r="C106" s="2" t="inlineStr">
        <is>
          <t>UMI:3147447</t>
        </is>
      </c>
      <c r="D106" s="2" t="inlineStr">
        <is>
          <t>Table A11</t>
        </is>
      </c>
      <c r="E106">
        <f>RIGHT(A106,1)</f>
        <v/>
      </c>
      <c r="F106">
        <f>G106 &amp; IF(H106&lt;&gt;"", "_" &amp; H106, "_") &amp; IF(I106&lt;&gt;"", "_" &amp; I106, "_") &amp; IF(B106&lt;&gt;"", "_" &amp; B106, "")</f>
        <v/>
      </c>
      <c r="G106">
        <f>SUBSTITUTE(SUBSTITUTE(_xlfn.TEXTBEFORE(A106,","), "-", ""), " ", "")</f>
        <v/>
      </c>
      <c r="H106">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
      </c>
      <c r="I106">
        <f>_xlfn.TEXTBEFORE(_xlfn.TEXTAFTER(A106, "("), ")")</f>
        <v/>
      </c>
      <c r="J106">
        <f>_xlfn.LET(
_xlpm.doi,IF(C106&lt;&gt;"",C106,_xlfn.TEXTAFTER(A106,"https://doi.org/")),
SUBSTITUTE(
SUBSTITUTE(
SUBSTITUTE(
SUBSTITUTE(
_xlpm.doi,
"/","%2F"),
":","%3A"),
"&lt;","%3C"),
"&gt;","%3E")
)</f>
        <v/>
      </c>
      <c r="K106">
        <f>TRIM(_xlfn.TEXTJOIN("_",FALSE,F106,(SUBSTITUTE(SUBSTITUTE(D106," ",""), "_", ""))))</f>
        <v/>
      </c>
      <c r="L106">
        <f>J106 &amp; "_" &amp; SUBSTITUTE(SUBSTITUTE(SUBSTITUTE(D106,CHAR(160),"")," ",""),"_","")</f>
        <v/>
      </c>
      <c r="M106">
        <f t="array" ref="M106">IFERROR(INDEX(FileList!$A$1:$A$100,MATCH(TRUE,EXACT(L106,_xlfn.TEXTBEFORE(FileList!$A$1:$A$100,".tsv")),0)),"notfound")</f>
        <v/>
      </c>
      <c r="N106" s="4" t="inlineStr">
        <is>
          <t>Table A11. Occipital Cortex rCMR and rCBF</t>
        </is>
      </c>
      <c r="P106" t="inlineStr">
        <is>
          <t>Data readable</t>
        </is>
      </c>
      <c r="R106" t="inlineStr">
        <is>
          <t>Kaufman__2004_TableA11_snapshot.csv</t>
        </is>
      </c>
      <c r="T106" t="inlineStr">
        <is>
          <t>Kaufman__2004_TableA11.csv</t>
        </is>
      </c>
      <c r="V106" s="2" t="inlineStr">
        <is>
          <t>table</t>
        </is>
      </c>
      <c r="AB106" s="2" t="inlineStr">
        <is>
          <t>Doctoral dissertation (not in PubMed; no DOI). Use ProQuest Dissertations &amp; Theses number (or WashU OpenScholarship URI) as the identifier - add the actual number.</t>
        </is>
      </c>
      <c r="AI106" s="2" t="inlineStr">
        <is>
          <t>brain/body scaling</t>
        </is>
      </c>
      <c r="AJ106" s="2" t="inlineStr">
        <is>
          <t>Mammals</t>
        </is>
      </c>
      <c r="AK106" s="2" t="inlineStr">
        <is>
          <t>primary</t>
        </is>
      </c>
      <c r="AL106" s="2" t="inlineStr">
        <is>
          <t>secondary</t>
        </is>
      </c>
      <c r="AM106" s="2" t="inlineStr">
        <is>
          <t>metabolic / brain-body scaling</t>
        </is>
      </c>
    </row>
    <row r="107" ht="15.75" customHeight="1">
      <c r="A107" s="2" t="inlineStr">
        <is>
          <t>Kaufman, J. A. (2004). Pattern and scaling of regional cerebral glucose metabolism in mammals (Publication No. 3147447) [Doctoral dissertation, Washington University in St. Louis]. ProQuest Dissertations &amp; Theses Global.</t>
        </is>
      </c>
      <c r="C107" s="2" t="inlineStr">
        <is>
          <t>UMI:3147447</t>
        </is>
      </c>
      <c r="D107" s="2" t="inlineStr">
        <is>
          <t>Table A12</t>
        </is>
      </c>
      <c r="E107">
        <f>RIGHT(A107,1)</f>
        <v/>
      </c>
      <c r="F107">
        <f>G107 &amp; IF(H107&lt;&gt;"", "_" &amp; H107, "_") &amp; IF(I107&lt;&gt;"", "_" &amp; I107, "_") &amp; IF(B107&lt;&gt;"", "_" &amp; B107, "")</f>
        <v/>
      </c>
      <c r="G107">
        <f>SUBSTITUTE(SUBSTITUTE(_xlfn.TEXTBEFORE(A107,","), "-", ""), " ", "")</f>
        <v/>
      </c>
      <c r="H107">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
      </c>
      <c r="I107">
        <f>_xlfn.TEXTBEFORE(_xlfn.TEXTAFTER(A107, "("), ")")</f>
        <v/>
      </c>
      <c r="J107">
        <f>_xlfn.LET(
_xlpm.doi,IF(C107&lt;&gt;"",C107,_xlfn.TEXTAFTER(A107,"https://doi.org/")),
SUBSTITUTE(
SUBSTITUTE(
SUBSTITUTE(
SUBSTITUTE(
_xlpm.doi,
"/","%2F"),
":","%3A"),
"&lt;","%3C"),
"&gt;","%3E")
)</f>
        <v/>
      </c>
      <c r="K107">
        <f>TRIM(_xlfn.TEXTJOIN("_",FALSE,F107,(SUBSTITUTE(SUBSTITUTE(D107," ",""), "_", ""))))</f>
        <v/>
      </c>
      <c r="L107">
        <f>J107 &amp; "_" &amp; SUBSTITUTE(SUBSTITUTE(SUBSTITUTE(D107,CHAR(160),"")," ",""),"_","")</f>
        <v/>
      </c>
      <c r="M107">
        <f t="array" ref="M107">IFERROR(INDEX(FileList!$A$1:$A$100,MATCH(TRUE,EXACT(L107,_xlfn.TEXTBEFORE(FileList!$A$1:$A$100,".tsv")),0)),"notfound")</f>
        <v/>
      </c>
      <c r="N107" s="4" t="inlineStr">
        <is>
          <t>Table A12. Sensorimotor Cortex rCMR and rCBF</t>
        </is>
      </c>
      <c r="P107" t="inlineStr">
        <is>
          <t>Data readable</t>
        </is>
      </c>
      <c r="R107" t="inlineStr">
        <is>
          <t>Kaufman__2004_TableA12_snapshot.csv</t>
        </is>
      </c>
      <c r="T107" t="inlineStr">
        <is>
          <t>Kaufman__2004_TableA12.csv</t>
        </is>
      </c>
      <c r="V107" s="2" t="inlineStr">
        <is>
          <t>table</t>
        </is>
      </c>
      <c r="AB107" s="2" t="inlineStr">
        <is>
          <t>Doctoral dissertation (not in PubMed; no DOI). Use ProQuest Dissertations &amp; Theses number (or WashU OpenScholarship URI) as the identifier - add the actual number.</t>
        </is>
      </c>
      <c r="AI107" s="2" t="inlineStr">
        <is>
          <t>brain/body scaling</t>
        </is>
      </c>
      <c r="AJ107" s="2" t="inlineStr">
        <is>
          <t>Mammals</t>
        </is>
      </c>
      <c r="AK107" s="2" t="inlineStr">
        <is>
          <t>primary</t>
        </is>
      </c>
      <c r="AL107" s="2" t="inlineStr">
        <is>
          <t>secondary</t>
        </is>
      </c>
      <c r="AM107" s="2" t="inlineStr">
        <is>
          <t>metabolic / brain-body scaling</t>
        </is>
      </c>
    </row>
    <row r="108" ht="15.75" customHeight="1">
      <c r="A108" s="2" t="inlineStr">
        <is>
          <t>Kaufman, J. A. (2004). Pattern and scaling of regional cerebral glucose metabolism in mammals (Publication No. 3147447) [Doctoral dissertation, Washington University in St. Louis]. ProQuest Dissertations &amp; Theses Global.</t>
        </is>
      </c>
      <c r="C108" s="2" t="inlineStr">
        <is>
          <t>UMI:3147447</t>
        </is>
      </c>
      <c r="D108" s="2" t="inlineStr">
        <is>
          <t>Table A13</t>
        </is>
      </c>
      <c r="E108">
        <f>RIGHT(A108,1)</f>
        <v/>
      </c>
      <c r="F108">
        <f>G108 &amp; IF(H108&lt;&gt;"", "_" &amp; H108, "_") &amp; IF(I108&lt;&gt;"", "_" &amp; I108, "_") &amp; IF(B108&lt;&gt;"", "_" &amp; B108, "")</f>
        <v/>
      </c>
      <c r="G108">
        <f>SUBSTITUTE(SUBSTITUTE(_xlfn.TEXTBEFORE(A108,","), "-", ""), " ", "")</f>
        <v/>
      </c>
      <c r="H108">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
      </c>
      <c r="I108">
        <f>_xlfn.TEXTBEFORE(_xlfn.TEXTAFTER(A108, "("), ")")</f>
        <v/>
      </c>
      <c r="J108">
        <f>_xlfn.LET(
_xlpm.doi,IF(C108&lt;&gt;"",C108,_xlfn.TEXTAFTER(A108,"https://doi.org/")),
SUBSTITUTE(
SUBSTITUTE(
SUBSTITUTE(
SUBSTITUTE(
_xlpm.doi,
"/","%2F"),
":","%3A"),
"&lt;","%3C"),
"&gt;","%3E")
)</f>
        <v/>
      </c>
      <c r="K108">
        <f>TRIM(_xlfn.TEXTJOIN("_",FALSE,F108,(SUBSTITUTE(SUBSTITUTE(D108," ",""), "_", ""))))</f>
        <v/>
      </c>
      <c r="L108">
        <f>J108 &amp; "_" &amp; SUBSTITUTE(SUBSTITUTE(SUBSTITUTE(D108,CHAR(160),"")," ",""),"_","")</f>
        <v/>
      </c>
      <c r="M108">
        <f t="array" ref="M108">IFERROR(INDEX(FileList!$A$1:$A$100,MATCH(TRUE,EXACT(L108,_xlfn.TEXTBEFORE(FileList!$A$1:$A$100,".tsv")),0)),"notfound")</f>
        <v/>
      </c>
      <c r="N108" s="4" t="inlineStr">
        <is>
          <t>Table A13. Cingulate Cortex rCMR and rCBF</t>
        </is>
      </c>
      <c r="P108" t="inlineStr">
        <is>
          <t>Data readable</t>
        </is>
      </c>
      <c r="R108" t="inlineStr">
        <is>
          <t>Kaufman__2004_TableA13_snapshot.csv</t>
        </is>
      </c>
      <c r="T108" t="inlineStr">
        <is>
          <t>Kaufman__2004_TableA13.csv</t>
        </is>
      </c>
      <c r="V108" s="2" t="inlineStr">
        <is>
          <t>table</t>
        </is>
      </c>
      <c r="AB108" s="2" t="inlineStr">
        <is>
          <t>Doctoral dissertation (not in PubMed; no DOI). Use ProQuest Dissertations &amp; Theses number (or WashU OpenScholarship URI) as the identifier - add the actual number.</t>
        </is>
      </c>
      <c r="AI108" s="2" t="inlineStr">
        <is>
          <t>brain/body scaling</t>
        </is>
      </c>
      <c r="AJ108" s="2" t="inlineStr">
        <is>
          <t>Mammals</t>
        </is>
      </c>
      <c r="AK108" s="2" t="inlineStr">
        <is>
          <t>primary</t>
        </is>
      </c>
      <c r="AL108" s="2" t="inlineStr">
        <is>
          <t>secondary</t>
        </is>
      </c>
      <c r="AM108" s="2" t="inlineStr">
        <is>
          <t>metabolic / brain-body scaling</t>
        </is>
      </c>
    </row>
    <row r="109" ht="15.75" customHeight="1">
      <c r="A109" s="2" t="inlineStr">
        <is>
          <t>Kaufman, J. A. (2004). Pattern and scaling of regional cerebral glucose metabolism in mammals (Publication No. 3147447) [Doctoral dissertation, Washington University in St. Louis]. ProQuest Dissertations &amp; Theses Global.</t>
        </is>
      </c>
      <c r="C109" s="2" t="inlineStr">
        <is>
          <t>UMI:3147447</t>
        </is>
      </c>
      <c r="D109" s="2" t="inlineStr">
        <is>
          <t>Table A14</t>
        </is>
      </c>
      <c r="E109">
        <f>RIGHT(A109,1)</f>
        <v/>
      </c>
      <c r="F109">
        <f>G109 &amp; IF(H109&lt;&gt;"", "_" &amp; H109, "_") &amp; IF(I109&lt;&gt;"", "_" &amp; I109, "_") &amp; IF(B109&lt;&gt;"", "_" &amp; B109, "")</f>
        <v/>
      </c>
      <c r="G109">
        <f>SUBSTITUTE(SUBSTITUTE(_xlfn.TEXTBEFORE(A109,","), "-", ""), " ", "")</f>
        <v/>
      </c>
      <c r="H109">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
      </c>
      <c r="I109">
        <f>_xlfn.TEXTBEFORE(_xlfn.TEXTAFTER(A109, "("), ")")</f>
        <v/>
      </c>
      <c r="J109">
        <f>_xlfn.LET(
_xlpm.doi,IF(C109&lt;&gt;"",C109,_xlfn.TEXTAFTER(A109,"https://doi.org/")),
SUBSTITUTE(
SUBSTITUTE(
SUBSTITUTE(
SUBSTITUTE(
_xlpm.doi,
"/","%2F"),
":","%3A"),
"&lt;","%3C"),
"&gt;","%3E")
)</f>
        <v/>
      </c>
      <c r="K109">
        <f>TRIM(_xlfn.TEXTJOIN("_",FALSE,F109,(SUBSTITUTE(SUBSTITUTE(D109," ",""), "_", ""))))</f>
        <v/>
      </c>
      <c r="L109">
        <f>J109 &amp; "_" &amp; SUBSTITUTE(SUBSTITUTE(SUBSTITUTE(D109,CHAR(160),"")," ",""),"_","")</f>
        <v/>
      </c>
      <c r="M109">
        <f t="array" ref="M109">IFERROR(INDEX(FileList!$A$1:$A$100,MATCH(TRUE,EXACT(L109,_xlfn.TEXTBEFORE(FileList!$A$1:$A$100,".tsv")),0)),"notfound")</f>
        <v/>
      </c>
      <c r="N109" s="4" t="inlineStr">
        <is>
          <t>Table A14. Whole Brain CM R and CBF (direct measurement)</t>
        </is>
      </c>
      <c r="P109" t="inlineStr">
        <is>
          <t>Data readable</t>
        </is>
      </c>
      <c r="R109" t="inlineStr">
        <is>
          <t>Kaufman__2004_TableA14_snapshot.csv</t>
        </is>
      </c>
      <c r="T109" t="inlineStr">
        <is>
          <t>Kaufman__2004_TableA14.csv</t>
        </is>
      </c>
      <c r="V109" s="2" t="inlineStr">
        <is>
          <t>table</t>
        </is>
      </c>
      <c r="AB109" s="2" t="inlineStr">
        <is>
          <t>Doctoral dissertation (not in PubMed; no DOI). Use ProQuest Dissertations &amp; Theses number (or WashU OpenScholarship URI) as the identifier - add the actual number.</t>
        </is>
      </c>
      <c r="AI109" s="2" t="inlineStr">
        <is>
          <t>brain/body scaling</t>
        </is>
      </c>
      <c r="AJ109" s="2" t="inlineStr">
        <is>
          <t>Mammals</t>
        </is>
      </c>
      <c r="AK109" s="2" t="inlineStr">
        <is>
          <t>primary</t>
        </is>
      </c>
      <c r="AL109" s="2" t="inlineStr">
        <is>
          <t>secondary</t>
        </is>
      </c>
      <c r="AM109" s="2" t="inlineStr">
        <is>
          <t>metabolic / brain-body scaling</t>
        </is>
      </c>
    </row>
    <row r="110" ht="15.75" customHeight="1">
      <c r="A110" s="2" t="inlineStr">
        <is>
          <t>Kaufman, J. A. (2004). Pattern and scaling of regional cerebral glucose metabolism in mammals (Publication No. 3147447) [Doctoral dissertation, Washington University in St. Louis]. ProQuest Dissertations &amp; Theses Global.</t>
        </is>
      </c>
      <c r="C110" s="2" t="inlineStr">
        <is>
          <t>UMI:3147447</t>
        </is>
      </c>
      <c r="D110" s="2" t="inlineStr">
        <is>
          <t>Table A15</t>
        </is>
      </c>
      <c r="E110">
        <f>RIGHT(A110,1)</f>
        <v/>
      </c>
      <c r="F110">
        <f>G110 &amp; IF(H110&lt;&gt;"", "_" &amp; H110, "_") &amp; IF(I110&lt;&gt;"", "_" &amp; I110, "_") &amp; IF(B110&lt;&gt;"", "_" &amp; B110, "")</f>
        <v/>
      </c>
      <c r="G110">
        <f>SUBSTITUTE(SUBSTITUTE(_xlfn.TEXTBEFORE(A110,","), "-", ""), " ", "")</f>
        <v/>
      </c>
      <c r="H110">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
      </c>
      <c r="I110">
        <f>_xlfn.TEXTBEFORE(_xlfn.TEXTAFTER(A110, "("), ")")</f>
        <v/>
      </c>
      <c r="J110">
        <f>_xlfn.LET(
_xlpm.doi,IF(C110&lt;&gt;"",C110,_xlfn.TEXTAFTER(A110,"https://doi.org/")),
SUBSTITUTE(
SUBSTITUTE(
SUBSTITUTE(
SUBSTITUTE(
_xlpm.doi,
"/","%2F"),
":","%3A"),
"&lt;","%3C"),
"&gt;","%3E")
)</f>
        <v/>
      </c>
      <c r="K110">
        <f>TRIM(_xlfn.TEXTJOIN("_",FALSE,F110,(SUBSTITUTE(SUBSTITUTE(D110," ",""), "_", ""))))</f>
        <v/>
      </c>
      <c r="L110">
        <f>J110 &amp; "_" &amp; SUBSTITUTE(SUBSTITUTE(SUBSTITUTE(D110,CHAR(160),"")," ",""),"_","")</f>
        <v/>
      </c>
      <c r="M110">
        <f t="array" ref="M110">IFERROR(INDEX(FileList!$A$1:$A$100,MATCH(TRUE,EXACT(L110,_xlfn.TEXTBEFORE(FileList!$A$1:$A$100,".tsv")),0)),"notfound")</f>
        <v/>
      </c>
      <c r="N110" s="4" t="inlineStr">
        <is>
          <t>Table A15. Species Means in Conscious Subjects</t>
        </is>
      </c>
      <c r="P110" t="inlineStr">
        <is>
          <t>Data readable</t>
        </is>
      </c>
      <c r="R110" t="inlineStr">
        <is>
          <t>Kaufman__2004_TableA15_snapshot.csv</t>
        </is>
      </c>
      <c r="T110" t="inlineStr">
        <is>
          <t>Kaufman__2004_TableA15.csv</t>
        </is>
      </c>
      <c r="V110" s="2" t="inlineStr">
        <is>
          <t>table</t>
        </is>
      </c>
      <c r="AB110" s="2" t="inlineStr">
        <is>
          <t>Doctoral dissertation (not in PubMed; no DOI). Use ProQuest Dissertations &amp; Theses number (or WashU OpenScholarship URI) as the identifier - add the actual number.</t>
        </is>
      </c>
      <c r="AI110" s="2" t="inlineStr">
        <is>
          <t>brain/body scaling</t>
        </is>
      </c>
      <c r="AJ110" s="2" t="inlineStr">
        <is>
          <t>Mammals</t>
        </is>
      </c>
      <c r="AK110" s="2" t="inlineStr">
        <is>
          <t>primary</t>
        </is>
      </c>
      <c r="AL110" s="2" t="inlineStr">
        <is>
          <t>secondary</t>
        </is>
      </c>
      <c r="AM110" s="2" t="inlineStr">
        <is>
          <t>metabolic / brain-body scaling</t>
        </is>
      </c>
    </row>
    <row r="111" ht="15.75" customHeight="1">
      <c r="A111" s="2"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C111" s="3" t="n"/>
      <c r="D111" s="2" t="inlineStr">
        <is>
          <t>Extended Data Figure 4</t>
        </is>
      </c>
      <c r="E111">
        <f>RIGHT(A111,1)</f>
        <v/>
      </c>
      <c r="F111">
        <f>G111 &amp; IF(H111&lt;&gt;"", "_" &amp; H111, "_") &amp; IF(I111&lt;&gt;"", "_" &amp; I111, "_") &amp; IF(B111&lt;&gt;"", "_" &amp; B111, "")</f>
        <v/>
      </c>
      <c r="G111">
        <f>SUBSTITUTE(SUBSTITUTE(_xlfn.TEXTBEFORE(A111,","), "-", ""), " ", "")</f>
        <v/>
      </c>
      <c r="H111">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
      </c>
      <c r="I111">
        <f>_xlfn.TEXTBEFORE(_xlfn.TEXTAFTER(A111, "("), ")")</f>
        <v/>
      </c>
      <c r="J111">
        <f>_xlfn.LET(
_xlpm.doi,IF(C111&lt;&gt;"",C111,_xlfn.TEXTAFTER(A111,"https://doi.org/")),
SUBSTITUTE(
SUBSTITUTE(
SUBSTITUTE(
SUBSTITUTE(
_xlpm.doi,
"/","%2F"),
":","%3A"),
"&lt;","%3C"),
"&gt;","%3E")
)</f>
        <v/>
      </c>
      <c r="K111">
        <f>TRIM(_xlfn.TEXTJOIN("_",FALSE,F111,(SUBSTITUTE(SUBSTITUTE(D111," ",""), "_", ""))))</f>
        <v/>
      </c>
      <c r="L111">
        <f>J111 &amp; "_" &amp; SUBSTITUTE(SUBSTITUTE(SUBSTITUTE(D111,CHAR(160),"")," ",""),"_","")</f>
        <v/>
      </c>
      <c r="M111">
        <f t="array" ref="M111">IFERROR(INDEX(FileList!$A$1:$A$100,MATCH(TRUE,EXACT(L111,_xlfn.TEXTBEFORE(FileList!$A$1:$A$100,".tsv")),0)),"notfound")</f>
        <v/>
      </c>
      <c r="N111" s="3" t="inlineStr">
        <is>
          <t xml:space="preserve">Extended Data Figure 4  Comparisons of the relative volumes of the parcellated brain regions among NT, EH and MH, assuming that the variation within NT and EH was equivalent to that of MH. </t>
        </is>
      </c>
      <c r="O111" t="inlineStr">
        <is>
          <t>data that are extracted from bar plots</t>
        </is>
      </c>
      <c r="V111" s="2" t="inlineStr">
        <is>
          <t>figure</t>
        </is>
      </c>
      <c r="AB111" s="3" t="n"/>
      <c r="AI111" s="2" t="n"/>
      <c r="AJ111" s="2" t="n"/>
      <c r="AK111" s="2" t="n"/>
      <c r="AL111" s="2" t="n"/>
      <c r="AM111" s="2" t="n"/>
    </row>
    <row r="112" ht="15.75" customHeight="1">
      <c r="A112" s="2"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C112" s="3" t="n"/>
      <c r="D112" s="2" t="inlineStr">
        <is>
          <t>Extended Data Table 1</t>
        </is>
      </c>
      <c r="E112">
        <f>RIGHT(A112,1)</f>
        <v/>
      </c>
      <c r="F112">
        <f>G112 &amp; IF(H112&lt;&gt;"", "_" &amp; H112, "_") &amp; IF(I112&lt;&gt;"", "_" &amp; I112, "_") &amp; IF(B112&lt;&gt;"", "_" &amp; B112, "")</f>
        <v/>
      </c>
      <c r="G112">
        <f>SUBSTITUTE(SUBSTITUTE(_xlfn.TEXTBEFORE(A112,","), "-", ""), " ", "")</f>
        <v/>
      </c>
      <c r="H112">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
      </c>
      <c r="I112">
        <f>_xlfn.TEXTBEFORE(_xlfn.TEXTAFTER(A112, "("), ")")</f>
        <v/>
      </c>
      <c r="J112">
        <f>_xlfn.LET(
_xlpm.doi,IF(C112&lt;&gt;"",C112,_xlfn.TEXTAFTER(A112,"https://doi.org/")),
SUBSTITUTE(
SUBSTITUTE(
SUBSTITUTE(
SUBSTITUTE(
_xlpm.doi,
"/","%2F"),
":","%3A"),
"&lt;","%3C"),
"&gt;","%3E")
)</f>
        <v/>
      </c>
      <c r="K112">
        <f>TRIM(_xlfn.TEXTJOIN("_",FALSE,F112,(SUBSTITUTE(SUBSTITUTE(D112," ",""), "_", ""))))</f>
        <v/>
      </c>
      <c r="L112">
        <f>J112 &amp; "_" &amp; SUBSTITUTE(SUBSTITUTE(SUBSTITUTE(D112,CHAR(160),"")," ",""),"_","")</f>
        <v/>
      </c>
      <c r="M112">
        <f t="array" ref="M112">IFERROR(INDEX(FileList!$A$1:$A$100,MATCH(TRUE,EXACT(L112,_xlfn.TEXTBEFORE(FileList!$A$1:$A$100,".tsv")),0)),"notfound")</f>
        <v/>
      </c>
      <c r="N112" s="3" t="inlineStr">
        <is>
          <t xml:space="preserve">Extended Data Table 1 Correspondence between the AAL atlas and the parcellated brain regions </t>
        </is>
      </c>
      <c r="V112" s="2" t="inlineStr">
        <is>
          <t>table</t>
        </is>
      </c>
      <c r="AB112" s="3" t="n"/>
      <c r="AI112" s="2" t="n"/>
      <c r="AJ112" s="2" t="n"/>
      <c r="AK112" s="2" t="n"/>
      <c r="AL112" s="2" t="n"/>
      <c r="AM112" s="2" t="n"/>
    </row>
    <row r="113" ht="15.75" customHeight="1">
      <c r="A113" s="2"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C113" s="3" t="n"/>
      <c r="D113" s="2" t="inlineStr">
        <is>
          <t>Extended Data Table 3</t>
        </is>
      </c>
      <c r="E113">
        <f>RIGHT(A113,1)</f>
        <v/>
      </c>
      <c r="F113">
        <f>G113 &amp; IF(H113&lt;&gt;"", "_" &amp; H113, "_") &amp; IF(I113&lt;&gt;"", "_" &amp; I113, "_") &amp; IF(B113&lt;&gt;"", "_" &amp; B113, "")</f>
        <v/>
      </c>
      <c r="G113">
        <f>SUBSTITUTE(SUBSTITUTE(_xlfn.TEXTBEFORE(A113,","), "-", ""), " ", "")</f>
        <v/>
      </c>
      <c r="H113">
        <f>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
      </c>
      <c r="I113">
        <f>_xlfn.TEXTBEFORE(_xlfn.TEXTAFTER(A113, "("), ")")</f>
        <v/>
      </c>
      <c r="J113">
        <f>_xlfn.LET(
_xlpm.doi,IF(C113&lt;&gt;"",C113,_xlfn.TEXTAFTER(A113,"https://doi.org/")),
SUBSTITUTE(
SUBSTITUTE(
SUBSTITUTE(
SUBSTITUTE(
_xlpm.doi,
"/","%2F"),
":","%3A"),
"&lt;","%3C"),
"&gt;","%3E")
)</f>
        <v/>
      </c>
      <c r="K113">
        <f>TRIM(_xlfn.TEXTJOIN("_",FALSE,F113,(SUBSTITUTE(SUBSTITUTE(D113," ",""), "_", ""))))</f>
        <v/>
      </c>
      <c r="L113">
        <f>J113 &amp; "_" &amp; SUBSTITUTE(SUBSTITUTE(SUBSTITUTE(D113,CHAR(160),"")," ",""),"_","")</f>
        <v/>
      </c>
      <c r="M113">
        <f t="array" ref="M113">IFERROR(INDEX(FileList!$A$1:$A$100,MATCH(TRUE,EXACT(L113,_xlfn.TEXTBEFORE(FileList!$A$1:$A$100,".tsv")),0)),"notfound")</f>
        <v/>
      </c>
      <c r="N113" s="3" t="inlineStr">
        <is>
          <t xml:space="preserve">Extended Data Table 3 Statistical test results of differences in the relative volumes of the parcellated brain regions among NT, EH and MH. </t>
        </is>
      </c>
      <c r="V113" s="2" t="inlineStr">
        <is>
          <t>table</t>
        </is>
      </c>
      <c r="AB113" s="3" t="n"/>
      <c r="AI113" s="2" t="n"/>
      <c r="AJ113" s="2" t="n"/>
      <c r="AK113" s="2" t="n"/>
      <c r="AL113" s="2" t="n"/>
      <c r="AM113" s="2" t="n"/>
    </row>
    <row r="114" ht="15.75" customHeight="1">
      <c r="A114" s="2"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C114" s="3" t="n"/>
      <c r="D114" s="2" t="inlineStr">
        <is>
          <t>Figure 3 legend</t>
        </is>
      </c>
      <c r="E114">
        <f>RIGHT(A114,1)</f>
        <v/>
      </c>
      <c r="F114">
        <f>G114 &amp; IF(H114&lt;&gt;"", "_" &amp; H114, "_") &amp; IF(I114&lt;&gt;"", "_" &amp; I114, "_") &amp; IF(B114&lt;&gt;"", "_" &amp; B114, "")</f>
        <v/>
      </c>
      <c r="G114">
        <f>SUBSTITUTE(SUBSTITUTE(_xlfn.TEXTBEFORE(A114,","), "-", ""), " ", "")</f>
        <v/>
      </c>
      <c r="H114">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
      </c>
      <c r="I114">
        <f>_xlfn.TEXTBEFORE(_xlfn.TEXTAFTER(A114, "("), ")")</f>
        <v/>
      </c>
      <c r="J114">
        <f>_xlfn.LET(
_xlpm.doi,IF(C114&lt;&gt;"",C114,_xlfn.TEXTAFTER(A114,"https://doi.org/")),
SUBSTITUTE(
SUBSTITUTE(
SUBSTITUTE(
SUBSTITUTE(
_xlpm.doi,
"/","%2F"),
":","%3A"),
"&lt;","%3C"),
"&gt;","%3E")
)</f>
        <v/>
      </c>
      <c r="K114">
        <f>TRIM(_xlfn.TEXTJOIN("_",FALSE,F114,(SUBSTITUTE(SUBSTITUTE(D114," ",""), "_", ""))))</f>
        <v/>
      </c>
      <c r="L114">
        <f>J114 &amp; "_" &amp; SUBSTITUTE(SUBSTITUTE(SUBSTITUTE(D114,CHAR(160),"")," ",""),"_","")</f>
        <v/>
      </c>
      <c r="M114">
        <f t="array" ref="M114">IFERROR(INDEX(FileList!$A$1:$A$100,MATCH(TRUE,EXACT(L114,_xlfn.TEXTBEFORE(FileList!$A$1:$A$100,".tsv")),0)),"notfound")</f>
        <v/>
      </c>
      <c r="N114" s="3" t="inlineStr">
        <is>
          <t>Figure 3. Comparisons of the relative volumes of the parcellated brain regions among NT, EH and MH.</t>
        </is>
      </c>
      <c r="O114" t="inlineStr">
        <is>
          <t>data that are written in the legend</t>
        </is>
      </c>
      <c r="V114" s="2" t="inlineStr">
        <is>
          <t>figure legend</t>
        </is>
      </c>
      <c r="AB114" s="3" t="n"/>
      <c r="AI114" s="2" t="n"/>
      <c r="AJ114" s="2" t="n"/>
      <c r="AK114" s="2" t="n"/>
      <c r="AL114" s="2" t="n"/>
      <c r="AM114" s="2" t="n"/>
    </row>
    <row r="115" ht="15.75" customHeight="1">
      <c r="A115" s="2"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C115" s="3" t="n"/>
      <c r="D115" s="2" t="inlineStr">
        <is>
          <t>Figure 3A</t>
        </is>
      </c>
      <c r="E115">
        <f>RIGHT(A115,1)</f>
        <v/>
      </c>
      <c r="F115">
        <f>G115 &amp; IF(H115&lt;&gt;"", "_" &amp; H115, "_") &amp; IF(I115&lt;&gt;"", "_" &amp; I115, "_") &amp; IF(B115&lt;&gt;"", "_" &amp; B115, "")</f>
        <v/>
      </c>
      <c r="G115">
        <f>SUBSTITUTE(SUBSTITUTE(_xlfn.TEXTBEFORE(A115,","), "-", ""), " ", "")</f>
        <v/>
      </c>
      <c r="H115">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
      </c>
      <c r="I115">
        <f>_xlfn.TEXTBEFORE(_xlfn.TEXTAFTER(A115, "("), ")")</f>
        <v/>
      </c>
      <c r="J115">
        <f>_xlfn.LET(
_xlpm.doi,IF(C115&lt;&gt;"",C115,_xlfn.TEXTAFTER(A115,"https://doi.org/")),
SUBSTITUTE(
SUBSTITUTE(
SUBSTITUTE(
SUBSTITUTE(
_xlpm.doi,
"/","%2F"),
":","%3A"),
"&lt;","%3C"),
"&gt;","%3E")
)</f>
        <v/>
      </c>
      <c r="K115">
        <f>TRIM(_xlfn.TEXTJOIN("_",FALSE,F115,(SUBSTITUTE(SUBSTITUTE(D115," ",""), "_", ""))))</f>
        <v/>
      </c>
      <c r="L115">
        <f>J115 &amp; "_" &amp; SUBSTITUTE(SUBSTITUTE(SUBSTITUTE(D115,CHAR(160),"")," ",""),"_","")</f>
        <v/>
      </c>
      <c r="M115">
        <f t="array" ref="M115">IFERROR(INDEX(FileList!$A$1:$A$100,MATCH(TRUE,EXACT(L115,_xlfn.TEXTBEFORE(FileList!$A$1:$A$100,".tsv")),0)),"notfound")</f>
        <v/>
      </c>
      <c r="N115" s="3" t="inlineStr">
        <is>
          <t>Figure 3. Comparisons of the relative volumes of the parcellated brain regions among NT, EH and MH.</t>
        </is>
      </c>
      <c r="O115" t="inlineStr">
        <is>
          <t>data that are extracted from bar plots</t>
        </is>
      </c>
      <c r="V115" s="2" t="inlineStr">
        <is>
          <t>figure</t>
        </is>
      </c>
      <c r="AB115" s="3" t="n"/>
      <c r="AI115" s="2" t="n"/>
      <c r="AJ115" s="2" t="n"/>
      <c r="AK115" s="2" t="n"/>
      <c r="AL115" s="2" t="n"/>
      <c r="AM115" s="2" t="n"/>
    </row>
    <row r="116" ht="15.75" customHeight="1">
      <c r="A116" s="2"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C116" s="3" t="n"/>
      <c r="D116" s="2" t="inlineStr">
        <is>
          <t>Figure 3B</t>
        </is>
      </c>
      <c r="E116">
        <f>RIGHT(A116,1)</f>
        <v/>
      </c>
      <c r="F116">
        <f>G116 &amp; IF(H116&lt;&gt;"", "_" &amp; H116, "_") &amp; IF(I116&lt;&gt;"", "_" &amp; I116, "_") &amp; IF(B116&lt;&gt;"", "_" &amp; B116, "")</f>
        <v/>
      </c>
      <c r="G116">
        <f>SUBSTITUTE(SUBSTITUTE(_xlfn.TEXTBEFORE(A116,","), "-", ""), " ", "")</f>
        <v/>
      </c>
      <c r="H116">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
      </c>
      <c r="I116">
        <f>_xlfn.TEXTBEFORE(_xlfn.TEXTAFTER(A116, "("), ")")</f>
        <v/>
      </c>
      <c r="J116">
        <f>_xlfn.LET(
_xlpm.doi,IF(C116&lt;&gt;"",C116,_xlfn.TEXTAFTER(A116,"https://doi.org/")),
SUBSTITUTE(
SUBSTITUTE(
SUBSTITUTE(
SUBSTITUTE(
_xlpm.doi,
"/","%2F"),
":","%3A"),
"&lt;","%3C"),
"&gt;","%3E")
)</f>
        <v/>
      </c>
      <c r="K116">
        <f>TRIM(_xlfn.TEXTJOIN("_",FALSE,F116,(SUBSTITUTE(SUBSTITUTE(D116," ",""), "_", ""))))</f>
        <v/>
      </c>
      <c r="L116">
        <f>J116 &amp; "_" &amp; SUBSTITUTE(SUBSTITUTE(SUBSTITUTE(D116,CHAR(160),"")," ",""),"_","")</f>
        <v/>
      </c>
      <c r="M116">
        <f t="array" ref="M116">IFERROR(INDEX(FileList!$A$1:$A$100,MATCH(TRUE,EXACT(L116,_xlfn.TEXTBEFORE(FileList!$A$1:$A$100,".tsv")),0)),"notfound")</f>
        <v/>
      </c>
      <c r="N116" s="3" t="inlineStr">
        <is>
          <t>Figure 3. Comparisons of the relative volumes of the parcellated brain regions among NT, EH and MH.</t>
        </is>
      </c>
      <c r="O116" t="inlineStr">
        <is>
          <t>data that are extracted from bar plots</t>
        </is>
      </c>
      <c r="V116" s="2" t="inlineStr">
        <is>
          <t>figure</t>
        </is>
      </c>
      <c r="AB116" s="3" t="n"/>
      <c r="AI116" s="2" t="n"/>
      <c r="AJ116" s="2" t="n"/>
      <c r="AK116" s="2" t="n"/>
      <c r="AL116" s="2" t="n"/>
      <c r="AM116" s="2" t="n"/>
    </row>
    <row r="117" ht="15.75" customHeight="1">
      <c r="A117" s="2"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C117" s="3" t="n"/>
      <c r="D117" s="2" t="inlineStr">
        <is>
          <t>FossilSpecimensText</t>
        </is>
      </c>
      <c r="E117">
        <f>RIGHT(A117,1)</f>
        <v/>
      </c>
      <c r="F117">
        <f>G117 &amp; IF(H117&lt;&gt;"", "_" &amp; H117, "_") &amp; IF(I117&lt;&gt;"", "_" &amp; I117, "_") &amp; IF(B117&lt;&gt;"", "_" &amp; B117, "")</f>
        <v/>
      </c>
      <c r="G117">
        <f>SUBSTITUTE(SUBSTITUTE(_xlfn.TEXTBEFORE(A117,","), "-", ""), " ", "")</f>
        <v/>
      </c>
      <c r="H117">
        <f>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
      </c>
      <c r="I117">
        <f>_xlfn.TEXTBEFORE(_xlfn.TEXTAFTER(A117, "("), ")")</f>
        <v/>
      </c>
      <c r="J117">
        <f>_xlfn.LET(
_xlpm.doi,IF(C117&lt;&gt;"",C117,_xlfn.TEXTAFTER(A117,"https://doi.org/")),
SUBSTITUTE(
SUBSTITUTE(
SUBSTITUTE(
SUBSTITUTE(
_xlpm.doi,
"/","%2F"),
":","%3A"),
"&lt;","%3C"),
"&gt;","%3E")
)</f>
        <v/>
      </c>
      <c r="K117">
        <f>TRIM(_xlfn.TEXTJOIN("_",FALSE,F117,(SUBSTITUTE(SUBSTITUTE(D117," ",""), "_", ""))))</f>
        <v/>
      </c>
      <c r="L117">
        <f>J117 &amp; "_" &amp; SUBSTITUTE(SUBSTITUTE(SUBSTITUTE(D117,CHAR(160),"")," ",""),"_","")</f>
        <v/>
      </c>
      <c r="M117">
        <f t="array" ref="M117">IFERROR(INDEX(FileList!$A$1:$A$100,MATCH(TRUE,EXACT(L117,_xlfn.TEXTBEFORE(FileList!$A$1:$A$100,".tsv")),0)),"notfound")</f>
        <v/>
      </c>
      <c r="N117" s="3" t="inlineStr">
        <is>
          <t>Main text</t>
        </is>
      </c>
      <c r="O117" s="3" t="inlineStr">
        <is>
          <t>Fossil Specimens description in Main text</t>
        </is>
      </c>
      <c r="V117" s="2" t="inlineStr">
        <is>
          <t>table</t>
        </is>
      </c>
      <c r="AB117" s="3" t="n"/>
      <c r="AI117" s="2" t="n"/>
      <c r="AJ117" s="2" t="n"/>
      <c r="AK117" s="2" t="n"/>
      <c r="AL117" s="2" t="n"/>
      <c r="AM117" s="2" t="n"/>
    </row>
    <row r="118" ht="15.75" customHeight="1">
      <c r="A118" s="2" t="inlineStr">
        <is>
          <t>Kverkova, K., Belikova, T., Olkowicz, S., Pavelkova, Z., O'Riain, M. J., Sumbera, R., Burda, H., Bennett, N. C., &amp; Nemec, P. (2018). Sociality does not drive the evolution of large brains in eusocial African mole-rats. Sci Rep, 8(1), 9203. https://doi.org/10.1038/s41598-018-26062-8</t>
        </is>
      </c>
      <c r="D118" s="2" t="inlineStr">
        <is>
          <t>Table 1</t>
        </is>
      </c>
      <c r="E118">
        <f>RIGHT(A118,1)</f>
        <v/>
      </c>
      <c r="F118">
        <f>G118 &amp; IF(H118&lt;&gt;"", "_" &amp; H118, "_") &amp; IF(I118&lt;&gt;"", "_" &amp; I118, "_") &amp; IF(B118&lt;&gt;"", "_" &amp; B118, "")</f>
        <v/>
      </c>
      <c r="G118">
        <f>SUBSTITUTE(SUBSTITUTE(_xlfn.TEXTBEFORE(A118,","), "-", ""), " ", "")</f>
        <v/>
      </c>
      <c r="H118">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
      </c>
      <c r="I118">
        <f>_xlfn.TEXTBEFORE(_xlfn.TEXTAFTER(A118, "("), ")")</f>
        <v/>
      </c>
      <c r="J118">
        <f>_xlfn.LET(
_xlpm.doi,IF(C118&lt;&gt;"",C118,_xlfn.TEXTAFTER(A118,"https://doi.org/")),
SUBSTITUTE(
SUBSTITUTE(
SUBSTITUTE(
SUBSTITUTE(
_xlpm.doi,
"/","%2F"),
":","%3A"),
"&lt;","%3C"),
"&gt;","%3E")
)</f>
        <v/>
      </c>
      <c r="K118">
        <f>TRIM(_xlfn.TEXTJOIN("_",FALSE,F118,(SUBSTITUTE(SUBSTITUTE(D118," ",""), "_", ""))))</f>
        <v/>
      </c>
      <c r="L118">
        <f>J118 &amp; "_" &amp; SUBSTITUTE(SUBSTITUTE(SUBSTITUTE(D118,CHAR(160),"")," ",""),"_","")</f>
        <v/>
      </c>
      <c r="M118">
        <f t="array" ref="M118">IFERROR(INDEX(FileList!$A$1:$A$100,MATCH(TRUE,EXACT(L118,_xlfn.TEXTBEFORE(FileList!$A$1:$A$100,".tsv")),0)),"notfound")</f>
        <v/>
      </c>
      <c r="N118" s="2" t="inlineStr">
        <is>
          <t>Table 1. Origin and use of the experimental animals.</t>
        </is>
      </c>
      <c r="P118" s="2" t="inlineStr">
        <is>
          <t>FINISHED</t>
        </is>
      </c>
      <c r="Q118" s="2" t="inlineStr">
        <is>
          <t>added</t>
        </is>
      </c>
      <c r="R118" s="2" t="inlineStr">
        <is>
          <t>Kverkova_etal_2018_Table1_snapshot.xlsx</t>
        </is>
      </c>
      <c r="S118" s="2" t="inlineStr">
        <is>
          <t>Y</t>
        </is>
      </c>
      <c r="T118" s="2" t="inlineStr">
        <is>
          <t>Kverkova_etal_2018_TableS1.csv</t>
        </is>
      </c>
      <c r="U118" s="2" t="inlineStr">
        <is>
          <t>docx</t>
        </is>
      </c>
      <c r="V118" s="2" t="inlineStr">
        <is>
          <t>table</t>
        </is>
      </c>
      <c r="Y118" s="2" t="inlineStr">
        <is>
          <t>Kverkova</t>
        </is>
      </c>
      <c r="Z118" s="2" t="inlineStr">
        <is>
          <t>Kverkova</t>
        </is>
      </c>
      <c r="AH118" s="2" t="inlineStr">
        <is>
          <t>African mole-rats (Bathyergidae)</t>
        </is>
      </c>
      <c r="AI118" s="2" t="inlineStr">
        <is>
          <t>sample size and information</t>
        </is>
      </c>
      <c r="AJ118" s="2" t="inlineStr">
        <is>
          <t>Rodents (African mole-rats +)</t>
        </is>
      </c>
      <c r="AK118" s="2" t="inlineStr">
        <is>
          <t>primary</t>
        </is>
      </c>
      <c r="AL118" s="2" t="inlineStr">
        <is>
          <t>primary</t>
        </is>
      </c>
      <c r="AM118" s="2" t="inlineStr">
        <is>
          <t>sample info</t>
        </is>
      </c>
    </row>
    <row r="119">
      <c r="A119" s="2" t="inlineStr">
        <is>
          <t>Kverkova, K., Belikova, T., Olkowicz, S., Pavelkova, Z., O'Riain, M. J., Sumbera, R., Burda, H., Bennett, N. C., &amp; Nemec, P. (2018). Sociality does not drive the evolution of large brains in eusocial African mole-rats. Sci Rep, 8(1), 9203. https://doi.org/10.1038/s41598-018-26062-8</t>
        </is>
      </c>
      <c r="D119" s="2" t="inlineStr">
        <is>
          <t>Table S1</t>
        </is>
      </c>
      <c r="E119">
        <f>RIGHT(A119,1)</f>
        <v/>
      </c>
      <c r="F119">
        <f>G119 &amp; IF(H119&lt;&gt;"", "_" &amp; H119, "_") &amp; IF(I119&lt;&gt;"", "_" &amp; I119, "_") &amp; IF(B119&lt;&gt;"", "_" &amp; B119, "")</f>
        <v/>
      </c>
      <c r="G119">
        <f>SUBSTITUTE(SUBSTITUTE(_xlfn.TEXTBEFORE(A119,","), "-", ""), " ", "")</f>
        <v/>
      </c>
      <c r="H119">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
      </c>
      <c r="I119">
        <f>_xlfn.TEXTBEFORE(_xlfn.TEXTAFTER(A119, "("), ")")</f>
        <v/>
      </c>
      <c r="J119">
        <f>_xlfn.LET(
_xlpm.doi,IF(C119&lt;&gt;"",C119,_xlfn.TEXTAFTER(A119,"https://doi.org/")),
SUBSTITUTE(
SUBSTITUTE(
SUBSTITUTE(
SUBSTITUTE(
_xlpm.doi,
"/","%2F"),
":","%3A"),
"&lt;","%3C"),
"&gt;","%3E")
)</f>
        <v/>
      </c>
      <c r="K119">
        <f>TRIM(_xlfn.TEXTJOIN("_",FALSE,F119,(SUBSTITUTE(SUBSTITUTE(D119," ",""), "_", ""))))</f>
        <v/>
      </c>
      <c r="L119">
        <f>J119 &amp; "_" &amp; SUBSTITUTE(SUBSTITUTE(SUBSTITUTE(D119,CHAR(160),"")," ",""),"_","")</f>
        <v/>
      </c>
      <c r="M119">
        <f t="array" ref="M119">IFERROR(INDEX(FileList!$A$1:$A$100,MATCH(TRUE,EXACT(L119,_xlfn.TEXTBEFORE(FileList!$A$1:$A$100,".tsv")),0)),"notfound")</f>
        <v/>
      </c>
      <c r="N119" s="2" t="inlineStr">
        <is>
          <t>Table S1. Brain mass and brain region volumes</t>
        </is>
      </c>
      <c r="P119" s="2" t="inlineStr">
        <is>
          <t>FINISHED</t>
        </is>
      </c>
      <c r="Q119" s="2" t="inlineStr">
        <is>
          <t>added</t>
        </is>
      </c>
      <c r="R119" s="2" t="inlineStr">
        <is>
          <t>Kverkova_etal_2018_TableS1_snapshot.xlsx</t>
        </is>
      </c>
      <c r="S119" s="2" t="inlineStr">
        <is>
          <t>Y</t>
        </is>
      </c>
      <c r="T119" s="2" t="inlineStr">
        <is>
          <t>Kverkova_etal_2018_TableS1.csv</t>
        </is>
      </c>
      <c r="U119" s="2" t="inlineStr">
        <is>
          <t>docx</t>
        </is>
      </c>
      <c r="V119" s="2" t="inlineStr">
        <is>
          <t>table</t>
        </is>
      </c>
      <c r="W119" s="2" t="inlineStr">
        <is>
          <t>YES - but formatting issues</t>
        </is>
      </c>
      <c r="X119" s="2" t="inlineStr">
        <is>
          <t>https://static-content.springer.com/esm/art%3A10.1038%2Fs41598-018-26062-8/MediaObjects/41598_2018_26062_MOESM1_ESM.docx</t>
        </is>
      </c>
      <c r="Y119" s="2" t="inlineStr">
        <is>
          <t>Kverkova</t>
        </is>
      </c>
      <c r="Z119" s="2" t="inlineStr">
        <is>
          <t>Kverkova</t>
        </is>
      </c>
      <c r="AH119" s="2" t="inlineStr">
        <is>
          <t>African mole-rats (Bathyergidae)</t>
        </is>
      </c>
      <c r="AI119" s="2" t="inlineStr">
        <is>
          <t>region size</t>
        </is>
      </c>
      <c r="AJ119" s="2" t="inlineStr">
        <is>
          <t>Rodents (African mole-rats +)</t>
        </is>
      </c>
      <c r="AK119" s="2" t="inlineStr">
        <is>
          <t>primary; secondary brain and body mass</t>
        </is>
      </c>
      <c r="AL119" s="2" t="inlineStr">
        <is>
          <t>primary</t>
        </is>
      </c>
      <c r="AM119" s="2" t="inlineStr">
        <is>
          <t>volume (region size)</t>
        </is>
      </c>
    </row>
    <row r="120">
      <c r="A120" s="2" t="inlineStr">
        <is>
          <t>Kverkova, K., Belikova, T., Olkowicz, S., Pavelkova, Z., O'Riain, M. J., Sumbera, R., Burda, H., Bennett, N. C., &amp; Nemec, P. (2018). Sociality does not drive the evolution of large brains in eusocial African mole-rats. Sci Rep, 8(1), 9203. https://doi.org/10.1038/s41598-018-26062-8</t>
        </is>
      </c>
      <c r="D120" s="2" t="inlineStr">
        <is>
          <t>Table S5</t>
        </is>
      </c>
      <c r="E120">
        <f>RIGHT(A120,1)</f>
        <v/>
      </c>
      <c r="F120">
        <f>G120 &amp; IF(H120&lt;&gt;"", "_" &amp; H120, "_") &amp; IF(I120&lt;&gt;"", "_" &amp; I120, "_") &amp; IF(B120&lt;&gt;"", "_" &amp; B120, "")</f>
        <v/>
      </c>
      <c r="G120">
        <f>SUBSTITUTE(SUBSTITUTE(_xlfn.TEXTBEFORE(A120,","), "-", ""), " ", "")</f>
        <v/>
      </c>
      <c r="H120">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
      </c>
      <c r="I120">
        <f>_xlfn.TEXTBEFORE(_xlfn.TEXTAFTER(A120, "("), ")")</f>
        <v/>
      </c>
      <c r="J120">
        <f>_xlfn.LET(
_xlpm.doi,IF(C120&lt;&gt;"",C120,_xlfn.TEXTAFTER(A120,"https://doi.org/")),
SUBSTITUTE(
SUBSTITUTE(
SUBSTITUTE(
SUBSTITUTE(
_xlpm.doi,
"/","%2F"),
":","%3A"),
"&lt;","%3C"),
"&gt;","%3E")
)</f>
        <v/>
      </c>
      <c r="K120">
        <f>TRIM(_xlfn.TEXTJOIN("_",FALSE,F120,(SUBSTITUTE(SUBSTITUTE(D120," ",""), "_", ""))))</f>
        <v/>
      </c>
      <c r="L120">
        <f>J120 &amp; "_" &amp; SUBSTITUTE(SUBSTITUTE(SUBSTITUTE(D120,CHAR(160),"")," ",""),"_","")</f>
        <v/>
      </c>
      <c r="M120">
        <f t="array" ref="M120">IFERROR(INDEX(FileList!$A$1:$A$100,MATCH(TRUE,EXACT(L120,_xlfn.TEXTBEFORE(FileList!$A$1:$A$100,".tsv")),0)),"notfound")</f>
        <v/>
      </c>
      <c r="N120" s="2" t="inlineStr">
        <is>
          <t>Table S5. Numbers of neurons in the whole brain and the major brain divisions</t>
        </is>
      </c>
      <c r="P120" s="2" t="inlineStr">
        <is>
          <t>FINISHED</t>
        </is>
      </c>
      <c r="Q120" s="2" t="inlineStr">
        <is>
          <t>added</t>
        </is>
      </c>
      <c r="R120" s="2" t="inlineStr">
        <is>
          <t>Kverkova_etal_2018_TableS5_snapshot.csv</t>
        </is>
      </c>
      <c r="S120" s="2" t="inlineStr">
        <is>
          <t>Y</t>
        </is>
      </c>
      <c r="T120" s="2" t="inlineStr">
        <is>
          <t>Kverkova_etal_2018_TableS5.csv</t>
        </is>
      </c>
      <c r="U120" s="2" t="inlineStr">
        <is>
          <t>docx online</t>
        </is>
      </c>
      <c r="V120" s="2" t="inlineStr">
        <is>
          <t>table</t>
        </is>
      </c>
      <c r="W120" s="2" t="inlineStr">
        <is>
          <t>YES - but formatting issues</t>
        </is>
      </c>
      <c r="X120" s="2" t="inlineStr">
        <is>
          <t>https://static-content.springer.com/esm/art%3A10.1038%2Fs41598-018-26062-8/MediaObjects/41598_2018_26062_MOESM1_ESM.docx</t>
        </is>
      </c>
      <c r="Y120" s="2" t="inlineStr">
        <is>
          <t>Kverkova</t>
        </is>
      </c>
      <c r="Z120" s="2" t="inlineStr">
        <is>
          <t>Kverkova</t>
        </is>
      </c>
      <c r="AG120" s="2" t="inlineStr">
        <is>
          <t>isotropic fractionator</t>
        </is>
      </c>
      <c r="AH120" s="2" t="inlineStr">
        <is>
          <t>African mole-rats (Bathyergidae)</t>
        </is>
      </c>
      <c r="AI120" s="2" t="inlineStr">
        <is>
          <t>Cell numbers</t>
        </is>
      </c>
      <c r="AJ120" s="2" t="inlineStr">
        <is>
          <t>Rodents (African mole-rats +)</t>
        </is>
      </c>
      <c r="AK120" s="2" t="inlineStr">
        <is>
          <t>primary</t>
        </is>
      </c>
      <c r="AL120" s="2" t="inlineStr">
        <is>
          <t>primary</t>
        </is>
      </c>
      <c r="AM120" s="2" t="inlineStr">
        <is>
          <t>cell count (isotropic fractionator)</t>
        </is>
      </c>
    </row>
    <row r="121">
      <c r="A121" s="2" t="inlineStr">
        <is>
          <t>Lewitus, E., Kelava, I., &amp; Huttner, W. B. (2013). Conical expansion of the outer subventricular zone and the role of neocortical folding in evolution and development. Front Hum Neurosci, 7, 424. https://doi.org/10.3389/fnhum.2013.00424</t>
        </is>
      </c>
      <c r="D121" s="2" t="inlineStr">
        <is>
          <t>Table S2 partial</t>
        </is>
      </c>
      <c r="E121">
        <f>RIGHT(A121,1)</f>
        <v/>
      </c>
      <c r="F121">
        <f>G121 &amp; IF(H121&lt;&gt;"", "_" &amp; H121, "_") &amp; IF(I121&lt;&gt;"", "_" &amp; I121, "_") &amp; IF(B121&lt;&gt;"", "_" &amp; B121, "")</f>
        <v/>
      </c>
      <c r="G121">
        <f>SUBSTITUTE(SUBSTITUTE(_xlfn.TEXTBEFORE(A121,","), "-", ""), " ", "")</f>
        <v/>
      </c>
      <c r="H121">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
      </c>
      <c r="I121">
        <f>_xlfn.TEXTBEFORE(_xlfn.TEXTAFTER(A121, "("), ")")</f>
        <v/>
      </c>
      <c r="J121">
        <f>_xlfn.LET(
_xlpm.doi,IF(C121&lt;&gt;"",C121,_xlfn.TEXTAFTER(A121,"https://doi.org/")),
SUBSTITUTE(
SUBSTITUTE(
SUBSTITUTE(
SUBSTITUTE(
_xlpm.doi,
"/","%2F"),
":","%3A"),
"&lt;","%3C"),
"&gt;","%3E")
)</f>
        <v/>
      </c>
      <c r="K121">
        <f>TRIM(_xlfn.TEXTJOIN("_",FALSE,F121,(SUBSTITUTE(SUBSTITUTE(D121," ",""), "_", ""))))</f>
        <v/>
      </c>
      <c r="L121">
        <f>J121 &amp; "_" &amp; SUBSTITUTE(SUBSTITUTE(SUBSTITUTE(D121,CHAR(160),"")," ",""),"_","")</f>
        <v/>
      </c>
      <c r="M121">
        <f t="array" ref="M121">IFERROR(INDEX(FileList!$A$1:$A$100,MATCH(TRUE,EXACT(L121,_xlfn.TEXTBEFORE(FileList!$A$1:$A$100,".tsv")),0)),"notfound")</f>
        <v/>
      </c>
      <c r="Q121" s="2" t="inlineStr">
        <is>
          <t>already there</t>
        </is>
      </c>
      <c r="AI121" s="2" t="inlineStr">
        <is>
          <t>cortical progenitors / oSVZ</t>
        </is>
      </c>
      <c r="AJ121" s="2" t="inlineStr">
        <is>
          <t>Mammals</t>
        </is>
      </c>
      <c r="AL121" s="2" t="inlineStr">
        <is>
          <t>primary</t>
        </is>
      </c>
      <c r="AM121" s="2" t="inlineStr">
        <is>
          <t>cortical development (outer SVZ)</t>
        </is>
      </c>
    </row>
    <row r="122">
      <c r="A122" s="2" t="inlineStr">
        <is>
          <t>Lewitus, E., Kelava, I., Kalinka, A. T., Tomancak, P., &amp; Huttner, W. B. (2014). An adaptive threshold in mammalian neocortical evolution. PLoS Biol, 12(11), e1002000. https://doi.org/10.1371/journal.pbio.1002000</t>
        </is>
      </c>
      <c r="D122" s="2" t="inlineStr">
        <is>
          <t>Table S1</t>
        </is>
      </c>
      <c r="E122">
        <f>RIGHT(A122,1)</f>
        <v/>
      </c>
      <c r="F122">
        <f>G122 &amp; IF(H122&lt;&gt;"", "_" &amp; H122, "_") &amp; IF(I122&lt;&gt;"", "_" &amp; I122, "_") &amp; IF(B122&lt;&gt;"", "_" &amp; B122, "")</f>
        <v/>
      </c>
      <c r="G122">
        <f>SUBSTITUTE(SUBSTITUTE(_xlfn.TEXTBEFORE(A122,","), "-", ""), " ", "")</f>
        <v/>
      </c>
      <c r="H122">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
      </c>
      <c r="I122">
        <f>_xlfn.TEXTBEFORE(_xlfn.TEXTAFTER(A122, "("), ")")</f>
        <v/>
      </c>
      <c r="J122">
        <f>_xlfn.LET(
_xlpm.doi,IF(C122&lt;&gt;"",C122,_xlfn.TEXTAFTER(A122,"https://doi.org/")),
SUBSTITUTE(
SUBSTITUTE(
SUBSTITUTE(
SUBSTITUTE(
_xlpm.doi,
"/","%2F"),
":","%3A"),
"&lt;","%3C"),
"&gt;","%3E")
)</f>
        <v/>
      </c>
      <c r="K122">
        <f>TRIM(_xlfn.TEXTJOIN("_",FALSE,F122,(SUBSTITUTE(SUBSTITUTE(D122," ",""), "_", ""))))</f>
        <v/>
      </c>
      <c r="L122">
        <f>J122 &amp; "_" &amp; SUBSTITUTE(SUBSTITUTE(SUBSTITUTE(D122,CHAR(160),"")," ",""),"_","")</f>
        <v/>
      </c>
      <c r="M122">
        <f t="array" ref="M122">IFERROR(INDEX(FileList!$A$1:$A$100,MATCH(TRUE,EXACT(L122,_xlfn.TEXTBEFORE(FileList!$A$1:$A$100,".tsv")),0)),"notfound")</f>
        <v/>
      </c>
      <c r="N122" s="2" t="inlineStr">
        <is>
          <t>Table S1 Physiological and life-history variables</t>
        </is>
      </c>
      <c r="Q122" s="2" t="inlineStr">
        <is>
          <t>already there</t>
        </is>
      </c>
      <c r="AI122" s="2" t="inlineStr">
        <is>
          <t>gyrification</t>
        </is>
      </c>
      <c r="AJ122" s="2" t="inlineStr">
        <is>
          <t>Mammals</t>
        </is>
      </c>
      <c r="AL122" s="2" t="inlineStr">
        <is>
          <t>secondary</t>
        </is>
      </c>
      <c r="AM122" s="2" t="inlineStr">
        <is>
          <t>cortical folding (gyrification)</t>
        </is>
      </c>
    </row>
    <row r="123">
      <c r="A123" s="2" t="inlineStr">
        <is>
          <t>Lewitus, E., Kelava, I., Kalinka, A. T., Tomancak, P., &amp; Huttner, W. B. (2014). An adaptive threshold in mammalian neocortical evolution. PLoS Biol, 12(11), e1002000. https://doi.org/10.1371/journal.pbio.1002000</t>
        </is>
      </c>
      <c r="D123" s="2" t="inlineStr">
        <is>
          <t>Table S8</t>
        </is>
      </c>
      <c r="E123">
        <f>RIGHT(A123,1)</f>
        <v/>
      </c>
      <c r="F123">
        <f>G123 &amp; IF(H123&lt;&gt;"", "_" &amp; H123, "_") &amp; IF(I123&lt;&gt;"", "_" &amp; I123, "_") &amp; IF(B123&lt;&gt;"", "_" &amp; B123, "")</f>
        <v/>
      </c>
      <c r="G123">
        <f>SUBSTITUTE(SUBSTITUTE(_xlfn.TEXTBEFORE(A123,","), "-", ""), " ", "")</f>
        <v/>
      </c>
      <c r="H123">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
      </c>
      <c r="I123">
        <f>_xlfn.TEXTBEFORE(_xlfn.TEXTAFTER(A123, "("), ")")</f>
        <v/>
      </c>
      <c r="J123">
        <f>_xlfn.LET(
_xlpm.doi,IF(C123&lt;&gt;"",C123,_xlfn.TEXTAFTER(A123,"https://doi.org/")),
SUBSTITUTE(
SUBSTITUTE(
SUBSTITUTE(
SUBSTITUTE(
_xlpm.doi,
"/","%2F"),
":","%3A"),
"&lt;","%3C"),
"&gt;","%3E")
)</f>
        <v/>
      </c>
      <c r="K123">
        <f>TRIM(_xlfn.TEXTJOIN("_",FALSE,F123,(SUBSTITUTE(SUBSTITUTE(D123," ",""), "_", ""))))</f>
        <v/>
      </c>
      <c r="L123">
        <f>J123 &amp; "_" &amp; SUBSTITUTE(SUBSTITUTE(SUBSTITUTE(D123,CHAR(160),"")," ",""),"_","")</f>
        <v/>
      </c>
      <c r="M123">
        <f t="array" ref="M123">IFERROR(INDEX(FileList!$A$1:$A$100,MATCH(TRUE,EXACT(L123,_xlfn.TEXTBEFORE(FileList!$A$1:$A$100,".tsv")),0)),"notfound")</f>
        <v/>
      </c>
      <c r="N123" s="2" t="inlineStr">
        <is>
          <t>Table S8: Neocortical neuron number for Figure 3d</t>
        </is>
      </c>
      <c r="Q123" s="2" t="inlineStr">
        <is>
          <t>already there</t>
        </is>
      </c>
      <c r="AI123" s="2" t="inlineStr">
        <is>
          <t>gyrification</t>
        </is>
      </c>
      <c r="AJ123" s="2" t="inlineStr">
        <is>
          <t>Mammals</t>
        </is>
      </c>
      <c r="AL123" s="2" t="inlineStr">
        <is>
          <t>secondary</t>
        </is>
      </c>
      <c r="AM123" s="2" t="inlineStr">
        <is>
          <t>cortical folding (gyrification)</t>
        </is>
      </c>
    </row>
    <row r="124">
      <c r="A124" s="2" t="inlineStr">
        <is>
          <t>MacLarnon, A. (1996). The scaling of gross dimensions of the spinal cord in primates and other species. J Hum Evol, 30(1), 71-87. https://doi.org/10.1006/jhev.1996.0005</t>
        </is>
      </c>
      <c r="D124" s="2" t="inlineStr">
        <is>
          <t>Table 1</t>
        </is>
      </c>
      <c r="E124">
        <f>RIGHT(A124,1)</f>
        <v/>
      </c>
      <c r="F124">
        <f>G124 &amp; IF(H124&lt;&gt;"", "_" &amp; H124, "_") &amp; IF(I124&lt;&gt;"", "_" &amp; I124, "_") &amp; IF(B124&lt;&gt;"", "_" &amp; B124, "")</f>
        <v/>
      </c>
      <c r="G124">
        <f>SUBSTITUTE(SUBSTITUTE(_xlfn.TEXTBEFORE(A124,","), "-", ""), " ", "")</f>
        <v/>
      </c>
      <c r="H124">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
      </c>
      <c r="I124">
        <f>_xlfn.TEXTBEFORE(_xlfn.TEXTAFTER(A124, "("), ")")</f>
        <v/>
      </c>
      <c r="J124">
        <f>_xlfn.LET(
_xlpm.doi,IF(C124&lt;&gt;"",C124,_xlfn.TEXTAFTER(A124,"https://doi.org/")),
SUBSTITUTE(
SUBSTITUTE(
SUBSTITUTE(
SUBSTITUTE(
_xlpm.doi,
"/","%2F"),
":","%3A"),
"&lt;","%3C"),
"&gt;","%3E")
)</f>
        <v/>
      </c>
      <c r="K124">
        <f>TRIM(_xlfn.TEXTJOIN("_",FALSE,F124,(SUBSTITUTE(SUBSTITUTE(D124," ",""), "_", ""))))</f>
        <v/>
      </c>
      <c r="L124">
        <f>J124 &amp; "_" &amp; SUBSTITUTE(SUBSTITUTE(SUBSTITUTE(D124,CHAR(160),"")," ",""),"_","")</f>
        <v/>
      </c>
      <c r="M124">
        <f t="array" ref="M124">IFERROR(INDEX(FileList!$A$1:$A$100,MATCH(TRUE,EXACT(L124,_xlfn.TEXTBEFORE(FileList!$A$1:$A$100,".tsv")),0)),"notfound")</f>
        <v/>
      </c>
      <c r="N124" s="2" t="inlineStr">
        <is>
          <t>Table 1 Data</t>
        </is>
      </c>
      <c r="P124" s="2" t="inlineStr">
        <is>
          <t>FINISHED</t>
        </is>
      </c>
      <c r="AI124" s="2" t="inlineStr">
        <is>
          <t>spinal cord dimensions</t>
        </is>
      </c>
      <c r="AJ124" s="2" t="inlineStr">
        <is>
          <t>Primates</t>
        </is>
      </c>
      <c r="AL124" s="2" t="inlineStr">
        <is>
          <t>primary</t>
        </is>
      </c>
      <c r="AM124" s="2" t="inlineStr">
        <is>
          <t>spinal cord morphometry (volume)</t>
        </is>
      </c>
    </row>
    <row r="125">
      <c r="A125" s="2" t="inlineStr">
        <is>
          <t>MacLeod, C. E. (2000). The cerebellum and its part in the evolution of the hominoid brain (Publication No. NQ61662) [Doctoral dissertation, Simon Fraser University]. Library and Archives Canada.</t>
        </is>
      </c>
      <c r="C125" t="inlineStr">
        <is>
          <t>NQ:61662</t>
        </is>
      </c>
      <c r="D125" s="2" t="inlineStr">
        <is>
          <t>APPENDIX I</t>
        </is>
      </c>
      <c r="E125">
        <f>RIGHT(A125,1)</f>
        <v/>
      </c>
      <c r="F125">
        <f>G125 &amp; IF(H125&lt;&gt;"", "_" &amp; H125, "_") &amp; IF(I125&lt;&gt;"", "_" &amp; I125, "_") &amp; IF(B125&lt;&gt;"", "_" &amp; B125, "")</f>
        <v/>
      </c>
      <c r="G125">
        <f>SUBSTITUTE(SUBSTITUTE(_xlfn.TEXTBEFORE(A125,","), "-", ""), " ", "")</f>
        <v/>
      </c>
      <c r="H125">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
      </c>
      <c r="I125">
        <f>_xlfn.TEXTBEFORE(_xlfn.TEXTAFTER(A125, "("), ")")</f>
        <v/>
      </c>
      <c r="J125">
        <f>_xlfn.LET(
_xlpm.doi,IF(C125&lt;&gt;"",C125,_xlfn.TEXTAFTER(A125,"https://doi.org/")),
SUBSTITUTE(
SUBSTITUTE(
SUBSTITUTE(
SUBSTITUTE(
_xlpm.doi,
"/","%2F"),
":","%3A"),
"&lt;","%3C"),
"&gt;","%3E")
)</f>
        <v/>
      </c>
      <c r="K125">
        <f>TRIM(_xlfn.TEXTJOIN("_",FALSE,F125,(SUBSTITUTE(SUBSTITUTE(D125," ",""), "_", ""))))</f>
        <v/>
      </c>
      <c r="L125">
        <f>J125 &amp; "_" &amp; SUBSTITUTE(SUBSTITUTE(SUBSTITUTE(D125,CHAR(160),"")," ",""),"_","")</f>
        <v/>
      </c>
      <c r="M125">
        <f t="array" ref="M125">IFERROR(INDEX(FileList!$A$1:$A$100,MATCH(TRUE,EXACT(L125,_xlfn.TEXTBEFORE(FileList!$A$1:$A$100,".tsv")),0)),"notfound")</f>
        <v/>
      </c>
      <c r="N125" s="2" t="inlineStr">
        <is>
          <t>APPENDIX I: DUESSELDORF RECORDS OF PRIMATES USED IN HIRNFORSCHUNG VOLUMETRIC STUDY</t>
        </is>
      </c>
      <c r="P125" s="3" t="n"/>
      <c r="AI125" s="2" t="n"/>
      <c r="AJ125" s="2" t="n"/>
      <c r="AL125" s="2" t="n"/>
      <c r="AM125" s="2" t="n"/>
    </row>
    <row r="126">
      <c r="A126" s="2" t="inlineStr">
        <is>
          <t>MacLeod, C. E., Zilles, K., Schleicher, A., Rilling, J. K., &amp; Gibson, K. R. (2003). Expansion of the neocerebellum in Hominoidea. J Hum Evol, 44(4), 401-429. https://doi.org/10.1016/s0047-2484(03)00028-9</t>
        </is>
      </c>
      <c r="D126" s="2" t="inlineStr">
        <is>
          <t>Table 1</t>
        </is>
      </c>
      <c r="E126">
        <f>RIGHT(A126,1)</f>
        <v/>
      </c>
      <c r="F126">
        <f>G126 &amp; IF(H126&lt;&gt;"", "_" &amp; H126, "_") &amp; IF(I126&lt;&gt;"", "_" &amp; I126, "_") &amp; IF(B126&lt;&gt;"", "_" &amp; B126, "")</f>
        <v/>
      </c>
      <c r="G126">
        <f>SUBSTITUTE(SUBSTITUTE(_xlfn.TEXTBEFORE(A126,","), "-", ""), " ", "")</f>
        <v/>
      </c>
      <c r="H126">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
      </c>
      <c r="I126">
        <f>_xlfn.TEXTBEFORE(_xlfn.TEXTAFTER(A126, "("), ")")</f>
        <v/>
      </c>
      <c r="J126">
        <f>_xlfn.LET(
_xlpm.doi,IF(C126&lt;&gt;"",C126,_xlfn.TEXTAFTER(A126,"https://doi.org/")),
SUBSTITUTE(
SUBSTITUTE(
SUBSTITUTE(
SUBSTITUTE(
_xlpm.doi,
"/","%2F"),
":","%3A"),
"&lt;","%3C"),
"&gt;","%3E")
)</f>
        <v/>
      </c>
      <c r="K126">
        <f>TRIM(_xlfn.TEXTJOIN("_",FALSE,F126,(SUBSTITUTE(SUBSTITUTE(D126," ",""), "_", ""))))</f>
        <v/>
      </c>
      <c r="L126">
        <f>J126 &amp; "_" &amp; SUBSTITUTE(SUBSTITUTE(SUBSTITUTE(D126,CHAR(160),"")," ",""),"_","")</f>
        <v/>
      </c>
      <c r="M126">
        <f t="array" ref="M126">IFERROR(INDEX(FileList!$A$1:$A$100,MATCH(TRUE,EXACT(L126,_xlfn.TEXTBEFORE(FileList!$A$1:$A$100,".tsv")),0)),"notfound")</f>
        <v/>
      </c>
      <c r="N126" s="2" t="inlineStr">
        <is>
          <t>Table 1 Volumetric data from the Yerkes sample</t>
        </is>
      </c>
      <c r="Y126" s="2" t="inlineStr">
        <is>
          <t>Rilling</t>
        </is>
      </c>
      <c r="Z126" s="2" t="inlineStr">
        <is>
          <t>Rilling</t>
        </is>
      </c>
      <c r="AF126" s="2" t="inlineStr">
        <is>
          <t>MRI</t>
        </is>
      </c>
      <c r="AG126" s="2" t="inlineStr">
        <is>
          <t>volumetry</t>
        </is>
      </c>
      <c r="AI126" s="2" t="inlineStr">
        <is>
          <t>cerebellum / neocerebellum volume</t>
        </is>
      </c>
      <c r="AJ126" s="2" t="inlineStr">
        <is>
          <t>Primates</t>
        </is>
      </c>
      <c r="AK126" s="2" t="inlineStr">
        <is>
          <t>primary</t>
        </is>
      </c>
      <c r="AL126" s="2" t="inlineStr">
        <is>
          <t>primary</t>
        </is>
      </c>
      <c r="AM126" s="2" t="inlineStr">
        <is>
          <t>volume</t>
        </is>
      </c>
    </row>
    <row r="127">
      <c r="A127" s="2" t="inlineStr">
        <is>
          <t>MacLeod, C. E., Zilles, K., Schleicher, A., Rilling, J. K., &amp; Gibson, K. R. (2003). Expansion of the neocerebellum in Hominoidea. J Hum Evol, 44(4), 401-429. https://doi.org/10.1016/s0047-2484(03)00028-9</t>
        </is>
      </c>
      <c r="D127" s="2" t="inlineStr">
        <is>
          <t>Table 2</t>
        </is>
      </c>
      <c r="E127">
        <f>RIGHT(A127,1)</f>
        <v/>
      </c>
      <c r="F127">
        <f>G127 &amp; IF(H127&lt;&gt;"", "_" &amp; H127, "_") &amp; IF(I127&lt;&gt;"", "_" &amp; I127, "_") &amp; IF(B127&lt;&gt;"", "_" &amp; B127, "")</f>
        <v/>
      </c>
      <c r="G127">
        <f>SUBSTITUTE(SUBSTITUTE(_xlfn.TEXTBEFORE(A127,","), "-", ""), " ", "")</f>
        <v/>
      </c>
      <c r="H127">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
      </c>
      <c r="I127">
        <f>_xlfn.TEXTBEFORE(_xlfn.TEXTAFTER(A127, "("), ")")</f>
        <v/>
      </c>
      <c r="J127">
        <f>_xlfn.LET(
_xlpm.doi,IF(C127&lt;&gt;"",C127,_xlfn.TEXTAFTER(A127,"https://doi.org/")),
SUBSTITUTE(
SUBSTITUTE(
SUBSTITUTE(
SUBSTITUTE(
_xlpm.doi,
"/","%2F"),
":","%3A"),
"&lt;","%3C"),
"&gt;","%3E")
)</f>
        <v/>
      </c>
      <c r="K127">
        <f>TRIM(_xlfn.TEXTJOIN("_",FALSE,F127,(SUBSTITUTE(SUBSTITUTE(D127," ",""), "_", ""))))</f>
        <v/>
      </c>
      <c r="L127">
        <f>J127 &amp; "_" &amp; SUBSTITUTE(SUBSTITUTE(SUBSTITUTE(D127,CHAR(160),"")," ",""),"_","")</f>
        <v/>
      </c>
      <c r="M127">
        <f t="array" ref="M127">IFERROR(INDEX(FileList!$A$1:$A$100,MATCH(TRUE,EXACT(L127,_xlfn.TEXTBEFORE(FileList!$A$1:$A$100,".tsv")),0)),"notfound")</f>
        <v/>
      </c>
      <c r="N127" s="2" t="inlineStr">
        <is>
          <t>Table 2 Volumetric data from the Hirnforschung sample</t>
        </is>
      </c>
      <c r="Y127" s="2" t="inlineStr">
        <is>
          <t>Stephan, Zilles</t>
        </is>
      </c>
      <c r="Z127" s="2" t="inlineStr">
        <is>
          <t>Stephan, Zilles</t>
        </is>
      </c>
      <c r="AF127" s="2" t="inlineStr">
        <is>
          <t>histological sections</t>
        </is>
      </c>
      <c r="AG127" s="2" t="inlineStr">
        <is>
          <t>volumetry</t>
        </is>
      </c>
      <c r="AI127" s="2" t="inlineStr">
        <is>
          <t>cerebellum / neocerebellum volume</t>
        </is>
      </c>
      <c r="AJ127" s="2" t="inlineStr">
        <is>
          <t>Primates</t>
        </is>
      </c>
      <c r="AK127" s="2" t="inlineStr">
        <is>
          <t>primary</t>
        </is>
      </c>
      <c r="AL127" s="2" t="inlineStr">
        <is>
          <t>primary</t>
        </is>
      </c>
      <c r="AM127" s="2" t="inlineStr">
        <is>
          <t>volume</t>
        </is>
      </c>
    </row>
    <row r="128">
      <c r="A128" s="2" t="inlineStr">
        <is>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is>
      </c>
      <c r="D128" s="4" t="inlineStr">
        <is>
          <t>data/species_predictors.xlsx</t>
        </is>
      </c>
      <c r="E128">
        <f>RIGHT(A128,1)</f>
        <v/>
      </c>
      <c r="F128">
        <f>G128 &amp; IF(H128&lt;&gt;"", "_" &amp; H128, "_") &amp; IF(I128&lt;&gt;"", "_" &amp; I128, "_") &amp; IF(B128&lt;&gt;"", "_" &amp; B128, "")</f>
        <v/>
      </c>
      <c r="G128">
        <f>SUBSTITUTE(SUBSTITUTE(_xlfn.TEXTBEFORE(A128,","), "-", ""), " ", "")</f>
        <v/>
      </c>
      <c r="H128">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
      </c>
      <c r="I128">
        <f>_xlfn.TEXTBEFORE(_xlfn.TEXTAFTER(A128, "("), ")")</f>
        <v/>
      </c>
      <c r="J128">
        <f>_xlfn.LET(
_xlpm.doi,IF(C128&lt;&gt;"",C128,_xlfn.TEXTAFTER(A128,"https://doi.org/")),
SUBSTITUTE(
SUBSTITUTE(
SUBSTITUTE(
SUBSTITUTE(
_xlpm.doi,
"/","%2F"),
":","%3A"),
"&lt;","%3C"),
"&gt;","%3E")
)</f>
        <v/>
      </c>
      <c r="K128">
        <f>TRIM(_xlfn.TEXTJOIN("_",FALSE,F128,(SUBSTITUTE(SUBSTITUTE(D128," ",""), "_", ""))))</f>
        <v/>
      </c>
      <c r="L128">
        <f>J128 &amp; "_" &amp; SUBSTITUTE(SUBSTITUTE(SUBSTITUTE(D128,CHAR(160),"")," ",""),"_","")</f>
        <v/>
      </c>
      <c r="M128">
        <f t="array" ref="M128">IFERROR(INDEX(FileList!$A$1:$A$100,MATCH(TRUE,EXACT(L128,_xlfn.TEXTBEFORE(FileList!$A$1:$A$100,".tsv")),0)),"notfound")</f>
        <v/>
      </c>
      <c r="P128" s="2" t="inlineStr">
        <is>
          <t>need to record steps</t>
        </is>
      </c>
      <c r="Q128" s="2" t="inlineStr">
        <is>
          <t>NA</t>
        </is>
      </c>
      <c r="T128" s="2">
        <f>IF(S128="N", R128, "write file name")</f>
        <v/>
      </c>
      <c r="U128" s="2" t="inlineStr">
        <is>
          <t>xlsx</t>
        </is>
      </c>
      <c r="V128" s="2" t="inlineStr">
        <is>
          <t>table</t>
        </is>
      </c>
      <c r="W128" s="2" t="inlineStr">
        <is>
          <t>YES - download link</t>
        </is>
      </c>
      <c r="X128" s="2" t="inlineStr">
        <is>
          <t>https://github.com/ManyPrimates/mp1_short_term_memory/raw/master/data/species_predictors.xlsx</t>
        </is>
      </c>
      <c r="AA128" s="2" t="inlineStr">
        <is>
          <t>various secondary and primary data, e.g., ecology</t>
        </is>
      </c>
      <c r="AH128" s="2" t="inlineStr">
        <is>
          <t>primates</t>
        </is>
      </c>
      <c r="AI128" s="2" t="inlineStr">
        <is>
          <t>number of vocalizations</t>
        </is>
      </c>
      <c r="AJ128" s="2" t="inlineStr">
        <is>
          <t>Primates</t>
        </is>
      </c>
      <c r="AK128" s="2" t="inlineStr">
        <is>
          <t>secondary</t>
        </is>
      </c>
      <c r="AL128" s="2" t="n"/>
      <c r="AM128" s="2" t="inlineStr">
        <is>
          <t>behavioural (cognition / vocalization)</t>
        </is>
      </c>
    </row>
    <row r="129">
      <c r="A129" s="2" t="inlineStr">
        <is>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is>
      </c>
      <c r="D129" s="2" t="n"/>
      <c r="E129">
        <f>RIGHT(A129,1)</f>
        <v/>
      </c>
      <c r="F129">
        <f>G129 &amp; IF(H129&lt;&gt;"", "_" &amp; H129, "_") &amp; IF(I129&lt;&gt;"", "_" &amp; I129, "_") &amp; IF(B129&lt;&gt;"", "_" &amp; B129, "")</f>
        <v/>
      </c>
      <c r="G129">
        <f>SUBSTITUTE(SUBSTITUTE(_xlfn.TEXTBEFORE(A129,","), "-", ""), " ", "")</f>
        <v/>
      </c>
      <c r="H129">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
      </c>
      <c r="I129">
        <f>_xlfn.TEXTBEFORE(_xlfn.TEXTAFTER(A129, "("), ")")</f>
        <v/>
      </c>
      <c r="J129">
        <f>_xlfn.LET(
_xlpm.doi,IF(C126&lt;&gt;"",C126,_xlfn.TEXTAFTER(A129,"https://doi.org/")),
SUBSTITUTE(
SUBSTITUTE(
SUBSTITUTE(
SUBSTITUTE(
_xlpm.doi,
"/","%2F"),
":","%3A"),
"&lt;","%3C"),
"&gt;","%3E")
)</f>
        <v/>
      </c>
      <c r="K129">
        <f>TRIM(_xlfn.TEXTJOIN("_",FALSE,F129,(SUBSTITUTE(SUBSTITUTE(D129," ",""), "_", ""))))</f>
        <v/>
      </c>
      <c r="L129">
        <f>J129 &amp; "_" &amp; SUBSTITUTE(SUBSTITUTE(SUBSTITUTE(D129,CHAR(160),"")," ",""),"_","")</f>
        <v/>
      </c>
      <c r="M129">
        <f t="array" ref="M129">IFERROR(INDEX(FileList!$A$1:$A$100,MATCH(TRUE,EXACT(L129,_xlfn.TEXTBEFORE(FileList!$A$1:$A$100,".tsv")),0)),"notfound")</f>
        <v/>
      </c>
      <c r="P129" s="2" t="inlineStr">
        <is>
          <t>NOT STARTED</t>
        </is>
      </c>
      <c r="Q129" s="2" t="n"/>
      <c r="T129" s="2" t="n"/>
      <c r="U129" s="2" t="n"/>
      <c r="V129" s="2" t="n"/>
      <c r="W129" s="2" t="n"/>
      <c r="X129" s="2" t="n"/>
      <c r="AA129" s="2" t="n"/>
      <c r="AH129" s="2" t="n"/>
      <c r="AI129" s="2" t="n"/>
      <c r="AJ129" s="2" t="inlineStr">
        <is>
          <t>Primates</t>
        </is>
      </c>
      <c r="AK129" s="2" t="n"/>
      <c r="AL129" s="2" t="inlineStr">
        <is>
          <t>primary</t>
        </is>
      </c>
      <c r="AM129" s="2" t="inlineStr">
        <is>
          <t>behavioural (cognition / vocalization)</t>
        </is>
      </c>
    </row>
    <row r="130">
      <c r="A130" s="2" t="inlineStr">
        <is>
          <t>Matano, S. (2001). Brief communication: Proportions of the ventral half of the cerebellar dentate nucleus in humans and great apes. Am J Phys Anthropol, 114(2), 163-165. https://doi.org/10.1002/1096-8644(200102)114:2&lt;163::AID-AJPA1016&gt;3.0.CO;2-F</t>
        </is>
      </c>
      <c r="B130" s="6" t="n"/>
      <c r="D130" s="2" t="inlineStr">
        <is>
          <t>TABLE 2</t>
        </is>
      </c>
      <c r="E130">
        <f>RIGHT(A130,1)</f>
        <v/>
      </c>
      <c r="F130">
        <f>G130 &amp; IF(H130&lt;&gt;"", "_" &amp; H130, "_") &amp; IF(I130&lt;&gt;"", "_" &amp; I130, "_") &amp; IF(B130&lt;&gt;"", "_" &amp; B130, "")</f>
        <v/>
      </c>
      <c r="G130">
        <f>SUBSTITUTE(SUBSTITUTE(_xlfn.TEXTBEFORE(A130,","), "-", ""), " ", "")</f>
        <v/>
      </c>
      <c r="H130">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
      </c>
      <c r="I130">
        <f>_xlfn.TEXTBEFORE(_xlfn.TEXTAFTER(A130, "("), ")")</f>
        <v/>
      </c>
      <c r="J130">
        <f>_xlfn.LET(
_xlpm.doi,IF(C130&lt;&gt;"",C130,_xlfn.TEXTAFTER(A130,"https://doi.org/")),
SUBSTITUTE(
SUBSTITUTE(
SUBSTITUTE(
SUBSTITUTE(
_xlpm.doi,
"/","%2F"),
":","%3A"),
"&lt;","%3C"),
"&gt;","%3E")
)</f>
        <v/>
      </c>
      <c r="K130">
        <f>TRIM(_xlfn.TEXTJOIN("_",FALSE,F130,(SUBSTITUTE(SUBSTITUTE(D130," ",""), "_", ""))))</f>
        <v/>
      </c>
      <c r="L130">
        <f>J130 &amp; "_" &amp; SUBSTITUTE(SUBSTITUTE(SUBSTITUTE(D130,CHAR(160),"")," ",""),"_","")</f>
        <v/>
      </c>
      <c r="M130">
        <f t="array" ref="M130">IFERROR(INDEX(FileList!$A$1:$A$100,MATCH(TRUE,EXACT(L130,_xlfn.TEXTBEFORE(FileList!$A$1:$A$100,".tsv")),0)),"notfound")</f>
        <v/>
      </c>
      <c r="N130" s="2" t="inlineStr">
        <is>
          <t>TABLE 2. Volume of the dentate nucleus investigated (mm3)</t>
        </is>
      </c>
      <c r="P130" s="6" t="n"/>
      <c r="V130" s="6" t="n"/>
      <c r="Y130" s="2" t="n"/>
      <c r="Z130" s="2" t="n"/>
      <c r="AF130" s="2" t="n"/>
      <c r="AG130" s="6" t="n"/>
      <c r="AI130" s="6" t="n"/>
      <c r="AJ130" s="6" t="n"/>
      <c r="AK130" s="6" t="n"/>
      <c r="AL130" s="6" t="n"/>
      <c r="AM130" s="6" t="n"/>
    </row>
    <row r="131">
      <c r="A131" s="2" t="inlineStr">
        <is>
          <t>Matano, S., Baron, G., Stephan, H., &amp; Frahm, H. D. (1985). Volume comparisons in the cerebellar complex of primates. II. Cerebellar nuclei. Folia Primatol (Basel), 44(3-4), 182-203. https://doi.org/10.1159/000156212</t>
        </is>
      </c>
      <c r="B131" s="2" t="inlineStr">
        <is>
          <t>a</t>
        </is>
      </c>
      <c r="D131" s="2" t="inlineStr">
        <is>
          <t>Table 1</t>
        </is>
      </c>
      <c r="E131">
        <f>RIGHT(A131,1)</f>
        <v/>
      </c>
      <c r="F131">
        <f>G131 &amp; IF(H131&lt;&gt;"", "_" &amp; H131, "_") &amp; IF(I131&lt;&gt;"", "_" &amp; I131, "_") &amp; IF(B131&lt;&gt;"", "_" &amp; B131, "")</f>
        <v/>
      </c>
      <c r="G131">
        <f>SUBSTITUTE(SUBSTITUTE(_xlfn.TEXTBEFORE(A131,","), "-", ""), " ", "")</f>
        <v/>
      </c>
      <c r="H131">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
      </c>
      <c r="I131">
        <f>_xlfn.TEXTBEFORE(_xlfn.TEXTAFTER(A131, "("), ")")</f>
        <v/>
      </c>
      <c r="J131">
        <f>_xlfn.LET(
_xlpm.doi,IF(C131&lt;&gt;"",C131,_xlfn.TEXTAFTER(A131,"https://doi.org/")),
SUBSTITUTE(
SUBSTITUTE(
SUBSTITUTE(
SUBSTITUTE(
_xlpm.doi,
"/","%2F"),
":","%3A"),
"&lt;","%3C"),
"&gt;","%3E")
)</f>
        <v/>
      </c>
      <c r="K131">
        <f>TRIM(_xlfn.TEXTJOIN("_",FALSE,F131,(SUBSTITUTE(SUBSTITUTE(D131," ",""), "_", ""))))</f>
        <v/>
      </c>
      <c r="L131">
        <f>J131 &amp; "_" &amp; SUBSTITUTE(SUBSTITUTE(SUBSTITUTE(D131,CHAR(160),"")," ",""),"_","")</f>
        <v/>
      </c>
      <c r="M131">
        <f t="array" ref="M131">IFERROR(INDEX(FileList!$A$1:$A$100,MATCH(TRUE,EXACT(L131,_xlfn.TEXTBEFORE(FileList!$A$1:$A$100,".tsv")),0)),"notfound")</f>
        <v/>
      </c>
      <c r="N131" s="3" t="inlineStr">
        <is>
          <t>Cerebellar complex II. Cerebellar nuclei (Table 1)</t>
        </is>
      </c>
      <c r="P131" s="2" t="inlineStr">
        <is>
          <t>FINISHED</t>
        </is>
      </c>
      <c r="V131" s="3" t="inlineStr">
        <is>
          <t>table</t>
        </is>
      </c>
      <c r="Y131" s="2" t="inlineStr">
        <is>
          <t>Stephan</t>
        </is>
      </c>
      <c r="Z131" s="2" t="inlineStr">
        <is>
          <t>Stephan</t>
        </is>
      </c>
      <c r="AF131" s="2" t="inlineStr">
        <is>
          <t>histological sections</t>
        </is>
      </c>
      <c r="AG131" s="3" t="inlineStr">
        <is>
          <t>volumetry</t>
        </is>
      </c>
      <c r="AI131" s="3" t="inlineStr">
        <is>
          <t>cerebellar nuclei volume</t>
        </is>
      </c>
      <c r="AJ131" s="3" t="inlineStr">
        <is>
          <t>Insectivora, Scandentia &amp; Primates</t>
        </is>
      </c>
      <c r="AK131" s="3" t="inlineStr">
        <is>
          <t>primary</t>
        </is>
      </c>
      <c r="AL131" s="3" t="inlineStr">
        <is>
          <t>primary</t>
        </is>
      </c>
      <c r="AM131" s="3" t="inlineStr">
        <is>
          <t>volume</t>
        </is>
      </c>
    </row>
    <row r="132">
      <c r="A132" s="2" t="inlineStr">
        <is>
          <t>Matano, S., Stephan, H., &amp; Baron, G. (1985). Volume comparisons in the cerebellar complex of primates. I. Ventral pons. Folia Primatol (Basel), 44(3-4), 171-181. https://doi.org/10.1159/000156211</t>
        </is>
      </c>
      <c r="B132" s="3" t="inlineStr">
        <is>
          <t>b</t>
        </is>
      </c>
      <c r="D132" s="2" t="inlineStr">
        <is>
          <t>Table 1</t>
        </is>
      </c>
      <c r="E132">
        <f>RIGHT(A132,1)</f>
        <v/>
      </c>
      <c r="F132">
        <f>G132 &amp; IF(H132&lt;&gt;"", "_" &amp; H132, "_") &amp; IF(I132&lt;&gt;"", "_" &amp; I132, "_") &amp; IF(B132&lt;&gt;"", "_" &amp; B132, "")</f>
        <v/>
      </c>
      <c r="G132">
        <f>SUBSTITUTE(SUBSTITUTE(_xlfn.TEXTBEFORE(A132,","), "-", ""), " ", "")</f>
        <v/>
      </c>
      <c r="H132">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
      </c>
      <c r="I132">
        <f>_xlfn.TEXTBEFORE(_xlfn.TEXTAFTER(A132, "("), ")")</f>
        <v/>
      </c>
      <c r="J132">
        <f>_xlfn.LET(
_xlpm.doi,IF(C132&lt;&gt;"",C132,_xlfn.TEXTAFTER(A132,"https://doi.org/")),
SUBSTITUTE(
SUBSTITUTE(
SUBSTITUTE(
SUBSTITUTE(
_xlpm.doi,
"/","%2F"),
":","%3A"),
"&lt;","%3C"),
"&gt;","%3E")
)</f>
        <v/>
      </c>
      <c r="K132">
        <f>TRIM(_xlfn.TEXTJOIN("_",FALSE,F132,(SUBSTITUTE(SUBSTITUTE(D132," ",""), "_", ""))))</f>
        <v/>
      </c>
      <c r="L132">
        <f>J132 &amp; "_" &amp; SUBSTITUTE(SUBSTITUTE(SUBSTITUTE(D132,CHAR(160),"")," ",""),"_","")</f>
        <v/>
      </c>
      <c r="M132">
        <f t="array" ref="M132">IFERROR(INDEX(FileList!$A$1:$A$100,MATCH(TRUE,EXACT(L132,_xlfn.TEXTBEFORE(FileList!$A$1:$A$100,".tsv")),0)),"notfound")</f>
        <v/>
      </c>
      <c r="P132" s="3" t="inlineStr">
        <is>
          <t>FINISHED</t>
        </is>
      </c>
      <c r="Y132" s="3" t="inlineStr">
        <is>
          <t>Stephan</t>
        </is>
      </c>
      <c r="Z132" s="3" t="inlineStr">
        <is>
          <t>Stephan</t>
        </is>
      </c>
      <c r="AF132" s="3" t="inlineStr">
        <is>
          <t>histological sections</t>
        </is>
      </c>
    </row>
    <row r="133">
      <c r="A133" s="2" t="inlineStr">
        <is>
          <t>Mota, B., &amp; Herculano-Houzel, S. (2015). Cortical folding scales universally with surface area and thickness, not number of neurons. Science, 349(6243), 74-77. https://doi.org/10.1126/science.aaa9101</t>
        </is>
      </c>
      <c r="D133" s="2" t="inlineStr">
        <is>
          <t>Table S1</t>
        </is>
      </c>
      <c r="E133">
        <f>RIGHT(A133,1)</f>
        <v/>
      </c>
      <c r="F133">
        <f>G133 &amp; IF(H133&lt;&gt;"", "_" &amp; H133, "_") &amp; IF(I133&lt;&gt;"", "_" &amp; I133, "_") &amp; IF(B133&lt;&gt;"", "_" &amp; B133, "")</f>
        <v/>
      </c>
      <c r="G133">
        <f>SUBSTITUTE(SUBSTITUTE(_xlfn.TEXTBEFORE(A133,","), "-", ""), " ", "")</f>
        <v/>
      </c>
      <c r="H133">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
      </c>
      <c r="I133">
        <f>_xlfn.TEXTBEFORE(_xlfn.TEXTAFTER(A133, "("), ")")</f>
        <v/>
      </c>
      <c r="J133">
        <f>_xlfn.LET(
_xlpm.doi,IF(C133&lt;&gt;"",C133,_xlfn.TEXTAFTER(A133,"https://doi.org/")),
SUBSTITUTE(
SUBSTITUTE(
SUBSTITUTE(
SUBSTITUTE(
_xlpm.doi,
"/","%2F"),
":","%3A"),
"&lt;","%3C"),
"&gt;","%3E")
)</f>
        <v/>
      </c>
      <c r="K133">
        <f>TRIM(_xlfn.TEXTJOIN("_",FALSE,F133,(SUBSTITUTE(SUBSTITUTE(D133," ",""), "_", ""))))</f>
        <v/>
      </c>
      <c r="L133">
        <f>J133 &amp; "_" &amp; SUBSTITUTE(SUBSTITUTE(SUBSTITUTE(D133,CHAR(160),"")," ",""),"_","")</f>
        <v/>
      </c>
      <c r="M133">
        <f t="array" ref="M133">IFERROR(INDEX(FileList!$A$1:$A$100,MATCH(TRUE,EXACT(L133,_xlfn.TEXTBEFORE(FileList!$A$1:$A$100,".tsv")),0)),"notfound")</f>
        <v/>
      </c>
      <c r="P133" s="2" t="n"/>
      <c r="Q133" s="2" t="inlineStr">
        <is>
          <t>already there</t>
        </is>
      </c>
      <c r="AI133" s="2" t="inlineStr">
        <is>
          <t>cortical folding</t>
        </is>
      </c>
      <c r="AJ133" s="2" t="inlineStr">
        <is>
          <t>Mammals</t>
        </is>
      </c>
      <c r="AL133" s="2" t="inlineStr">
        <is>
          <t>both</t>
        </is>
      </c>
      <c r="AM133" s="2" t="inlineStr">
        <is>
          <t>cortical folding</t>
        </is>
      </c>
    </row>
    <row r="134">
      <c r="A134" s="2" t="inlineStr">
        <is>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is>
      </c>
      <c r="D134" s="2" t="inlineStr">
        <is>
          <t>Supplementary Table S1</t>
        </is>
      </c>
      <c r="E134">
        <f>RIGHT(A134,1)</f>
        <v/>
      </c>
      <c r="F134">
        <f>G134 &amp; IF(H134&lt;&gt;"", "_" &amp; H134, "_") &amp; IF(I134&lt;&gt;"", "_" &amp; I134, "_") &amp; IF(B134&lt;&gt;"", "_" &amp; B134, "")</f>
        <v/>
      </c>
      <c r="G134">
        <f>SUBSTITUTE(SUBSTITUTE(_xlfn.TEXTBEFORE(A134,","), "-", ""), " ", "")</f>
        <v/>
      </c>
      <c r="H134">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
      </c>
      <c r="I134">
        <f>_xlfn.TEXTBEFORE(_xlfn.TEXTAFTER(A134, "("), ")")</f>
        <v/>
      </c>
      <c r="J134">
        <f>_xlfn.LET(
_xlpm.doi,IF(C134&lt;&gt;"",C134,_xlfn.TEXTAFTER(A134,"https://doi.org/")),
SUBSTITUTE(
SUBSTITUTE(
SUBSTITUTE(
SUBSTITUTE(
_xlpm.doi,
"/","%2F"),
":","%3A"),
"&lt;","%3C"),
"&gt;","%3E")
)</f>
        <v/>
      </c>
      <c r="K134">
        <f>TRIM(_xlfn.TEXTJOIN("_",FALSE,F134,(SUBSTITUTE(SUBSTITUTE(D134," ",""), "_", ""))))</f>
        <v/>
      </c>
      <c r="L134">
        <f>J134 &amp; "_" &amp; SUBSTITUTE(SUBSTITUTE(SUBSTITUTE(D134,CHAR(160),"")," ",""),"_","")</f>
        <v/>
      </c>
      <c r="M134">
        <f t="array" ref="M134">IFERROR(INDEX(FileList!$A$1:$A$100,MATCH(TRUE,EXACT(L134,_xlfn.TEXTBEFORE(FileList!$A$1:$A$100,".tsv")),0)),"notfound")</f>
        <v/>
      </c>
      <c r="N134" s="2" t="inlineStr">
        <is>
          <t>Supplementary Table S1. Morphometrical and cell number data used in this study (“our dataset”).</t>
        </is>
      </c>
      <c r="P134" s="2" t="inlineStr">
        <is>
          <t>NOT STARTED</t>
        </is>
      </c>
      <c r="AA134" s="2" t="inlineStr">
        <is>
          <t>total and exposed cortical surface area</t>
        </is>
      </c>
      <c r="AI134" s="2" t="inlineStr">
        <is>
          <t>white matter &amp; folding</t>
        </is>
      </c>
      <c r="AJ134" s="2" t="inlineStr">
        <is>
          <t>Mammals</t>
        </is>
      </c>
      <c r="AL134" s="2" t="inlineStr">
        <is>
          <t>both</t>
        </is>
      </c>
      <c r="AM134" s="2" t="inlineStr">
        <is>
          <t>white matter volume / folding</t>
        </is>
      </c>
    </row>
    <row r="135">
      <c r="A135" s="2" t="inlineStr">
        <is>
          <t>Powell, L. E., Isler, K., &amp; Barton, R. A. (2017). Re-evaluating the link between brain size and behavioural ecology in primates. Proc Biol Sci, 284(1865). https://doi.org/10.1098/rspb.2017.1765</t>
        </is>
      </c>
      <c r="C135" s="2" t="inlineStr">
        <is>
          <t>10.6084/m9.figshare.c.3899422.v1</t>
        </is>
      </c>
      <c r="D135" s="2" t="inlineStr">
        <is>
          <t>Dataset 1</t>
        </is>
      </c>
      <c r="E135">
        <f>RIGHT(A135,1)</f>
        <v/>
      </c>
      <c r="F135">
        <f>G135 &amp; IF(H135&lt;&gt;"", "_" &amp; H135, "_") &amp; IF(I135&lt;&gt;"", "_" &amp; I135, "_") &amp; IF(B135&lt;&gt;"", "_" &amp; B135, "")</f>
        <v/>
      </c>
      <c r="G135">
        <f>SUBSTITUTE(SUBSTITUTE(_xlfn.TEXTBEFORE(A135,","), "-", ""), " ", "")</f>
        <v/>
      </c>
      <c r="H135">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
      </c>
      <c r="I135">
        <f>_xlfn.TEXTBEFORE(_xlfn.TEXTAFTER(A135, "("), ")")</f>
        <v/>
      </c>
      <c r="J135">
        <f>_xlfn.LET(
_xlpm.doi,IF(C135&lt;&gt;"",C135,_xlfn.TEXTAFTER(A135,"https://doi.org/")),
SUBSTITUTE(
SUBSTITUTE(
SUBSTITUTE(
SUBSTITUTE(
_xlpm.doi,
"/","%2F"),
":","%3A"),
"&lt;","%3C"),
"&gt;","%3E")
)</f>
        <v/>
      </c>
      <c r="K135">
        <f>TRIM(_xlfn.TEXTJOIN("_",FALSE,F135,(SUBSTITUTE(SUBSTITUTE(D135," ",""), "_", ""))))</f>
        <v/>
      </c>
      <c r="L135">
        <f>J135 &amp; "_" &amp; SUBSTITUTE(SUBSTITUTE(SUBSTITUTE(D135,CHAR(160),"")," ",""),"_","")</f>
        <v/>
      </c>
      <c r="M135">
        <f t="array" ref="M135">IFERROR(INDEX(FileList!$A$1:$A$100,MATCH(TRUE,EXACT(L135,_xlfn.TEXTBEFORE(FileList!$A$1:$A$100,".tsv")),0)),"notfound")</f>
        <v/>
      </c>
      <c r="P135" s="2" t="inlineStr">
        <is>
          <t>NOT STARTED</t>
        </is>
      </c>
      <c r="Q135" s="2" t="inlineStr">
        <is>
          <t>NA</t>
        </is>
      </c>
      <c r="T135" s="2">
        <f>IF(S135="N", R135, "write file name")</f>
        <v/>
      </c>
      <c r="U135" s="2" t="inlineStr">
        <is>
          <t>xlsx</t>
        </is>
      </c>
      <c r="V135" s="2" t="inlineStr">
        <is>
          <t>table</t>
        </is>
      </c>
      <c r="W135" s="2" t="inlineStr">
        <is>
          <t>YES - download link</t>
        </is>
      </c>
      <c r="X135" s="2" t="inlineStr">
        <is>
          <t>https://figshare.com/ndownloader/files/9479092</t>
        </is>
      </c>
      <c r="AA135" s="2" t="inlineStr">
        <is>
          <t>Brain and body size</t>
        </is>
      </c>
      <c r="AH135" s="2" t="inlineStr">
        <is>
          <t>primates</t>
        </is>
      </c>
      <c r="AI135" s="2" t="inlineStr">
        <is>
          <t>ecology</t>
        </is>
      </c>
      <c r="AJ135" s="2" t="inlineStr">
        <is>
          <t>Primates</t>
        </is>
      </c>
      <c r="AK135" s="2" t="inlineStr">
        <is>
          <t>secondary</t>
        </is>
      </c>
      <c r="AL135" s="2" t="inlineStr">
        <is>
          <t>secondary</t>
        </is>
      </c>
      <c r="AM135" s="2" t="inlineStr">
        <is>
          <t>ecology</t>
        </is>
      </c>
    </row>
    <row r="136">
      <c r="A136" s="2" t="inlineStr">
        <is>
          <t>Rilling, J. K., &amp; Insel, T. R. (1998). Evolution of the cerebellum in primates: differences in relative volume among monkeys, apes and humans. Brain Behav Evol, 52(6), 308-314. https://doi.org/10.1159/000006575</t>
        </is>
      </c>
      <c r="D136" s="2" t="inlineStr">
        <is>
          <t>Table 1</t>
        </is>
      </c>
      <c r="E136">
        <f>RIGHT(A136,1)</f>
        <v/>
      </c>
      <c r="F136">
        <f>G136 &amp; IF(H136&lt;&gt;"", "_" &amp; H136, "_") &amp; IF(I136&lt;&gt;"", "_" &amp; I136, "_") &amp; IF(B136&lt;&gt;"", "_" &amp; B136, "")</f>
        <v/>
      </c>
      <c r="G136">
        <f>SUBSTITUTE(SUBSTITUTE(_xlfn.TEXTBEFORE(A136,","), "-", ""), " ", "")</f>
        <v/>
      </c>
      <c r="H136">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
      </c>
      <c r="I136">
        <f>_xlfn.TEXTBEFORE(_xlfn.TEXTAFTER(A136, "("), ")")</f>
        <v/>
      </c>
      <c r="J136">
        <f>_xlfn.LET(
_xlpm.doi,IF(C136&lt;&gt;"",C136,_xlfn.TEXTAFTER(A136,"https://doi.org/")),
SUBSTITUTE(
SUBSTITUTE(
SUBSTITUTE(
SUBSTITUTE(
_xlpm.doi,
"/","%2F"),
":","%3A"),
"&lt;","%3C"),
"&gt;","%3E")
)</f>
        <v/>
      </c>
      <c r="K136">
        <f>TRIM(_xlfn.TEXTJOIN("_",FALSE,F136,(SUBSTITUTE(SUBSTITUTE(D136," ",""), "_", ""))))</f>
        <v/>
      </c>
      <c r="L136">
        <f>J136 &amp; "_" &amp; SUBSTITUTE(SUBSTITUTE(SUBSTITUTE(D136,CHAR(160),"")," ",""),"_","")</f>
        <v/>
      </c>
      <c r="M136">
        <f t="array" ref="M136">IFERROR(INDEX(FileList!$A$1:$A$100,MATCH(TRUE,EXACT(L136,_xlfn.TEXTBEFORE(FileList!$A$1:$A$100,".tsv")),0)),"notfound")</f>
        <v/>
      </c>
      <c r="N136" s="2" t="inlineStr">
        <is>
          <t>Table 1. Mean (±ÛSEM) body weight, brain volume and cerebellum volume in 11 haplorhine primate species</t>
        </is>
      </c>
      <c r="Y136" s="2" t="inlineStr">
        <is>
          <t>Rilling</t>
        </is>
      </c>
      <c r="Z136" s="2" t="inlineStr">
        <is>
          <t>Rilling</t>
        </is>
      </c>
      <c r="AF136" s="2" t="inlineStr">
        <is>
          <t>MRI</t>
        </is>
      </c>
      <c r="AG136" s="2" t="inlineStr">
        <is>
          <t>volumetry</t>
        </is>
      </c>
    </row>
    <row r="137">
      <c r="A137" s="2" t="inlineStr">
        <is>
          <t>Rilling, J. K., &amp; Insel, T. R. (1999). The primate neocortex in comparative perspective using magnetic resonance imaging. J Hum Evol, 37(2), 191-223. https://doi.org/10.1006/jhev.1999.0313</t>
        </is>
      </c>
      <c r="D137" s="2" t="inlineStr">
        <is>
          <t>Table 1</t>
        </is>
      </c>
      <c r="E137">
        <f>RIGHT(A137,1)</f>
        <v/>
      </c>
      <c r="F137">
        <f>G137 &amp; IF(H137&lt;&gt;"", "_" &amp; H137, "_") &amp; IF(I137&lt;&gt;"", "_" &amp; I137, "_") &amp; IF(B137&lt;&gt;"", "_" &amp; B137, "")</f>
        <v/>
      </c>
      <c r="G137">
        <f>SUBSTITUTE(SUBSTITUTE(_xlfn.TEXTBEFORE(A137,","), "-", ""), " ", "")</f>
        <v/>
      </c>
      <c r="H137">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v/>
      </c>
      <c r="I137">
        <f>_xlfn.TEXTBEFORE(_xlfn.TEXTAFTER(A137, "("), ")")</f>
        <v/>
      </c>
      <c r="J137">
        <f>_xlfn.LET(
_xlpm.doi,IF(C137&lt;&gt;"",C137,_xlfn.TEXTAFTER(A137,"https://doi.org/")),
SUBSTITUTE(
SUBSTITUTE(
SUBSTITUTE(
SUBSTITUTE(
_xlpm.doi,
"/","%2F"),
":","%3A"),
"&lt;","%3C"),
"&gt;","%3E")
)</f>
        <v/>
      </c>
      <c r="K137">
        <f>TRIM(_xlfn.TEXTJOIN("_",FALSE,F137,(SUBSTITUTE(SUBSTITUTE(D137," ",""), "_", ""))))</f>
        <v/>
      </c>
      <c r="L137">
        <f>J137 &amp; "_" &amp; SUBSTITUTE(SUBSTITUTE(SUBSTITUTE(D137,CHAR(160),"")," ",""),"_","")</f>
        <v/>
      </c>
      <c r="M137">
        <f t="array" ref="M137">IFERROR(INDEX(FileList!$A$1:$A$100,MATCH(TRUE,EXACT(L137,_xlfn.TEXTBEFORE(FileList!$A$1:$A$100,".tsv")),0)),"notfound")</f>
        <v/>
      </c>
      <c r="N137" s="2" t="inlineStr">
        <is>
          <t>Table 1 Data on 11 species of anthropoid primates</t>
        </is>
      </c>
      <c r="Y137" s="2" t="inlineStr">
        <is>
          <t>Rilling</t>
        </is>
      </c>
      <c r="Z137" s="3" t="inlineStr">
        <is>
          <t>Rilling</t>
        </is>
      </c>
      <c r="AF137" s="2" t="n"/>
      <c r="AG137" s="2" t="n"/>
    </row>
    <row r="138">
      <c r="A138" s="2" t="inlineStr">
        <is>
          <t>Schniter, E., &amp; Penaherrera-Aguirre, M. (2026). Evolution of primate vocal repertoires: vocal systems as embodied capital for mediating within-group conflict. Primates. https://doi.org/10.1007/s10329-026-01271-2</t>
        </is>
      </c>
      <c r="D138" s="2" t="inlineStr">
        <is>
          <t>data</t>
        </is>
      </c>
      <c r="E138">
        <f>RIGHT(A138,1)</f>
        <v/>
      </c>
      <c r="F138">
        <f>G138 &amp; IF(H138&lt;&gt;"", "_" &amp; H138, "_") &amp; IF(I138&lt;&gt;"", "_" &amp; I138, "_") &amp; IF(B138&lt;&gt;"", "_" &amp; B138, "")</f>
        <v/>
      </c>
      <c r="G138">
        <f>SUBSTITUTE(SUBSTITUTE(_xlfn.TEXTBEFORE(A138,","), "-", ""), " ", "")</f>
        <v/>
      </c>
      <c r="H138">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
      </c>
      <c r="I138">
        <f>_xlfn.TEXTBEFORE(_xlfn.TEXTAFTER(A138, "("), ")")</f>
        <v/>
      </c>
      <c r="J138">
        <f>_xlfn.LET(
_xlpm.doi,IF(C138&lt;&gt;"",C138,_xlfn.TEXTAFTER(A138,"https://doi.org/")),
SUBSTITUTE(
SUBSTITUTE(
SUBSTITUTE(
SUBSTITUTE(
_xlpm.doi,
"/","%2F"),
":","%3A"),
"&lt;","%3C"),
"&gt;","%3E")
)</f>
        <v/>
      </c>
      <c r="K138">
        <f>TRIM(_xlfn.TEXTJOIN("_",FALSE,F138,(SUBSTITUTE(SUBSTITUTE(D138," ",""), "_", ""))))</f>
        <v/>
      </c>
      <c r="L138">
        <f>J138 &amp; "_" &amp; SUBSTITUTE(SUBSTITUTE(SUBSTITUTE(D138,CHAR(160),"")," ",""),"_","")</f>
        <v/>
      </c>
      <c r="M138">
        <f t="array" ref="M138">IFERROR(INDEX(FileList!$A$1:$A$100,MATCH(TRUE,EXACT(L138,_xlfn.TEXTBEFORE(FileList!$A$1:$A$100,".tsv")),0)),"notfound")</f>
        <v/>
      </c>
      <c r="N138" s="2" t="inlineStr">
        <is>
          <t>data</t>
        </is>
      </c>
      <c r="Z138" s="3" t="n"/>
      <c r="AF138" s="2" t="n"/>
      <c r="AG138" s="2" t="n"/>
    </row>
    <row r="139">
      <c r="A139" s="2" t="inlineStr">
        <is>
          <t>Semendeferi, K., &amp; Damasio, H. (2000). The brain and its main anatomical subdivisions in living hominoids using magnetic resonance imaging. J Hum Evol, 38(2), 317-332. https://doi.org/10.1006/jhev.1999.0381</t>
        </is>
      </c>
      <c r="D139" s="2" t="n"/>
      <c r="E139">
        <f>RIGHT(A139,1)</f>
        <v/>
      </c>
      <c r="F139">
        <f>G139 &amp; IF(H139&lt;&gt;"", "_" &amp; H139, "_") &amp; IF(I139&lt;&gt;"", "_" &amp; I139, "_") &amp; IF(B139&lt;&gt;"", "_" &amp; B139, "")</f>
        <v/>
      </c>
      <c r="G139">
        <f>SUBSTITUTE(SUBSTITUTE(_xlfn.TEXTBEFORE(A139,","), "-", ""), " ", "")</f>
        <v/>
      </c>
      <c r="H139">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
      </c>
      <c r="I139">
        <f>_xlfn.TEXTBEFORE(_xlfn.TEXTAFTER(A139, "("), ")")</f>
        <v/>
      </c>
      <c r="J139">
        <f>_xlfn.LET(
_xlpm.doi,IF(C139&lt;&gt;"",C139,_xlfn.TEXTAFTER(A139,"https://doi.org/")),
SUBSTITUTE(
SUBSTITUTE(
SUBSTITUTE(
SUBSTITUTE(
_xlpm.doi,
"/","%2F"),
":","%3A"),
"&lt;","%3C"),
"&gt;","%3E")
)</f>
        <v/>
      </c>
      <c r="K139">
        <f>TRIM(_xlfn.TEXTJOIN("_",FALSE,F139,(SUBSTITUTE(SUBSTITUTE(D139," ",""), "_", ""))))</f>
        <v/>
      </c>
      <c r="L139">
        <f>J139 &amp; "_" &amp; SUBSTITUTE(SUBSTITUTE(SUBSTITUTE(D139,CHAR(160),"")," ",""),"_","")</f>
        <v/>
      </c>
      <c r="M139">
        <f t="array" ref="M139">IFERROR(INDEX(FileList!$A$1:$A$100,MATCH(TRUE,EXACT(L139,_xlfn.TEXTBEFORE(FileList!$A$1:$A$100,".tsv")),0)),"notfound")</f>
        <v/>
      </c>
      <c r="N139" s="2" t="n"/>
      <c r="P139" s="6" t="n"/>
      <c r="Y139" s="2" t="n"/>
      <c r="AF139" s="2" t="n"/>
      <c r="AG139" s="2" t="n"/>
      <c r="AI139" s="2" t="n"/>
      <c r="AJ139" s="2" t="n"/>
      <c r="AK139" s="2" t="n"/>
      <c r="AL139" s="2" t="n"/>
      <c r="AM139" s="2" t="n"/>
    </row>
    <row r="140">
      <c r="A140" s="2" t="inlineStr">
        <is>
          <t>Semendeferi, K., Armstrong, E., Schleicher, A., Zilles, K., &amp; Van Hoesen, G. W. (1998). Limbic frontal cortex in hominoids: a comparative study of area 13. Am J Phys Anthropol, 106(2), 129-155. https://doi.org/10.1002/(SICI)1096-8644(199806)106:2&lt;129::AID-AJPA3&gt;3.0.CO;2-L</t>
        </is>
      </c>
      <c r="D140" s="2" t="inlineStr">
        <is>
          <t>TABLE 2</t>
        </is>
      </c>
      <c r="E140">
        <f>RIGHT(A140,1)</f>
        <v/>
      </c>
      <c r="F140">
        <f>G140 &amp; IF(H140&lt;&gt;"", "_" &amp; H140, "_") &amp; IF(I140&lt;&gt;"", "_" &amp; I140, "_") &amp; IF(B140&lt;&gt;"", "_" &amp; B140, "")</f>
        <v/>
      </c>
      <c r="G140">
        <f>SUBSTITUTE(SUBSTITUTE(_xlfn.TEXTBEFORE(A140,","), "-", ""), " ", "")</f>
        <v/>
      </c>
      <c r="H140">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
      </c>
      <c r="I140">
        <f>_xlfn.TEXTBEFORE(_xlfn.TEXTAFTER(A140, "("), ")")</f>
        <v/>
      </c>
      <c r="J140">
        <f>_xlfn.LET(
_xlpm.doi,IF(C140&lt;&gt;"",C140,_xlfn.TEXTAFTER(A140,"https://doi.org/")),
SUBSTITUTE(
SUBSTITUTE(
SUBSTITUTE(
SUBSTITUTE(
_xlpm.doi,
"/","%2F"),
":","%3A"),
"&lt;","%3C"),
"&gt;","%3E")
)</f>
        <v/>
      </c>
      <c r="K140">
        <f>TRIM(_xlfn.TEXTJOIN("_",FALSE,F140,(SUBSTITUTE(SUBSTITUTE(D140," ",""), "_", ""))))</f>
        <v/>
      </c>
      <c r="L140">
        <f>J140 &amp; "_" &amp; SUBSTITUTE(SUBSTITUTE(SUBSTITUTE(D140,CHAR(160),"")," ",""),"_","")</f>
        <v/>
      </c>
      <c r="M140">
        <f t="array" ref="M140">IFERROR(INDEX(FileList!$A$1:$A$100,MATCH(TRUE,EXACT(L140,_xlfn.TEXTBEFORE(FileList!$A$1:$A$100,".tsv")),0)),"notfound")</f>
        <v/>
      </c>
      <c r="N140" s="2" t="inlineStr">
        <is>
          <t>TABLE 2. Volumes of the brain and area 13 in all hominoids</t>
        </is>
      </c>
      <c r="P140" s="2" t="inlineStr">
        <is>
          <t>FINISHED</t>
        </is>
      </c>
      <c r="Y140" s="2" t="inlineStr">
        <is>
          <t>Zilles</t>
        </is>
      </c>
      <c r="AF140" s="2" t="inlineStr">
        <is>
          <t>histological sections</t>
        </is>
      </c>
      <c r="AG140" s="2" t="inlineStr">
        <is>
          <t>volumetry</t>
        </is>
      </c>
      <c r="AI140" s="2" t="inlineStr">
        <is>
          <t>frontal lobe / limbic volume</t>
        </is>
      </c>
      <c r="AJ140" s="2" t="inlineStr">
        <is>
          <t>Apes &amp; humans</t>
        </is>
      </c>
      <c r="AK140" s="2" t="inlineStr">
        <is>
          <t>primary</t>
        </is>
      </c>
      <c r="AL140" s="2" t="inlineStr">
        <is>
          <t>primary</t>
        </is>
      </c>
      <c r="AM140" s="2" t="inlineStr">
        <is>
          <t>volume</t>
        </is>
      </c>
    </row>
    <row r="141">
      <c r="A141" s="2" t="inlineStr">
        <is>
          <t>Semendeferi, K., Armstrong, E., Schleicher, A., Zilles, K., &amp; Van Hoesen, G. W. (2001). Prefrontal cortex in humans and apes: a comparative study of area 10. Am J Phys Anthropol, 114(3), 224-241. https://doi.org/10.1002/1096-8644(200103)114:3&lt;224::AID-AJPA1022&gt;3.0.CO;2-I</t>
        </is>
      </c>
      <c r="D141" s="2" t="inlineStr">
        <is>
          <t>TABLE 2</t>
        </is>
      </c>
      <c r="E141">
        <f>RIGHT(A141,1)</f>
        <v/>
      </c>
      <c r="F141">
        <f>G141 &amp; IF(H141&lt;&gt;"", "_" &amp; H141, "_") &amp; IF(I141&lt;&gt;"", "_" &amp; I141, "_") &amp; IF(B141&lt;&gt;"", "_" &amp; B141, "")</f>
        <v/>
      </c>
      <c r="G141">
        <f>SUBSTITUTE(SUBSTITUTE(_xlfn.TEXTBEFORE(A141,","), "-", ""), " ", "")</f>
        <v/>
      </c>
      <c r="H141">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
      </c>
      <c r="I141">
        <f>_xlfn.TEXTBEFORE(_xlfn.TEXTAFTER(A141, "("), ")")</f>
        <v/>
      </c>
      <c r="J141">
        <f>_xlfn.LET(
_xlpm.doi,IF(C141&lt;&gt;"",C141,_xlfn.TEXTAFTER(A141,"https://doi.org/")),
SUBSTITUTE(
SUBSTITUTE(
SUBSTITUTE(
SUBSTITUTE(
_xlpm.doi,
"/","%2F"),
":","%3A"),
"&lt;","%3C"),
"&gt;","%3E")
)</f>
        <v/>
      </c>
      <c r="K141">
        <f>TRIM(_xlfn.TEXTJOIN("_",FALSE,F141,(SUBSTITUTE(SUBSTITUTE(D141," ",""), "_", ""))))</f>
        <v/>
      </c>
      <c r="L141">
        <f>J141 &amp; "_" &amp; SUBSTITUTE(SUBSTITUTE(SUBSTITUTE(D141,CHAR(160),"")," ",""),"_","")</f>
        <v/>
      </c>
      <c r="M141">
        <f t="array" ref="M141">IFERROR(INDEX(FileList!$A$1:$A$100,MATCH(TRUE,EXACT(L141,_xlfn.TEXTBEFORE(FileList!$A$1:$A$100,".tsv")),0)),"notfound")</f>
        <v/>
      </c>
      <c r="N141" s="2" t="inlineStr">
        <is>
          <t>TABLE 2. Volumes of the brain and area 10 in all hominoids</t>
        </is>
      </c>
      <c r="P141" s="3" t="inlineStr">
        <is>
          <t>FINISHED</t>
        </is>
      </c>
      <c r="Y141" s="2" t="inlineStr">
        <is>
          <t>Zilles</t>
        </is>
      </c>
      <c r="AF141" s="2" t="inlineStr">
        <is>
          <t>histological sections</t>
        </is>
      </c>
      <c r="AG141" s="2" t="inlineStr">
        <is>
          <t>volumetry</t>
        </is>
      </c>
      <c r="AI141" s="2" t="inlineStr">
        <is>
          <t>frontal cortex (area 10) volume</t>
        </is>
      </c>
      <c r="AJ141" s="2" t="inlineStr">
        <is>
          <t>Apes &amp; humans</t>
        </is>
      </c>
      <c r="AK141" s="2" t="inlineStr">
        <is>
          <t>primary</t>
        </is>
      </c>
      <c r="AL141" s="2" t="inlineStr">
        <is>
          <t>primary</t>
        </is>
      </c>
      <c r="AM141" s="2" t="inlineStr">
        <is>
          <t>volume</t>
        </is>
      </c>
    </row>
    <row r="142">
      <c r="A142" s="2" t="inlineStr">
        <is>
          <t>Semendeferi, K., Lu, A., Schenker, N., &amp; Damasio, H. (2002). Humans and great apes share a large frontal cortex. Nat Neurosci, 5(3), 272-276. https://doi.org/10.1038/nn814</t>
        </is>
      </c>
      <c r="D142" s="2" t="inlineStr">
        <is>
          <t>Table 1</t>
        </is>
      </c>
      <c r="E142">
        <f>RIGHT(A142,1)</f>
        <v/>
      </c>
      <c r="F142">
        <f>G142 &amp; IF(H142&lt;&gt;"", "_" &amp; H142, "_") &amp; IF(I142&lt;&gt;"", "_" &amp; I142, "_") &amp; IF(B142&lt;&gt;"", "_" &amp; B142, "")</f>
        <v/>
      </c>
      <c r="G142">
        <f>SUBSTITUTE(SUBSTITUTE(_xlfn.TEXTBEFORE(A142,","), "-", ""), " ", "")</f>
        <v/>
      </c>
      <c r="H142">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
      </c>
      <c r="I142">
        <f>_xlfn.TEXTBEFORE(_xlfn.TEXTAFTER(A142, "("), ")")</f>
        <v/>
      </c>
      <c r="J142">
        <f>_xlfn.LET(
_xlpm.doi,IF(C142&lt;&gt;"",C142,_xlfn.TEXTAFTER(A142,"https://doi.org/")),
SUBSTITUTE(
SUBSTITUTE(
SUBSTITUTE(
SUBSTITUTE(
_xlpm.doi,
"/","%2F"),
":","%3A"),
"&lt;","%3C"),
"&gt;","%3E")
)</f>
        <v/>
      </c>
      <c r="K142">
        <f>TRIM(_xlfn.TEXTJOIN("_",FALSE,F142,(SUBSTITUTE(SUBSTITUTE(D142," ",""), "_", ""))))</f>
        <v/>
      </c>
      <c r="L142">
        <f>J142 &amp; "_" &amp; SUBSTITUTE(SUBSTITUTE(SUBSTITUTE(D142,CHAR(160),"")," ",""),"_","")</f>
        <v/>
      </c>
      <c r="M142">
        <f t="array" ref="M142">IFERROR(INDEX(FileList!$A$1:$A$100,MATCH(TRUE,EXACT(L142,_xlfn.TEXTBEFORE(FileList!$A$1:$A$100,".tsv")),0)),"notfound")</f>
        <v/>
      </c>
      <c r="N142" s="2" t="inlineStr">
        <is>
          <t>Table 1. The relative size of the frontal cortex</t>
        </is>
      </c>
      <c r="Y142" s="2" t="inlineStr">
        <is>
          <t>Zilles</t>
        </is>
      </c>
      <c r="AF142" s="2" t="inlineStr">
        <is>
          <t>histological sections</t>
        </is>
      </c>
      <c r="AG142" s="2" t="inlineStr">
        <is>
          <t>volumetry</t>
        </is>
      </c>
      <c r="AI142" s="2" t="inlineStr">
        <is>
          <t>frontal lobe volume</t>
        </is>
      </c>
      <c r="AJ142" s="2" t="inlineStr">
        <is>
          <t>Apes &amp; humans</t>
        </is>
      </c>
      <c r="AK142" s="2" t="inlineStr">
        <is>
          <t>primary</t>
        </is>
      </c>
      <c r="AL142" s="2" t="inlineStr">
        <is>
          <t>primary</t>
        </is>
      </c>
      <c r="AM142" s="2" t="inlineStr">
        <is>
          <t>volume</t>
        </is>
      </c>
    </row>
    <row r="143">
      <c r="A143" s="2" t="inlineStr">
        <is>
          <t>Seymour, R. S., Angove, S. E., Snelling, E. P., &amp; Cassey, P. (2015). Scaling of cerebral blood perfusion in primates and marsupials. J Exp Biol, 218(Pt 16), 2631-2640. https://doi.org/10.1242/jeb.124826</t>
        </is>
      </c>
      <c r="D143" s="2" t="inlineStr">
        <is>
          <t>TableS1</t>
        </is>
      </c>
      <c r="E143">
        <f>RIGHT(A143,1)</f>
        <v/>
      </c>
      <c r="F143">
        <f>G143 &amp; IF(H143&lt;&gt;"", "_" &amp; H143, "_") &amp; IF(I143&lt;&gt;"", "_" &amp; I143, "_") &amp; IF(B143&lt;&gt;"", "_" &amp; B143, "")</f>
        <v/>
      </c>
      <c r="G143">
        <f>SUBSTITUTE(SUBSTITUTE(_xlfn.TEXTBEFORE(A143,","), "-", ""), " ", "")</f>
        <v/>
      </c>
      <c r="H143">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
      </c>
      <c r="I143">
        <f>_xlfn.TEXTBEFORE(_xlfn.TEXTAFTER(A143, "("), ")")</f>
        <v/>
      </c>
      <c r="J143">
        <f>_xlfn.LET(
_xlpm.doi,IF(C143&lt;&gt;"",C143,_xlfn.TEXTAFTER(A143,"https://doi.org/")),
SUBSTITUTE(
SUBSTITUTE(
SUBSTITUTE(
SUBSTITUTE(
_xlpm.doi,
"/","%2F"),
":","%3A"),
"&lt;","%3C"),
"&gt;","%3E")
)</f>
        <v/>
      </c>
      <c r="K143">
        <f>TRIM(_xlfn.TEXTJOIN("_",FALSE,F143,(SUBSTITUTE(SUBSTITUTE(D143," ",""), "_", ""))))</f>
        <v/>
      </c>
      <c r="L143">
        <f>J143 &amp; "_" &amp; SUBSTITUTE(SUBSTITUTE(SUBSTITUTE(D143,CHAR(160),"")," ",""),"_","")</f>
        <v/>
      </c>
      <c r="M143">
        <f t="array" ref="M143">IFERROR(INDEX(FileList!$A$1:$A$100,MATCH(TRUE,EXACT(L143,_xlfn.TEXTBEFORE(FileList!$A$1:$A$100,".tsv")),0)),"notfound")</f>
        <v/>
      </c>
      <c r="N143" s="2" t="n"/>
      <c r="Y143" s="2" t="n"/>
      <c r="AF143" s="2" t="n"/>
      <c r="AG143" s="2" t="n"/>
      <c r="AI143" s="2" t="n"/>
      <c r="AJ143" s="2" t="n"/>
      <c r="AK143" s="2" t="n"/>
      <c r="AL143" s="2" t="n"/>
      <c r="AM143" s="2" t="n"/>
    </row>
    <row r="144">
      <c r="A144" s="2" t="inlineStr">
        <is>
          <t>Seymour, R. S., Bosiocic, V., &amp; Snelling, E. P. (2017). Correction to 'Fossil skulls reveal that blood flow rate to the brain increased faster than brain volume during human evolution'. R Soc Open Sci, 4(8), 170846. https://doi.org/10.1098/rsos.170846</t>
        </is>
      </c>
      <c r="D144" s="2" t="inlineStr">
        <is>
          <t>Table S1</t>
        </is>
      </c>
      <c r="E144">
        <f>RIGHT(A144,1)</f>
        <v/>
      </c>
      <c r="F144">
        <f>G144 &amp; IF(H144&lt;&gt;"", "_" &amp; H144, "_") &amp; IF(I144&lt;&gt;"", "_" &amp; I144, "_") &amp; IF(B144&lt;&gt;"", "_" &amp; B144, "")</f>
        <v/>
      </c>
      <c r="G144">
        <f>SUBSTITUTE(SUBSTITUTE(_xlfn.TEXTBEFORE(A144,","), "-", ""), " ", "")</f>
        <v/>
      </c>
      <c r="H144">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
      </c>
      <c r="I144">
        <f>_xlfn.TEXTBEFORE(_xlfn.TEXTAFTER(A144, "("), ")")</f>
        <v/>
      </c>
      <c r="J144">
        <f>_xlfn.LET(
_xlpm.doi,IF(C144&lt;&gt;"",C144,_xlfn.TEXTAFTER(A144,"https://doi.org/")),
SUBSTITUTE(
SUBSTITUTE(
SUBSTITUTE(
SUBSTITUTE(
_xlpm.doi,
"/","%2F"),
":","%3A"),
"&lt;","%3C"),
"&gt;","%3E")
)</f>
        <v/>
      </c>
      <c r="K144">
        <f>TRIM(_xlfn.TEXTJOIN("_",FALSE,F144,(SUBSTITUTE(SUBSTITUTE(D144," ",""), "_", ""))))</f>
        <v/>
      </c>
      <c r="L144">
        <f>J144 &amp; "_" &amp; SUBSTITUTE(SUBSTITUTE(SUBSTITUTE(D144,CHAR(160),"")," ",""),"_","")</f>
        <v/>
      </c>
      <c r="M144">
        <f t="array" ref="M144">IFERROR(INDEX(FileList!$A$1:$A$100,MATCH(TRUE,EXACT(L144,_xlfn.TEXTBEFORE(FileList!$A$1:$A$100,".tsv")),0)),"notfound")</f>
        <v/>
      </c>
      <c r="N144" s="2" t="n"/>
      <c r="Y144" s="2" t="n"/>
      <c r="AF144" s="2" t="n"/>
      <c r="AG144" s="2" t="n"/>
      <c r="AI144" s="2" t="n"/>
      <c r="AJ144" s="2" t="n"/>
      <c r="AK144" s="2" t="n"/>
      <c r="AL144" s="2" t="n"/>
      <c r="AM144" s="2" t="n"/>
    </row>
    <row r="145">
      <c r="A145" s="2" t="inlineStr">
        <is>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is>
      </c>
      <c r="D145" s="2" t="inlineStr">
        <is>
          <t>rspb20192208_si_002</t>
        </is>
      </c>
      <c r="E145">
        <f>RIGHT(A145,1)</f>
        <v/>
      </c>
      <c r="F145">
        <f>G145 &amp; IF(H145&lt;&gt;"", "_" &amp; H145, "_") &amp; IF(I145&lt;&gt;"", "_" &amp; I145, "_") &amp; IF(B145&lt;&gt;"", "_" &amp; B145, "")</f>
        <v/>
      </c>
      <c r="G145">
        <f>SUBSTITUTE(SUBSTITUTE(_xlfn.TEXTBEFORE(A145,","), "-", ""), " ", "")</f>
        <v/>
      </c>
      <c r="H145">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v/>
      </c>
      <c r="I145">
        <f>_xlfn.TEXTBEFORE(_xlfn.TEXTAFTER(A145, "("), ")")</f>
        <v/>
      </c>
      <c r="J145">
        <f>_xlfn.LET(
_xlpm.doi,IF(C145&lt;&gt;"",C145,_xlfn.TEXTAFTER(A145,"https://doi.org/")),
SUBSTITUTE(
SUBSTITUTE(
SUBSTITUTE(
SUBSTITUTE(
_xlpm.doi,
"/","%2F"),
":","%3A"),
"&lt;","%3C"),
"&gt;","%3E")
)</f>
        <v/>
      </c>
      <c r="K145">
        <f>TRIM(_xlfn.TEXTJOIN("_",FALSE,F145,(SUBSTITUTE(SUBSTITUTE(D145," ",""), "_", ""))))</f>
        <v/>
      </c>
      <c r="L145">
        <f>J145 &amp; "_" &amp; SUBSTITUTE(SUBSTITUTE(SUBSTITUTE(D145,CHAR(160),"")," ",""),"_","")</f>
        <v/>
      </c>
      <c r="M145">
        <f t="array" ref="M145">IFERROR(INDEX(FileList!$A$1:$A$100,MATCH(TRUE,EXACT(L145,_xlfn.TEXTBEFORE(FileList!$A$1:$A$100,".tsv")),0)),"notfound")</f>
        <v/>
      </c>
      <c r="N145" s="2" t="n"/>
      <c r="Y145" s="2" t="n"/>
      <c r="AF145" s="2" t="n"/>
      <c r="AG145" s="2" t="n"/>
      <c r="AI145" s="2" t="n"/>
      <c r="AJ145" s="2" t="n"/>
      <c r="AK145" s="2" t="n"/>
      <c r="AL145" s="2" t="n"/>
      <c r="AM145" s="2" t="n"/>
    </row>
    <row r="146">
      <c r="A146" s="2" t="inlineStr">
        <is>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is>
      </c>
      <c r="D146" s="2" t="inlineStr">
        <is>
          <t>TABLE I</t>
        </is>
      </c>
      <c r="E146">
        <f>RIGHT(A146,1)</f>
        <v/>
      </c>
      <c r="F146">
        <f>G146 &amp; IF(H146&lt;&gt;"", "_" &amp; H146, "_") &amp; IF(I146&lt;&gt;"", "_" &amp; I146, "_") &amp; IF(B146&lt;&gt;"", "_" &amp; B146, "")</f>
        <v/>
      </c>
      <c r="G146">
        <f>SUBSTITUTE(SUBSTITUTE(_xlfn.TEXTBEFORE(A146,","), "-", ""), " ", "")</f>
        <v/>
      </c>
      <c r="H146">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
      </c>
      <c r="I146">
        <f>_xlfn.TEXTBEFORE(_xlfn.TEXTAFTER(A146, "("), ")")</f>
        <v/>
      </c>
      <c r="J146">
        <f>_xlfn.LET(
_xlpm.doi,IF(C146&lt;&gt;"",C146,_xlfn.TEXTAFTER(A146,"https://doi.org/")),
SUBSTITUTE(
SUBSTITUTE(
SUBSTITUTE(
SUBSTITUTE(
_xlpm.doi,
"/","%2F"),
":","%3A"),
"&lt;","%3C"),
"&gt;","%3E")
)</f>
        <v/>
      </c>
      <c r="K146">
        <f>TRIM(_xlfn.TEXTJOIN("_",FALSE,F146,(SUBSTITUTE(SUBSTITUTE(D146," ",""), "_", ""))))</f>
        <v/>
      </c>
      <c r="L146">
        <f>J146 &amp; "_" &amp; SUBSTITUTE(SUBSTITUTE(SUBSTITUTE(D146,CHAR(160),"")," ",""),"_","")</f>
        <v/>
      </c>
      <c r="M146">
        <f t="array" ref="M146">IFERROR(INDEX(FileList!$A$1:$A$100,MATCH(TRUE,EXACT(L146,_xlfn.TEXTBEFORE(FileList!$A$1:$A$100,".tsv")),0)),"notfound")</f>
        <v/>
      </c>
      <c r="N146" s="2" t="inlineStr">
        <is>
          <t>TABLE I. Structure Volumes From Formalin-Fixed Brains (Volumes in cm3)</t>
        </is>
      </c>
      <c r="V146" s="6" t="n"/>
      <c r="Y146" s="2" t="inlineStr">
        <is>
          <t>Sherwood</t>
        </is>
      </c>
      <c r="Z146" s="2" t="inlineStr">
        <is>
          <t>Hof</t>
        </is>
      </c>
      <c r="AF146" s="2" t="inlineStr">
        <is>
          <t>MRI</t>
        </is>
      </c>
      <c r="AG146" s="2" t="inlineStr">
        <is>
          <t>volumetry</t>
        </is>
      </c>
      <c r="AI146" s="6" t="n"/>
      <c r="AJ146" s="6" t="n"/>
      <c r="AK146" s="2" t="inlineStr">
        <is>
          <t>primary</t>
        </is>
      </c>
      <c r="AL146" s="6" t="n"/>
      <c r="AM146" s="6" t="n"/>
    </row>
    <row r="147">
      <c r="A147" s="2" t="inlineStr">
        <is>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is>
      </c>
      <c r="B147" s="6" t="n"/>
      <c r="D147" s="2" t="inlineStr">
        <is>
          <t>unpublishedviaDeCasien</t>
        </is>
      </c>
      <c r="E147">
        <f>RIGHT(A147,1)</f>
        <v/>
      </c>
      <c r="F147">
        <f>G147 &amp; IF(H147&lt;&gt;"", "_" &amp; H147, "_") &amp; IF(I147&lt;&gt;"", "_" &amp; I147, "_") &amp; IF(B147&lt;&gt;"", "_" &amp; B147, "")</f>
        <v/>
      </c>
      <c r="G147">
        <f>SUBSTITUTE(SUBSTITUTE(_xlfn.TEXTBEFORE(A147,","), "-", ""), " ", "")</f>
        <v/>
      </c>
      <c r="H147">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
      </c>
      <c r="I147">
        <f>_xlfn.TEXTBEFORE(_xlfn.TEXTAFTER(A147, "("), ")")</f>
        <v/>
      </c>
      <c r="J147">
        <f>_xlfn.LET(
_xlpm.doi,IF(C147&lt;&gt;"",C147,_xlfn.TEXTAFTER(A147,"https://doi.org/")),
SUBSTITUTE(
SUBSTITUTE(
SUBSTITUTE(
SUBSTITUTE(
_xlpm.doi,
"/","%2F"),
":","%3A"),
"&lt;","%3C"),
"&gt;","%3E")
)</f>
        <v/>
      </c>
      <c r="K147">
        <f>TRIM(_xlfn.TEXTJOIN("_",FALSE,F147,(SUBSTITUTE(SUBSTITUTE(D147," ",""), "_", ""))))</f>
        <v/>
      </c>
      <c r="L147">
        <f>J147 &amp; "_" &amp; SUBSTITUTE(SUBSTITUTE(SUBSTITUTE(D147,CHAR(160),"")," ",""),"_","")</f>
        <v/>
      </c>
      <c r="M147">
        <f t="array" ref="M147">IFERROR(INDEX(FileList!$A$1:$A$100,MATCH(TRUE,EXACT(L147,_xlfn.TEXTBEFORE(FileList!$A$1:$A$100,".tsv")),0)),"notfound")</f>
        <v/>
      </c>
      <c r="N147" s="2" t="n"/>
      <c r="O147" t="inlineStr">
        <is>
          <t>"Sherwood et al.64 and Barks et al.65 provided neocortex, hippocampus, striatum, thalamus, cerebellum, amygdala and insula measures for multiple gorilla species (Gorilla gorilla gorilla, G. g. graueri and G. beringei) from post-mortem MRI scans" (DeCasien and Higham 2019)</t>
        </is>
      </c>
      <c r="P147" s="6" t="n"/>
      <c r="Q147" s="6" t="n"/>
      <c r="T147" s="6" t="n"/>
      <c r="U147" s="6" t="n"/>
      <c r="V147" s="6" t="n"/>
      <c r="Y147" s="3" t="inlineStr">
        <is>
          <t>Sherwood</t>
        </is>
      </c>
      <c r="Z147" s="2" t="inlineStr">
        <is>
          <t>Hof</t>
        </is>
      </c>
      <c r="AF147" s="2" t="inlineStr">
        <is>
          <t>MRI</t>
        </is>
      </c>
      <c r="AG147" s="3" t="inlineStr">
        <is>
          <t>volumetry</t>
        </is>
      </c>
      <c r="AH147" s="6" t="n"/>
      <c r="AI147" s="6" t="n"/>
      <c r="AJ147" s="6" t="n"/>
      <c r="AK147" s="2" t="inlineStr">
        <is>
          <t>primary</t>
        </is>
      </c>
      <c r="AL147" s="6" t="n"/>
      <c r="AM147" s="6" t="n"/>
    </row>
    <row r="148">
      <c r="A148" s="2" t="inlineStr">
        <is>
          <t>Sherwood, C. C., Hof, P. R., Holloway, R. L., Semendeferi, K., Gannon, P. J., Frahm, H. D., &amp; Zilles, K. (2005). Evolution of the brainstem orofacial motor system in primates: a comparative study of trigeminal, facial, and hypoglossal nuclei. J Hum Evol, 48(1), 45-84. https://doi.org/10.1016/j.jhevol.2004.10.003</t>
        </is>
      </c>
      <c r="B148" s="6" t="n"/>
      <c r="D148" s="2" t="inlineStr">
        <is>
          <t>Table 1</t>
        </is>
      </c>
      <c r="E148">
        <f>RIGHT(A148,1)</f>
        <v/>
      </c>
      <c r="F148">
        <f>G148 &amp; IF(H148&lt;&gt;"", "_" &amp; H148, "_") &amp; IF(I148&lt;&gt;"", "_" &amp; I148, "_") &amp; IF(B148&lt;&gt;"", "_" &amp; B148, "")</f>
        <v/>
      </c>
      <c r="G148">
        <f>SUBSTITUTE(SUBSTITUTE(_xlfn.TEXTBEFORE(A148,","), "-", ""), " ", "")</f>
        <v/>
      </c>
      <c r="H148">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v/>
      </c>
      <c r="I148">
        <f>_xlfn.TEXTBEFORE(_xlfn.TEXTAFTER(A148, "("), ")")</f>
        <v/>
      </c>
      <c r="J148">
        <f>_xlfn.LET(
_xlpm.doi,IF(C148&lt;&gt;"",C148,_xlfn.TEXTAFTER(A148,"https://doi.org/")),
SUBSTITUTE(
SUBSTITUTE(
SUBSTITUTE(
SUBSTITUTE(
_xlpm.doi,
"/","%2F"),
":","%3A"),
"&lt;","%3C"),
"&gt;","%3E")
)</f>
        <v/>
      </c>
      <c r="K148">
        <f>TRIM(_xlfn.TEXTJOIN("_",FALSE,F148,(SUBSTITUTE(SUBSTITUTE(D148," ",""), "_", ""))))</f>
        <v/>
      </c>
      <c r="L148">
        <f>J148 &amp; "_" &amp; SUBSTITUTE(SUBSTITUTE(SUBSTITUTE(D148,CHAR(160),"")," ",""),"_","")</f>
        <v/>
      </c>
      <c r="M148">
        <f t="array" ref="M148">IFERROR(INDEX(FileList!$A$1:$A$100,MATCH(TRUE,EXACT(L148,_xlfn.TEXTBEFORE(FileList!$A$1:$A$100,".tsv")),0)),"notfound")</f>
        <v/>
      </c>
      <c r="N148" s="2" t="inlineStr">
        <is>
          <t>Brainstem orofacial motor nuclei in primates (Table 1)</t>
        </is>
      </c>
      <c r="P148" s="6" t="n"/>
      <c r="Q148" s="6" t="n"/>
      <c r="T148" s="6" t="n"/>
      <c r="U148" s="6" t="n"/>
      <c r="V148" s="2" t="inlineStr">
        <is>
          <t>table</t>
        </is>
      </c>
      <c r="Y148" s="3" t="inlineStr">
        <is>
          <t>Stephan</t>
        </is>
      </c>
      <c r="Z148" s="2" t="inlineStr">
        <is>
          <t>Stephan, Zilles</t>
        </is>
      </c>
      <c r="AF148" s="2" t="inlineStr">
        <is>
          <t>histological sections</t>
        </is>
      </c>
      <c r="AG148" s="2" t="inlineStr">
        <is>
          <t>volumetry</t>
        </is>
      </c>
      <c r="AH148" s="6" t="n"/>
      <c r="AI148" s="2" t="inlineStr">
        <is>
          <t>brainstem motor nuclei volumes</t>
        </is>
      </c>
      <c r="AJ148" s="2" t="inlineStr">
        <is>
          <t>Primates (+ other mammals)</t>
        </is>
      </c>
      <c r="AK148" s="2" t="inlineStr">
        <is>
          <t>primary</t>
        </is>
      </c>
      <c r="AL148" s="2" t="inlineStr">
        <is>
          <t>primary</t>
        </is>
      </c>
      <c r="AM148" s="2" t="inlineStr">
        <is>
          <t>volume</t>
        </is>
      </c>
    </row>
    <row r="149">
      <c r="A149" s="2" t="inlineStr">
        <is>
          <t>Sherwood, C. C., Holloway, R. L., Erwin, J. M., Schleicher, A., Zilles, K., &amp; Hof, P. R. (2004). Cortical orofacial motor representation in Old World Monkeys, great apes, and humans. I. Quantitative Analysis of Cytoarchitecture. Brain Behav Evol, 63(2), 61-81. https://doi.org/10.1159/000075672</t>
        </is>
      </c>
      <c r="B149" s="3" t="inlineStr">
        <is>
          <t>I</t>
        </is>
      </c>
      <c r="D149" s="2" t="inlineStr">
        <is>
          <t>Table 4</t>
        </is>
      </c>
      <c r="E149">
        <f>RIGHT(A149,1)</f>
        <v/>
      </c>
      <c r="F149">
        <f>G149 &amp; IF(H149&lt;&gt;"", "_" &amp; H149, "_") &amp; IF(I149&lt;&gt;"", "_" &amp; I149, "_") &amp; IF(B149&lt;&gt;"", "_" &amp; B149, "")</f>
        <v/>
      </c>
      <c r="G149">
        <f>SUBSTITUTE(SUBSTITUTE(_xlfn.TEXTBEFORE(A149,","), "-", ""), " ", "")</f>
        <v/>
      </c>
      <c r="H149">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
      </c>
      <c r="I149">
        <f>_xlfn.TEXTBEFORE(_xlfn.TEXTAFTER(A149, "("), ")")</f>
        <v/>
      </c>
      <c r="J149">
        <f>_xlfn.LET(
_xlpm.doi,IF(C149&lt;&gt;"",C149,_xlfn.TEXTAFTER(A149,"https://doi.org/")),
SUBSTITUTE(
SUBSTITUTE(
SUBSTITUTE(
SUBSTITUTE(
_xlpm.doi,
"/","%2F"),
":","%3A"),
"&lt;","%3C"),
"&gt;","%3E")
)</f>
        <v/>
      </c>
      <c r="K149">
        <f>TRIM(_xlfn.TEXTJOIN("_",FALSE,F149,(SUBSTITUTE(SUBSTITUTE(D149," ",""), "_", ""))))</f>
        <v/>
      </c>
      <c r="L149">
        <f>J149 &amp; "_" &amp; SUBSTITUTE(SUBSTITUTE(SUBSTITUTE(D149,CHAR(160),"")," ",""),"_","")</f>
        <v/>
      </c>
      <c r="M149">
        <f t="array" ref="M149">IFERROR(INDEX(FileList!$A$1:$A$100,MATCH(TRUE,EXACT(L149,_xlfn.TEXTBEFORE(FileList!$A$1:$A$100,".tsv")),0)),"notfound")</f>
        <v/>
      </c>
      <c r="N149" s="2" t="inlineStr">
        <is>
          <t>Table 4. GLI values for each cortical layer</t>
        </is>
      </c>
      <c r="P149" s="3" t="inlineStr">
        <is>
          <t>need to record steps</t>
        </is>
      </c>
      <c r="Q149" s="3" t="inlineStr">
        <is>
          <t>NA</t>
        </is>
      </c>
      <c r="T149" s="3">
        <f>IF(S149="N", R149, "write file name")</f>
        <v/>
      </c>
      <c r="U149" s="3" t="inlineStr">
        <is>
          <t>pdf</t>
        </is>
      </c>
      <c r="V149" s="3" t="inlineStr">
        <is>
          <t>tables</t>
        </is>
      </c>
      <c r="Y149" s="6" t="n"/>
      <c r="Z149" s="2" t="inlineStr">
        <is>
          <t>Zilles</t>
        </is>
      </c>
      <c r="AF149" s="2" t="inlineStr">
        <is>
          <t>histological sections</t>
        </is>
      </c>
      <c r="AG149" s="6" t="n"/>
      <c r="AH149" s="3" t="inlineStr">
        <is>
          <t>primates</t>
        </is>
      </c>
      <c r="AI149" s="3" t="inlineStr">
        <is>
          <t>GLI: laminar and profiles</t>
        </is>
      </c>
      <c r="AJ149" s="3" t="inlineStr">
        <is>
          <t>Primates</t>
        </is>
      </c>
      <c r="AK149" s="2" t="inlineStr">
        <is>
          <t>primary</t>
        </is>
      </c>
      <c r="AL149" s="3" t="inlineStr">
        <is>
          <t>primary</t>
        </is>
      </c>
      <c r="AM149" s="3" t="inlineStr">
        <is>
          <t>cytoarchitecture (GLI laminar profiles)</t>
        </is>
      </c>
    </row>
    <row r="150">
      <c r="A150" s="2" t="inlineStr">
        <is>
          <t>Sherwood, C. C., Holloway, R. L., Erwin, J. M., Schleicher, A., Zilles, K., &amp; Hof, P. R. (2004). Cortical orofacial motor representation in Old World Monkeys, great apes, and humans. I. Quantitative Analysis of Cytoarchitecture. Brain Behav Evol, 63(2), 61-81. https://doi.org/10.1159/000075672</t>
        </is>
      </c>
      <c r="B150" s="3" t="inlineStr">
        <is>
          <t>I</t>
        </is>
      </c>
      <c r="D150" s="2" t="inlineStr">
        <is>
          <t>Table 5</t>
        </is>
      </c>
      <c r="E150">
        <f>RIGHT(A150,1)</f>
        <v/>
      </c>
      <c r="F150">
        <f>G150 &amp; IF(H150&lt;&gt;"", "_" &amp; H150, "_") &amp; IF(I150&lt;&gt;"", "_" &amp; I150, "_") &amp; IF(B150&lt;&gt;"", "_" &amp; B150, "")</f>
        <v/>
      </c>
      <c r="G150">
        <f>SUBSTITUTE(SUBSTITUTE(_xlfn.TEXTBEFORE(A150,","), "-", ""), " ", "")</f>
        <v/>
      </c>
      <c r="H150">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
      </c>
      <c r="I150">
        <f>_xlfn.TEXTBEFORE(_xlfn.TEXTAFTER(A150, "("), ")")</f>
        <v/>
      </c>
      <c r="J150">
        <f>_xlfn.LET(
_xlpm.doi,IF(C150&lt;&gt;"",C150,_xlfn.TEXTAFTER(A150,"https://doi.org/")),
SUBSTITUTE(
SUBSTITUTE(
SUBSTITUTE(
SUBSTITUTE(
_xlpm.doi,
"/","%2F"),
":","%3A"),
"&lt;","%3C"),
"&gt;","%3E")
)</f>
        <v/>
      </c>
      <c r="K150">
        <f>TRIM(_xlfn.TEXTJOIN("_",FALSE,F150,(SUBSTITUTE(SUBSTITUTE(D150," ",""), "_", ""))))</f>
        <v/>
      </c>
      <c r="L150">
        <f>J150 &amp; "_" &amp; SUBSTITUTE(SUBSTITUTE(SUBSTITUTE(D150,CHAR(160),"")," ",""),"_","")</f>
        <v/>
      </c>
      <c r="M150">
        <f t="array" ref="M150">IFERROR(INDEX(FileList!$A$1:$A$100,MATCH(TRUE,EXACT(L150,_xlfn.TEXTBEFORE(FileList!$A$1:$A$100,".tsv")),0)),"notfound")</f>
        <v/>
      </c>
      <c r="N150" s="2" t="inlineStr">
        <is>
          <t>Table 5. Species mean values for 10 GLI profile feature vectors</t>
        </is>
      </c>
      <c r="P150" s="3" t="inlineStr">
        <is>
          <t>need to record steps</t>
        </is>
      </c>
      <c r="Q150" s="3" t="inlineStr">
        <is>
          <t>NA</t>
        </is>
      </c>
      <c r="T150" s="3">
        <f>IF(S150="N", R150, "write file name")</f>
        <v/>
      </c>
      <c r="U150" s="3" t="inlineStr">
        <is>
          <t>pdf</t>
        </is>
      </c>
      <c r="V150" s="3" t="inlineStr">
        <is>
          <t>tables</t>
        </is>
      </c>
      <c r="Y150" s="6" t="n"/>
      <c r="Z150" s="2" t="inlineStr">
        <is>
          <t>Stephan, Zilles</t>
        </is>
      </c>
      <c r="AF150" s="2" t="inlineStr">
        <is>
          <t>histological sections</t>
        </is>
      </c>
      <c r="AG150" s="2" t="inlineStr">
        <is>
          <t>volumetry</t>
        </is>
      </c>
      <c r="AH150" s="3" t="inlineStr">
        <is>
          <t>primates</t>
        </is>
      </c>
      <c r="AI150" s="3" t="inlineStr">
        <is>
          <t>GLI: laminar and profiles</t>
        </is>
      </c>
      <c r="AJ150" s="3" t="inlineStr">
        <is>
          <t>Primates</t>
        </is>
      </c>
      <c r="AK150" s="2" t="inlineStr">
        <is>
          <t>primary</t>
        </is>
      </c>
      <c r="AL150" s="3" t="inlineStr">
        <is>
          <t>primary</t>
        </is>
      </c>
      <c r="AM150" s="3" t="inlineStr">
        <is>
          <t>cytoarchitecture (GLI laminar profiles)</t>
        </is>
      </c>
    </row>
    <row r="151">
      <c r="A151" s="2" t="inlineStr">
        <is>
          <t>Smaers, J. B., &amp; Soligo, C. (2013). Brain reorganization, not relative brain size, primarily characterizes anthropoid brain evolution. Proceedings of the Royal Society B, 280(1759), 20130269</t>
        </is>
      </c>
      <c r="C151" s="2" t="inlineStr">
        <is>
          <t>10.1098/rspb.2013.0269</t>
        </is>
      </c>
      <c r="D151" s="2" t="inlineStr">
        <is>
          <t>Supplement</t>
        </is>
      </c>
      <c r="E151">
        <f>RIGHT(A151,1)</f>
        <v/>
      </c>
      <c r="F151">
        <f>G151 &amp; IF(H151&lt;&gt;"", "_" &amp; H151, "_") &amp; IF(I151&lt;&gt;"", "_" &amp; I151, "_") &amp; IF(B151&lt;&gt;"", "_" &amp; B151, "")</f>
        <v/>
      </c>
      <c r="G151">
        <f>SUBSTITUTE(SUBSTITUTE(_xlfn.TEXTBEFORE(A151,","), "-", ""), " ", "")</f>
        <v/>
      </c>
      <c r="H151">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
      </c>
      <c r="I151">
        <f>_xlfn.TEXTBEFORE(_xlfn.TEXTAFTER(A151, "("), ")")</f>
        <v/>
      </c>
      <c r="J151">
        <f>_xlfn.LET(
_xlpm.doi,IF(C151&lt;&gt;"",C151,_xlfn.TEXTAFTER(A151,"https://doi.org/")),
SUBSTITUTE(
SUBSTITUTE(
SUBSTITUTE(
SUBSTITUTE(
_xlpm.doi,
"/","%2F"),
":","%3A"),
"&lt;","%3C"),
"&gt;","%3E")
)</f>
        <v/>
      </c>
      <c r="K151">
        <f>TRIM(_xlfn.TEXTJOIN("_",FALSE,F151,(SUBSTITUTE(SUBSTITUTE(D151," ",""), "_", ""))))</f>
        <v/>
      </c>
      <c r="L151">
        <f>J151 &amp; "_" &amp; SUBSTITUTE(SUBSTITUTE(SUBSTITUTE(D151,CHAR(160),"")," ",""),"_","")</f>
        <v/>
      </c>
      <c r="M151">
        <f t="array" ref="M151">IFERROR(INDEX(FileList!$A$1:$A$100,MATCH(TRUE,EXACT(L151,_xlfn.TEXTBEFORE(FileList!$A$1:$A$100,".tsv")),0)),"notfound")</f>
        <v/>
      </c>
      <c r="N151" s="2" t="inlineStr">
        <is>
          <t>Brain region volumes and phylogenetic reorganization analysis.</t>
        </is>
      </c>
      <c r="AF151" s="2" t="inlineStr">
        <is>
          <t>histological sections</t>
        </is>
      </c>
      <c r="AG151" s="2" t="inlineStr">
        <is>
          <t>volumetry</t>
        </is>
      </c>
      <c r="AI151" s="2" t="inlineStr">
        <is>
          <t>brain region volumes / reorganization</t>
        </is>
      </c>
      <c r="AJ151" s="2" t="inlineStr">
        <is>
          <t>Anthropoid primates</t>
        </is>
      </c>
      <c r="AL151" s="2" t="inlineStr">
        <is>
          <t>both</t>
        </is>
      </c>
      <c r="AM151" s="2" t="inlineStr">
        <is>
          <t>volume</t>
        </is>
      </c>
    </row>
    <row r="152">
      <c r="A152" s="2" t="inlineStr">
        <is>
          <t>Smaers, J. B., Gomez-Robles, A., Parks, A. N., &amp; Sherwood, C. C. (2017). Exceptional Evolutionary Expansion of Prefrontal Cortex in Great Apes and Humans. Curr Biol, 27(5), 714-720. https://doi.org/10.1016/j.cub.2017.01.020</t>
        </is>
      </c>
      <c r="D152" s="2" t="inlineStr">
        <is>
          <t>Table S1 part 1</t>
        </is>
      </c>
      <c r="E152">
        <f>RIGHT(A152,1)</f>
        <v/>
      </c>
      <c r="F152">
        <f>G152 &amp; IF(H152&lt;&gt;"", "_" &amp; H152, "_") &amp; IF(I152&lt;&gt;"", "_" &amp; I152, "_") &amp; IF(B152&lt;&gt;"", "_" &amp; B152, "")</f>
        <v/>
      </c>
      <c r="G152">
        <f>SUBSTITUTE(SUBSTITUTE(_xlfn.TEXTBEFORE(A152,","), "-", ""), " ", "")</f>
        <v/>
      </c>
      <c r="H152">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
      </c>
      <c r="I152">
        <f>_xlfn.TEXTBEFORE(_xlfn.TEXTAFTER(A152, "("), ")")</f>
        <v/>
      </c>
      <c r="J152">
        <f>_xlfn.LET(
_xlpm.doi,IF(C152&lt;&gt;"",C152,_xlfn.TEXTAFTER(A152,"https://doi.org/")),
SUBSTITUTE(
SUBSTITUTE(
SUBSTITUTE(
SUBSTITUTE(
_xlpm.doi,
"/","%2F"),
":","%3A"),
"&lt;","%3C"),
"&gt;","%3E")
)</f>
        <v/>
      </c>
      <c r="K152">
        <f>TRIM(_xlfn.TEXTJOIN("_",FALSE,F152,(SUBSTITUTE(SUBSTITUTE(D152," ",""), "_", ""))))</f>
        <v/>
      </c>
      <c r="L152">
        <f>J152 &amp; "_" &amp; SUBSTITUTE(SUBSTITUTE(SUBSTITUTE(D152,CHAR(160),"")," ",""),"_","")</f>
        <v/>
      </c>
      <c r="M152">
        <f t="array" ref="M152">IFERROR(INDEX(FileList!$A$1:$A$100,MATCH(TRUE,EXACT(L152,_xlfn.TEXTBEFORE(FileList!$A$1:$A$100,".tsv")),0)),"notfound")</f>
        <v/>
      </c>
      <c r="N152" s="2" t="inlineStr">
        <is>
          <t>Exceptional expansion of prefrontal cortex (Table 1)</t>
        </is>
      </c>
      <c r="O152" t="inlineStr">
        <is>
          <t>part 1 volumes</t>
        </is>
      </c>
      <c r="P152" s="2" t="inlineStr">
        <is>
          <t>FINISHED</t>
        </is>
      </c>
      <c r="V152" s="2" t="inlineStr">
        <is>
          <t>table</t>
        </is>
      </c>
      <c r="Y152" s="2" t="inlineStr">
        <is>
          <t>Smaers (compilation)</t>
        </is>
      </c>
      <c r="Z152" s="2" t="inlineStr">
        <is>
          <t>Stephan, Zilles</t>
        </is>
      </c>
      <c r="AC152" s="2" t="inlineStr">
        <is>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is>
      </c>
      <c r="AF152" s="2" t="inlineStr">
        <is>
          <t>histological sections</t>
        </is>
      </c>
      <c r="AG152" s="2" t="inlineStr">
        <is>
          <t>volumetry</t>
        </is>
      </c>
      <c r="AI152" s="2" t="inlineStr">
        <is>
          <t>prefrontal cortex size</t>
        </is>
      </c>
      <c r="AJ152" s="2" t="inlineStr">
        <is>
          <t>Primates</t>
        </is>
      </c>
      <c r="AK152" s="2" t="inlineStr">
        <is>
          <t>both (compilation)</t>
        </is>
      </c>
      <c r="AL152" s="2" t="inlineStr">
        <is>
          <t>both</t>
        </is>
      </c>
      <c r="AM152" s="2" t="inlineStr">
        <is>
          <t>volume</t>
        </is>
      </c>
    </row>
    <row r="153">
      <c r="A153" s="2" t="inlineStr">
        <is>
          <t>Smaers, J. B., Gomez-Robles, A., Parks, A. N., &amp; Sherwood, C. C. (2017). Exceptional Evolutionary Expansion of Prefrontal Cortex in Great Apes and Humans. Curr Biol, 27(5), 714-720. https://doi.org/10.1016/j.cub.2017.01.020</t>
        </is>
      </c>
      <c r="D153" s="2" t="inlineStr">
        <is>
          <t>Table S1 part 2</t>
        </is>
      </c>
      <c r="E153">
        <f>RIGHT(A153,1)</f>
        <v/>
      </c>
      <c r="F153">
        <f>G153 &amp; IF(H153&lt;&gt;"", "_" &amp; H153, "_") &amp; IF(I153&lt;&gt;"", "_" &amp; I153, "_") &amp; IF(B153&lt;&gt;"", "_" &amp; B153, "")</f>
        <v/>
      </c>
      <c r="G153">
        <f>SUBSTITUTE(SUBSTITUTE(_xlfn.TEXTBEFORE(A153,","), "-", ""), " ", "")</f>
        <v/>
      </c>
      <c r="H153">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v/>
      </c>
      <c r="I153">
        <f>_xlfn.TEXTBEFORE(_xlfn.TEXTAFTER(A153, "("), ")")</f>
        <v/>
      </c>
      <c r="J153">
        <f>_xlfn.LET(
_xlpm.doi,IF(C153&lt;&gt;"",C153,_xlfn.TEXTAFTER(A153,"https://doi.org/")),
SUBSTITUTE(
SUBSTITUTE(
SUBSTITUTE(
SUBSTITUTE(
_xlpm.doi,
"/","%2F"),
":","%3A"),
"&lt;","%3C"),
"&gt;","%3E")
)</f>
        <v/>
      </c>
      <c r="K153">
        <f>TRIM(_xlfn.TEXTJOIN("_",FALSE,F153,(SUBSTITUTE(SUBSTITUTE(D153," ",""), "_", ""))))</f>
        <v/>
      </c>
      <c r="L153">
        <f>J153 &amp; "_" &amp; SUBSTITUTE(SUBSTITUTE(SUBSTITUTE(D153,CHAR(160),"")," ",""),"_","")</f>
        <v/>
      </c>
      <c r="M153">
        <f t="array" ref="M153">IFERROR(INDEX(FileList!$A$1:$A$100,MATCH(TRUE,EXACT(L153,_xlfn.TEXTBEFORE(FileList!$A$1:$A$100,".tsv")),0)),"notfound")</f>
        <v/>
      </c>
      <c r="N153" s="2" t="inlineStr">
        <is>
          <t>Exceptional expansion of prefrontal cortex (Table 1)</t>
        </is>
      </c>
      <c r="O153" t="inlineStr">
        <is>
          <t>part 2 surface areas</t>
        </is>
      </c>
      <c r="P153" s="2" t="inlineStr">
        <is>
          <t>FINISHED</t>
        </is>
      </c>
      <c r="V153" s="2" t="inlineStr">
        <is>
          <t>table</t>
        </is>
      </c>
      <c r="Y153" s="2" t="inlineStr">
        <is>
          <t>Smaers (compilation)</t>
        </is>
      </c>
      <c r="Z153" s="2" t="inlineStr">
        <is>
          <t>Stephan, Zilles</t>
        </is>
      </c>
      <c r="AC153" s="2" t="inlineStr">
        <is>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is>
      </c>
      <c r="AF153" s="2" t="inlineStr">
        <is>
          <t>histological sections</t>
        </is>
      </c>
      <c r="AG153" s="2" t="inlineStr">
        <is>
          <t>volumetry</t>
        </is>
      </c>
      <c r="AI153" s="2" t="inlineStr">
        <is>
          <t>prefrontal cortex size</t>
        </is>
      </c>
      <c r="AJ153" s="2" t="inlineStr">
        <is>
          <t>Primates</t>
        </is>
      </c>
      <c r="AK153" s="2" t="inlineStr">
        <is>
          <t>both (compilation)</t>
        </is>
      </c>
      <c r="AL153" s="2" t="inlineStr">
        <is>
          <t>both</t>
        </is>
      </c>
      <c r="AM153" s="2" t="inlineStr">
        <is>
          <t>volume</t>
        </is>
      </c>
    </row>
    <row r="154">
      <c r="A154" s="2" t="inlineStr">
        <is>
          <t>Smaers, J. B., Steele, J., Case, C. R., Cowper, A., Amunts, K., &amp; Zilles, K. (2011). Primate prefrontal cortex evolution: human brains are the extreme of a lateralized ape trend. Brain Behav Evol, 77(2), 67-78. https://doi.org/10.1159/000323671</t>
        </is>
      </c>
      <c r="D154" s="2" t="inlineStr">
        <is>
          <t>SupplementaryTable1</t>
        </is>
      </c>
      <c r="E154">
        <f>RIGHT(A154,1)</f>
        <v/>
      </c>
      <c r="F154">
        <f>G154 &amp; IF(H154&lt;&gt;"", "_" &amp; H154, "_") &amp; IF(I154&lt;&gt;"", "_" &amp; I154, "_") &amp; IF(B154&lt;&gt;"", "_" &amp; B154, "")</f>
        <v/>
      </c>
      <c r="G154">
        <f>SUBSTITUTE(SUBSTITUTE(_xlfn.TEXTBEFORE(A154,","), "-", ""), " ", "")</f>
        <v/>
      </c>
      <c r="H154">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
      </c>
      <c r="I154">
        <f>_xlfn.TEXTBEFORE(_xlfn.TEXTAFTER(A154, "("), ")")</f>
        <v/>
      </c>
      <c r="J154">
        <f>_xlfn.LET(
_xlpm.doi,IF(C154&lt;&gt;"",C154,_xlfn.TEXTAFTER(A154,"https://doi.org/")),
SUBSTITUTE(
SUBSTITUTE(
SUBSTITUTE(
SUBSTITUTE(
_xlpm.doi,
"/","%2F"),
":","%3A"),
"&lt;","%3C"),
"&gt;","%3E")
)</f>
        <v/>
      </c>
      <c r="K154">
        <f>TRIM(_xlfn.TEXTJOIN("_",FALSE,F154,(SUBSTITUTE(SUBSTITUTE(D154," ",""), "_", ""))))</f>
        <v/>
      </c>
      <c r="L154">
        <f>J154 &amp; "_" &amp; SUBSTITUTE(SUBSTITUTE(SUBSTITUTE(D154,CHAR(160),"")," ",""),"_","")</f>
        <v/>
      </c>
      <c r="M154">
        <f t="array" ref="M154">IFERROR(INDEX(FileList!$A$1:$A$100,MATCH(TRUE,EXACT(L154,_xlfn.TEXTBEFORE(FileList!$A$1:$A$100,".tsv")),0)),"notfound")</f>
        <v/>
      </c>
      <c r="P154" s="2" t="n"/>
      <c r="Q154" s="2" t="inlineStr">
        <is>
          <t>already there</t>
        </is>
      </c>
      <c r="V154" s="2" t="inlineStr">
        <is>
          <t>table</t>
        </is>
      </c>
      <c r="Z154" s="2" t="inlineStr">
        <is>
          <t>Stephan, Zilles</t>
        </is>
      </c>
      <c r="AF154" s="2" t="inlineStr">
        <is>
          <t>histological sections</t>
        </is>
      </c>
      <c r="AG154" s="2" t="inlineStr">
        <is>
          <t>volumetry</t>
        </is>
      </c>
      <c r="AI154" s="2" t="inlineStr">
        <is>
          <t>prefrontal cortex / cortical reorganization</t>
        </is>
      </c>
      <c r="AJ154" s="2" t="inlineStr">
        <is>
          <t>Primates</t>
        </is>
      </c>
      <c r="AL154" s="2" t="inlineStr">
        <is>
          <t>both</t>
        </is>
      </c>
      <c r="AM154" s="2" t="inlineStr">
        <is>
          <t>volume</t>
        </is>
      </c>
    </row>
    <row r="155">
      <c r="A155" s="2" t="inlineStr">
        <is>
          <t>Smaers, J. B., Steele, J., Case, C. R., Cowper, A., Amunts, K., &amp; Zilles, K. (2011). Primate prefrontal cortex evolution: human brains are the extreme of a lateralized ape trend. Brain Behav Evol, 77(2), 67-78. https://doi.org/10.1159/000323671</t>
        </is>
      </c>
      <c r="D155" s="2" t="inlineStr">
        <is>
          <t>SupplementaryTable2</t>
        </is>
      </c>
      <c r="E155">
        <f>RIGHT(A155,1)</f>
        <v/>
      </c>
      <c r="F155">
        <f>G155 &amp; IF(H155&lt;&gt;"", "_" &amp; H155, "_") &amp; IF(I155&lt;&gt;"", "_" &amp; I155, "_") &amp; IF(B155&lt;&gt;"", "_" &amp; B155, "")</f>
        <v/>
      </c>
      <c r="G155">
        <f>SUBSTITUTE(SUBSTITUTE(_xlfn.TEXTBEFORE(A155,","), "-", ""), " ", "")</f>
        <v/>
      </c>
      <c r="H155">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
      </c>
      <c r="I155">
        <f>_xlfn.TEXTBEFORE(_xlfn.TEXTAFTER(A155, "("), ")")</f>
        <v/>
      </c>
      <c r="J155">
        <f>_xlfn.LET(
_xlpm.doi,IF(C155&lt;&gt;"",C155,_xlfn.TEXTAFTER(A155,"https://doi.org/")),
SUBSTITUTE(
SUBSTITUTE(
SUBSTITUTE(
SUBSTITUTE(
_xlpm.doi,
"/","%2F"),
":","%3A"),
"&lt;","%3C"),
"&gt;","%3E")
)</f>
        <v/>
      </c>
      <c r="K155">
        <f>TRIM(_xlfn.TEXTJOIN("_",FALSE,F155,(SUBSTITUTE(SUBSTITUTE(D155," ",""), "_", ""))))</f>
        <v/>
      </c>
      <c r="L155">
        <f>J155 &amp; "_" &amp; SUBSTITUTE(SUBSTITUTE(SUBSTITUTE(D155,CHAR(160),"")," ",""),"_","")</f>
        <v/>
      </c>
      <c r="M155">
        <f t="array" ref="M155">IFERROR(INDEX(FileList!$A$1:$A$100,MATCH(TRUE,EXACT(L155,_xlfn.TEXTBEFORE(FileList!$A$1:$A$100,".tsv")),0)),"notfound")</f>
        <v/>
      </c>
      <c r="P155" s="2" t="n"/>
      <c r="Q155" s="2" t="inlineStr">
        <is>
          <t>already there</t>
        </is>
      </c>
      <c r="V155" s="2" t="inlineStr">
        <is>
          <t>table</t>
        </is>
      </c>
      <c r="Z155" s="2" t="inlineStr">
        <is>
          <t>Stephan, Zilles</t>
        </is>
      </c>
      <c r="AF155" s="2" t="inlineStr">
        <is>
          <t>histological sections</t>
        </is>
      </c>
      <c r="AG155" s="2" t="inlineStr">
        <is>
          <t>volumetry</t>
        </is>
      </c>
      <c r="AI155" s="2" t="inlineStr">
        <is>
          <t>prefrontal cortex / cortical reorganization</t>
        </is>
      </c>
      <c r="AJ155" s="2" t="inlineStr">
        <is>
          <t>Primates</t>
        </is>
      </c>
      <c r="AL155" s="2" t="inlineStr">
        <is>
          <t>both</t>
        </is>
      </c>
      <c r="AM155" s="2" t="inlineStr">
        <is>
          <t>volume</t>
        </is>
      </c>
    </row>
    <row r="156">
      <c r="A156" s="2" t="inlineStr">
        <is>
          <t>Smaers, J. B., Turner, A. H., Gómez-Robles, A., &amp; Sherwood, C. C. (2018). A cerebellar substrate for cognition evolved multiple times independently in mammals. eLife, 7, e35696</t>
        </is>
      </c>
      <c r="C156" s="2" t="inlineStr">
        <is>
          <t>10.7554/eLife.35696</t>
        </is>
      </c>
      <c r="D156" s="2" t="inlineStr">
        <is>
          <t>Figure 2 - data 1</t>
        </is>
      </c>
      <c r="E156">
        <f>RIGHT(A156,1)</f>
        <v/>
      </c>
      <c r="F156">
        <f>G156 &amp; IF(H156&lt;&gt;"", "_" &amp; H156, "_") &amp; IF(I156&lt;&gt;"", "_" &amp; I156, "_") &amp; IF(B156&lt;&gt;"", "_" &amp; B156, "")</f>
        <v/>
      </c>
      <c r="G156">
        <f>SUBSTITUTE(SUBSTITUTE(_xlfn.TEXTBEFORE(A156,","), "-", ""), " ", "")</f>
        <v/>
      </c>
      <c r="H156">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
      </c>
      <c r="I156">
        <f>_xlfn.TEXTBEFORE(_xlfn.TEXTAFTER(A156, "("), ")")</f>
        <v/>
      </c>
      <c r="J156">
        <f>_xlfn.LET(
_xlpm.doi,IF(C156&lt;&gt;"",C156,_xlfn.TEXTAFTER(A156,"https://doi.org/")),
SUBSTITUTE(
SUBSTITUTE(
SUBSTITUTE(
SUBSTITUTE(
_xlpm.doi,
"/","%2F"),
":","%3A"),
"&lt;","%3C"),
"&gt;","%3E")
)</f>
        <v/>
      </c>
      <c r="K156">
        <f>TRIM(_xlfn.TEXTJOIN("_",FALSE,F156,(SUBSTITUTE(SUBSTITUTE(D156," ",""), "_", ""))))</f>
        <v/>
      </c>
      <c r="L156">
        <f>J156 &amp; "_" &amp; SUBSTITUTE(SUBSTITUTE(SUBSTITUTE(D156,CHAR(160),"")," ",""),"_","")</f>
        <v/>
      </c>
      <c r="M156">
        <f t="array" ref="M156">IFERROR(INDEX(FileList!$A$1:$A$100,MATCH(TRUE,EXACT(L156,_xlfn.TEXTBEFORE(FileList!$A$1:$A$100,".tsv")),0)),"notfound")</f>
        <v/>
      </c>
      <c r="N156" s="2" t="inlineStr">
        <is>
          <t>Cerebellum and cerebrotype volumes across mammals.</t>
        </is>
      </c>
      <c r="Z156" s="2" t="inlineStr">
        <is>
          <t>Stephan, Zilles</t>
        </is>
      </c>
      <c r="AF156" s="2" t="inlineStr">
        <is>
          <t>histological sections</t>
        </is>
      </c>
      <c r="AG156" s="2" t="inlineStr">
        <is>
          <t>volumetry</t>
        </is>
      </c>
      <c r="AI156" s="2" t="inlineStr">
        <is>
          <t>cerebellum / cerebrotype volumes</t>
        </is>
      </c>
      <c r="AJ156" s="2" t="inlineStr">
        <is>
          <t>Mammals</t>
        </is>
      </c>
      <c r="AL156" s="2" t="inlineStr">
        <is>
          <t>both</t>
        </is>
      </c>
      <c r="AM156" s="2" t="inlineStr">
        <is>
          <t>volume</t>
        </is>
      </c>
    </row>
    <row r="157">
      <c r="A157" s="2" t="inlineStr">
        <is>
          <t>Stephan, H., Baron, G., &amp; Frahm, H. D. (1982). Comparison of brain structure volumes in Insectivora and Primates. II. Accessory olfactory bulb (AOB). J Hirnforsch, 23(5), 575-591. https://www.ncbi.nlm.nih.gov/pubmed/7161483</t>
        </is>
      </c>
      <c r="C157" s="2" t="inlineStr">
        <is>
          <t>PMID:7161483</t>
        </is>
      </c>
      <c r="D157" s="2" t="inlineStr">
        <is>
          <t>Table 1</t>
        </is>
      </c>
      <c r="E157">
        <f>RIGHT(A157,1)</f>
        <v/>
      </c>
      <c r="F157">
        <f>G157 &amp; IF(H157&lt;&gt;"", "_" &amp; H157, "_") &amp; IF(I157&lt;&gt;"", "_" &amp; I157, "_") &amp; IF(B157&lt;&gt;"", "_" &amp; B157, "")</f>
        <v/>
      </c>
      <c r="G157">
        <f>SUBSTITUTE(SUBSTITUTE(_xlfn.TEXTBEFORE(A157,","), "-", ""), " ", "")</f>
        <v/>
      </c>
      <c r="H157">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
      </c>
      <c r="I157">
        <f>_xlfn.TEXTBEFORE(_xlfn.TEXTAFTER(A157, "("), ")")</f>
        <v/>
      </c>
      <c r="J157">
        <f>_xlfn.LET(
_xlpm.doi,IF(C157&lt;&gt;"",C157,_xlfn.TEXTAFTER(A157,"https://doi.org/")),
SUBSTITUTE(
SUBSTITUTE(
SUBSTITUTE(
SUBSTITUTE(
_xlpm.doi,
"/","%2F"),
":","%3A"),
"&lt;","%3C"),
"&gt;","%3E")
)</f>
        <v/>
      </c>
      <c r="K157">
        <f>TRIM(_xlfn.TEXTJOIN("_",FALSE,F157,(SUBSTITUTE(SUBSTITUTE(D157," ",""), "_", ""))))</f>
        <v/>
      </c>
      <c r="L157">
        <f>J157 &amp; "_" &amp; SUBSTITUTE(SUBSTITUTE(SUBSTITUTE(D157,CHAR(160),"")," ",""),"_","")</f>
        <v/>
      </c>
      <c r="M157">
        <f t="array" ref="M157">IFERROR(INDEX(FileList!$A$1:$A$100,MATCH(TRUE,EXACT(L157,_xlfn.TEXTBEFORE(FileList!$A$1:$A$100,".tsv")),0)),"notfound")</f>
        <v/>
      </c>
      <c r="N157" s="2" t="inlineStr">
        <is>
          <t>Table 1. Data on AOB and its three measured components in the 61 species. All volumes (columns 2 and 7-9) are in mm3.</t>
        </is>
      </c>
      <c r="P157" s="3" t="inlineStr">
        <is>
          <t>FINISHED</t>
        </is>
      </c>
      <c r="V157" s="3" t="inlineStr">
        <is>
          <t>table</t>
        </is>
      </c>
      <c r="W157" s="3" t="inlineStr">
        <is>
          <t>NO - not digitized</t>
        </is>
      </c>
      <c r="Y157" s="3" t="inlineStr">
        <is>
          <t>Stephan</t>
        </is>
      </c>
      <c r="Z157" s="2" t="inlineStr">
        <is>
          <t>Stephan</t>
        </is>
      </c>
      <c r="AF157" s="2" t="inlineStr">
        <is>
          <t>histological sections</t>
        </is>
      </c>
      <c r="AG157" s="2" t="inlineStr">
        <is>
          <t>volumetry</t>
        </is>
      </c>
      <c r="AI157" s="3" t="inlineStr">
        <is>
          <t>accessory olfactory bulb volume</t>
        </is>
      </c>
      <c r="AJ157" s="2" t="inlineStr">
        <is>
          <t>Insectivora, Scandentia &amp; Primates</t>
        </is>
      </c>
      <c r="AK157" s="3" t="inlineStr">
        <is>
          <t>primary</t>
        </is>
      </c>
      <c r="AL157" s="2" t="inlineStr">
        <is>
          <t>primary</t>
        </is>
      </c>
      <c r="AM157" s="2" t="inlineStr">
        <is>
          <t>volume</t>
        </is>
      </c>
    </row>
    <row r="158">
      <c r="A158" s="2" t="inlineStr">
        <is>
          <t>Stephan, H., Baron, G., &amp; Frahm, H. D. (1988). Comparative size of brains and brain components. In H. D. Stelis &amp; J. Erwin (Eds.), Neurosciences (Vol. 4, pp. 1-38). Liss.</t>
        </is>
      </c>
      <c r="C158" s="2" t="inlineStr">
        <is>
          <t>ISBN:0845140000</t>
        </is>
      </c>
      <c r="D158" s="2" t="inlineStr">
        <is>
          <t>TABLE 1</t>
        </is>
      </c>
      <c r="E158">
        <f>RIGHT(A158,1)</f>
        <v/>
      </c>
      <c r="F158">
        <f>G158 &amp; IF(H158&lt;&gt;"", "_" &amp; H158, "_") &amp; IF(I158&lt;&gt;"", "_" &amp; I158, "_") &amp; IF(B158&lt;&gt;"", "_" &amp; B158, "")</f>
        <v/>
      </c>
      <c r="G158">
        <f>SUBSTITUTE(SUBSTITUTE(_xlfn.TEXTBEFORE(A158,","), "-", ""), " ", "")</f>
        <v/>
      </c>
      <c r="H158">
        <f>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v/>
      </c>
      <c r="I158">
        <f>_xlfn.TEXTBEFORE(_xlfn.TEXTAFTER(A158, "("), ")")</f>
        <v/>
      </c>
      <c r="J158">
        <f>_xlfn.LET(
_xlpm.doi,IF(C158&lt;&gt;"",C158,_xlfn.TEXTAFTER(A158,"https://doi.org/")),
SUBSTITUTE(
SUBSTITUTE(
SUBSTITUTE(
SUBSTITUTE(
_xlpm.doi,
"/","%2F"),
":","%3A"),
"&lt;","%3C"),
"&gt;","%3E")
)</f>
        <v/>
      </c>
      <c r="K158">
        <f>TRIM(_xlfn.TEXTJOIN("_",FALSE,F158,(SUBSTITUTE(SUBSTITUTE(D158," ",""), "_", ""))))</f>
        <v/>
      </c>
      <c r="L158">
        <f>J158 &amp; "_" &amp; SUBSTITUTE(SUBSTITUTE(SUBSTITUTE(D158,CHAR(160),"")," ",""),"_","")</f>
        <v/>
      </c>
      <c r="M158">
        <f t="array" ref="M158">IFERROR(INDEX(FileList!$A$1:$A$100,MATCH(TRUE,EXACT(L158,_xlfn.TEXTBEFORE(FileList!$A$1:$A$100,".tsv")),0)),"notfound")</f>
        <v/>
      </c>
      <c r="N158" s="2" t="inlineStr">
        <is>
          <t>TABLE I. Body Weights (BoWs in g), Brain Weights (BrWs in mg), and Encephalization Indexes (Els) of Tenrecinae, Scandentia, and the 45 Primate Species Whose Brain Structures Were Measured. Some Ecoethological Characteristics Are Given for the Primate Species</t>
        </is>
      </c>
      <c r="P158" s="3" t="n"/>
      <c r="V158" s="3" t="n"/>
      <c r="Y158" s="3" t="n"/>
      <c r="Z158" s="2" t="n"/>
      <c r="AF158" s="2" t="n"/>
      <c r="AG158" s="2" t="n"/>
      <c r="AI158" s="3" t="n"/>
      <c r="AJ158" s="2" t="n"/>
      <c r="AK158" s="3" t="n"/>
      <c r="AL158" s="2" t="n"/>
      <c r="AM158" s="2" t="n"/>
    </row>
    <row r="159">
      <c r="A159" s="2" t="inlineStr">
        <is>
          <t>Stephan, H., Bauchot, R., &amp; Andy, O. J. (1970). Data on the size of the brain and of the various brain parts in insectivores and primates. In C. R. Noback &amp; W. Montagna (Eds.), The Primate Brain (pp. 289-296). Appleton-Century-Crofts</t>
        </is>
      </c>
      <c r="C159" s="2" t="inlineStr">
        <is>
          <t>ISBN:0390672505</t>
        </is>
      </c>
      <c r="D159" s="2" t="inlineStr">
        <is>
          <t>TABLE 1</t>
        </is>
      </c>
      <c r="E159">
        <f>RIGHT(A159,1)</f>
        <v/>
      </c>
      <c r="F159">
        <f>G159 &amp; IF(H159&lt;&gt;"", "_" &amp; H159, "_") &amp; IF(I159&lt;&gt;"", "_" &amp; I159, "_") &amp; IF(B159&lt;&gt;"", "_" &amp; B159, "")</f>
        <v/>
      </c>
      <c r="G159">
        <f>SUBSTITUTE(SUBSTITUTE(_xlfn.TEXTBEFORE(A159,","), "-", ""), " ", "")</f>
        <v/>
      </c>
      <c r="H159">
        <f>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v/>
      </c>
      <c r="I159">
        <f>_xlfn.TEXTBEFORE(_xlfn.TEXTAFTER(A159, "("), ")")</f>
        <v/>
      </c>
      <c r="J159">
        <f>_xlfn.LET(
_xlpm.doi,IF(C159&lt;&gt;"",C159,_xlfn.TEXTAFTER(A159,"https://doi.org/")),
SUBSTITUTE(
SUBSTITUTE(
SUBSTITUTE(
SUBSTITUTE(
_xlpm.doi,
"/","%2F"),
":","%3A"),
"&lt;","%3C"),
"&gt;","%3E")
)</f>
        <v/>
      </c>
      <c r="K159">
        <f>TRIM(_xlfn.TEXTJOIN("_",FALSE,F159,(SUBSTITUTE(SUBSTITUTE(D159," ",""), "_", ""))))</f>
        <v/>
      </c>
      <c r="L159">
        <f>J159 &amp; "_" &amp; SUBSTITUTE(SUBSTITUTE(SUBSTITUTE(D159,CHAR(160),"")," ",""),"_","")</f>
        <v/>
      </c>
      <c r="M159">
        <f t="array" ref="M159">IFERROR(INDEX(FileList!$A$1:$A$100,MATCH(TRUE,EXACT(L159,_xlfn.TEXTBEFORE(FileList!$A$1:$A$100,".tsv")),0)),"notfound")</f>
        <v/>
      </c>
      <c r="N159" s="2" t="inlineStr">
        <is>
          <t>TABLE 1 Data on body and brain weight (in g and mg) and volume of the fundemental brain sections (in mm3) in Insectivores</t>
        </is>
      </c>
      <c r="V159" t="inlineStr">
        <is>
          <t>table</t>
        </is>
      </c>
      <c r="Z159" s="2" t="inlineStr">
        <is>
          <t>Stephan</t>
        </is>
      </c>
      <c r="AF159" s="2" t="inlineStr">
        <is>
          <t>histological sections</t>
        </is>
      </c>
      <c r="AG159" s="2" t="inlineStr">
        <is>
          <t>volumetry</t>
        </is>
      </c>
      <c r="AJ159" s="2" t="inlineStr">
        <is>
          <t>Insectivora, Scandentia</t>
        </is>
      </c>
      <c r="AL159" s="2" t="inlineStr">
        <is>
          <t>primary</t>
        </is>
      </c>
      <c r="AM159" s="2" t="inlineStr">
        <is>
          <t>volume</t>
        </is>
      </c>
    </row>
    <row r="160">
      <c r="A160" s="2" t="inlineStr">
        <is>
          <t>Stephan, H., Bauchot, R., &amp; Andy, O. J. (1970). Data on the size of the brain and of the various brain parts in insectivores and primates. In C. R. Noback &amp; W. Montagna (Eds.), The Primate Brain (pp. 289-296). Appleton-Century-Crofts</t>
        </is>
      </c>
      <c r="C160" s="2" t="inlineStr">
        <is>
          <t>ISBN:0390672505</t>
        </is>
      </c>
      <c r="D160" s="2" t="inlineStr">
        <is>
          <t>TABLE 2</t>
        </is>
      </c>
      <c r="E160">
        <f>RIGHT(A160,1)</f>
        <v/>
      </c>
      <c r="F160">
        <f>G160 &amp; IF(H160&lt;&gt;"", "_" &amp; H160, "_") &amp; IF(I160&lt;&gt;"", "_" &amp; I160, "_") &amp; IF(B160&lt;&gt;"", "_" &amp; B160, "")</f>
        <v/>
      </c>
      <c r="G160">
        <f>SUBSTITUTE(SUBSTITUTE(_xlfn.TEXTBEFORE(A160,","), "-", ""), " ", "")</f>
        <v/>
      </c>
      <c r="H160">
        <f>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
      </c>
      <c r="I160">
        <f>_xlfn.TEXTBEFORE(_xlfn.TEXTAFTER(A160, "("), ")")</f>
        <v/>
      </c>
      <c r="J160">
        <f>_xlfn.LET(
_xlpm.doi,IF(C160&lt;&gt;"",C160,_xlfn.TEXTAFTER(A160,"https://doi.org/")),
SUBSTITUTE(
SUBSTITUTE(
SUBSTITUTE(
SUBSTITUTE(
_xlpm.doi,
"/","%2F"),
":","%3A"),
"&lt;","%3C"),
"&gt;","%3E")
)</f>
        <v/>
      </c>
      <c r="K160">
        <f>TRIM(_xlfn.TEXTJOIN("_",FALSE,F160,(SUBSTITUTE(SUBSTITUTE(D160," ",""), "_", ""))))</f>
        <v/>
      </c>
      <c r="L160">
        <f>J160 &amp; "_" &amp; SUBSTITUTE(SUBSTITUTE(SUBSTITUTE(D160,CHAR(160),"")," ",""),"_","")</f>
        <v/>
      </c>
      <c r="M160">
        <f t="array" ref="M160">IFERROR(INDEX(FileList!$A$1:$A$100,MATCH(TRUE,EXACT(L160,_xlfn.TEXTBEFORE(FileList!$A$1:$A$100,".tsv")),0)),"notfound")</f>
        <v/>
      </c>
      <c r="N160" s="2" t="inlineStr">
        <is>
          <t>TABLE 2 Data on body and brain weight (in g and mg) and volume of the fundemental brain sections (in mm3) in Prosimians</t>
        </is>
      </c>
      <c r="V160" t="inlineStr">
        <is>
          <t>table</t>
        </is>
      </c>
      <c r="Z160" s="2" t="inlineStr">
        <is>
          <t>Stephan</t>
        </is>
      </c>
      <c r="AF160" s="2" t="inlineStr">
        <is>
          <t>histological sections</t>
        </is>
      </c>
      <c r="AG160" s="2" t="inlineStr">
        <is>
          <t>volumetry</t>
        </is>
      </c>
      <c r="AJ160" s="2" t="inlineStr">
        <is>
          <t>Primates</t>
        </is>
      </c>
      <c r="AL160" s="2" t="inlineStr">
        <is>
          <t>primary</t>
        </is>
      </c>
      <c r="AM160" s="2" t="inlineStr">
        <is>
          <t>volume</t>
        </is>
      </c>
    </row>
    <row r="161">
      <c r="A161" s="2" t="inlineStr">
        <is>
          <t>Stephan, H., Bauchot, R., &amp; Andy, O. J. (1970). Data on the size of the brain and of the various brain parts in insectivores and primates. In C. R. Noback &amp; W. Montagna (Eds.), The Primate Brain (pp. 289-296). Appleton-Century-Crofts</t>
        </is>
      </c>
      <c r="C161" s="2" t="inlineStr">
        <is>
          <t>ISBN:0390672505</t>
        </is>
      </c>
      <c r="D161" s="2" t="inlineStr">
        <is>
          <t>TABLE 3</t>
        </is>
      </c>
      <c r="E161">
        <f>RIGHT(A161,1)</f>
        <v/>
      </c>
      <c r="F161">
        <f>G161 &amp; IF(H161&lt;&gt;"", "_" &amp; H161, "_") &amp; IF(I161&lt;&gt;"", "_" &amp; I161, "_") &amp; IF(B161&lt;&gt;"", "_" &amp; B161, "")</f>
        <v/>
      </c>
      <c r="G161">
        <f>SUBSTITUTE(SUBSTITUTE(_xlfn.TEXTBEFORE(A161,","), "-", ""), " ", "")</f>
        <v/>
      </c>
      <c r="H161">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
      </c>
      <c r="I161">
        <f>_xlfn.TEXTBEFORE(_xlfn.TEXTAFTER(A161, "("), ")")</f>
        <v/>
      </c>
      <c r="J161">
        <f>_xlfn.LET(
_xlpm.doi,IF(C161&lt;&gt;"",C161,_xlfn.TEXTAFTER(A161,"https://doi.org/")),
SUBSTITUTE(
SUBSTITUTE(
SUBSTITUTE(
SUBSTITUTE(
_xlpm.doi,
"/","%2F"),
":","%3A"),
"&lt;","%3C"),
"&gt;","%3E")
)</f>
        <v/>
      </c>
      <c r="K161">
        <f>TRIM(_xlfn.TEXTJOIN("_",FALSE,F161,(SUBSTITUTE(SUBSTITUTE(D161," ",""), "_", ""))))</f>
        <v/>
      </c>
      <c r="L161">
        <f>J161 &amp; "_" &amp; SUBSTITUTE(SUBSTITUTE(SUBSTITUTE(D161,CHAR(160),"")," ",""),"_","")</f>
        <v/>
      </c>
      <c r="M161">
        <f t="array" ref="M161">IFERROR(INDEX(FileList!$A$1:$A$100,MATCH(TRUE,EXACT(L161,_xlfn.TEXTBEFORE(FileList!$A$1:$A$100,".tsv")),0)),"notfound")</f>
        <v/>
      </c>
      <c r="N161" s="2" t="inlineStr">
        <is>
          <t>TABLE 3 Data on body and brain weight (in g and mg) and volume of the fundemental brain sections (in mm3) in Simians</t>
        </is>
      </c>
      <c r="V161" t="inlineStr">
        <is>
          <t>table</t>
        </is>
      </c>
      <c r="Z161" s="2" t="inlineStr">
        <is>
          <t>Stephan</t>
        </is>
      </c>
      <c r="AF161" s="2" t="inlineStr">
        <is>
          <t>histological sections</t>
        </is>
      </c>
      <c r="AG161" s="2" t="inlineStr">
        <is>
          <t>volumetry</t>
        </is>
      </c>
      <c r="AJ161" s="2" t="inlineStr">
        <is>
          <t>Primates</t>
        </is>
      </c>
      <c r="AL161" s="2" t="inlineStr">
        <is>
          <t>primary</t>
        </is>
      </c>
      <c r="AM161" s="2" t="inlineStr">
        <is>
          <t>volume</t>
        </is>
      </c>
    </row>
    <row r="162">
      <c r="A162" s="2" t="inlineStr">
        <is>
          <t>Stephan, H., Bauchot, R., &amp; Andy, O. J. (1970). Data on the size of the brain and of the various brain parts in insectivores and primates. In C. R. Noback &amp; W. Montagna (Eds.), The Primate Brain (pp. 289-296). Appleton-Century-Crofts</t>
        </is>
      </c>
      <c r="C162" s="2" t="inlineStr">
        <is>
          <t>ISBN:0390672505</t>
        </is>
      </c>
      <c r="D162" s="2" t="inlineStr">
        <is>
          <t>TABLE 4</t>
        </is>
      </c>
      <c r="E162">
        <f>RIGHT(A162,1)</f>
        <v/>
      </c>
      <c r="F162">
        <f>G162 &amp; IF(H162&lt;&gt;"", "_" &amp; H162, "_") &amp; IF(I162&lt;&gt;"", "_" &amp; I162, "_") &amp; IF(B162&lt;&gt;"", "_" &amp; B162, "")</f>
        <v/>
      </c>
      <c r="G162">
        <f>SUBSTITUTE(SUBSTITUTE(_xlfn.TEXTBEFORE(A162,","), "-", ""), " ", "")</f>
        <v/>
      </c>
      <c r="H162">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
      </c>
      <c r="I162">
        <f>_xlfn.TEXTBEFORE(_xlfn.TEXTAFTER(A162, "("), ")")</f>
        <v/>
      </c>
      <c r="J162">
        <f>_xlfn.LET(
_xlpm.doi,IF(C162&lt;&gt;"",C162,_xlfn.TEXTAFTER(A162,"https://doi.org/")),
SUBSTITUTE(
SUBSTITUTE(
SUBSTITUTE(
SUBSTITUTE(
_xlpm.doi,
"/","%2F"),
":","%3A"),
"&lt;","%3C"),
"&gt;","%3E")
)</f>
        <v/>
      </c>
      <c r="K162">
        <f>TRIM(_xlfn.TEXTJOIN("_",FALSE,F162,(SUBSTITUTE(SUBSTITUTE(D162," ",""), "_", ""))))</f>
        <v/>
      </c>
      <c r="L162">
        <f>J162 &amp; "_" &amp; SUBSTITUTE(SUBSTITUTE(SUBSTITUTE(D162,CHAR(160),"")," ",""),"_","")</f>
        <v/>
      </c>
      <c r="M162">
        <f t="array" ref="M162">IFERROR(INDEX(FileList!$A$1:$A$100,MATCH(TRUE,EXACT(L162,_xlfn.TEXTBEFORE(FileList!$A$1:$A$100,".tsv")),0)),"notfound")</f>
        <v/>
      </c>
      <c r="N162" s="2" t="inlineStr">
        <is>
          <t>TABLE 4 Volume of the various components of the telencephalon in Insectivores (in mm3)</t>
        </is>
      </c>
      <c r="V162" t="inlineStr">
        <is>
          <t>table</t>
        </is>
      </c>
      <c r="Z162" s="2" t="inlineStr">
        <is>
          <t>Stephan</t>
        </is>
      </c>
      <c r="AF162" s="2" t="inlineStr">
        <is>
          <t>histological sections</t>
        </is>
      </c>
      <c r="AG162" s="2" t="inlineStr">
        <is>
          <t>volumetry</t>
        </is>
      </c>
      <c r="AJ162" s="2" t="inlineStr">
        <is>
          <t>Insectivora, Scandentia</t>
        </is>
      </c>
      <c r="AL162" s="2" t="inlineStr">
        <is>
          <t>primary</t>
        </is>
      </c>
      <c r="AM162" s="2" t="inlineStr">
        <is>
          <t>volume</t>
        </is>
      </c>
    </row>
    <row r="163">
      <c r="A163" s="2" t="inlineStr">
        <is>
          <t>Stephan, H., Bauchot, R., &amp; Andy, O. J. (1970). Data on the size of the brain and of the various brain parts in insectivores and primates. In C. R. Noback &amp; W. Montagna (Eds.), The Primate Brain (pp. 289-296). Appleton-Century-Crofts</t>
        </is>
      </c>
      <c r="C163" s="2" t="inlineStr">
        <is>
          <t>ISBN:0390672505</t>
        </is>
      </c>
      <c r="D163" s="2" t="inlineStr">
        <is>
          <t>TABLE 5</t>
        </is>
      </c>
      <c r="E163">
        <f>RIGHT(A163,1)</f>
        <v/>
      </c>
      <c r="F163">
        <f>G163 &amp; IF(H163&lt;&gt;"", "_" &amp; H163, "_") &amp; IF(I163&lt;&gt;"", "_" &amp; I163, "_") &amp; IF(B163&lt;&gt;"", "_" &amp; B163, "")</f>
        <v/>
      </c>
      <c r="G163">
        <f>SUBSTITUTE(SUBSTITUTE(_xlfn.TEXTBEFORE(A163,","), "-", ""), " ", "")</f>
        <v/>
      </c>
      <c r="H163">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
      </c>
      <c r="I163">
        <f>_xlfn.TEXTBEFORE(_xlfn.TEXTAFTER(A163, "("), ")")</f>
        <v/>
      </c>
      <c r="J163">
        <f>_xlfn.LET(
_xlpm.doi,IF(C163&lt;&gt;"",C163,_xlfn.TEXTAFTER(A163,"https://doi.org/")),
SUBSTITUTE(
SUBSTITUTE(
SUBSTITUTE(
SUBSTITUTE(
_xlpm.doi,
"/","%2F"),
":","%3A"),
"&lt;","%3C"),
"&gt;","%3E")
)</f>
        <v/>
      </c>
      <c r="K163">
        <f>TRIM(_xlfn.TEXTJOIN("_",FALSE,F163,(SUBSTITUTE(SUBSTITUTE(D163," ",""), "_", ""))))</f>
        <v/>
      </c>
      <c r="L163">
        <f>J163 &amp; "_" &amp; SUBSTITUTE(SUBSTITUTE(SUBSTITUTE(D163,CHAR(160),"")," ",""),"_","")</f>
        <v/>
      </c>
      <c r="M163">
        <f t="array" ref="M163">IFERROR(INDEX(FileList!$A$1:$A$100,MATCH(TRUE,EXACT(L163,_xlfn.TEXTBEFORE(FileList!$A$1:$A$100,".tsv")),0)),"notfound")</f>
        <v/>
      </c>
      <c r="N163" s="2" t="inlineStr">
        <is>
          <t>TABLE 5 Volume of the various components of the telencephalon in Prosimians (in mm3)</t>
        </is>
      </c>
      <c r="P163" s="6" t="n"/>
      <c r="V163" t="inlineStr">
        <is>
          <t>table</t>
        </is>
      </c>
      <c r="Y163" s="6" t="n"/>
      <c r="Z163" s="2" t="inlineStr">
        <is>
          <t>Stephan</t>
        </is>
      </c>
      <c r="AF163" s="2" t="inlineStr">
        <is>
          <t>histological sections</t>
        </is>
      </c>
      <c r="AG163" s="2" t="inlineStr">
        <is>
          <t>volumetry</t>
        </is>
      </c>
      <c r="AJ163" s="2" t="inlineStr">
        <is>
          <t>Primates</t>
        </is>
      </c>
      <c r="AL163" s="2" t="inlineStr">
        <is>
          <t>primary</t>
        </is>
      </c>
      <c r="AM163" s="2" t="inlineStr">
        <is>
          <t>volume</t>
        </is>
      </c>
    </row>
    <row r="164">
      <c r="A164" s="2" t="inlineStr">
        <is>
          <t>Stephan, H., Bauchot, R., &amp; Andy, O. J. (1970). Data on the size of the brain and of the various brain parts in insectivores and primates. In C. R. Noback &amp; W. Montagna (Eds.), The Primate Brain (pp. 289-296). Appleton-Century-Crofts</t>
        </is>
      </c>
      <c r="C164" s="2" t="inlineStr">
        <is>
          <t>ISBN:0390672505</t>
        </is>
      </c>
      <c r="D164" s="2" t="inlineStr">
        <is>
          <t>TABLE 6</t>
        </is>
      </c>
      <c r="E164">
        <f>RIGHT(A164,1)</f>
        <v/>
      </c>
      <c r="F164">
        <f>G164 &amp; IF(H164&lt;&gt;"", "_" &amp; H164, "_") &amp; IF(I164&lt;&gt;"", "_" &amp; I164, "_") &amp; IF(B164&lt;&gt;"", "_" &amp; B164, "")</f>
        <v/>
      </c>
      <c r="G164">
        <f>SUBSTITUTE(SUBSTITUTE(_xlfn.TEXTBEFORE(A164,","), "-", ""), " ", "")</f>
        <v/>
      </c>
      <c r="H164">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
      </c>
      <c r="I164">
        <f>_xlfn.TEXTBEFORE(_xlfn.TEXTAFTER(A164, "("), ")")</f>
        <v/>
      </c>
      <c r="J164">
        <f>_xlfn.LET(
_xlpm.doi,IF(C164&lt;&gt;"",C164,_xlfn.TEXTAFTER(A164,"https://doi.org/")),
SUBSTITUTE(
SUBSTITUTE(
SUBSTITUTE(
SUBSTITUTE(
_xlpm.doi,
"/","%2F"),
":","%3A"),
"&lt;","%3C"),
"&gt;","%3E")
)</f>
        <v/>
      </c>
      <c r="K164">
        <f>TRIM(_xlfn.TEXTJOIN("_",FALSE,F164,(SUBSTITUTE(SUBSTITUTE(D164," ",""), "_", ""))))</f>
        <v/>
      </c>
      <c r="L164">
        <f>J164 &amp; "_" &amp; SUBSTITUTE(SUBSTITUTE(SUBSTITUTE(D164,CHAR(160),"")," ",""),"_","")</f>
        <v/>
      </c>
      <c r="M164">
        <f t="array" ref="M164">IFERROR(INDEX(FileList!$A$1:$A$100,MATCH(TRUE,EXACT(L164,_xlfn.TEXTBEFORE(FileList!$A$1:$A$100,".tsv")),0)),"notfound")</f>
        <v/>
      </c>
      <c r="N164" s="2" t="inlineStr">
        <is>
          <t>TABLE 6 Volume of the various components of the telencephalon in Simians (in mm3)</t>
        </is>
      </c>
      <c r="P164" s="6" t="n"/>
      <c r="V164" s="6" t="inlineStr">
        <is>
          <t>table</t>
        </is>
      </c>
      <c r="W164" s="6" t="n"/>
      <c r="Y164" s="6" t="n"/>
      <c r="Z164" s="2" t="inlineStr">
        <is>
          <t>Stephan</t>
        </is>
      </c>
      <c r="AF164" s="2" t="inlineStr">
        <is>
          <t>histological sections</t>
        </is>
      </c>
      <c r="AG164" s="2" t="inlineStr">
        <is>
          <t>volumetry</t>
        </is>
      </c>
      <c r="AI164" s="6" t="n"/>
      <c r="AJ164" s="2" t="inlineStr">
        <is>
          <t>Primates</t>
        </is>
      </c>
      <c r="AK164" s="6" t="n"/>
      <c r="AL164" s="2" t="inlineStr">
        <is>
          <t>primary</t>
        </is>
      </c>
      <c r="AM164" s="2" t="inlineStr">
        <is>
          <t>volume</t>
        </is>
      </c>
    </row>
    <row r="165">
      <c r="A165" s="2" t="inlineStr">
        <is>
          <t>Stephan, H., Bauchot, R., &amp; Andy, O. J. (1970). Data on the size of the brain and of the various brain parts in insectivores and primates. In C. R. Noback &amp; W. Montagna (Eds.), The Primate Brain (pp. 289-296). Appleton-Century-Crofts</t>
        </is>
      </c>
      <c r="C165" s="2" t="inlineStr">
        <is>
          <t>ISBN:0390672505</t>
        </is>
      </c>
      <c r="D165" s="2" t="inlineStr">
        <is>
          <t>Tables 1-6</t>
        </is>
      </c>
      <c r="E165">
        <f>RIGHT(A165,1)</f>
        <v/>
      </c>
      <c r="F165">
        <f>G165 &amp; IF(H165&lt;&gt;"", "_" &amp; H165, "_") &amp; IF(I165&lt;&gt;"", "_" &amp; I165, "_") &amp; IF(B165&lt;&gt;"", "_" &amp; B165, "")</f>
        <v/>
      </c>
      <c r="G165">
        <f>SUBSTITUTE(SUBSTITUTE(_xlfn.TEXTBEFORE(A165,","), "-", ""), " ", "")</f>
        <v/>
      </c>
      <c r="H165">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
      </c>
      <c r="I165">
        <f>_xlfn.TEXTBEFORE(_xlfn.TEXTAFTER(A165, "("), ")")</f>
        <v/>
      </c>
      <c r="J165">
        <f>_xlfn.LET(
_xlpm.doi,IF(C165&lt;&gt;"",C165,_xlfn.TEXTAFTER(A165,"https://doi.org/")),
SUBSTITUTE(
SUBSTITUTE(
SUBSTITUTE(
SUBSTITUTE(
_xlpm.doi,
"/","%2F"),
":","%3A"),
"&lt;","%3C"),
"&gt;","%3E")
)</f>
        <v/>
      </c>
      <c r="K165">
        <f>TRIM(_xlfn.TEXTJOIN("_",FALSE,F165,(SUBSTITUTE(SUBSTITUTE(D165," ",""), "_", ""))))</f>
        <v/>
      </c>
      <c r="L165">
        <f>J165 &amp; "_" &amp; SUBSTITUTE(SUBSTITUTE(SUBSTITUTE(D165,CHAR(160),"")," ",""),"_","")</f>
        <v/>
      </c>
      <c r="M165">
        <f t="array" ref="M165">IFERROR(INDEX(FileList!$A$1:$A$100,MATCH(TRUE,EXACT(L165,_xlfn.TEXTBEFORE(FileList!$A$1:$A$100,".tsv")),0)),"notfound")</f>
        <v/>
      </c>
      <c r="N165" s="2" t="n"/>
      <c r="O165" t="inlineStr">
        <is>
          <t>Tables 1-6 combined</t>
        </is>
      </c>
      <c r="P165" s="2" t="inlineStr">
        <is>
          <t>FINISHED</t>
        </is>
      </c>
      <c r="V165" s="6" t="inlineStr">
        <is>
          <t>tables</t>
        </is>
      </c>
      <c r="W165" s="6" t="n"/>
      <c r="Y165" s="2" t="inlineStr">
        <is>
          <t>Stephan</t>
        </is>
      </c>
      <c r="Z165" s="2" t="inlineStr">
        <is>
          <t>Stephan</t>
        </is>
      </c>
      <c r="AF165" s="2" t="inlineStr">
        <is>
          <t>histological sections</t>
        </is>
      </c>
      <c r="AG165" s="2" t="inlineStr">
        <is>
          <t>volumetry</t>
        </is>
      </c>
      <c r="AI165" s="6" t="n"/>
      <c r="AJ165" s="2" t="inlineStr">
        <is>
          <t>Insectivora, Scandentia &amp; Primates</t>
        </is>
      </c>
      <c r="AK165" s="6" t="n"/>
      <c r="AL165" s="2" t="inlineStr">
        <is>
          <t>primary</t>
        </is>
      </c>
      <c r="AM165" s="2" t="inlineStr">
        <is>
          <t>volume</t>
        </is>
      </c>
    </row>
    <row r="166">
      <c r="A166" s="2" t="inlineStr">
        <is>
          <t>Stephan, H., Frahm, H. D., &amp; Baron, G. (1984). Comparison of brain structure volumes in insectivora and primates. IV. Non-cortical visual structures. J Hirnforsch, 25(4), 385-403. https://www.ncbi.nlm.nih.gov/pubmed/6481154</t>
        </is>
      </c>
      <c r="C166" s="2" t="inlineStr">
        <is>
          <t>PMID:6481154</t>
        </is>
      </c>
      <c r="D166" s="2" t="inlineStr">
        <is>
          <t>Table 1</t>
        </is>
      </c>
      <c r="E166">
        <f>RIGHT(A166,1)</f>
        <v/>
      </c>
      <c r="F166">
        <f>G166 &amp; IF(H166&lt;&gt;"", "_" &amp; H166, "_") &amp; IF(I166&lt;&gt;"", "_" &amp; I166, "_") &amp; IF(B166&lt;&gt;"", "_" &amp; B166, "")</f>
        <v/>
      </c>
      <c r="G166">
        <f>SUBSTITUTE(SUBSTITUTE(_xlfn.TEXTBEFORE(A166,","), "-", ""), " ", "")</f>
        <v/>
      </c>
      <c r="H166">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
      </c>
      <c r="I166">
        <f>_xlfn.TEXTBEFORE(_xlfn.TEXTAFTER(A166, "("), ")")</f>
        <v/>
      </c>
      <c r="J166">
        <f>_xlfn.LET(
_xlpm.doi,IF(C166&lt;&gt;"",C166,_xlfn.TEXTAFTER(A166,"https://doi.org/")),
SUBSTITUTE(
SUBSTITUTE(
SUBSTITUTE(
SUBSTITUTE(
_xlpm.doi,
"/","%2F"),
":","%3A"),
"&lt;","%3C"),
"&gt;","%3E")
)</f>
        <v/>
      </c>
      <c r="K166">
        <f>TRIM(_xlfn.TEXTJOIN("_",FALSE,F166,(SUBSTITUTE(SUBSTITUTE(D166," ",""), "_", ""))))</f>
        <v/>
      </c>
      <c r="L166">
        <f>J166 &amp; "_" &amp; SUBSTITUTE(SUBSTITUTE(SUBSTITUTE(D166,CHAR(160),"")," ",""),"_","")</f>
        <v/>
      </c>
      <c r="M166">
        <f t="array" ref="M166">IFERROR(INDEX(FileList!$A$1:$A$100,MATCH(TRUE,EXACT(L166,_xlfn.TEXTBEFORE(FileList!$A$1:$A$100,".tsv")),0)),"notfound")</f>
        <v/>
      </c>
      <c r="N166" s="2" t="inlineStr">
        <is>
          <t>Table 1. Data on half surface of eyes (HSE), cross-sectional areas of nervus opticus (NOA), and the dorsal lateral geniculate body (CGL).</t>
        </is>
      </c>
      <c r="P166" s="2" t="inlineStr">
        <is>
          <t>FINISHED</t>
        </is>
      </c>
      <c r="V166" s="2" t="inlineStr">
        <is>
          <t>table</t>
        </is>
      </c>
      <c r="W166" s="2" t="inlineStr">
        <is>
          <t>NO - not digitized</t>
        </is>
      </c>
      <c r="Y166" s="2" t="inlineStr">
        <is>
          <t>Stephan</t>
        </is>
      </c>
      <c r="Z166" s="2" t="inlineStr">
        <is>
          <t>Stephan</t>
        </is>
      </c>
      <c r="AF166" s="2" t="inlineStr">
        <is>
          <t>histological sections</t>
        </is>
      </c>
      <c r="AG166" s="2" t="inlineStr">
        <is>
          <t>volumetry</t>
        </is>
      </c>
      <c r="AI166" s="2" t="inlineStr">
        <is>
          <t>non-cortical visual structure volumes</t>
        </is>
      </c>
      <c r="AJ166" s="2" t="inlineStr">
        <is>
          <t>Insectivora, Scandentia &amp; Primates</t>
        </is>
      </c>
      <c r="AK166" s="2" t="inlineStr">
        <is>
          <t>primary</t>
        </is>
      </c>
      <c r="AL166" s="2" t="inlineStr">
        <is>
          <t>primary</t>
        </is>
      </c>
      <c r="AM166" s="2" t="inlineStr">
        <is>
          <t>volume</t>
        </is>
      </c>
    </row>
    <row r="167">
      <c r="A167" s="2" t="inlineStr">
        <is>
          <t>Stephan, H., Frahm, H. D., &amp; Baron, G. (1987). Comparison of brain structure volumes in Insectivora and primates. VII. Amygdaloid components. J Hirnforsch, 28(5), 571-584. https://www.ncbi.nlm.nih.gov/pubmed/3693895</t>
        </is>
      </c>
      <c r="C167" s="3" t="inlineStr">
        <is>
          <t>PMID:3693895</t>
        </is>
      </c>
      <c r="D167" s="2" t="inlineStr">
        <is>
          <t>Table 1</t>
        </is>
      </c>
      <c r="E167">
        <f>RIGHT(A167,1)</f>
        <v/>
      </c>
      <c r="F167">
        <f>G167 &amp; IF(H167&lt;&gt;"", "_" &amp; H167, "_") &amp; IF(I167&lt;&gt;"", "_" &amp; I167, "_") &amp; IF(B167&lt;&gt;"", "_" &amp; B167, "")</f>
        <v/>
      </c>
      <c r="G167">
        <f>SUBSTITUTE(SUBSTITUTE(_xlfn.TEXTBEFORE(A167,","), "-", ""), " ", "")</f>
        <v/>
      </c>
      <c r="H167">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
      </c>
      <c r="I167">
        <f>_xlfn.TEXTBEFORE(_xlfn.TEXTAFTER(A167, "("), ")")</f>
        <v/>
      </c>
      <c r="J167">
        <f>_xlfn.LET(
_xlpm.doi,IF(C167&lt;&gt;"",C167,_xlfn.TEXTAFTER(A167,"https://doi.org/")),
SUBSTITUTE(
SUBSTITUTE(
SUBSTITUTE(
SUBSTITUTE(
_xlpm.doi,
"/","%2F"),
":","%3A"),
"&lt;","%3C"),
"&gt;","%3E")
)</f>
        <v/>
      </c>
      <c r="K167">
        <f>TRIM(_xlfn.TEXTJOIN("_",FALSE,F167,(SUBSTITUTE(SUBSTITUTE(D167," ",""), "_", ""))))</f>
        <v/>
      </c>
      <c r="L167">
        <f>J167 &amp; "_" &amp; SUBSTITUTE(SUBSTITUTE(SUBSTITUTE(D167,CHAR(160),"")," ",""),"_","")</f>
        <v/>
      </c>
      <c r="M167">
        <f t="array" ref="M167">IFERROR(INDEX(FileList!$A$1:$A$100,MATCH(TRUE,EXACT(L167,_xlfn.TEXTBEFORE(FileList!$A$1:$A$100,".tsv")),0)),"notfound")</f>
        <v/>
      </c>
      <c r="N167" s="2" t="inlineStr">
        <is>
          <t>Table 1. Volumes and indices of the amygdala (AMY) and amygdaloid components (LAM, MAM, MCB, NTO) in Macroscelidea, Insectivora and Scandentia</t>
        </is>
      </c>
      <c r="P167" s="2" t="inlineStr">
        <is>
          <t>FINISHED</t>
        </is>
      </c>
      <c r="V167" s="2" t="inlineStr">
        <is>
          <t>table</t>
        </is>
      </c>
      <c r="W167" s="3" t="inlineStr">
        <is>
          <t>NO - not digitized</t>
        </is>
      </c>
      <c r="Y167" s="2" t="inlineStr">
        <is>
          <t>Stephan</t>
        </is>
      </c>
      <c r="Z167" s="2" t="inlineStr">
        <is>
          <t>Stephan</t>
        </is>
      </c>
      <c r="AF167" s="2" t="inlineStr">
        <is>
          <t>histological sections</t>
        </is>
      </c>
      <c r="AG167" s="2" t="inlineStr">
        <is>
          <t>volumetry</t>
        </is>
      </c>
      <c r="AI167" s="2" t="inlineStr">
        <is>
          <t>amygdaloid component volumes</t>
        </is>
      </c>
      <c r="AJ167" s="2" t="inlineStr">
        <is>
          <t>Insectivora, Scandentia &amp; Primates</t>
        </is>
      </c>
      <c r="AK167" s="2" t="inlineStr">
        <is>
          <t>primary</t>
        </is>
      </c>
      <c r="AL167" s="2" t="inlineStr">
        <is>
          <t>primary</t>
        </is>
      </c>
      <c r="AM167" s="2" t="inlineStr">
        <is>
          <t>volume</t>
        </is>
      </c>
    </row>
    <row r="168">
      <c r="A168" s="2" t="inlineStr">
        <is>
          <t>Stephan, H., Frahm, H., &amp; Baron, G. (1981). New and revised data on volumes of brain structures in insectivores and primates. Folia Primatol (Basel), 35(1), 1-29. https://doi.org/10.1159/000155963</t>
        </is>
      </c>
      <c r="D168" s="2" t="inlineStr">
        <is>
          <t>Table I</t>
        </is>
      </c>
      <c r="E168">
        <f>RIGHT(A168,1)</f>
        <v/>
      </c>
      <c r="F168">
        <f>G168 &amp; IF(H168&lt;&gt;"", "_" &amp; H168, "_") &amp; IF(I168&lt;&gt;"", "_" &amp; I168, "_") &amp; IF(B168&lt;&gt;"", "_" &amp; B168, "")</f>
        <v/>
      </c>
      <c r="G168">
        <f>SUBSTITUTE(SUBSTITUTE(_xlfn.TEXTBEFORE(A168,","), "-", ""), " ", "")</f>
        <v/>
      </c>
      <c r="H168">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
      </c>
      <c r="I168">
        <f>_xlfn.TEXTBEFORE(_xlfn.TEXTAFTER(A168, "("), ")")</f>
        <v/>
      </c>
      <c r="J168">
        <f>_xlfn.LET(
_xlpm.doi,IF(C168&lt;&gt;"",C168,_xlfn.TEXTAFTER(A168,"https://doi.org/")),
SUBSTITUTE(
SUBSTITUTE(
SUBSTITUTE(
SUBSTITUTE(
_xlpm.doi,
"/","%2F"),
":","%3A"),
"&lt;","%3C"),
"&gt;","%3E")
)</f>
        <v/>
      </c>
      <c r="K168">
        <f>TRIM(_xlfn.TEXTJOIN("_",FALSE,F168,(SUBSTITUTE(SUBSTITUTE(D168," ",""), "_", ""))))</f>
        <v/>
      </c>
      <c r="L168">
        <f>J168 &amp; "_" &amp; SUBSTITUTE(SUBSTITUTE(SUBSTITUTE(D168,CHAR(160),"")," ",""),"_","")</f>
        <v/>
      </c>
      <c r="M168">
        <f t="array" ref="M168">IFERROR(INDEX(FileList!$A$1:$A$100,MATCH(TRUE,EXACT(L168,_xlfn.TEXTBEFORE(FileList!$A$1:$A$100,".tsv")),0)),"notfound")</f>
        <v/>
      </c>
      <c r="N168" s="2" t="inlineStr">
        <is>
          <t>Table I. Data on body weights (g). brain weights (mg). and volumes or total brain and fundamental brain parts (mm3) in insectivores</t>
        </is>
      </c>
      <c r="P168" s="2" t="n"/>
      <c r="V168" s="2" t="inlineStr">
        <is>
          <t>table</t>
        </is>
      </c>
      <c r="Y168" s="2" t="inlineStr">
        <is>
          <t>Stephan</t>
        </is>
      </c>
      <c r="Z168" s="2" t="inlineStr">
        <is>
          <t>Stephan</t>
        </is>
      </c>
      <c r="AF168" s="2" t="inlineStr">
        <is>
          <t>histological sections</t>
        </is>
      </c>
      <c r="AG168" s="2" t="inlineStr">
        <is>
          <t>volumetry</t>
        </is>
      </c>
      <c r="AI168" s="2" t="inlineStr">
        <is>
          <t>brain structure volumes</t>
        </is>
      </c>
      <c r="AJ168" s="2" t="inlineStr">
        <is>
          <t>Insectivora, Scandentia &amp; Primates</t>
        </is>
      </c>
      <c r="AK168" s="2" t="inlineStr">
        <is>
          <t>primary</t>
        </is>
      </c>
      <c r="AL168" s="2" t="inlineStr">
        <is>
          <t>primary</t>
        </is>
      </c>
      <c r="AM168" s="2" t="inlineStr">
        <is>
          <t>volume</t>
        </is>
      </c>
    </row>
    <row r="169">
      <c r="A169" s="2" t="inlineStr">
        <is>
          <t>Stephan, H., Frahm, H., &amp; Baron, G. (1981). New and revised data on volumes of brain structures in insectivores and primates. Folia Primatol (Basel), 35(1), 1-29. https://doi.org/10.1159/000155963</t>
        </is>
      </c>
      <c r="D169" s="2" t="inlineStr">
        <is>
          <t>Table II</t>
        </is>
      </c>
      <c r="E169">
        <f>RIGHT(A169,1)</f>
        <v/>
      </c>
      <c r="F169">
        <f>G169 &amp; IF(H169&lt;&gt;"", "_" &amp; H169, "_") &amp; IF(I169&lt;&gt;"", "_" &amp; I169, "_") &amp; IF(B169&lt;&gt;"", "_" &amp; B169, "")</f>
        <v/>
      </c>
      <c r="G169">
        <f>SUBSTITUTE(SUBSTITUTE(_xlfn.TEXTBEFORE(A169,","), "-", ""), " ", "")</f>
        <v/>
      </c>
      <c r="H169">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
      </c>
      <c r="I169">
        <f>_xlfn.TEXTBEFORE(_xlfn.TEXTAFTER(A169, "("), ")")</f>
        <v/>
      </c>
      <c r="J169">
        <f>_xlfn.LET(
_xlpm.doi,IF(C169&lt;&gt;"",C169,_xlfn.TEXTAFTER(A169,"https://doi.org/")),
SUBSTITUTE(
SUBSTITUTE(
SUBSTITUTE(
SUBSTITUTE(
_xlpm.doi,
"/","%2F"),
":","%3A"),
"&lt;","%3C"),
"&gt;","%3E")
)</f>
        <v/>
      </c>
      <c r="K169">
        <f>TRIM(_xlfn.TEXTJOIN("_",FALSE,F169,(SUBSTITUTE(SUBSTITUTE(D169," ",""), "_", ""))))</f>
        <v/>
      </c>
      <c r="L169">
        <f>J169 &amp; "_" &amp; SUBSTITUTE(SUBSTITUTE(SUBSTITUTE(D169,CHAR(160),"")," ",""),"_","")</f>
        <v/>
      </c>
      <c r="M169">
        <f t="array" ref="M169">IFERROR(INDEX(FileList!$A$1:$A$100,MATCH(TRUE,EXACT(L169,_xlfn.TEXTBEFORE(FileList!$A$1:$A$100,".tsv")),0)),"notfound")</f>
        <v/>
      </c>
      <c r="N169" s="2" t="inlineStr">
        <is>
          <t>Table II. Data on body weights (g), brain weights (mg), and volumes of total brain and fundamental brain parts (mm1) in prosimians; for comments on structures see table I</t>
        </is>
      </c>
      <c r="P169" s="2" t="n"/>
      <c r="V169" s="2" t="inlineStr">
        <is>
          <t>table</t>
        </is>
      </c>
      <c r="Y169" s="2" t="inlineStr">
        <is>
          <t>Stephan</t>
        </is>
      </c>
      <c r="Z169" s="2" t="inlineStr">
        <is>
          <t>Stephan</t>
        </is>
      </c>
      <c r="AF169" s="2" t="inlineStr">
        <is>
          <t>histological sections</t>
        </is>
      </c>
      <c r="AG169" s="2" t="inlineStr">
        <is>
          <t>volumetry</t>
        </is>
      </c>
      <c r="AI169" s="2" t="inlineStr">
        <is>
          <t>brain structure volumes</t>
        </is>
      </c>
      <c r="AJ169" s="2" t="inlineStr">
        <is>
          <t>Insectivora, Scandentia &amp; Primates</t>
        </is>
      </c>
      <c r="AK169" s="2" t="inlineStr">
        <is>
          <t>primary</t>
        </is>
      </c>
      <c r="AL169" s="2" t="inlineStr">
        <is>
          <t>primary</t>
        </is>
      </c>
      <c r="AM169" s="2" t="inlineStr">
        <is>
          <t>volume</t>
        </is>
      </c>
    </row>
    <row r="170">
      <c r="A170" s="2" t="inlineStr">
        <is>
          <t>Stephan, H., Frahm, H., &amp; Baron, G. (1981). New and revised data on volumes of brain structures in insectivores and primates. Folia Primatol (Basel), 35(1), 1-29. https://doi.org/10.1159/000155963</t>
        </is>
      </c>
      <c r="D170" s="2" t="inlineStr">
        <is>
          <t>Table III</t>
        </is>
      </c>
      <c r="E170">
        <f>RIGHT(A170,1)</f>
        <v/>
      </c>
      <c r="F170">
        <f>G170 &amp; IF(H170&lt;&gt;"", "_" &amp; H170, "_") &amp; IF(I170&lt;&gt;"", "_" &amp; I170, "_") &amp; IF(B170&lt;&gt;"", "_" &amp; B170, "")</f>
        <v/>
      </c>
      <c r="G170">
        <f>SUBSTITUTE(SUBSTITUTE(_xlfn.TEXTBEFORE(A170,","), "-", ""), " ", "")</f>
        <v/>
      </c>
      <c r="H170">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
      </c>
      <c r="I170">
        <f>_xlfn.TEXTBEFORE(_xlfn.TEXTAFTER(A170, "("), ")")</f>
        <v/>
      </c>
      <c r="J170">
        <f>_xlfn.LET(
_xlpm.doi,IF(C170&lt;&gt;"",C170,_xlfn.TEXTAFTER(A170,"https://doi.org/")),
SUBSTITUTE(
SUBSTITUTE(
SUBSTITUTE(
SUBSTITUTE(
_xlpm.doi,
"/","%2F"),
":","%3A"),
"&lt;","%3C"),
"&gt;","%3E")
)</f>
        <v/>
      </c>
      <c r="K170">
        <f>TRIM(_xlfn.TEXTJOIN("_",FALSE,F170,(SUBSTITUTE(SUBSTITUTE(D170," ",""), "_", ""))))</f>
        <v/>
      </c>
      <c r="L170">
        <f>J170 &amp; "_" &amp; SUBSTITUTE(SUBSTITUTE(SUBSTITUTE(D170,CHAR(160),"")," ",""),"_","")</f>
        <v/>
      </c>
      <c r="M170">
        <f t="array" ref="M170">IFERROR(INDEX(FileList!$A$1:$A$100,MATCH(TRUE,EXACT(L170,_xlfn.TEXTBEFORE(FileList!$A$1:$A$100,".tsv")),0)),"notfound")</f>
        <v/>
      </c>
      <c r="N170" s="2" t="inlineStr">
        <is>
          <t>Table III. Data on body weights (g). brain weights (mg), and volumes or total brain and fundamental brain pans (mm&gt;) in simians; for comments on structures see table I</t>
        </is>
      </c>
      <c r="P170" s="2" t="n"/>
      <c r="V170" s="2" t="inlineStr">
        <is>
          <t>table</t>
        </is>
      </c>
      <c r="Y170" s="2" t="inlineStr">
        <is>
          <t>Stephan</t>
        </is>
      </c>
      <c r="Z170" s="2" t="inlineStr">
        <is>
          <t>Stephan</t>
        </is>
      </c>
      <c r="AF170" s="2" t="inlineStr">
        <is>
          <t>histological sections</t>
        </is>
      </c>
      <c r="AG170" s="2" t="inlineStr">
        <is>
          <t>volumetry</t>
        </is>
      </c>
      <c r="AI170" s="2" t="inlineStr">
        <is>
          <t>brain structure volumes</t>
        </is>
      </c>
      <c r="AJ170" s="2" t="inlineStr">
        <is>
          <t>Insectivora, Scandentia &amp; Primates</t>
        </is>
      </c>
      <c r="AK170" s="2" t="inlineStr">
        <is>
          <t>primary</t>
        </is>
      </c>
      <c r="AL170" s="2" t="inlineStr">
        <is>
          <t>primary</t>
        </is>
      </c>
      <c r="AM170" s="2" t="inlineStr">
        <is>
          <t>volume</t>
        </is>
      </c>
    </row>
    <row r="171">
      <c r="A171" s="2" t="inlineStr">
        <is>
          <t>Stephan, H., Frahm, H., &amp; Baron, G. (1981). New and revised data on volumes of brain structures in insectivores and primates. Folia Primatol (Basel), 35(1), 1-29. https://doi.org/10.1159/000155963</t>
        </is>
      </c>
      <c r="D171" s="2" t="inlineStr">
        <is>
          <t>Table IV</t>
        </is>
      </c>
      <c r="E171">
        <f>RIGHT(A171,1)</f>
        <v/>
      </c>
      <c r="F171">
        <f>G171 &amp; IF(H171&lt;&gt;"", "_" &amp; H171, "_") &amp; IF(I171&lt;&gt;"", "_" &amp; I171, "_") &amp; IF(B171&lt;&gt;"", "_" &amp; B171, "")</f>
        <v/>
      </c>
      <c r="G171">
        <f>SUBSTITUTE(SUBSTITUTE(_xlfn.TEXTBEFORE(A171,","), "-", ""), " ", "")</f>
        <v/>
      </c>
      <c r="H171">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v/>
      </c>
      <c r="I171">
        <f>_xlfn.TEXTBEFORE(_xlfn.TEXTAFTER(A171, "("), ")")</f>
        <v/>
      </c>
      <c r="J171">
        <f>_xlfn.LET(
_xlpm.doi,IF(C171&lt;&gt;"",C171,_xlfn.TEXTAFTER(A171,"https://doi.org/")),
SUBSTITUTE(
SUBSTITUTE(
SUBSTITUTE(
SUBSTITUTE(
_xlpm.doi,
"/","%2F"),
":","%3A"),
"&lt;","%3C"),
"&gt;","%3E")
)</f>
        <v/>
      </c>
      <c r="K171">
        <f>TRIM(_xlfn.TEXTJOIN("_",FALSE,F171,(SUBSTITUTE(SUBSTITUTE(D171," ",""), "_", ""))))</f>
        <v/>
      </c>
      <c r="L171">
        <f>J171 &amp; "_" &amp; SUBSTITUTE(SUBSTITUTE(SUBSTITUTE(D171,CHAR(160),"")," ",""),"_","")</f>
        <v/>
      </c>
      <c r="M171">
        <f t="array" ref="M171">IFERROR(INDEX(FileList!$A$1:$A$100,MATCH(TRUE,EXACT(L171,_xlfn.TEXTBEFORE(FileList!$A$1:$A$100,".tsv")),0)),"notfound")</f>
        <v/>
      </c>
      <c r="N171" s="2" t="inlineStr">
        <is>
          <t>Table IV: Volumes of the telencephalon and of its components (mm3) in insectivores</t>
        </is>
      </c>
      <c r="P171" s="2" t="n"/>
      <c r="V171" s="2" t="inlineStr">
        <is>
          <t>table</t>
        </is>
      </c>
      <c r="Y171" s="2" t="inlineStr">
        <is>
          <t>Stephan</t>
        </is>
      </c>
      <c r="Z171" s="2" t="inlineStr">
        <is>
          <t>Stephan</t>
        </is>
      </c>
      <c r="AF171" s="2" t="inlineStr">
        <is>
          <t>histological sections</t>
        </is>
      </c>
      <c r="AG171" s="2" t="inlineStr">
        <is>
          <t>volumetry</t>
        </is>
      </c>
      <c r="AI171" s="2" t="inlineStr">
        <is>
          <t>brain structure volumes</t>
        </is>
      </c>
      <c r="AJ171" s="2" t="inlineStr">
        <is>
          <t>Insectivora, Scandentia &amp; Primates</t>
        </is>
      </c>
      <c r="AK171" s="2" t="inlineStr">
        <is>
          <t>primary</t>
        </is>
      </c>
      <c r="AL171" s="2" t="inlineStr">
        <is>
          <t>primary</t>
        </is>
      </c>
      <c r="AM171" s="2" t="inlineStr">
        <is>
          <t>volume</t>
        </is>
      </c>
    </row>
    <row r="172">
      <c r="A172" s="2" t="inlineStr">
        <is>
          <t>Stephan, H., Frahm, H., &amp; Baron, G. (1981). New and revised data on volumes of brain structures in insectivores and primates. Folia Primatol (Basel), 35(1), 1-29. https://doi.org/10.1159/000155963</t>
        </is>
      </c>
      <c r="D172" s="2" t="inlineStr">
        <is>
          <t>Table V</t>
        </is>
      </c>
      <c r="E172">
        <f>RIGHT(A172,1)</f>
        <v/>
      </c>
      <c r="F172">
        <f>G172 &amp; IF(H172&lt;&gt;"", "_" &amp; H172, "_") &amp; IF(I172&lt;&gt;"", "_" &amp; I172, "_") &amp; IF(B172&lt;&gt;"", "_" &amp; B172, "")</f>
        <v/>
      </c>
      <c r="G172">
        <f>SUBSTITUTE(SUBSTITUTE(_xlfn.TEXTBEFORE(A172,","), "-", ""), " ", "")</f>
        <v/>
      </c>
      <c r="H172">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v/>
      </c>
      <c r="I172">
        <f>_xlfn.TEXTBEFORE(_xlfn.TEXTAFTER(A172, "("), ")")</f>
        <v/>
      </c>
      <c r="J172">
        <f>_xlfn.LET(
_xlpm.doi,IF(C172&lt;&gt;"",C172,_xlfn.TEXTAFTER(A172,"https://doi.org/")),
SUBSTITUTE(
SUBSTITUTE(
SUBSTITUTE(
SUBSTITUTE(
_xlpm.doi,
"/","%2F"),
":","%3A"),
"&lt;","%3C"),
"&gt;","%3E")
)</f>
        <v/>
      </c>
      <c r="K172">
        <f>TRIM(_xlfn.TEXTJOIN("_",FALSE,F172,(SUBSTITUTE(SUBSTITUTE(D172," ",""), "_", ""))))</f>
        <v/>
      </c>
      <c r="L172">
        <f>J172 &amp; "_" &amp; SUBSTITUTE(SUBSTITUTE(SUBSTITUTE(D172,CHAR(160),"")," ",""),"_","")</f>
        <v/>
      </c>
      <c r="M172">
        <f t="array" ref="M172">IFERROR(INDEX(FileList!$A$1:$A$100,MATCH(TRUE,EXACT(L172,_xlfn.TEXTBEFORE(FileList!$A$1:$A$100,".tsv")),0)),"notfound")</f>
        <v/>
      </c>
      <c r="N172" s="2" t="inlineStr">
        <is>
          <t>Table V. Volumes of the telencephalon and of its components (mm3) in prosimians; for comments on structures see table IV</t>
        </is>
      </c>
      <c r="P172" s="2" t="n"/>
      <c r="V172" s="2" t="inlineStr">
        <is>
          <t>table</t>
        </is>
      </c>
      <c r="Y172" s="2" t="inlineStr">
        <is>
          <t>Stephan</t>
        </is>
      </c>
      <c r="Z172" s="2" t="inlineStr">
        <is>
          <t>Stephan</t>
        </is>
      </c>
      <c r="AF172" s="2" t="inlineStr">
        <is>
          <t>histological sections</t>
        </is>
      </c>
      <c r="AG172" s="2" t="inlineStr">
        <is>
          <t>volumetry</t>
        </is>
      </c>
      <c r="AI172" s="2" t="inlineStr">
        <is>
          <t>brain structure volumes</t>
        </is>
      </c>
      <c r="AJ172" s="2" t="inlineStr">
        <is>
          <t>Insectivora, Scandentia &amp; Primates</t>
        </is>
      </c>
      <c r="AK172" s="2" t="inlineStr">
        <is>
          <t>primary</t>
        </is>
      </c>
      <c r="AL172" s="2" t="inlineStr">
        <is>
          <t>primary</t>
        </is>
      </c>
      <c r="AM172" s="2" t="inlineStr">
        <is>
          <t>volume</t>
        </is>
      </c>
    </row>
    <row r="173">
      <c r="A173" s="2" t="inlineStr">
        <is>
          <t>Stephan, H., Frahm, H., &amp; Baron, G. (1981). New and revised data on volumes of brain structures in insectivores and primates. Folia Primatol (Basel), 35(1), 1-29. https://doi.org/10.1159/000155963</t>
        </is>
      </c>
      <c r="D173" s="2" t="inlineStr">
        <is>
          <t>Table VI</t>
        </is>
      </c>
      <c r="E173">
        <f>RIGHT(A173,1)</f>
        <v/>
      </c>
      <c r="F173">
        <f>G173 &amp; IF(H173&lt;&gt;"", "_" &amp; H173, "_") &amp; IF(I173&lt;&gt;"", "_" &amp; I173, "_") &amp; IF(B173&lt;&gt;"", "_" &amp; B173, "")</f>
        <v/>
      </c>
      <c r="G173">
        <f>SUBSTITUTE(SUBSTITUTE(_xlfn.TEXTBEFORE(A173,","), "-", ""), " ", "")</f>
        <v/>
      </c>
      <c r="H173">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v/>
      </c>
      <c r="I173">
        <f>_xlfn.TEXTBEFORE(_xlfn.TEXTAFTER(A173, "("), ")")</f>
        <v/>
      </c>
      <c r="J173">
        <f>_xlfn.LET(
_xlpm.doi,IF(C173&lt;&gt;"",C173,_xlfn.TEXTAFTER(A173,"https://doi.org/")),
SUBSTITUTE(
SUBSTITUTE(
SUBSTITUTE(
SUBSTITUTE(
_xlpm.doi,
"/","%2F"),
":","%3A"),
"&lt;","%3C"),
"&gt;","%3E")
)</f>
        <v/>
      </c>
      <c r="K173">
        <f>TRIM(_xlfn.TEXTJOIN("_",FALSE,F173,(SUBSTITUTE(SUBSTITUTE(D173," ",""), "_", ""))))</f>
        <v/>
      </c>
      <c r="L173">
        <f>J173 &amp; "_" &amp; SUBSTITUTE(SUBSTITUTE(SUBSTITUTE(D173,CHAR(160),"")," ",""),"_","")</f>
        <v/>
      </c>
      <c r="M173">
        <f t="array" ref="M173">IFERROR(INDEX(FileList!$A$1:$A$100,MATCH(TRUE,EXACT(L173,_xlfn.TEXTBEFORE(FileList!$A$1:$A$100,".tsv")),0)),"notfound")</f>
        <v/>
      </c>
      <c r="N173" s="2" t="inlineStr">
        <is>
          <t>Table VI. Volumes of the telencephalon and of its components (mm3) in simians: for comments on structures see table IV</t>
        </is>
      </c>
      <c r="P173" s="2" t="n"/>
      <c r="V173" s="2" t="inlineStr">
        <is>
          <t>table</t>
        </is>
      </c>
      <c r="Y173" s="2" t="inlineStr">
        <is>
          <t>Stephan</t>
        </is>
      </c>
      <c r="Z173" s="2" t="inlineStr">
        <is>
          <t>Stephan</t>
        </is>
      </c>
      <c r="AF173" s="2" t="inlineStr">
        <is>
          <t>histological sections</t>
        </is>
      </c>
      <c r="AG173" s="2" t="inlineStr">
        <is>
          <t>volumetry</t>
        </is>
      </c>
      <c r="AI173" s="2" t="inlineStr">
        <is>
          <t>brain structure volumes</t>
        </is>
      </c>
      <c r="AJ173" s="2" t="inlineStr">
        <is>
          <t>Insectivora, Scandentia &amp; Primates</t>
        </is>
      </c>
      <c r="AK173" s="2" t="inlineStr">
        <is>
          <t>primary</t>
        </is>
      </c>
      <c r="AL173" s="2" t="inlineStr">
        <is>
          <t>primary</t>
        </is>
      </c>
      <c r="AM173" s="2" t="inlineStr">
        <is>
          <t>volume</t>
        </is>
      </c>
    </row>
    <row r="174">
      <c r="A174" s="2" t="inlineStr">
        <is>
          <t>Stephan, H., Frahm, H., &amp; Baron, G. (1981). New and revised data on volumes of brain structures in insectivores and primates. Folia Primatol (Basel), 35(1), 1-29. https://doi.org/10.1159/000155963</t>
        </is>
      </c>
      <c r="C174" s="7" t="n"/>
      <c r="D174" s="2" t="inlineStr">
        <is>
          <t>Table VII</t>
        </is>
      </c>
      <c r="E174">
        <f>RIGHT(A174,1)</f>
        <v/>
      </c>
      <c r="F174">
        <f>G174 &amp; IF(H174&lt;&gt;"", "_" &amp; H174, "_") &amp; IF(I174&lt;&gt;"", "_" &amp; I174, "_") &amp; IF(B174&lt;&gt;"", "_" &amp; B174, "")</f>
        <v/>
      </c>
      <c r="G174">
        <f>SUBSTITUTE(SUBSTITUTE(_xlfn.TEXTBEFORE(A174,","), "-", ""), " ", "")</f>
        <v/>
      </c>
      <c r="H174">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
      </c>
      <c r="I174">
        <f>_xlfn.TEXTBEFORE(_xlfn.TEXTAFTER(A174, "("), ")")</f>
        <v/>
      </c>
      <c r="J174">
        <f>_xlfn.LET(
_xlpm.doi,IF(C174&lt;&gt;"",C174,_xlfn.TEXTAFTER(A174,"https://doi.org/")),
SUBSTITUTE(
SUBSTITUTE(
SUBSTITUTE(
SUBSTITUTE(
_xlpm.doi,
"/","%2F"),
":","%3A"),
"&lt;","%3C"),
"&gt;","%3E")
)</f>
        <v/>
      </c>
      <c r="K174">
        <f>TRIM(_xlfn.TEXTJOIN("_",FALSE,F174,(SUBSTITUTE(SUBSTITUTE(D174," ",""), "_", ""))))</f>
        <v/>
      </c>
      <c r="L174">
        <f>J174 &amp; "_" &amp; SUBSTITUTE(SUBSTITUTE(SUBSTITUTE(D174,CHAR(160),"")," ",""),"_","")</f>
        <v/>
      </c>
      <c r="M174">
        <f t="array" ref="M174">IFERROR(INDEX(FileList!$A$1:$A$100,MATCH(TRUE,EXACT(L174,_xlfn.TEXTBEFORE(FileList!$A$1:$A$100,".tsv")),0)),"notfound")</f>
        <v/>
      </c>
      <c r="N174" s="2" t="inlineStr">
        <is>
          <t>Table VIl. Volumes of components of the diencephalon (mm3) in insectivores</t>
        </is>
      </c>
      <c r="P174" s="2" t="n"/>
      <c r="V174" s="2" t="inlineStr">
        <is>
          <t>table</t>
        </is>
      </c>
      <c r="Y174" s="2" t="inlineStr">
        <is>
          <t>Stephan</t>
        </is>
      </c>
      <c r="Z174" s="2" t="inlineStr">
        <is>
          <t>Stephan</t>
        </is>
      </c>
      <c r="AF174" s="2" t="inlineStr">
        <is>
          <t>histological sections</t>
        </is>
      </c>
      <c r="AG174" s="2" t="inlineStr">
        <is>
          <t>volumetry</t>
        </is>
      </c>
      <c r="AI174" s="3" t="inlineStr">
        <is>
          <t>brain structure volumes</t>
        </is>
      </c>
      <c r="AJ174" s="3" t="inlineStr">
        <is>
          <t>Insectivora, Scandentia &amp; Primates</t>
        </is>
      </c>
      <c r="AK174" s="3" t="inlineStr">
        <is>
          <t>primary</t>
        </is>
      </c>
      <c r="AL174" s="2" t="inlineStr">
        <is>
          <t>primary</t>
        </is>
      </c>
      <c r="AM174" s="2" t="inlineStr">
        <is>
          <t>volume</t>
        </is>
      </c>
    </row>
    <row r="175">
      <c r="A175" s="2" t="inlineStr">
        <is>
          <t>Stephan, H., Frahm, H., &amp; Baron, G. (1981). New and revised data on volumes of brain structures in insectivores and primates. Folia Primatol (Basel), 35(1), 1-29. https://doi.org/10.1159/000155964</t>
        </is>
      </c>
      <c r="C175" s="7" t="n"/>
      <c r="D175" s="2" t="inlineStr">
        <is>
          <t>Table VIII</t>
        </is>
      </c>
      <c r="E175">
        <f>RIGHT(A175,1)</f>
        <v/>
      </c>
      <c r="F175">
        <f>G175 &amp; IF(H175&lt;&gt;"", "_" &amp; H175, "_") &amp; IF(I175&lt;&gt;"", "_" &amp; I175, "_") &amp; IF(B175&lt;&gt;"", "_" &amp; B175, "")</f>
        <v/>
      </c>
      <c r="G175">
        <f>SUBSTITUTE(SUBSTITUTE(_xlfn.TEXTBEFORE(A175,","), "-", ""), " ", "")</f>
        <v/>
      </c>
      <c r="H175">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
      </c>
      <c r="I175">
        <f>_xlfn.TEXTBEFORE(_xlfn.TEXTAFTER(A175, "("), ")")</f>
        <v/>
      </c>
      <c r="J175">
        <f>_xlfn.LET(
_xlpm.doi,IF(C175&lt;&gt;"",C175,_xlfn.TEXTAFTER(A175,"https://doi.org/")),
SUBSTITUTE(
SUBSTITUTE(
SUBSTITUTE(
SUBSTITUTE(
_xlpm.doi,
"/","%2F"),
":","%3A"),
"&lt;","%3C"),
"&gt;","%3E")
)</f>
        <v/>
      </c>
      <c r="K175">
        <f>TRIM(_xlfn.TEXTJOIN("_",FALSE,F175,(SUBSTITUTE(SUBSTITUTE(D175," ",""), "_", ""))))</f>
        <v/>
      </c>
      <c r="L175">
        <f>J175 &amp; "_" &amp; SUBSTITUTE(SUBSTITUTE(SUBSTITUTE(D175,CHAR(160),"")," ",""),"_","")</f>
        <v/>
      </c>
      <c r="M175">
        <f t="array" ref="M175">IFERROR(INDEX(FileList!$A$1:$A$100,MATCH(TRUE,EXACT(L175,_xlfn.TEXTBEFORE(FileList!$A$1:$A$100,".tsv")),0)),"notfound")</f>
        <v/>
      </c>
      <c r="N175" s="2" t="inlineStr">
        <is>
          <t>Table VIII. Volumes of components of the diencephalon (mm3) in primates</t>
        </is>
      </c>
      <c r="P175" s="2" t="n"/>
      <c r="V175" s="2" t="n"/>
      <c r="W175" s="3" t="n"/>
      <c r="Y175" s="2" t="n"/>
      <c r="Z175" s="2" t="n"/>
      <c r="AF175" s="2" t="n"/>
      <c r="AG175" s="2" t="n"/>
      <c r="AI175" s="3" t="n"/>
      <c r="AJ175" s="3" t="n"/>
      <c r="AK175" s="3" t="n"/>
      <c r="AL175" s="2" t="n"/>
      <c r="AM175" s="2" t="n"/>
    </row>
    <row r="176">
      <c r="A176" s="2" t="inlineStr">
        <is>
          <t>Stephan, H., Frahm, H., &amp; Baron, G. (1981). New and revised data on volumes of brain structures in insectivores and primates. Folia Primatol (Basel), 35(1), 1-29. https://doi.org/10.1159/000155965</t>
        </is>
      </c>
      <c r="C176" s="7" t="n"/>
      <c r="D176" s="2" t="inlineStr">
        <is>
          <t>Table IX</t>
        </is>
      </c>
      <c r="E176">
        <f>RIGHT(A176,1)</f>
        <v/>
      </c>
      <c r="F176">
        <f>G176 &amp; IF(H176&lt;&gt;"", "_" &amp; H176, "_") &amp; IF(I176&lt;&gt;"", "_" &amp; I176, "_") &amp; IF(B176&lt;&gt;"", "_" &amp; B176, "")</f>
        <v/>
      </c>
      <c r="G176">
        <f>SUBSTITUTE(SUBSTITUTE(_xlfn.TEXTBEFORE(A176,","), "-", ""), " ", "")</f>
        <v/>
      </c>
      <c r="H176">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v/>
      </c>
      <c r="I176">
        <f>_xlfn.TEXTBEFORE(_xlfn.TEXTAFTER(A176, "("), ")")</f>
        <v/>
      </c>
      <c r="J176">
        <f>_xlfn.LET(
_xlpm.doi,IF(C176&lt;&gt;"",C176,_xlfn.TEXTAFTER(A176,"https://doi.org/")),
SUBSTITUTE(
SUBSTITUTE(
SUBSTITUTE(
SUBSTITUTE(
_xlpm.doi,
"/","%2F"),
":","%3A"),
"&lt;","%3C"),
"&gt;","%3E")
)</f>
        <v/>
      </c>
      <c r="K176">
        <f>TRIM(_xlfn.TEXTJOIN("_",FALSE,F176,(SUBSTITUTE(SUBSTITUTE(D176," ",""), "_", ""))))</f>
        <v/>
      </c>
      <c r="L176">
        <f>J176 &amp; "_" &amp; SUBSTITUTE(SUBSTITUTE(SUBSTITUTE(D176,CHAR(160),"")," ",""),"_","")</f>
        <v/>
      </c>
      <c r="M176">
        <f t="array" ref="M176">IFERROR(INDEX(FileList!$A$1:$A$100,MATCH(TRUE,EXACT(L176,_xlfn.TEXTBEFORE(FileList!$A$1:$A$100,".tsv")),0)),"notfound")</f>
        <v/>
      </c>
      <c r="N176" s="2" t="inlineStr">
        <is>
          <t>Table IX. Volumes of visual cortex (area striata) and lateral geniculate body (mm3) in primates</t>
        </is>
      </c>
      <c r="P176" s="2" t="n"/>
      <c r="V176" s="2" t="n"/>
      <c r="Y176" s="2" t="n"/>
      <c r="Z176" s="2" t="n"/>
      <c r="AF176" s="2" t="n"/>
      <c r="AG176" s="2" t="n"/>
      <c r="AI176" s="3" t="n"/>
      <c r="AJ176" s="3" t="n"/>
      <c r="AK176" s="3" t="n"/>
      <c r="AL176" s="2" t="n"/>
      <c r="AM176" s="2" t="n"/>
    </row>
    <row r="177">
      <c r="A177" s="2" t="inlineStr">
        <is>
          <t>Stephan, H., Frahm, H., &amp; Baron, G. (1981). New and revised data on volumes of brain structures in insectivores and primates. Folia Primatol (Basel), 35(1), 1-29. https://doi.org/10.1159/000155966</t>
        </is>
      </c>
      <c r="C177" s="7" t="n"/>
      <c r="D177" s="2" t="inlineStr">
        <is>
          <t>Table X</t>
        </is>
      </c>
      <c r="E177">
        <f>RIGHT(A177,1)</f>
        <v/>
      </c>
      <c r="F177">
        <f>G177 &amp; IF(H177&lt;&gt;"", "_" &amp; H177, "_") &amp; IF(I177&lt;&gt;"", "_" &amp; I177, "_") &amp; IF(B177&lt;&gt;"", "_" &amp; B177, "")</f>
        <v/>
      </c>
      <c r="G177">
        <f>SUBSTITUTE(SUBSTITUTE(_xlfn.TEXTBEFORE(A177,","), "-", ""), " ", "")</f>
        <v/>
      </c>
      <c r="H177">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
      </c>
      <c r="I177">
        <f>_xlfn.TEXTBEFORE(_xlfn.TEXTAFTER(A177, "("), ")")</f>
        <v/>
      </c>
      <c r="J177">
        <f>_xlfn.LET(
_xlpm.doi,IF(C177&lt;&gt;"",C177,_xlfn.TEXTAFTER(A177,"https://doi.org/")),
SUBSTITUTE(
SUBSTITUTE(
SUBSTITUTE(
SUBSTITUTE(
_xlpm.doi,
"/","%2F"),
":","%3A"),
"&lt;","%3C"),
"&gt;","%3E")
)</f>
        <v/>
      </c>
      <c r="K177">
        <f>TRIM(_xlfn.TEXTJOIN("_",FALSE,F177,(SUBSTITUTE(SUBSTITUTE(D177," ",""), "_", ""))))</f>
        <v/>
      </c>
      <c r="L177">
        <f>J177 &amp; "_" &amp; SUBSTITUTE(SUBSTITUTE(SUBSTITUTE(D177,CHAR(160),"")," ",""),"_","")</f>
        <v/>
      </c>
      <c r="M177">
        <f t="array" ref="M177">IFERROR(INDEX(FileList!$A$1:$A$100,MATCH(TRUE,EXACT(L177,_xlfn.TEXTBEFORE(FileList!$A$1:$A$100,".tsv")),0)),"notfound")</f>
        <v/>
      </c>
      <c r="N177" s="2" t="inlineStr">
        <is>
          <t>Table X. Volume of paleocortex, of amygdala and ils various components (mm3) in insectivores</t>
        </is>
      </c>
      <c r="P177" s="2" t="n"/>
      <c r="V177" s="2" t="n"/>
      <c r="W177" s="3" t="n"/>
      <c r="Y177" s="2" t="n"/>
      <c r="Z177" s="2" t="n"/>
      <c r="AF177" s="2" t="n"/>
      <c r="AG177" s="2" t="n"/>
      <c r="AI177" s="2" t="n"/>
      <c r="AJ177" s="2" t="n"/>
      <c r="AK177" s="2" t="n"/>
      <c r="AL177" s="2" t="n"/>
      <c r="AM177" s="2" t="n"/>
    </row>
    <row r="178">
      <c r="A178" s="2" t="inlineStr">
        <is>
          <t>Stephan, H., Frahm, H., &amp; Baron, G. (1981). New and revised data on volumes of brain structures in insectivores and primates. Folia Primatol (Basel), 35(1), 1-29. https://doi.org/10.1159/000155963</t>
        </is>
      </c>
      <c r="D178" s="2" t="inlineStr">
        <is>
          <t>Table XI</t>
        </is>
      </c>
      <c r="E178">
        <f>RIGHT(A178,1)</f>
        <v/>
      </c>
      <c r="F178">
        <f>G178 &amp; IF(H178&lt;&gt;"", "_" &amp; H178, "_") &amp; IF(I178&lt;&gt;"", "_" &amp; I178, "_") &amp; IF(B178&lt;&gt;"", "_" &amp; B178, "")</f>
        <v/>
      </c>
      <c r="G178">
        <f>SUBSTITUTE(SUBSTITUTE(_xlfn.TEXTBEFORE(A178,","), "-", ""), " ", "")</f>
        <v/>
      </c>
      <c r="H178">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
      </c>
      <c r="I178">
        <f>_xlfn.TEXTBEFORE(_xlfn.TEXTAFTER(A178, "("), ")")</f>
        <v/>
      </c>
      <c r="J178">
        <f>_xlfn.LET(
_xlpm.doi,IF(C178&lt;&gt;"",C178,_xlfn.TEXTAFTER(A178,"https://doi.org/")),
SUBSTITUTE(
SUBSTITUTE(
SUBSTITUTE(
SUBSTITUTE(
_xlpm.doi,
"/","%2F"),
":","%3A"),
"&lt;","%3C"),
"&gt;","%3E")
)</f>
        <v/>
      </c>
      <c r="K178">
        <f>TRIM(_xlfn.TEXTJOIN("_",FALSE,F178,(SUBSTITUTE(SUBSTITUTE(D178," ",""), "_", ""))))</f>
        <v/>
      </c>
      <c r="L178">
        <f>J178 &amp; "_" &amp; SUBSTITUTE(SUBSTITUTE(SUBSTITUTE(D178,CHAR(160),"")," ",""),"_","")</f>
        <v/>
      </c>
      <c r="M178">
        <f t="array" ref="M178">IFERROR(INDEX(FileList!$A$1:$A$100,MATCH(TRUE,EXACT(L178,_xlfn.TEXTBEFORE(FileList!$A$1:$A$100,".tsv")),0)),"notfound")</f>
        <v/>
      </c>
      <c r="N178" s="2" t="inlineStr">
        <is>
          <t>Table XI. Volumes of paleocortex, of amygdala and its various components (mm3) in primates: for comments on structures see table X</t>
        </is>
      </c>
      <c r="P178" s="2" t="n"/>
      <c r="V178" s="2" t="inlineStr">
        <is>
          <t>table</t>
        </is>
      </c>
      <c r="Y178" s="2" t="inlineStr">
        <is>
          <t>Stephan</t>
        </is>
      </c>
      <c r="Z178" s="2" t="inlineStr">
        <is>
          <t>Stephan</t>
        </is>
      </c>
      <c r="AF178" s="2" t="inlineStr">
        <is>
          <t>histological sections</t>
        </is>
      </c>
      <c r="AG178" s="2" t="inlineStr">
        <is>
          <t>volumetry</t>
        </is>
      </c>
      <c r="AI178" s="2" t="inlineStr">
        <is>
          <t>brain structure volumes</t>
        </is>
      </c>
      <c r="AJ178" s="2" t="inlineStr">
        <is>
          <t>Insectivora, Scandentia &amp; Primates</t>
        </is>
      </c>
      <c r="AK178" s="2" t="inlineStr">
        <is>
          <t>primary</t>
        </is>
      </c>
      <c r="AL178" s="2" t="inlineStr">
        <is>
          <t>primary</t>
        </is>
      </c>
      <c r="AM178" s="2" t="inlineStr">
        <is>
          <t>volume</t>
        </is>
      </c>
    </row>
    <row r="179">
      <c r="A179" s="2" t="inlineStr">
        <is>
          <t>Stephan, H., Frahm, H., &amp; Baron, G. (1981). New and revised data on volumes of brain structures in insectivores and primates. Folia Primatol (Basel), 35(1), 1-29. https://doi.org/10.1159/000155963</t>
        </is>
      </c>
      <c r="D179" s="2" t="inlineStr">
        <is>
          <t>Table XII</t>
        </is>
      </c>
      <c r="E179">
        <f>RIGHT(A179,1)</f>
        <v/>
      </c>
      <c r="F179">
        <f>G179 &amp; IF(H179&lt;&gt;"", "_" &amp; H179, "_") &amp; IF(I179&lt;&gt;"", "_" &amp; I179, "_") &amp; IF(B179&lt;&gt;"", "_" &amp; B179, "")</f>
        <v/>
      </c>
      <c r="G179">
        <f>SUBSTITUTE(SUBSTITUTE(_xlfn.TEXTBEFORE(A179,","), "-", ""), " ", "")</f>
        <v/>
      </c>
      <c r="H179">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
      </c>
      <c r="I179">
        <f>_xlfn.TEXTBEFORE(_xlfn.TEXTAFTER(A179, "("), ")")</f>
        <v/>
      </c>
      <c r="J179">
        <f>_xlfn.LET(
_xlpm.doi,IF(C179&lt;&gt;"",C179,_xlfn.TEXTAFTER(A179,"https://doi.org/")),
SUBSTITUTE(
SUBSTITUTE(
SUBSTITUTE(
SUBSTITUTE(
_xlpm.doi,
"/","%2F"),
":","%3A"),
"&lt;","%3C"),
"&gt;","%3E")
)</f>
        <v/>
      </c>
      <c r="K179">
        <f>TRIM(_xlfn.TEXTJOIN("_",FALSE,F179,(SUBSTITUTE(SUBSTITUTE(D179," ",""), "_", ""))))</f>
        <v/>
      </c>
      <c r="L179">
        <f>J179 &amp; "_" &amp; SUBSTITUTE(SUBSTITUTE(SUBSTITUTE(D179,CHAR(160),"")," ",""),"_","")</f>
        <v/>
      </c>
      <c r="M179">
        <f t="array" ref="M179">IFERROR(INDEX(FileList!$A$1:$A$100,MATCH(TRUE,EXACT(L179,_xlfn.TEXTBEFORE(FileList!$A$1:$A$100,".tsv")),0)),"notfound")</f>
        <v/>
      </c>
      <c r="N179" s="2" t="inlineStr">
        <is>
          <t>Table XII. Volumes of vestibular complex and its various components (mm3) in insectivores</t>
        </is>
      </c>
      <c r="P179" s="2" t="n"/>
      <c r="V179" s="2" t="inlineStr">
        <is>
          <t>table</t>
        </is>
      </c>
      <c r="Y179" s="2" t="inlineStr">
        <is>
          <t>Stephan</t>
        </is>
      </c>
      <c r="Z179" s="2" t="inlineStr">
        <is>
          <t>Stephan</t>
        </is>
      </c>
      <c r="AF179" s="2" t="inlineStr">
        <is>
          <t>histological sections</t>
        </is>
      </c>
      <c r="AG179" s="2" t="inlineStr">
        <is>
          <t>volumetry</t>
        </is>
      </c>
      <c r="AI179" s="2" t="inlineStr">
        <is>
          <t>brain structure volumes</t>
        </is>
      </c>
      <c r="AJ179" s="2" t="inlineStr">
        <is>
          <t>Insectivora, Scandentia &amp; Primates</t>
        </is>
      </c>
      <c r="AK179" s="2" t="inlineStr">
        <is>
          <t>primary</t>
        </is>
      </c>
      <c r="AL179" s="2" t="inlineStr">
        <is>
          <t>primary</t>
        </is>
      </c>
      <c r="AM179" s="2" t="inlineStr">
        <is>
          <t>volume</t>
        </is>
      </c>
    </row>
    <row r="180">
      <c r="A180" s="2" t="inlineStr">
        <is>
          <t>Stephan, H., Frahm, H., &amp; Baron, G. (1981). New and revised data on volumes of brain structures in insectivores and primates. Folia Primatol (Basel), 35(1), 1-29. https://doi.org/10.1159/000155963</t>
        </is>
      </c>
      <c r="D180" s="2" t="inlineStr">
        <is>
          <t>Table XIII</t>
        </is>
      </c>
      <c r="E180">
        <f>RIGHT(A180,1)</f>
        <v/>
      </c>
      <c r="F180">
        <f>G180 &amp; IF(H180&lt;&gt;"", "_" &amp; H180, "_") &amp; IF(I180&lt;&gt;"", "_" &amp; I180, "_") &amp; IF(B180&lt;&gt;"", "_" &amp; B180, "")</f>
        <v/>
      </c>
      <c r="G180">
        <f>SUBSTITUTE(SUBSTITUTE(_xlfn.TEXTBEFORE(A180,","), "-", ""), " ", "")</f>
        <v/>
      </c>
      <c r="H180">
        <f>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v/>
      </c>
      <c r="I180">
        <f>_xlfn.TEXTBEFORE(_xlfn.TEXTAFTER(A180, "("), ")")</f>
        <v/>
      </c>
      <c r="J180">
        <f>_xlfn.LET(
_xlpm.doi,IF(C180&lt;&gt;"",C180,_xlfn.TEXTAFTER(A180,"https://doi.org/")),
SUBSTITUTE(
SUBSTITUTE(
SUBSTITUTE(
SUBSTITUTE(
_xlpm.doi,
"/","%2F"),
":","%3A"),
"&lt;","%3C"),
"&gt;","%3E")
)</f>
        <v/>
      </c>
      <c r="K180">
        <f>TRIM(_xlfn.TEXTJOIN("_",FALSE,F180,(SUBSTITUTE(SUBSTITUTE(D180," ",""), "_", ""))))</f>
        <v/>
      </c>
      <c r="L180">
        <f>J180 &amp; "_" &amp; SUBSTITUTE(SUBSTITUTE(SUBSTITUTE(D180,CHAR(160),"")," ",""),"_","")</f>
        <v/>
      </c>
      <c r="M180">
        <f t="array" ref="M180">IFERROR(INDEX(FileList!$A$1:$A$100,MATCH(TRUE,EXACT(L180,_xlfn.TEXTBEFORE(FileList!$A$1:$A$100,".tsv")),0)),"notfound")</f>
        <v/>
      </c>
      <c r="N180" s="2" t="inlineStr">
        <is>
          <t>Table XIII. Volumes of vestibular complex and its various components (mm3) in primates</t>
        </is>
      </c>
      <c r="P180" s="2" t="n"/>
      <c r="V180" s="2" t="inlineStr">
        <is>
          <t>table</t>
        </is>
      </c>
      <c r="Y180" s="2" t="inlineStr">
        <is>
          <t>Stephan</t>
        </is>
      </c>
      <c r="Z180" s="2" t="inlineStr">
        <is>
          <t>Stephan</t>
        </is>
      </c>
      <c r="AF180" s="2" t="inlineStr">
        <is>
          <t>histological sections</t>
        </is>
      </c>
      <c r="AG180" s="2" t="inlineStr">
        <is>
          <t>volumetry</t>
        </is>
      </c>
      <c r="AI180" s="2" t="inlineStr">
        <is>
          <t>brain structure volumes</t>
        </is>
      </c>
      <c r="AJ180" s="2" t="inlineStr">
        <is>
          <t>Insectivora, Scandentia &amp; Primates</t>
        </is>
      </c>
      <c r="AK180" s="2" t="inlineStr">
        <is>
          <t>primary</t>
        </is>
      </c>
      <c r="AL180" s="2" t="inlineStr">
        <is>
          <t>primary</t>
        </is>
      </c>
      <c r="AM180" s="2" t="inlineStr">
        <is>
          <t>volume</t>
        </is>
      </c>
    </row>
    <row r="181">
      <c r="A181" s="2" t="inlineStr">
        <is>
          <t>Stephan, H., Frahm, H., &amp; Baron, G. (1981). New and revised data on volumes of brain structures in insectivores and primates. Folia Primatol (Basel), 35(1), 1-29. https://doi.org/10.1159/000155963</t>
        </is>
      </c>
      <c r="D181" s="2" t="inlineStr">
        <is>
          <t>Table XIV</t>
        </is>
      </c>
      <c r="E181">
        <f>RIGHT(A181,1)</f>
        <v/>
      </c>
      <c r="F181">
        <f>G181 &amp; IF(H181&lt;&gt;"", "_" &amp; H181, "_") &amp; IF(I181&lt;&gt;"", "_" &amp; I181, "_") &amp; IF(B181&lt;&gt;"", "_" &amp; B181, "")</f>
        <v/>
      </c>
      <c r="G181">
        <f>SUBSTITUTE(SUBSTITUTE(_xlfn.TEXTBEFORE(A181,","), "-", ""), " ", "")</f>
        <v/>
      </c>
      <c r="H181">
        <f>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
      </c>
      <c r="I181">
        <f>_xlfn.TEXTBEFORE(_xlfn.TEXTAFTER(A181, "("), ")")</f>
        <v/>
      </c>
      <c r="J181">
        <f>_xlfn.LET(
_xlpm.doi,IF(C181&lt;&gt;"",C181,_xlfn.TEXTAFTER(A181,"https://doi.org/")),
SUBSTITUTE(
SUBSTITUTE(
SUBSTITUTE(
SUBSTITUTE(
_xlpm.doi,
"/","%2F"),
":","%3A"),
"&lt;","%3C"),
"&gt;","%3E")
)</f>
        <v/>
      </c>
      <c r="K181">
        <f>TRIM(_xlfn.TEXTJOIN("_",FALSE,F181,(SUBSTITUTE(SUBSTITUTE(D181," ",""), "_", ""))))</f>
        <v/>
      </c>
      <c r="L181">
        <f>J181 &amp; "_" &amp; SUBSTITUTE(SUBSTITUTE(SUBSTITUTE(D181,CHAR(160),"")," ",""),"_","")</f>
        <v/>
      </c>
      <c r="M181">
        <f t="array" ref="M181">IFERROR(INDEX(FileList!$A$1:$A$100,MATCH(TRUE,EXACT(L181,_xlfn.TEXTBEFORE(FileList!$A$1:$A$100,".tsv")),0)),"notfound")</f>
        <v/>
      </c>
      <c r="N181" s="2" t="inlineStr">
        <is>
          <t>Table XIV. Volumes of various periventricular structures (mm 3) in insectivores</t>
        </is>
      </c>
      <c r="P181" s="2" t="n"/>
      <c r="V181" s="2" t="inlineStr">
        <is>
          <t>table</t>
        </is>
      </c>
      <c r="Y181" s="2" t="inlineStr">
        <is>
          <t>Stephan</t>
        </is>
      </c>
      <c r="Z181" s="2" t="inlineStr">
        <is>
          <t>Stephan</t>
        </is>
      </c>
      <c r="AF181" s="2" t="inlineStr">
        <is>
          <t>histological sections</t>
        </is>
      </c>
      <c r="AG181" s="2" t="inlineStr">
        <is>
          <t>volumetry</t>
        </is>
      </c>
      <c r="AI181" s="2" t="inlineStr">
        <is>
          <t>brain structure volumes</t>
        </is>
      </c>
      <c r="AJ181" s="2" t="inlineStr">
        <is>
          <t>Insectivora, Scandentia &amp; Primates</t>
        </is>
      </c>
      <c r="AK181" s="2" t="inlineStr">
        <is>
          <t>primary</t>
        </is>
      </c>
      <c r="AL181" s="2" t="inlineStr">
        <is>
          <t>primary</t>
        </is>
      </c>
      <c r="AM181" s="2" t="inlineStr">
        <is>
          <t>volume</t>
        </is>
      </c>
    </row>
    <row r="182">
      <c r="A182" s="2" t="inlineStr">
        <is>
          <t>Stephan, H., Frahm, H., &amp; Baron, G. (1981). New and revised data on volumes of brain structures in insectivores and primates. Folia Primatol (Basel), 35(1), 1-29. https://doi.org/10.1159/000155963</t>
        </is>
      </c>
      <c r="D182" s="2" t="inlineStr">
        <is>
          <t>Table XV</t>
        </is>
      </c>
      <c r="E182">
        <f>RIGHT(A182,1)</f>
        <v/>
      </c>
      <c r="F182">
        <f>G182 &amp; IF(H182&lt;&gt;"", "_" &amp; H182, "_") &amp; IF(I182&lt;&gt;"", "_" &amp; I182, "_") &amp; IF(B182&lt;&gt;"", "_" &amp; B182, "")</f>
        <v/>
      </c>
      <c r="G182">
        <f>SUBSTITUTE(SUBSTITUTE(_xlfn.TEXTBEFORE(A182,","), "-", ""), " ", "")</f>
        <v/>
      </c>
      <c r="H182">
        <f>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
      </c>
      <c r="I182">
        <f>_xlfn.TEXTBEFORE(_xlfn.TEXTAFTER(A182, "("), ")")</f>
        <v/>
      </c>
      <c r="J182">
        <f>_xlfn.LET(
_xlpm.doi,IF(C182&lt;&gt;"",C182,_xlfn.TEXTAFTER(A182,"https://doi.org/")),
SUBSTITUTE(
SUBSTITUTE(
SUBSTITUTE(
SUBSTITUTE(
_xlpm.doi,
"/","%2F"),
":","%3A"),
"&lt;","%3C"),
"&gt;","%3E")
)</f>
        <v/>
      </c>
      <c r="K182">
        <f>TRIM(_xlfn.TEXTJOIN("_",FALSE,F182,(SUBSTITUTE(SUBSTITUTE(D182," ",""), "_", ""))))</f>
        <v/>
      </c>
      <c r="L182">
        <f>J182 &amp; "_" &amp; SUBSTITUTE(SUBSTITUTE(SUBSTITUTE(D182,CHAR(160),"")," ",""),"_","")</f>
        <v/>
      </c>
      <c r="M182">
        <f t="array" ref="M182">IFERROR(INDEX(FileList!$A$1:$A$100,MATCH(TRUE,EXACT(L182,_xlfn.TEXTBEFORE(FileList!$A$1:$A$100,".tsv")),0)),"notfound")</f>
        <v/>
      </c>
      <c r="N182" s="2" t="inlineStr">
        <is>
          <t>Table XV. Volumes of various periventricular structures (mm3) in prosimians</t>
        </is>
      </c>
      <c r="P182" s="2" t="n"/>
      <c r="V182" s="2" t="inlineStr">
        <is>
          <t>table</t>
        </is>
      </c>
      <c r="Y182" s="2" t="inlineStr">
        <is>
          <t>Stephan</t>
        </is>
      </c>
      <c r="Z182" s="2" t="inlineStr">
        <is>
          <t>Stephan</t>
        </is>
      </c>
      <c r="AF182" s="2" t="inlineStr">
        <is>
          <t>histological sections</t>
        </is>
      </c>
      <c r="AG182" s="2" t="inlineStr">
        <is>
          <t>volumetry</t>
        </is>
      </c>
      <c r="AI182" s="2" t="inlineStr">
        <is>
          <t>brain structure volumes</t>
        </is>
      </c>
      <c r="AJ182" s="2" t="inlineStr">
        <is>
          <t>Insectivora, Scandentia &amp; Primates</t>
        </is>
      </c>
      <c r="AK182" s="2" t="inlineStr">
        <is>
          <t>primary</t>
        </is>
      </c>
      <c r="AL182" s="2" t="inlineStr">
        <is>
          <t>primary</t>
        </is>
      </c>
      <c r="AM182" s="2" t="inlineStr">
        <is>
          <t>volume</t>
        </is>
      </c>
    </row>
    <row r="183">
      <c r="A183" s="2" t="inlineStr">
        <is>
          <t>Stephan, H., Frahm, H., &amp; Baron, G. (1981). New and revised data on volumes of brain structures in insectivores and primates. Folia Primatol (Basel), 35(1), 1-29. https://doi.org/10.1159/000155963</t>
        </is>
      </c>
      <c r="D183" s="2" t="inlineStr">
        <is>
          <t>Table XVI</t>
        </is>
      </c>
      <c r="E183">
        <f>RIGHT(A183,1)</f>
        <v/>
      </c>
      <c r="F183">
        <f>G183 &amp; IF(H183&lt;&gt;"", "_" &amp; H183, "_") &amp; IF(I183&lt;&gt;"", "_" &amp; I183, "_") &amp; IF(B183&lt;&gt;"", "_" &amp; B183, "")</f>
        <v/>
      </c>
      <c r="G183">
        <f>SUBSTITUTE(SUBSTITUTE(_xlfn.TEXTBEFORE(A183,","), "-", ""), " ", "")</f>
        <v/>
      </c>
      <c r="H183">
        <f>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v/>
      </c>
      <c r="I183">
        <f>_xlfn.TEXTBEFORE(_xlfn.TEXTAFTER(A183, "("), ")")</f>
        <v/>
      </c>
      <c r="J183">
        <f>_xlfn.LET(
_xlpm.doi,IF(C183&lt;&gt;"",C183,_xlfn.TEXTAFTER(A183,"https://doi.org/")),
SUBSTITUTE(
SUBSTITUTE(
SUBSTITUTE(
SUBSTITUTE(
_xlpm.doi,
"/","%2F"),
":","%3A"),
"&lt;","%3C"),
"&gt;","%3E")
)</f>
        <v/>
      </c>
      <c r="K183">
        <f>TRIM(_xlfn.TEXTJOIN("_",FALSE,F183,(SUBSTITUTE(SUBSTITUTE(D183," ",""), "_", ""))))</f>
        <v/>
      </c>
      <c r="L183">
        <f>J183 &amp; "_" &amp; SUBSTITUTE(SUBSTITUTE(SUBSTITUTE(D183,CHAR(160),"")," ",""),"_","")</f>
        <v/>
      </c>
      <c r="M183">
        <f t="array" ref="M183">IFERROR(INDEX(FileList!$A$1:$A$100,MATCH(TRUE,EXACT(L183,_xlfn.TEXTBEFORE(FileList!$A$1:$A$100,".tsv")),0)),"notfound")</f>
        <v/>
      </c>
      <c r="N183" s="2" t="inlineStr">
        <is>
          <t>Table XVI. Volumes of various periventricular structures (mm3) in simians</t>
        </is>
      </c>
      <c r="P183" s="2" t="n"/>
      <c r="V183" s="2" t="inlineStr">
        <is>
          <t>table</t>
        </is>
      </c>
      <c r="Y183" s="2" t="inlineStr">
        <is>
          <t>Stephan</t>
        </is>
      </c>
      <c r="Z183" s="2" t="inlineStr">
        <is>
          <t>Stephan</t>
        </is>
      </c>
      <c r="AF183" s="2" t="inlineStr">
        <is>
          <t>histological sections</t>
        </is>
      </c>
      <c r="AG183" s="2" t="inlineStr">
        <is>
          <t>volumetry</t>
        </is>
      </c>
      <c r="AI183" s="2" t="inlineStr">
        <is>
          <t>brain structure volumes</t>
        </is>
      </c>
      <c r="AJ183" s="2" t="inlineStr">
        <is>
          <t>Insectivora, Scandentia &amp; Primates</t>
        </is>
      </c>
      <c r="AK183" s="2" t="inlineStr">
        <is>
          <t>primary</t>
        </is>
      </c>
      <c r="AL183" s="2" t="inlineStr">
        <is>
          <t>primary</t>
        </is>
      </c>
      <c r="AM183" s="2" t="inlineStr">
        <is>
          <t>volume</t>
        </is>
      </c>
    </row>
    <row r="184">
      <c r="A184" s="2" t="inlineStr">
        <is>
          <t>Stephan, H., Frahm, H., &amp; Baron, G. (1981). New and revised data on volumes of brain structures in insectivores and primates. Folia Primatol (Basel), 35(1), 1-29. https://doi.org/10.1159/000155963</t>
        </is>
      </c>
      <c r="C184" s="7" t="n"/>
      <c r="D184" s="2" t="inlineStr">
        <is>
          <t>TablesI-VI</t>
        </is>
      </c>
      <c r="E184">
        <f>RIGHT(A184,1)</f>
        <v/>
      </c>
      <c r="F184">
        <f>G184 &amp; IF(H184&lt;&gt;"", "_" &amp; H184, "_") &amp; IF(I184&lt;&gt;"", "_" &amp; I184, "_") &amp; IF(B184&lt;&gt;"", "_" &amp; B184, "")</f>
        <v/>
      </c>
      <c r="G184">
        <f>SUBSTITUTE(SUBSTITUTE(_xlfn.TEXTBEFORE(A184,","), "-", ""), " ", "")</f>
        <v/>
      </c>
      <c r="H184">
        <f>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v/>
      </c>
      <c r="I184">
        <f>_xlfn.TEXTBEFORE(_xlfn.TEXTAFTER(A184, "("), ")")</f>
        <v/>
      </c>
      <c r="J184">
        <f>_xlfn.LET(
_xlpm.doi,IF(C184&lt;&gt;"",C184,_xlfn.TEXTAFTER(A184,"https://doi.org/")),
SUBSTITUTE(
SUBSTITUTE(
SUBSTITUTE(
SUBSTITUTE(
_xlpm.doi,
"/","%2F"),
":","%3A"),
"&lt;","%3C"),
"&gt;","%3E")
)</f>
        <v/>
      </c>
      <c r="K184">
        <f>TRIM(_xlfn.TEXTJOIN("_",FALSE,F184,(SUBSTITUTE(SUBSTITUTE(D184," ",""), "_", ""))))</f>
        <v/>
      </c>
      <c r="L184">
        <f>J184 &amp; "_" &amp; SUBSTITUTE(SUBSTITUTE(SUBSTITUTE(D184,CHAR(160),"")," ",""),"_","")</f>
        <v/>
      </c>
      <c r="M184">
        <f t="array" ref="M184">IFERROR(INDEX(FileList!$A$1:$A$100,MATCH(TRUE,EXACT(L184,_xlfn.TEXTBEFORE(FileList!$A$1:$A$100,".tsv")),0)),"notfound")</f>
        <v/>
      </c>
      <c r="N184" s="2" t="n"/>
      <c r="O184" t="inlineStr">
        <is>
          <t>Tables I-VI combined. The file name should be changed!</t>
        </is>
      </c>
      <c r="P184" s="2" t="inlineStr">
        <is>
          <t>FINISHED</t>
        </is>
      </c>
      <c r="V184" s="2" t="inlineStr">
        <is>
          <t>table</t>
        </is>
      </c>
      <c r="Y184" s="2" t="inlineStr">
        <is>
          <t>Stephan</t>
        </is>
      </c>
      <c r="Z184" s="2" t="inlineStr">
        <is>
          <t>Stephan</t>
        </is>
      </c>
      <c r="AF184" s="2" t="inlineStr">
        <is>
          <t>histological sections</t>
        </is>
      </c>
      <c r="AG184" s="2" t="inlineStr">
        <is>
          <t>volumetry</t>
        </is>
      </c>
      <c r="AI184" s="3" t="inlineStr">
        <is>
          <t>brain structure volumes</t>
        </is>
      </c>
      <c r="AJ184" s="3" t="inlineStr">
        <is>
          <t>Insectivora, Scandentia &amp; Primates</t>
        </is>
      </c>
      <c r="AK184" s="3" t="inlineStr">
        <is>
          <t>primary</t>
        </is>
      </c>
      <c r="AL184" s="2" t="inlineStr">
        <is>
          <t>primary</t>
        </is>
      </c>
      <c r="AM184" s="2" t="inlineStr">
        <is>
          <t>volume</t>
        </is>
      </c>
    </row>
    <row r="185">
      <c r="A185" s="2" t="inlineStr">
        <is>
          <t>Stimpson, C. D., Barger, N., Taglialatella, J. P., Gendron-Fitzpatrick, A., Hof, P. R., Hopkins, W. D., &amp; Sherwood, C. C. (2015). Differential serotonergic innervation of the amygdala in bonobos and chimpanzees. Soc Cogn Affect Neurosci. https://doi.org/10.1093/scan/nsv128</t>
        </is>
      </c>
      <c r="D185" s="2" t="inlineStr">
        <is>
          <t>Table_S1</t>
        </is>
      </c>
      <c r="E185">
        <f>RIGHT(A185,1)</f>
        <v/>
      </c>
      <c r="F185">
        <f>G185 &amp; IF(H185&lt;&gt;"", "_" &amp; H185, "_") &amp; IF(I185&lt;&gt;"", "_" &amp; I185, "_") &amp; IF(B185&lt;&gt;"", "_" &amp; B185, "")</f>
        <v/>
      </c>
      <c r="G185">
        <f>SUBSTITUTE(SUBSTITUTE(_xlfn.TEXTBEFORE(A185,","), "-", ""), " ", "")</f>
        <v/>
      </c>
      <c r="H185">
        <f>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v/>
      </c>
      <c r="I185">
        <f>_xlfn.TEXTBEFORE(_xlfn.TEXTAFTER(A185, "("), ")")</f>
        <v/>
      </c>
      <c r="J185">
        <f>_xlfn.LET(
_xlpm.doi,IF(C185&lt;&gt;"",C185,_xlfn.TEXTAFTER(A185,"https://doi.org/")),
SUBSTITUTE(
SUBSTITUTE(
SUBSTITUTE(
SUBSTITUTE(
_xlpm.doi,
"/","%2F"),
":","%3A"),
"&lt;","%3C"),
"&gt;","%3E")
)</f>
        <v/>
      </c>
      <c r="K185">
        <f>TRIM(_xlfn.TEXTJOIN("_",FALSE,F185,(SUBSTITUTE(SUBSTITUTE(D185," ",""), "_", ""))))</f>
        <v/>
      </c>
      <c r="L185">
        <f>J185 &amp; "_" &amp; SUBSTITUTE(SUBSTITUTE(SUBSTITUTE(D185,CHAR(160),"")," ",""),"_","")</f>
        <v/>
      </c>
      <c r="M185">
        <f t="array" ref="M185">IFERROR(INDEX(FileList!$A$1:$A$100,MATCH(TRUE,EXACT(L185,_xlfn.TEXTBEFORE(FileList!$A$1:$A$100,".tsv")),0)),"notfound")</f>
        <v/>
      </c>
      <c r="N185" s="2" t="inlineStr">
        <is>
          <t>Table_S1</t>
        </is>
      </c>
      <c r="P185" s="2" t="inlineStr">
        <is>
          <t>FINISHED</t>
        </is>
      </c>
      <c r="V185" s="2" t="inlineStr">
        <is>
          <t>table</t>
        </is>
      </c>
      <c r="Y185" s="2" t="inlineStr">
        <is>
          <t>Sherwood</t>
        </is>
      </c>
      <c r="Z185" s="2" t="inlineStr">
        <is>
          <t>Sherwood</t>
        </is>
      </c>
      <c r="AF185" s="2" t="inlineStr">
        <is>
          <t>histological sections</t>
        </is>
      </c>
      <c r="AG185" s="2" t="inlineStr">
        <is>
          <t>volumetry</t>
        </is>
      </c>
      <c r="AL185" s="2" t="inlineStr">
        <is>
          <t>primary</t>
        </is>
      </c>
      <c r="AM185" s="2" t="inlineStr">
        <is>
          <t>volume</t>
        </is>
      </c>
    </row>
    <row r="186">
      <c r="A186" s="2" t="inlineStr">
        <is>
          <t>Stimpson, C. D., Barger, N., Taglialatella, J. P., Gendron-Fitzpatrick, A., Hof, P. R., Hopkins, W. D., &amp; Sherwood, C. C. (2015). Differential serotonergic innervation of the amygdala in bonobos and chimpanzees. Soc Cogn Affect Neurosci. https://doi.org/10.1093/scan/nsv128</t>
        </is>
      </c>
      <c r="D186" s="2" t="inlineStr">
        <is>
          <t>Table_S2</t>
        </is>
      </c>
      <c r="E186">
        <f>RIGHT(A186,1)</f>
        <v/>
      </c>
      <c r="F186">
        <f>G186 &amp; IF(H186&lt;&gt;"", "_" &amp; H186, "_") &amp; IF(I186&lt;&gt;"", "_" &amp; I186, "_") &amp; IF(B186&lt;&gt;"", "_" &amp; B186, "")</f>
        <v/>
      </c>
      <c r="G186">
        <f>SUBSTITUTE(SUBSTITUTE(_xlfn.TEXTBEFORE(A186,","), "-", ""), " ", "")</f>
        <v/>
      </c>
      <c r="H186">
        <f>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
      </c>
      <c r="I186">
        <f>_xlfn.TEXTBEFORE(_xlfn.TEXTAFTER(A186, "("), ")")</f>
        <v/>
      </c>
      <c r="J186">
        <f>_xlfn.LET(
_xlpm.doi,IF(C186&lt;&gt;"",C186,_xlfn.TEXTAFTER(A186,"https://doi.org/")),
SUBSTITUTE(
SUBSTITUTE(
SUBSTITUTE(
SUBSTITUTE(
_xlpm.doi,
"/","%2F"),
":","%3A"),
"&lt;","%3C"),
"&gt;","%3E")
)</f>
        <v/>
      </c>
      <c r="K186">
        <f>TRIM(_xlfn.TEXTJOIN("_",FALSE,F186,(SUBSTITUTE(SUBSTITUTE(D186," ",""), "_", ""))))</f>
        <v/>
      </c>
      <c r="L186">
        <f>J186 &amp; "_" &amp; SUBSTITUTE(SUBSTITUTE(SUBSTITUTE(D186,CHAR(160),"")," ",""),"_","")</f>
        <v/>
      </c>
      <c r="M186">
        <f t="array" ref="M186">IFERROR(INDEX(FileList!$A$1:$A$100,MATCH(TRUE,EXACT(L186,_xlfn.TEXTBEFORE(FileList!$A$1:$A$100,".tsv")),0)),"notfound")</f>
        <v/>
      </c>
      <c r="N186" s="2" t="inlineStr">
        <is>
          <t>Table_S2</t>
        </is>
      </c>
      <c r="P186" s="2" t="inlineStr">
        <is>
          <t>FINISHED</t>
        </is>
      </c>
      <c r="V186" s="2" t="inlineStr">
        <is>
          <t>table</t>
        </is>
      </c>
      <c r="Y186" s="2" t="inlineStr">
        <is>
          <t>Sherwood</t>
        </is>
      </c>
      <c r="Z186" s="2" t="inlineStr">
        <is>
          <t>Sherwood</t>
        </is>
      </c>
      <c r="AF186" s="2" t="inlineStr">
        <is>
          <t>histological sections</t>
        </is>
      </c>
      <c r="AG186" s="2" t="inlineStr">
        <is>
          <t>volumetry</t>
        </is>
      </c>
      <c r="AL186" s="2" t="inlineStr">
        <is>
          <t>primary</t>
        </is>
      </c>
      <c r="AM186" s="2" t="inlineStr">
        <is>
          <t>volume</t>
        </is>
      </c>
    </row>
    <row r="187">
      <c r="A187" s="2" t="inlineStr">
        <is>
          <t>Turner, E. C., Young, N. A., Reed, J. L., Collins, C. E., Flaherty, D. K., Gabi, M., &amp; Kaas, J. H. (2016). Distributions of cells and neurons across the cortical sheet in old world macaques. Brain Behav Evol, 88(1), 1-13. https://doi.org/10.1159/000446762</t>
        </is>
      </c>
      <c r="D187" s="2" t="inlineStr">
        <is>
          <t>Table 1</t>
        </is>
      </c>
      <c r="E187">
        <f>RIGHT(A187,1)</f>
        <v/>
      </c>
      <c r="F187">
        <f>G187 &amp; IF(H187&lt;&gt;"", "_" &amp; H187, "_") &amp; IF(I187&lt;&gt;"", "_" &amp; I187, "_") &amp; IF(B187&lt;&gt;"", "_" &amp; B187, "")</f>
        <v/>
      </c>
      <c r="G187">
        <f>SUBSTITUTE(SUBSTITUTE(_xlfn.TEXTBEFORE(A187,","), "-", ""), " ", "")</f>
        <v/>
      </c>
      <c r="H187">
        <f>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v/>
      </c>
      <c r="I187">
        <f>_xlfn.TEXTBEFORE(_xlfn.TEXTAFTER(A187, "("), ")")</f>
        <v/>
      </c>
      <c r="J187">
        <f>_xlfn.LET(
_xlpm.doi,IF(C187&lt;&gt;"",C187,_xlfn.TEXTAFTER(A187,"https://doi.org/")),
SUBSTITUTE(
SUBSTITUTE(
SUBSTITUTE(
SUBSTITUTE(
_xlpm.doi,
"/","%2F"),
":","%3A"),
"&lt;","%3C"),
"&gt;","%3E")
)</f>
        <v/>
      </c>
      <c r="K187">
        <f>TRIM(_xlfn.TEXTJOIN("_",FALSE,F187,(SUBSTITUTE(SUBSTITUTE(D187," ",""), "_", ""))))</f>
        <v/>
      </c>
      <c r="L187">
        <f>J187 &amp; "_" &amp; SUBSTITUTE(SUBSTITUTE(SUBSTITUTE(D187,CHAR(160),"")," ",""),"_","")</f>
        <v/>
      </c>
      <c r="M187">
        <f t="array" ref="M187">IFERROR(INDEX(FileList!$A$1:$A$100,MATCH(TRUE,EXACT(L187,_xlfn.TEXTBEFORE(FileList!$A$1:$A$100,".tsv")),0)),"notfound")</f>
        <v/>
      </c>
      <c r="N187" s="2" t="inlineStr">
        <is>
          <t>Table 1. Summary of experimental cases</t>
        </is>
      </c>
      <c r="AI187" s="2" t="inlineStr">
        <is>
          <t>Brain surface total area</t>
        </is>
      </c>
      <c r="AJ187" s="2" t="inlineStr">
        <is>
          <t>Mammals</t>
        </is>
      </c>
      <c r="AL187" s="2" t="inlineStr">
        <is>
          <t>primary</t>
        </is>
      </c>
      <c r="AM187" s="2" t="inlineStr">
        <is>
          <t>cortical surface area</t>
        </is>
      </c>
    </row>
    <row r="188">
      <c r="A188" s="2" t="inlineStr">
        <is>
          <t>Weaver, A. G. H. (2001). The cerebellum and cognitive evolution in Pliocene and Pleistocene hominids (Publication No. 3017523) [Doctoral dissertation, The University of New Mexico]. ProQuest Dissertations &amp; Theses Global.</t>
        </is>
      </c>
      <c r="C188" t="inlineStr">
        <is>
          <t>UMI:3017523</t>
        </is>
      </c>
      <c r="D188" s="2" t="inlineStr">
        <is>
          <t>Notes for Table A-15</t>
        </is>
      </c>
      <c r="E188">
        <f>RIGHT(A188,1)</f>
        <v/>
      </c>
      <c r="F188">
        <f>G188 &amp; IF(H188&lt;&gt;"", "_" &amp; H188, "_") &amp; IF(I188&lt;&gt;"", "_" &amp; I188, "_") &amp; IF(B188&lt;&gt;"", "_" &amp; B188, "")</f>
        <v/>
      </c>
      <c r="G188">
        <f>SUBSTITUTE(SUBSTITUTE(_xlfn.TEXTBEFORE(A188,","), "-", ""), " ", "")</f>
        <v/>
      </c>
      <c r="H188">
        <f>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
      </c>
      <c r="I188">
        <f>_xlfn.TEXTBEFORE(_xlfn.TEXTAFTER(A188, "("), ")")</f>
        <v/>
      </c>
      <c r="J188">
        <f>_xlfn.LET(
_xlpm.doi,IF(C188&lt;&gt;"",C188,_xlfn.TEXTAFTER(A188,"https://doi.org/")),
SUBSTITUTE(
SUBSTITUTE(
SUBSTITUTE(
SUBSTITUTE(
_xlpm.doi,
"/","%2F"),
":","%3A"),
"&lt;","%3C"),
"&gt;","%3E")
)</f>
        <v/>
      </c>
      <c r="K188">
        <f>TRIM(_xlfn.TEXTJOIN("_",FALSE,F188,(SUBSTITUTE(SUBSTITUTE(D188," ",""), "_", ""))))</f>
        <v/>
      </c>
      <c r="L188">
        <f>J188 &amp; "_" &amp; SUBSTITUTE(SUBSTITUTE(SUBSTITUTE(D188,CHAR(160),"")," ",""),"_","")</f>
        <v/>
      </c>
      <c r="M188">
        <f t="array" ref="M188">IFERROR(INDEX(FileList!$A$1:$A$100,MATCH(TRUE,EXACT(L188,_xlfn.TEXTBEFORE(FileList!$A$1:$A$100,".tsv")),0)),"notfound")</f>
        <v/>
      </c>
      <c r="N188" s="3" t="inlineStr">
        <is>
          <t>Notes for Table A-15</t>
        </is>
      </c>
      <c r="AI188" s="2" t="n"/>
      <c r="AJ188" s="2" t="n"/>
      <c r="AL188" s="2" t="n"/>
      <c r="AM188" s="2" t="n"/>
    </row>
    <row r="189">
      <c r="A189" s="2" t="inlineStr">
        <is>
          <t>Weaver, A. G. H. (2001). The cerebellum and cognitive evolution in Pliocene and Pleistocene hominids (Publication No. 3017523) [Doctoral dissertation, The University of New Mexico]. ProQuest Dissertations &amp; Theses Global.</t>
        </is>
      </c>
      <c r="C189" t="inlineStr">
        <is>
          <t>UMI:3017523</t>
        </is>
      </c>
      <c r="D189" s="2" t="inlineStr">
        <is>
          <t>Table A-15</t>
        </is>
      </c>
      <c r="E189">
        <f>RIGHT(A189,1)</f>
        <v/>
      </c>
      <c r="F189">
        <f>G189 &amp; IF(H189&lt;&gt;"", "_" &amp; H189, "_") &amp; IF(I189&lt;&gt;"", "_" &amp; I189, "_") &amp; IF(B189&lt;&gt;"", "_" &amp; B189, "")</f>
        <v/>
      </c>
      <c r="G189">
        <f>SUBSTITUTE(SUBSTITUTE(_xlfn.TEXTBEFORE(A189,","), "-", ""), " ", "")</f>
        <v/>
      </c>
      <c r="H189">
        <f>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
      </c>
      <c r="I189">
        <f>_xlfn.TEXTBEFORE(_xlfn.TEXTAFTER(A189, "("), ")")</f>
        <v/>
      </c>
      <c r="J189">
        <f>_xlfn.LET(
_xlpm.doi,IF(C189&lt;&gt;"",C189,_xlfn.TEXTAFTER(A189,"https://doi.org/")),
SUBSTITUTE(
SUBSTITUTE(
SUBSTITUTE(
SUBSTITUTE(
_xlpm.doi,
"/","%2F"),
":","%3A"),
"&lt;","%3C"),
"&gt;","%3E")
)</f>
        <v/>
      </c>
      <c r="K189">
        <f>TRIM(_xlfn.TEXTJOIN("_",FALSE,F189,(SUBSTITUTE(SUBSTITUTE(D189," ",""), "_", ""))))</f>
        <v/>
      </c>
      <c r="L189">
        <f>J189 &amp; "_" &amp; SUBSTITUTE(SUBSTITUTE(SUBSTITUTE(D189,CHAR(160),"")," ",""),"_","")</f>
        <v/>
      </c>
      <c r="M189">
        <f t="array" ref="M189">IFERROR(INDEX(FileList!$A$1:$A$100,MATCH(TRUE,EXACT(L189,_xlfn.TEXTBEFORE(FileList!$A$1:$A$100,".tsv")),0)),"notfound")</f>
        <v/>
      </c>
      <c r="N189" s="3" t="inlineStr">
        <is>
          <t>Table A-15: Data for Raw and Derived Variables</t>
        </is>
      </c>
      <c r="AI189" s="2" t="n"/>
      <c r="AJ189" s="2" t="n"/>
      <c r="AL189" s="2" t="n"/>
      <c r="AM189" s="2" t="n"/>
    </row>
    <row r="190">
      <c r="A190" s="2" t="inlineStr">
        <is>
          <t>Wilman, H., Belmaker, J., Simpson, J., de la Rosa, C., Rivadeneira, M. M., &amp; Jetz, W. (2014). EltonTraits 1.0: Species‐level foraging attributes of the world's birds and mammals. Ecology, 95(7), 2027-2027. https://doi.org/10.1890/13-1917.1</t>
        </is>
      </c>
      <c r="D190" s="2" t="inlineStr">
        <is>
          <t>MamFuncDat.txt</t>
        </is>
      </c>
      <c r="E190">
        <f>RIGHT(A190,1)</f>
        <v/>
      </c>
      <c r="F190">
        <f>G190 &amp; IF(H190&lt;&gt;"", "_" &amp; H190, "_") &amp; IF(I190&lt;&gt;"", "_" &amp; I190, "_") &amp; IF(B190&lt;&gt;"", "_" &amp; B190, "")</f>
        <v/>
      </c>
      <c r="G190">
        <f>SUBSTITUTE(SUBSTITUTE(_xlfn.TEXTBEFORE(A190,","), "-", ""), " ", "")</f>
        <v/>
      </c>
      <c r="H190">
        <f>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
      </c>
      <c r="I190">
        <f>_xlfn.TEXTBEFORE(_xlfn.TEXTAFTER(A190, "("), ")")</f>
        <v/>
      </c>
      <c r="J190">
        <f>_xlfn.LET(
_xlpm.doi,IF(C190&lt;&gt;"",C190,_xlfn.TEXTAFTER(A190,"https://doi.org/")),
SUBSTITUTE(
SUBSTITUTE(
SUBSTITUTE(
SUBSTITUTE(
_xlpm.doi,
"/","%2F"),
":","%3A"),
"&lt;","%3C"),
"&gt;","%3E")
)</f>
        <v/>
      </c>
      <c r="K190">
        <f>TRIM(_xlfn.TEXTJOIN("_",FALSE,F190,(SUBSTITUTE(SUBSTITUTE(D190," ",""), "_", ""))))</f>
        <v/>
      </c>
      <c r="L190">
        <f>J190 &amp; "_" &amp; SUBSTITUTE(SUBSTITUTE(SUBSTITUTE(D190,CHAR(160),"")," ",""),"_","")</f>
        <v/>
      </c>
      <c r="M190">
        <f t="array" ref="M190">IFERROR(INDEX(FileList!$A$1:$A$100,MATCH(TRUE,EXACT(L190,_xlfn.TEXTBEFORE(FileList!$A$1:$A$100,".tsv")),0)),"notfound")</f>
        <v/>
      </c>
      <c r="AI190" s="2" t="inlineStr">
        <is>
          <t>diet &amp; body mass (functional traits)</t>
        </is>
      </c>
      <c r="AJ190" s="2" t="inlineStr">
        <is>
          <t>Mammals</t>
        </is>
      </c>
      <c r="AL190" s="2" t="inlineStr">
        <is>
          <t>secondary</t>
        </is>
      </c>
      <c r="AM190" s="2" t="inlineStr">
        <is>
          <t>ecological traits (diet, body mass)</t>
        </is>
      </c>
    </row>
    <row r="191">
      <c r="A191" s="2" t="inlineStr">
        <is>
          <t>Wimberly, A. N., Slater, G. J., &amp; Granatosky, M. C. (2021). Evolutionary history of quadrupedal walking gaits shows mammalian release from locomotor constraint. Proc Biol Sci, 288(1957), 20210937. https://doi.org/10.1098/rspb.2021.0937</t>
        </is>
      </c>
      <c r="D191" s="2" t="inlineStr">
        <is>
          <t>mammal_gait.txt</t>
        </is>
      </c>
      <c r="E191">
        <f>RIGHT(A191,1)</f>
        <v/>
      </c>
      <c r="F191">
        <f>G191 &amp; IF(H191&lt;&gt;"", "_" &amp; H191, "_") &amp; IF(I191&lt;&gt;"", "_" &amp; I191, "_") &amp; IF(B191&lt;&gt;"", "_" &amp; B191, "")</f>
        <v/>
      </c>
      <c r="G191">
        <f>SUBSTITUTE(SUBSTITUTE(_xlfn.TEXTBEFORE(A191,","), "-", ""), " ", "")</f>
        <v/>
      </c>
      <c r="H191">
        <f>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
      </c>
      <c r="I191">
        <f>_xlfn.TEXTBEFORE(_xlfn.TEXTAFTER(A191, "("), ")")</f>
        <v/>
      </c>
      <c r="J191">
        <f>_xlfn.LET(
_xlpm.doi,IF(C191&lt;&gt;"",C191,_xlfn.TEXTAFTER(A191,"https://doi.org/")),
SUBSTITUTE(
SUBSTITUTE(
SUBSTITUTE(
SUBSTITUTE(
_xlpm.doi,
"/","%2F"),
":","%3A"),
"&lt;","%3C"),
"&gt;","%3E")
)</f>
        <v/>
      </c>
      <c r="K191">
        <f>TRIM(_xlfn.TEXTJOIN("_",FALSE,F191,(SUBSTITUTE(SUBSTITUTE(D191," ",""), "_", ""))))</f>
        <v/>
      </c>
      <c r="L191">
        <f>J191 &amp; "_" &amp; SUBSTITUTE(SUBSTITUTE(SUBSTITUTE(D191,CHAR(160),"")," ",""),"_","")</f>
        <v/>
      </c>
      <c r="M191">
        <f t="array" ref="M191">IFERROR(INDEX(FileList!$A$1:$A$100,MATCH(TRUE,EXACT(L191,_xlfn.TEXTBEFORE(FileList!$A$1:$A$100,".tsv")),0)),"notfound")</f>
        <v/>
      </c>
      <c r="P191" s="2" t="inlineStr">
        <is>
          <t>NOT STARTED</t>
        </is>
      </c>
      <c r="AJ191" s="2" t="inlineStr">
        <is>
          <t>review</t>
        </is>
      </c>
      <c r="AL191" s="2" t="inlineStr">
        <is>
          <t>review</t>
        </is>
      </c>
      <c r="AM191" s="2" t="inlineStr">
        <is>
          <t>review</t>
        </is>
      </c>
    </row>
    <row r="192">
      <c r="A192" s="2" t="inlineStr">
        <is>
          <t>Winkler, S. L., &amp; Bryant, G. A. (2021). Play vocalisations and human laughter: a comparative review. Bioacoustics, 1-28. https://doi.org/10.1080/09524622.2021.1905065</t>
        </is>
      </c>
      <c r="D192" s="2" t="inlineStr">
        <is>
          <t>Figure 1</t>
        </is>
      </c>
      <c r="E192">
        <f>RIGHT(A192,1)</f>
        <v/>
      </c>
      <c r="F192">
        <f>G192 &amp; IF(H192&lt;&gt;"", "_" &amp; H192, "_") &amp; IF(I192&lt;&gt;"", "_" &amp; I192, "_") &amp; IF(B192&lt;&gt;"", "_" &amp; B192, "")</f>
        <v/>
      </c>
      <c r="G192">
        <f>SUBSTITUTE(SUBSTITUTE(_xlfn.TEXTBEFORE(A192,","), "-", ""), " ", "")</f>
        <v/>
      </c>
      <c r="H192">
        <f>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
      </c>
      <c r="I192">
        <f>_xlfn.TEXTBEFORE(_xlfn.TEXTAFTER(A192, "("), ")")</f>
        <v/>
      </c>
      <c r="J192">
        <f>_xlfn.LET(
_xlpm.doi,IF(C192&lt;&gt;"",C192,_xlfn.TEXTAFTER(A192,"https://doi.org/")),
SUBSTITUTE(
SUBSTITUTE(
SUBSTITUTE(
SUBSTITUTE(
_xlpm.doi,
"/","%2F"),
":","%3A"),
"&lt;","%3C"),
"&gt;","%3E")
)</f>
        <v/>
      </c>
      <c r="K192">
        <f>TRIM(_xlfn.TEXTJOIN("_",FALSE,F192,(SUBSTITUTE(SUBSTITUTE(D192," ",""), "_", ""))))</f>
        <v/>
      </c>
      <c r="L192">
        <f>J192 &amp; "_" &amp; SUBSTITUTE(SUBSTITUTE(SUBSTITUTE(D192,CHAR(160),"")," ",""),"_","")</f>
        <v/>
      </c>
      <c r="M192">
        <f t="array" ref="M192">IFERROR(INDEX(FileList!$A$1:$A$100,MATCH(TRUE,EXACT(L192,_xlfn.TEXTBEFORE(FileList!$A$1:$A$100,".tsv")),0)),"notfound")</f>
        <v/>
      </c>
      <c r="P192" s="2" t="inlineStr">
        <is>
          <t>NOT STARTED</t>
        </is>
      </c>
      <c r="Q192" s="2" t="inlineStr">
        <is>
          <t>NA</t>
        </is>
      </c>
      <c r="T192" s="2">
        <f>IF(S192="N", R192, "write file name")</f>
        <v/>
      </c>
      <c r="U192" s="2" t="inlineStr">
        <is>
          <t>pdf</t>
        </is>
      </c>
      <c r="V192" s="2" t="inlineStr">
        <is>
          <t>table and figure</t>
        </is>
      </c>
      <c r="AH192" s="2" t="inlineStr">
        <is>
          <t>mammals</t>
        </is>
      </c>
      <c r="AI192" s="2" t="inlineStr">
        <is>
          <t>play vocalizations</t>
        </is>
      </c>
      <c r="AJ192" s="2" t="inlineStr">
        <is>
          <t>Mammals</t>
        </is>
      </c>
      <c r="AL192" s="2" t="inlineStr">
        <is>
          <t>secondary</t>
        </is>
      </c>
      <c r="AM192" s="2" t="inlineStr">
        <is>
          <t>behavioural (play vocalizations)</t>
        </is>
      </c>
    </row>
    <row r="193">
      <c r="A193" s="2" t="inlineStr">
        <is>
          <t>Young, N. A., Collins, C. E., &amp; Kaas, J. H. (2013). Cell and neuron densities in the primary motor cortex of primates [Original Research]. Front Neural Circuits, 7(30), 30. https://doi.org/10.3389/fncir.2013.00030</t>
        </is>
      </c>
      <c r="D193" s="2" t="inlineStr">
        <is>
          <t>Table 1</t>
        </is>
      </c>
      <c r="E193">
        <f>RIGHT(A193,1)</f>
        <v/>
      </c>
      <c r="F193">
        <f>G193 &amp; IF(H193&lt;&gt;"", "_" &amp; H193, "_") &amp; IF(I193&lt;&gt;"", "_" &amp; I193, "_") &amp; IF(B193&lt;&gt;"", "_" &amp; B193, "")</f>
        <v/>
      </c>
      <c r="G193">
        <f>SUBSTITUTE(SUBSTITUTE(_xlfn.TEXTBEFORE(A193,","), "-", ""), " ", "")</f>
        <v/>
      </c>
      <c r="H193">
        <f>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
      </c>
      <c r="I193">
        <f>_xlfn.TEXTBEFORE(_xlfn.TEXTAFTER(A193, "("), ")")</f>
        <v/>
      </c>
      <c r="J193">
        <f>_xlfn.LET(
_xlpm.doi,IF(C193&lt;&gt;"",C193,_xlfn.TEXTAFTER(A193,"https://doi.org/")),
SUBSTITUTE(
SUBSTITUTE(
SUBSTITUTE(
SUBSTITUTE(
_xlpm.doi,
"/","%2F"),
":","%3A"),
"&lt;","%3C"),
"&gt;","%3E")
)</f>
        <v/>
      </c>
      <c r="K193">
        <f>TRIM(_xlfn.TEXTJOIN("_",FALSE,F193,(SUBSTITUTE(SUBSTITUTE(D193," ",""), "_", ""))))</f>
        <v/>
      </c>
      <c r="L193">
        <f>J193 &amp; "_" &amp; SUBSTITUTE(SUBSTITUTE(SUBSTITUTE(D193,CHAR(160),"")," ",""),"_","")</f>
        <v/>
      </c>
      <c r="M193">
        <f t="array" ref="M193">IFERROR(INDEX(FileList!$A$1:$A$100,MATCH(TRUE,EXACT(L193,_xlfn.TEXTBEFORE(FileList!$A$1:$A$100,".tsv")),0)),"notfound")</f>
        <v/>
      </c>
      <c r="P193" s="2" t="inlineStr">
        <is>
          <t>need to record steps</t>
        </is>
      </c>
      <c r="Q193" s="2" t="inlineStr">
        <is>
          <t>NA</t>
        </is>
      </c>
      <c r="T193" s="2">
        <f>IF(S193="N", R193, "write file name")</f>
        <v/>
      </c>
      <c r="U193" s="2" t="inlineStr">
        <is>
          <t>pdf</t>
        </is>
      </c>
      <c r="V193" s="2" t="inlineStr">
        <is>
          <t>table</t>
        </is>
      </c>
      <c r="AH193" s="2" t="inlineStr">
        <is>
          <t>primates</t>
        </is>
      </c>
      <c r="AI193" s="2" t="inlineStr">
        <is>
          <t>M1 Cell count, surface area, mass</t>
        </is>
      </c>
      <c r="AJ193" s="2" t="inlineStr">
        <is>
          <t>Primates</t>
        </is>
      </c>
      <c r="AK193" s="2" t="inlineStr">
        <is>
          <t>primary</t>
        </is>
      </c>
      <c r="AL193" s="2" t="inlineStr">
        <is>
          <t>primary</t>
        </is>
      </c>
      <c r="AM193" s="2" t="inlineStr">
        <is>
          <t>cell count + cortical surface area</t>
        </is>
      </c>
    </row>
    <row r="194">
      <c r="A194" s="2" t="inlineStr">
        <is>
          <t>Young, N. A., Szabo, C. A., Phelix, C. F., Flaherty, D. K., Balaram, P., Foust-Yeoman, K. B., Collins, C. E., &amp; Kaas, J. H. (2013). Epileptic baboons have lower numbers of neurons in specific areas of cortex. Proc Natl Acad Sci U S A, 110(47), 19107-19112. https://doi.org/10.1073/pnas.1318894110</t>
        </is>
      </c>
      <c r="D194" s="2" t="inlineStr">
        <is>
          <t>Table 1</t>
        </is>
      </c>
      <c r="E194">
        <f>RIGHT(A194,1)</f>
        <v/>
      </c>
      <c r="F194">
        <f>G194 &amp; IF(H194&lt;&gt;"", "_" &amp; H194, "_") &amp; IF(I194&lt;&gt;"", "_" &amp; I194, "_") &amp; IF(B194&lt;&gt;"", "_" &amp; B194, "")</f>
        <v/>
      </c>
      <c r="G194">
        <f>SUBSTITUTE(SUBSTITUTE(_xlfn.TEXTBEFORE(A194,","), "-", ""), " ", "")</f>
        <v/>
      </c>
      <c r="H194">
        <f>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
      </c>
      <c r="I194">
        <f>_xlfn.TEXTBEFORE(_xlfn.TEXTAFTER(A194, "("), ")")</f>
        <v/>
      </c>
      <c r="J194">
        <f>_xlfn.LET(
_xlpm.doi,IF(C194&lt;&gt;"",C194,_xlfn.TEXTAFTER(A194,"https://doi.org/")),
SUBSTITUTE(
SUBSTITUTE(
SUBSTITUTE(
SUBSTITUTE(
_xlpm.doi,
"/","%2F"),
":","%3A"),
"&lt;","%3C"),
"&gt;","%3E")
)</f>
        <v/>
      </c>
      <c r="K194">
        <f>TRIM(_xlfn.TEXTJOIN("_",FALSE,F194,(SUBSTITUTE(SUBSTITUTE(D194," ",""), "_", ""))))</f>
        <v/>
      </c>
      <c r="L194">
        <f>J194 &amp; "_" &amp; SUBSTITUTE(SUBSTITUTE(SUBSTITUTE(D194,CHAR(160),"")," ",""),"_","")</f>
        <v/>
      </c>
      <c r="M194">
        <f t="array" ref="M194">IFERROR(INDEX(FileList!$A$1:$A$100,MATCH(TRUE,EXACT(L194,_xlfn.TEXTBEFORE(FileList!$A$1:$A$100,".tsv")),0)),"notfound")</f>
        <v/>
      </c>
      <c r="N194" s="2" t="inlineStr">
        <is>
          <t>Epileptic baboons: cortical neuron numbers (Table 1) [folder _b]</t>
        </is>
      </c>
      <c r="V194" s="2" t="inlineStr">
        <is>
          <t>table</t>
        </is>
      </c>
      <c r="Y194" s="2" t="inlineStr">
        <is>
          <t>Kaas</t>
        </is>
      </c>
      <c r="AG194" s="2" t="inlineStr">
        <is>
          <t>isotropic fractionator</t>
        </is>
      </c>
      <c r="AI194" s="2" t="inlineStr">
        <is>
          <t>cortical neuron numbers</t>
        </is>
      </c>
      <c r="AJ194" s="2" t="inlineStr">
        <is>
          <t>Primates (+ rodents)</t>
        </is>
      </c>
      <c r="AK194" s="2" t="inlineStr">
        <is>
          <t>primary</t>
        </is>
      </c>
      <c r="AL194" s="2" t="inlineStr">
        <is>
          <t>primary</t>
        </is>
      </c>
      <c r="AM194" s="2" t="inlineStr">
        <is>
          <t>cortical neuron number</t>
        </is>
      </c>
    </row>
    <row r="195">
      <c r="A195" s="2" t="inlineStr">
        <is>
          <t>Zilles, K., &amp; Rehkämper, G. (1988). The brain, with special reference to the telencephalon. In J. H. Schwartz (Ed.), Orang-Utan Biology (pp. 157-176). Oxford University Press</t>
        </is>
      </c>
      <c r="C195" s="2" t="inlineStr">
        <is>
          <t>ISBN:9780195043716</t>
        </is>
      </c>
      <c r="D195" s="2" t="inlineStr">
        <is>
          <t>Table 12-2</t>
        </is>
      </c>
      <c r="E195">
        <f>RIGHT(A195,1)</f>
        <v/>
      </c>
      <c r="F195">
        <f>G195 &amp; IF(H195&lt;&gt;"", "_" &amp; H195, "_") &amp; IF(I195&lt;&gt;"", "_" &amp; I195, "_") &amp; IF(B195&lt;&gt;"", "_" &amp; B195, "")</f>
        <v/>
      </c>
      <c r="G195">
        <f>SUBSTITUTE(SUBSTITUTE(_xlfn.TEXTBEFORE(A195,","), "-", ""), " ", "")</f>
        <v/>
      </c>
      <c r="H195">
        <f>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
      </c>
      <c r="I195">
        <f>_xlfn.TEXTBEFORE(_xlfn.TEXTAFTER(A195, "("), ")")</f>
        <v/>
      </c>
      <c r="J195">
        <f>_xlfn.LET(
_xlpm.doi,IF(C195&lt;&gt;"",C195,_xlfn.TEXTAFTER(A195,"https://doi.org/")),
SUBSTITUTE(
SUBSTITUTE(
SUBSTITUTE(
SUBSTITUTE(
_xlpm.doi,
"/","%2F"),
":","%3A"),
"&lt;","%3C"),
"&gt;","%3E")
)</f>
        <v/>
      </c>
      <c r="K195">
        <f>TRIM(_xlfn.TEXTJOIN("_",FALSE,F195,(SUBSTITUTE(SUBSTITUTE(D195," ",""), "_", ""))))</f>
        <v/>
      </c>
      <c r="L195">
        <f>J195 &amp; "_" &amp; SUBSTITUTE(SUBSTITUTE(SUBSTITUTE(D195,CHAR(160),"")," ",""),"_","")</f>
        <v/>
      </c>
      <c r="M195">
        <f t="array" ref="M195">IFERROR(INDEX(FileList!$A$1:$A$100,MATCH(TRUE,EXACT(L195,_xlfn.TEXTBEFORE(FileList!$A$1:$A$100,".tsv")),0)),"notfound")</f>
        <v/>
      </c>
      <c r="N195" s="2" t="inlineStr">
        <is>
          <t>Brain structure volumes of great apes (Pan, Gorilla, Pongo).</t>
        </is>
      </c>
      <c r="Y195" s="2" t="inlineStr">
        <is>
          <t>Stephan</t>
        </is>
      </c>
      <c r="Z195" s="2" t="inlineStr">
        <is>
          <t>Stephan, Zilles</t>
        </is>
      </c>
      <c r="AF195" s="2" t="inlineStr">
        <is>
          <t>histological sections</t>
        </is>
      </c>
      <c r="AG195" s="2" t="inlineStr">
        <is>
          <t>volumetry</t>
        </is>
      </c>
      <c r="AI195" s="2" t="inlineStr">
        <is>
          <t>telencephalon &amp; brain-structure volumes</t>
        </is>
      </c>
      <c r="AJ195" s="2" t="inlineStr">
        <is>
          <t>Great apes (Pan, Gorilla, Pongo)</t>
        </is>
      </c>
      <c r="AL195" s="2" t="inlineStr">
        <is>
          <t>primary</t>
        </is>
      </c>
      <c r="AM195" s="2" t="inlineStr">
        <is>
          <t>volume</t>
        </is>
      </c>
    </row>
    <row r="196">
      <c r="A196" s="2" t="inlineStr">
        <is>
          <t>Zilles, K., Palomero-Gallagher, N., &amp; Amunts, K. (2013). Development of cortical folding during evolution and ontogeny. Trends Neurosci, 36(5), 275-284. https://doi.org/10.1016/j.tins.2013.01.006</t>
        </is>
      </c>
      <c r="D196" s="2" t="inlineStr">
        <is>
          <t>Table1</t>
        </is>
      </c>
      <c r="E196">
        <f>RIGHT(A196,1)</f>
        <v/>
      </c>
      <c r="F196">
        <f>G196 &amp; IF(H196&lt;&gt;"", "_" &amp; H196, "_") &amp; IF(I196&lt;&gt;"", "_" &amp; I196, "_") &amp; IF(B196&lt;&gt;"", "_" &amp; B196, "")</f>
        <v/>
      </c>
      <c r="G196">
        <f>SUBSTITUTE(SUBSTITUTE(_xlfn.TEXTBEFORE(A196,","), "-", ""), " ", "")</f>
        <v/>
      </c>
      <c r="H196">
        <f>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
      </c>
      <c r="I196">
        <f>_xlfn.TEXTBEFORE(_xlfn.TEXTAFTER(A196, "("), ")")</f>
        <v/>
      </c>
      <c r="J196">
        <f>_xlfn.LET(
_xlpm.doi,IF(C196&lt;&gt;"",C196,_xlfn.TEXTAFTER(A196,"https://doi.org/")),
SUBSTITUTE(
SUBSTITUTE(
SUBSTITUTE(
SUBSTITUTE(
_xlpm.doi,
"/","%2F"),
":","%3A"),
"&lt;","%3C"),
"&gt;","%3E")
)</f>
        <v/>
      </c>
      <c r="K196">
        <f>TRIM(_xlfn.TEXTJOIN("_",FALSE,F196,(SUBSTITUTE(SUBSTITUTE(D196," ",""), "_", ""))))</f>
        <v/>
      </c>
      <c r="L196">
        <f>J196 &amp; "_" &amp; SUBSTITUTE(SUBSTITUTE(SUBSTITUTE(D196,CHAR(160),"")," ",""),"_","")</f>
        <v/>
      </c>
      <c r="M196">
        <f t="array" ref="M196">IFERROR(INDEX(FileList!$A$1:$A$100,MATCH(TRUE,EXACT(L196,_xlfn.TEXTBEFORE(FileList!$A$1:$A$100,".tsv")),0)),"notfound")</f>
        <v/>
      </c>
      <c r="N196" s="2" t="inlineStr">
        <is>
          <t>Development of cortical folding (review)</t>
        </is>
      </c>
      <c r="V196" s="2" t="inlineStr">
        <is>
          <t>table</t>
        </is>
      </c>
      <c r="Y196" s="2" t="inlineStr">
        <is>
          <t>Zilles</t>
        </is>
      </c>
      <c r="AG196" s="2" t="inlineStr">
        <is>
          <t>review</t>
        </is>
      </c>
      <c r="AI196" s="2" t="inlineStr">
        <is>
          <t>cortical folding / gyrification</t>
        </is>
      </c>
      <c r="AJ196" s="2" t="inlineStr">
        <is>
          <t>Mammals (+ primates)</t>
        </is>
      </c>
      <c r="AK196" s="2" t="inlineStr">
        <is>
          <t>primary</t>
        </is>
      </c>
      <c r="AL196" s="2" t="inlineStr">
        <is>
          <t>secondary</t>
        </is>
      </c>
      <c r="AM196" s="2" t="inlineStr">
        <is>
          <t>cortical folding (gyrification index)</t>
        </is>
      </c>
    </row>
  </sheetData>
  <hyperlinks>
    <hyperlink xmlns:r="http://schemas.openxmlformats.org/officeDocument/2006/relationships" ref="X31" r:id="rId1"/>
    <hyperlink xmlns:r="http://schemas.openxmlformats.org/officeDocument/2006/relationships" ref="X32" display="https://elifesciences.org/download/aHR0cHM6Ly9jZG4uZWxpZmVzY2llbmNlcy5vcmcvYXJ0aWNsZXMvNzc4NzUvZWxpZmUtNzc4NzUtdjEucGRmP2Nhbm9uaWNhbFVyaT1odHRwczovL2VsaWZlc2NpZW5jZXMub3JnL2FydGljbGVzLzc3ODc1/elife-77875-v1.pdf?_hash=NStjcL9fTlmy3AQDwSiM0YgMVB3UYjO8nDg0UbwN5gM%3D" r:id="rId2"/>
    <hyperlink xmlns:r="http://schemas.openxmlformats.org/officeDocument/2006/relationships" ref="X35" r:id="rId3"/>
    <hyperlink xmlns:r="http://schemas.openxmlformats.org/officeDocument/2006/relationships" ref="X47" r:id="rId4"/>
    <hyperlink xmlns:r="http://schemas.openxmlformats.org/officeDocument/2006/relationships" ref="X51" r:id="rId5"/>
    <hyperlink xmlns:r="http://schemas.openxmlformats.org/officeDocument/2006/relationships" ref="X59" r:id="rId6"/>
    <hyperlink xmlns:r="http://schemas.openxmlformats.org/officeDocument/2006/relationships" ref="X60" r:id="rId7"/>
    <hyperlink xmlns:r="http://schemas.openxmlformats.org/officeDocument/2006/relationships" ref="X62" r:id="rId8"/>
    <hyperlink xmlns:r="http://schemas.openxmlformats.org/officeDocument/2006/relationships" ref="X63" r:id="rId9"/>
    <hyperlink xmlns:r="http://schemas.openxmlformats.org/officeDocument/2006/relationships" ref="X64" r:id="rId10"/>
    <hyperlink xmlns:r="http://schemas.openxmlformats.org/officeDocument/2006/relationships" ref="X65" r:id="rId11"/>
    <hyperlink xmlns:r="http://schemas.openxmlformats.org/officeDocument/2006/relationships" ref="X66" r:id="rId12"/>
    <hyperlink xmlns:r="http://schemas.openxmlformats.org/officeDocument/2006/relationships" ref="X67" r:id="rId13"/>
    <hyperlink xmlns:r="http://schemas.openxmlformats.org/officeDocument/2006/relationships" ref="X70" r:id="rId14"/>
    <hyperlink xmlns:r="http://schemas.openxmlformats.org/officeDocument/2006/relationships" ref="X92" r:id="rId15"/>
    <hyperlink xmlns:r="http://schemas.openxmlformats.org/officeDocument/2006/relationships" ref="X119" r:id="rId16"/>
    <hyperlink xmlns:r="http://schemas.openxmlformats.org/officeDocument/2006/relationships" ref="X120" r:id="rId17"/>
    <hyperlink xmlns:r="http://schemas.openxmlformats.org/officeDocument/2006/relationships" ref="X128" r:id="rId18"/>
    <hyperlink xmlns:r="http://schemas.openxmlformats.org/officeDocument/2006/relationships" ref="X135" r:id="rId19"/>
  </hyperlinks>
  <pageMargins left="0.7" right="0.7" top="0.75" bottom="0.75" header="0.3" footer="0.3"/>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A139"/>
  <sheetViews>
    <sheetView workbookViewId="0">
      <selection activeCell="A1" sqref="A1"/>
    </sheetView>
  </sheetViews>
  <sheetFormatPr baseColWidth="10" defaultRowHeight="16"/>
  <sheetData>
    <row r="1">
      <c r="A1" t="inlineStr">
        <is>
          <t>10.1002%2F(SICI)1096-8644(199806)106%3A2%3C129%3A%3AAID-AJPA3%3E3.0.CO;2-L_TABLE2.tsv</t>
        </is>
      </c>
    </row>
    <row r="2">
      <c r="A2" t="inlineStr">
        <is>
          <t>10.1002%2F1096-8644(200102)114%3A2%3C163%3A%3AAID-AJPA1016%3E3.0.CO;2-F_TABLE2.tsv</t>
        </is>
      </c>
    </row>
    <row r="3">
      <c r="A3" t="inlineStr">
        <is>
          <t>10.1002%2F1096-8644(200103)114%3A3%3C224%3A%3AAID-AJPA1022%3E3.0.CO;2-I_TABLE2.tsv</t>
        </is>
      </c>
    </row>
    <row r="4">
      <c r="A4" t="inlineStr">
        <is>
          <t>10.1002%2Fajp.20048_TABLEI.tsv</t>
        </is>
      </c>
    </row>
    <row r="5">
      <c r="A5" t="inlineStr">
        <is>
          <t>10.1002%2Fajp.20048_unpublishedviaDeCasien.tsv</t>
        </is>
      </c>
    </row>
    <row r="6">
      <c r="A6" t="inlineStr">
        <is>
          <t>10.1002%2Fajpa.20684_TABLE1.tsv</t>
        </is>
      </c>
    </row>
    <row r="7">
      <c r="A7" t="inlineStr">
        <is>
          <t>10.1002%2Fajpa.22646_Fig4A.tsv</t>
        </is>
      </c>
    </row>
    <row r="8">
      <c r="A8" t="inlineStr">
        <is>
          <t>10.1002%2Fajpa.22646_Fig5A.tsv</t>
        </is>
      </c>
    </row>
    <row r="9">
      <c r="A9" t="inlineStr">
        <is>
          <t>10.1002%2Fajpa.22646_TABLE1.tsv</t>
        </is>
      </c>
    </row>
    <row r="10">
      <c r="A10" t="inlineStr">
        <is>
          <t>10.1002%2Fajpa.22646_TABLE2.tsv</t>
        </is>
      </c>
    </row>
    <row r="11">
      <c r="A11" t="inlineStr">
        <is>
          <t>10.1002%2Fajpa.22646_unpublishedviaDeCasien.tsv</t>
        </is>
      </c>
    </row>
    <row r="12">
      <c r="A12" t="inlineStr">
        <is>
          <t>10.1002%2Far.a.20114_TABLE1.tsv</t>
        </is>
      </c>
    </row>
    <row r="13">
      <c r="A13" t="inlineStr">
        <is>
          <t>10.1002%2Fcne.24605_TABLE1.tsv</t>
        </is>
      </c>
    </row>
    <row r="14">
      <c r="A14" t="inlineStr">
        <is>
          <t>10.1002%2Fcne.24605_TABLE2.tsv</t>
        </is>
      </c>
    </row>
    <row r="15">
      <c r="A15" t="inlineStr">
        <is>
          <t>10.1002%2Fcne.24985_TABLE1.tsv</t>
        </is>
      </c>
    </row>
    <row r="16">
      <c r="A16" t="inlineStr">
        <is>
          <t>10.1002%2Fcne.24985_TABLE2.tsv</t>
        </is>
      </c>
    </row>
    <row r="17">
      <c r="A17" t="inlineStr">
        <is>
          <t>10.1002%2Fcne.25669_TABLE1.tsv</t>
        </is>
      </c>
    </row>
    <row r="18">
      <c r="A18" t="inlineStr">
        <is>
          <t>10.1002%2Fcne.70089_TABLE1.tsv</t>
        </is>
      </c>
    </row>
    <row r="19">
      <c r="A19" t="inlineStr">
        <is>
          <t>10.1006%2Fjhev.1996.0005_Table1.tsv</t>
        </is>
      </c>
    </row>
    <row r="20">
      <c r="A20" t="inlineStr">
        <is>
          <t>10.1006%2Fjhev.1999.0313_Table1.tsv</t>
        </is>
      </c>
    </row>
    <row r="21">
      <c r="A21" t="inlineStr">
        <is>
          <t>10.1007%2Fs004220000205_Figure3.tsv</t>
        </is>
      </c>
    </row>
    <row r="22">
      <c r="A22" t="inlineStr">
        <is>
          <t>10.1016%2Fj.cub.2017.01.020_TableS1part1.tsv</t>
        </is>
      </c>
    </row>
    <row r="23">
      <c r="A23" t="inlineStr">
        <is>
          <t>10.1016%2Fj.cub.2017.01.020_TableS1part2.tsv</t>
        </is>
      </c>
    </row>
    <row r="24">
      <c r="A24" t="inlineStr">
        <is>
          <t>10.1016%2Fj.jhevol.2004.10.003_Table1.tsv</t>
        </is>
      </c>
    </row>
    <row r="25">
      <c r="A25" t="inlineStr">
        <is>
          <t>10.1016%2Fj.jhevol.2008.08.004_Table2.tsv</t>
        </is>
      </c>
    </row>
    <row r="26">
      <c r="A26" t="inlineStr">
        <is>
          <t>10.1016%2Fj.jhevol.2008.08.004_Table7.tsv</t>
        </is>
      </c>
    </row>
    <row r="27">
      <c r="A27" t="inlineStr">
        <is>
          <t>10.1016%2Fj.jhevol.2008.08.004_TableS1.tsv</t>
        </is>
      </c>
    </row>
    <row r="28">
      <c r="A28" t="inlineStr">
        <is>
          <t>10.1016%2Fj.jhevol.2008.08.004_TableS2.tsv</t>
        </is>
      </c>
    </row>
    <row r="29">
      <c r="A29" t="inlineStr">
        <is>
          <t>10.1016%2Fj.jhevol.2008.08.004_TableS3.tsv</t>
        </is>
      </c>
    </row>
    <row r="30">
      <c r="A30" t="inlineStr">
        <is>
          <t>10.1016%2Fj.jhevol.2009.11.011_SupTable2.tsv</t>
        </is>
      </c>
    </row>
    <row r="31">
      <c r="A31" t="inlineStr">
        <is>
          <t>10.1016%2Fj.jhevol.2009.11.011_Table1.tsv</t>
        </is>
      </c>
    </row>
    <row r="32">
      <c r="A32" t="inlineStr">
        <is>
          <t>10.1016%2Fj.jhevol.2012.03.007_Table2.tsv</t>
        </is>
      </c>
    </row>
    <row r="33">
      <c r="A33" t="inlineStr">
        <is>
          <t>10.1016%2Fj.jhevol.2012.03.007_Table3.tsv</t>
        </is>
      </c>
    </row>
    <row r="34">
      <c r="A34" t="inlineStr">
        <is>
          <t>10.1016%2Fj.jhevol.2012.03.007_Table5.tsv</t>
        </is>
      </c>
    </row>
    <row r="35">
      <c r="A35" t="inlineStr">
        <is>
          <t>10.1016%2Fj.jhevol.2012.12.003_Table1.tsv</t>
        </is>
      </c>
    </row>
    <row r="36">
      <c r="A36" t="inlineStr">
        <is>
          <t>10.1016%2Fj.jhevol.2012.12.003_Table2.tsv</t>
        </is>
      </c>
    </row>
    <row r="37">
      <c r="A37" t="inlineStr">
        <is>
          <t>10.1016%2Fj.zool.2020.125753_SupplementaryTable.tsv</t>
        </is>
      </c>
    </row>
    <row r="38">
      <c r="A38" t="inlineStr">
        <is>
          <t>10.1016%2Fs0047-2484(03)00028-9_Table1.tsv</t>
        </is>
      </c>
    </row>
    <row r="39">
      <c r="A39" t="inlineStr">
        <is>
          <t>10.1016%2Fs0047-2484(03)00028-9_Table2.tsv</t>
        </is>
      </c>
    </row>
    <row r="40">
      <c r="A40" t="inlineStr">
        <is>
          <t>10.1016%2Fs0166-4328(98)00151-x_Table1.tsv</t>
        </is>
      </c>
    </row>
    <row r="41">
      <c r="A41" t="inlineStr">
        <is>
          <t>10.1037%2F0735-7036.115.1.29_Table1.tsv</t>
        </is>
      </c>
    </row>
    <row r="42">
      <c r="A42" t="inlineStr">
        <is>
          <t>10.1037%2F0735-7036.115.1.29_Table2.tsv</t>
        </is>
      </c>
    </row>
    <row r="43">
      <c r="A43" t="inlineStr">
        <is>
          <t>10.1037%2F0735-7036.115.1.29_Table3.tsv</t>
        </is>
      </c>
    </row>
    <row r="44">
      <c r="A44" t="inlineStr">
        <is>
          <t>10.1037%2F0735-7036.115.1.29_Table4.tsv</t>
        </is>
      </c>
    </row>
    <row r="45">
      <c r="A45" t="inlineStr">
        <is>
          <t>10.1038%2Fs41467-020-14356-3_SupplementaryData3.tsv</t>
        </is>
      </c>
    </row>
    <row r="46">
      <c r="A46" t="inlineStr">
        <is>
          <t>10.1038%2Fs41598-018-24331-0_ExtendedDataFigure4.tsv</t>
        </is>
      </c>
    </row>
    <row r="47">
      <c r="A47" t="inlineStr">
        <is>
          <t>10.1038%2Fs41598-018-24331-0_ExtendedDataTable1.tsv</t>
        </is>
      </c>
    </row>
    <row r="48">
      <c r="A48" t="inlineStr">
        <is>
          <t>10.1038%2Fs41598-018-24331-0_ExtendedDataTable3.tsv</t>
        </is>
      </c>
    </row>
    <row r="49">
      <c r="A49" t="inlineStr">
        <is>
          <t>10.1038%2Fs41598-018-24331-0_Figure3A.tsv</t>
        </is>
      </c>
    </row>
    <row r="50">
      <c r="A50" t="inlineStr">
        <is>
          <t>10.1038%2Fs41598-018-24331-0_Figure3B.tsv</t>
        </is>
      </c>
    </row>
    <row r="51">
      <c r="A51" t="inlineStr">
        <is>
          <t>10.1038%2Fs41598-018-24331-0_Figure3legend.tsv</t>
        </is>
      </c>
    </row>
    <row r="52">
      <c r="A52" t="inlineStr">
        <is>
          <t>10.1038%2Fs41598-018-24331-0_FossilSpecimensText.tsv</t>
        </is>
      </c>
    </row>
    <row r="53">
      <c r="A53" t="inlineStr">
        <is>
          <t>10.1038%2Fs41598-018-26062-8_Table1.tsv</t>
        </is>
      </c>
    </row>
    <row r="54">
      <c r="A54" t="inlineStr">
        <is>
          <t>10.1038%2Fs41598-018-26062-8_TableS1.tsv</t>
        </is>
      </c>
    </row>
    <row r="55">
      <c r="A55" t="inlineStr">
        <is>
          <t>10.1038%2Fs41598-018-26062-8_TableS5.tsv</t>
        </is>
      </c>
    </row>
    <row r="56">
      <c r="A56" t="inlineStr">
        <is>
          <t>10.1073%2Fpnas.0305760101_Table2.tsv</t>
        </is>
      </c>
    </row>
    <row r="57">
      <c r="A57" t="inlineStr">
        <is>
          <t>10.1073%2Fpnas.0905777106_TableS1.tsv</t>
        </is>
      </c>
    </row>
    <row r="58">
      <c r="A58" t="inlineStr">
        <is>
          <t>10.1073%2Fpnas.1716956116_SupplementaryTableS1.tsv</t>
        </is>
      </c>
    </row>
    <row r="59">
      <c r="A59" t="inlineStr">
        <is>
          <t>10.1093%2Fcercor%2Fbhy315_Table4.tsv</t>
        </is>
      </c>
    </row>
    <row r="60">
      <c r="A60" t="inlineStr">
        <is>
          <t>10.1093%2Fjmammal%2Fgyz043_SupplementaryDataSD1.tsv</t>
        </is>
      </c>
    </row>
    <row r="61">
      <c r="A61" t="inlineStr">
        <is>
          <t>10.1093%2Foso%2F9780198568742.003.0006_Table6.1.tsv</t>
        </is>
      </c>
    </row>
    <row r="62">
      <c r="A62" t="inlineStr">
        <is>
          <t>10.1093%2Fscan%2Fnsv128_TableS1.tsv</t>
        </is>
      </c>
    </row>
    <row r="63">
      <c r="A63" t="inlineStr">
        <is>
          <t>10.1093%2Fscan%2Fnsv128_TableS2.tsv</t>
        </is>
      </c>
    </row>
    <row r="64">
      <c r="A64" t="inlineStr">
        <is>
          <t>10.1098%2Frspb.2015.1853_Table1.tsv</t>
        </is>
      </c>
    </row>
    <row r="65">
      <c r="A65" t="inlineStr">
        <is>
          <t>10.1098%2Frspb.2015.1853_Table2.tsv</t>
        </is>
      </c>
    </row>
    <row r="66">
      <c r="A66" t="inlineStr">
        <is>
          <t>10.1126%2Fscience.aaa9101_TableS1.tsv</t>
        </is>
      </c>
    </row>
    <row r="67">
      <c r="A67" t="inlineStr">
        <is>
          <t>10.1159%2F000006575_Table1.tsv</t>
        </is>
      </c>
    </row>
    <row r="68">
      <c r="A68" t="inlineStr">
        <is>
          <t>10.1159%2F000068880_Table1.tsv</t>
        </is>
      </c>
    </row>
    <row r="69">
      <c r="A69" t="inlineStr">
        <is>
          <t>10.1159%2F000124401_TableI.tsv</t>
        </is>
      </c>
    </row>
    <row r="70">
      <c r="A70" t="inlineStr">
        <is>
          <t>10.1159%2F000155963_TableI.tsv</t>
        </is>
      </c>
    </row>
    <row r="71">
      <c r="A71" t="inlineStr">
        <is>
          <t>10.1159%2F000155963_TableII.tsv</t>
        </is>
      </c>
    </row>
    <row r="72">
      <c r="A72" t="inlineStr">
        <is>
          <t>10.1159%2F000155963_TableIII.tsv</t>
        </is>
      </c>
    </row>
    <row r="73">
      <c r="A73" t="inlineStr">
        <is>
          <t>10.1159%2F000155963_TableIV.tsv</t>
        </is>
      </c>
    </row>
    <row r="74">
      <c r="A74" t="inlineStr">
        <is>
          <t>10.1159%2F000155963_TableIX.tsv</t>
        </is>
      </c>
    </row>
    <row r="75">
      <c r="A75" t="inlineStr">
        <is>
          <t>10.1159%2F000155963_TablesI-VI.tsv</t>
        </is>
      </c>
    </row>
    <row r="76">
      <c r="A76" t="inlineStr">
        <is>
          <t>10.1159%2F000155963_TableV.tsv</t>
        </is>
      </c>
    </row>
    <row r="77">
      <c r="A77" t="inlineStr">
        <is>
          <t>10.1159%2F000155963_TableVI.tsv</t>
        </is>
      </c>
    </row>
    <row r="78">
      <c r="A78" t="inlineStr">
        <is>
          <t>10.1159%2F000155963_TableVII.tsv</t>
        </is>
      </c>
    </row>
    <row r="79">
      <c r="A79" t="inlineStr">
        <is>
          <t>10.1159%2F000155963_TableVIII.tsv</t>
        </is>
      </c>
    </row>
    <row r="80">
      <c r="A80" t="inlineStr">
        <is>
          <t>10.1159%2F000155963_TableX.tsv</t>
        </is>
      </c>
    </row>
    <row r="81">
      <c r="A81" t="inlineStr">
        <is>
          <t>10.1159%2F000155963_TableXI.tsv</t>
        </is>
      </c>
    </row>
    <row r="82">
      <c r="A82" t="inlineStr">
        <is>
          <t>10.1159%2F000155963_TableXII.tsv</t>
        </is>
      </c>
    </row>
    <row r="83">
      <c r="A83" t="inlineStr">
        <is>
          <t>10.1159%2F000155963_TableXIII.tsv</t>
        </is>
      </c>
    </row>
    <row r="84">
      <c r="A84" t="inlineStr">
        <is>
          <t>10.1159%2F000155963_TableXIV.tsv</t>
        </is>
      </c>
    </row>
    <row r="85">
      <c r="A85" t="inlineStr">
        <is>
          <t>10.1159%2F000155963_TableXV.tsv</t>
        </is>
      </c>
    </row>
    <row r="86">
      <c r="A86" t="inlineStr">
        <is>
          <t>10.1159%2F000155963_TableXVI.tsv</t>
        </is>
      </c>
    </row>
    <row r="87">
      <c r="A87" t="inlineStr">
        <is>
          <t>10.1159%2F000156211_Table1.tsv</t>
        </is>
      </c>
    </row>
    <row r="88">
      <c r="A88" t="inlineStr">
        <is>
          <t>10.1159%2F000156212_Table1.tsv</t>
        </is>
      </c>
    </row>
    <row r="89">
      <c r="A89" t="inlineStr">
        <is>
          <t>10.1159%2F000319019_SupplementaryTable1.tsv</t>
        </is>
      </c>
    </row>
    <row r="90">
      <c r="A90" t="inlineStr">
        <is>
          <t>10.1159%2F000319019_Table1.tsv</t>
        </is>
      </c>
    </row>
    <row r="91">
      <c r="A91" t="inlineStr">
        <is>
          <t>10.1159%2F000323671_SupplementaryTable1.tsv</t>
        </is>
      </c>
    </row>
    <row r="92">
      <c r="A92" t="inlineStr">
        <is>
          <t>10.1159%2F000323671_SupplementaryTable2.tsv</t>
        </is>
      </c>
    </row>
    <row r="93">
      <c r="A93" t="inlineStr">
        <is>
          <t>10.1159%2F000346495_Table1.tsv</t>
        </is>
      </c>
    </row>
    <row r="94">
      <c r="A94" t="inlineStr">
        <is>
          <t>10.1159%2F000437413_Table1.tsv</t>
        </is>
      </c>
    </row>
    <row r="95">
      <c r="A95" t="inlineStr">
        <is>
          <t>10.1159%2F000437413_Table2.tsv</t>
        </is>
      </c>
    </row>
    <row r="96">
      <c r="A96" t="inlineStr">
        <is>
          <t>10.1159%2F000437413_Table3.tsv</t>
        </is>
      </c>
    </row>
    <row r="97">
      <c r="A97" t="inlineStr">
        <is>
          <t>10.1159%2F000437413_Table4.tsv</t>
        </is>
      </c>
    </row>
    <row r="98">
      <c r="A98" t="inlineStr">
        <is>
          <t>10.1159%2F000437413_Table5.tsv</t>
        </is>
      </c>
    </row>
    <row r="99">
      <c r="A99" t="inlineStr">
        <is>
          <t>10.1159%2F000452856_TableS1.tsv</t>
        </is>
      </c>
    </row>
    <row r="100">
      <c r="A100" t="inlineStr">
        <is>
          <t>10.1371%2Fjournal.pbio.1002000_TableS1.tsv</t>
        </is>
      </c>
    </row>
    <row r="101">
      <c r="A101" t="inlineStr">
        <is>
          <t>10.1371%2Fjournal.pbio.1002000_TableS8.tsv</t>
        </is>
      </c>
    </row>
    <row r="102">
      <c r="A102" t="inlineStr">
        <is>
          <t>10.1523%2FJNEUROSCI.2339-19.2020_Table1.tsv</t>
        </is>
      </c>
    </row>
    <row r="103">
      <c r="A103" t="inlineStr">
        <is>
          <t>10.1523%2FJNEUROSCI.2339-19.2020_unpublished.tsv</t>
        </is>
      </c>
    </row>
    <row r="104">
      <c r="A104" t="inlineStr">
        <is>
          <t>10.3389%2Ffnana.2013.00035_Figure2TopLeft.tsv</t>
        </is>
      </c>
    </row>
    <row r="105">
      <c r="A105" t="inlineStr">
        <is>
          <t>10.3389%2Ffnana.2013.00035_Table1-a.tsv</t>
        </is>
      </c>
    </row>
    <row r="106">
      <c r="A106" t="inlineStr">
        <is>
          <t>10.3389%2Ffnana.2013.00035_Table1-b.tsv</t>
        </is>
      </c>
    </row>
    <row r="107">
      <c r="A107" t="inlineStr">
        <is>
          <t>10.3389%2Ffnana.2017.00118_Table1.tsv</t>
        </is>
      </c>
    </row>
    <row r="108">
      <c r="A108" t="inlineStr">
        <is>
          <t>10.3389%2Ffnhum.2013.00424_TableS2partial.tsv</t>
        </is>
      </c>
    </row>
    <row r="109">
      <c r="A109" t="inlineStr">
        <is>
          <t>10.3389%2Ffnhum.2014.00277_Table1.tsv</t>
        </is>
      </c>
    </row>
    <row r="110">
      <c r="A110" t="inlineStr">
        <is>
          <t>10.3389%2Ffnins.2021.632853_TABLE1.tsv</t>
        </is>
      </c>
    </row>
    <row r="111">
      <c r="A111" t="inlineStr">
        <is>
          <t>10.6084%2Fm9.figshare.c.3899422.v1_Dataset1.tsv</t>
        </is>
      </c>
    </row>
    <row r="112">
      <c r="A112" t="inlineStr">
        <is>
          <t>10.7554%2FeLife.77875_Supplementaryfile3.tsv</t>
        </is>
      </c>
    </row>
    <row r="113">
      <c r="A113" t="inlineStr">
        <is>
          <t>10.7554%2FeLife.77875_Table1.tsv</t>
        </is>
      </c>
    </row>
    <row r="114">
      <c r="A114" t="inlineStr">
        <is>
          <t>ISBN%3A0390672505_TABLE1.tsv</t>
        </is>
      </c>
    </row>
    <row r="115">
      <c r="A115" t="inlineStr">
        <is>
          <t>ISBN%3A0390672505_TABLE2.tsv</t>
        </is>
      </c>
    </row>
    <row r="116">
      <c r="A116" t="inlineStr">
        <is>
          <t>ISBN%3A0390672505_TABLE3.tsv</t>
        </is>
      </c>
    </row>
    <row r="117">
      <c r="A117" t="inlineStr">
        <is>
          <t>ISBN%3A0390672505_TABLE4.tsv</t>
        </is>
      </c>
    </row>
    <row r="118">
      <c r="A118" t="inlineStr">
        <is>
          <t>ISBN%3A0390672505_TABLE5.tsv</t>
        </is>
      </c>
    </row>
    <row r="119">
      <c r="A119" t="inlineStr">
        <is>
          <t>ISBN%3A0390672505_TABLE6.tsv</t>
        </is>
      </c>
    </row>
    <row r="120">
      <c r="A120" t="inlineStr">
        <is>
          <t>ISBN%3A0390672505_Tables1-6.tsv</t>
        </is>
      </c>
    </row>
    <row r="121">
      <c r="A121" t="inlineStr">
        <is>
          <t>ISBN%3A0845140000_TABLE1.tsv</t>
        </is>
      </c>
    </row>
    <row r="122">
      <c r="A122" t="inlineStr">
        <is>
          <t>ISBN%3A9780195043716_Table12-2.tsv</t>
        </is>
      </c>
    </row>
    <row r="123">
      <c r="A123" t="inlineStr">
        <is>
          <t>NQ%3A61662_APPENDIXI.tsv</t>
        </is>
      </c>
    </row>
    <row r="124">
      <c r="A124" t="inlineStr">
        <is>
          <t>PMID%3A15534048_TABLE1.tsv</t>
        </is>
      </c>
    </row>
    <row r="125">
      <c r="A125" t="inlineStr">
        <is>
          <t>PMID%3A2358663_Table1.tsv</t>
        </is>
      </c>
    </row>
    <row r="126">
      <c r="A126" t="inlineStr">
        <is>
          <t>PMID%3A3116076_Table1.tsv</t>
        </is>
      </c>
    </row>
    <row r="127">
      <c r="A127" t="inlineStr">
        <is>
          <t>PMID%3A3216099_Table1.tsv</t>
        </is>
      </c>
    </row>
    <row r="128">
      <c r="A128" t="inlineStr">
        <is>
          <t>PMID%3A3693895_Table1.tsv</t>
        </is>
      </c>
    </row>
    <row r="129">
      <c r="A129" t="inlineStr">
        <is>
          <t>PMID%3A6481154_Table1.tsv</t>
        </is>
      </c>
    </row>
    <row r="130">
      <c r="A130" t="inlineStr">
        <is>
          <t>PMID%3A6501869_Table1.tsv</t>
        </is>
      </c>
    </row>
    <row r="131">
      <c r="A131" t="inlineStr">
        <is>
          <t>PMID%3A6663055_Table1.tsv</t>
        </is>
      </c>
    </row>
    <row r="132">
      <c r="A132" t="inlineStr">
        <is>
          <t>PMID%3A7161477_Table2.tsv</t>
        </is>
      </c>
    </row>
    <row r="133">
      <c r="A133" t="inlineStr">
        <is>
          <t>PMID%3A7161483_Table1.tsv</t>
        </is>
      </c>
    </row>
    <row r="134">
      <c r="A134" t="inlineStr">
        <is>
          <t>PMID%3A7983368_Table1.tsv</t>
        </is>
      </c>
    </row>
    <row r="135">
      <c r="A135" t="inlineStr">
        <is>
          <t>PMID%3A9176733_Table1.tsv</t>
        </is>
      </c>
    </row>
    <row r="136">
      <c r="A136" t="inlineStr">
        <is>
          <t>PMID%3A9672110_Table1.tsv</t>
        </is>
      </c>
    </row>
    <row r="137">
      <c r="A137" t="inlineStr">
        <is>
          <t>UMI%3A3017523_NotesforTableA-15.tsv</t>
        </is>
      </c>
    </row>
    <row r="138">
      <c r="A138" t="inlineStr">
        <is>
          <t>UMI%3A3017523_TableA-11.tsv</t>
        </is>
      </c>
    </row>
    <row r="139">
      <c r="A139" t="inlineStr">
        <is>
          <t>UMI%3A3017523_TableA-15.tsv</t>
        </is>
      </c>
    </row>
  </sheetData>
  <pageMargins left="0.7" right="0.7" top="0.75" bottom="0.75" header="0.3" footer="0.3"/>
  <pageSetup orientation="portrait" paperSize="9"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39CE4B2C-A1C4-4061-9612-6F72F24FEAAA}"/>
</file>

<file path=customXml/itemProps2.xml><?xml version="1.0" encoding="utf-8"?>
<ds:datastoreItem xmlns:ds="http://schemas.openxmlformats.org/officeDocument/2006/customXml" ds:itemID="{5F4E613F-78F0-4490-9DEE-40AD190C0E03}"/>
</file>

<file path=customXml/itemProps3.xml><?xml version="1.0" encoding="utf-8"?>
<ds:datastoreItem xmlns:ds="http://schemas.openxmlformats.org/officeDocument/2006/customXml" ds:itemID="{B802727F-5FF5-4A2E-9225-7D97ED905AAE}"/>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de Sousa</dc:creator>
  <cp:lastModifiedBy>Alexandra de Sousa</cp:lastModifiedBy>
  <dcterms:created xsi:type="dcterms:W3CDTF">2023-10-04T18:06:19Z</dcterms:created>
  <dcterms:modified xsi:type="dcterms:W3CDTF">2026-07-16T21:59:40Z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