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16"/>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609" documentId="6_{07DD5C5E-4B7E-564D-9FFA-3C28EE9E5650}" xr6:coauthVersionLast="47" xr6:coauthVersionMax="47" xr10:uidLastSave="{26D99028-58D3-457E-93E3-703616ED5CF6}"/>
  <bookViews>
    <workbookView xWindow="34580" yWindow="-5960" windowWidth="41380" windowHeight="20360" xr2:uid="{D451F2D8-9E4F-7644-8584-5A4B2BCAED4A}"/>
  </bookViews>
  <sheets>
    <sheet name="Sheet1" sheetId="1" r:id="rId1"/>
    <sheet name="Pipeline" sheetId="3" r:id="rId2"/>
    <sheet name="Conflcts" sheetId="4" r:id="rId3"/>
  </sheets>
  <externalReferences>
    <externalReference r:id="rId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8" i="1" l="1"/>
  <c r="E48" i="1"/>
  <c r="D48" i="1"/>
  <c r="C48" i="1"/>
  <c r="B48" i="1"/>
  <c r="J48" i="1" s="1"/>
  <c r="N46" i="1" a="1"/>
  <c r="N46" i="1"/>
  <c r="O46" i="1" a="1"/>
  <c r="O46" i="1"/>
  <c r="N47" i="1" a="1"/>
  <c r="N47" i="1"/>
  <c r="O47" i="1" a="1"/>
  <c r="O47" i="1"/>
  <c r="C47" i="1"/>
  <c r="D47" i="1"/>
  <c r="E47" i="1"/>
  <c r="K47" i="1"/>
  <c r="K46" i="1"/>
  <c r="K43" i="1"/>
  <c r="G45" i="1"/>
  <c r="K45" i="1" s="1"/>
  <c r="E45" i="1"/>
  <c r="D45" i="1"/>
  <c r="C45" i="1"/>
  <c r="B45" i="1"/>
  <c r="J45" i="1" s="1"/>
  <c r="G46" i="1"/>
  <c r="E46" i="1"/>
  <c r="D46" i="1"/>
  <c r="C46" i="1"/>
  <c r="B46" i="1"/>
  <c r="J46" i="1" s="1"/>
  <c r="G37" i="1"/>
  <c r="K37" i="1" s="1"/>
  <c r="E37" i="1"/>
  <c r="D37" i="1"/>
  <c r="C37" i="1"/>
  <c r="B37" i="1"/>
  <c r="J37" i="1" s="1"/>
  <c r="G36" i="1"/>
  <c r="K36" i="1" s="1"/>
  <c r="E36" i="1"/>
  <c r="D36" i="1"/>
  <c r="C36" i="1"/>
  <c r="B36" i="1"/>
  <c r="J36" i="1" s="1"/>
  <c r="G10" i="1"/>
  <c r="K10" i="1"/>
  <c r="N10" i="1" s="1" a="1"/>
  <c r="N10" i="1" s="1"/>
  <c r="G42" i="1"/>
  <c r="K42" i="1" s="1"/>
  <c r="E42" i="1"/>
  <c r="D42" i="1"/>
  <c r="C42" i="1"/>
  <c r="B42" i="1" s="1"/>
  <c r="J42" i="1" s="1"/>
  <c r="G41" i="1"/>
  <c r="K41" i="1" s="1"/>
  <c r="E41" i="1"/>
  <c r="D41" i="1"/>
  <c r="C41" i="1"/>
  <c r="G40" i="1"/>
  <c r="K40" i="1" s="1"/>
  <c r="E40" i="1"/>
  <c r="D40" i="1"/>
  <c r="C40" i="1"/>
  <c r="G43" i="1"/>
  <c r="E43" i="1"/>
  <c r="D43" i="1"/>
  <c r="C43" i="1"/>
  <c r="G38" i="1"/>
  <c r="K38" i="1" s="1"/>
  <c r="E38" i="1"/>
  <c r="D38" i="1"/>
  <c r="C38" i="1"/>
  <c r="K29" i="1"/>
  <c r="G4" i="1"/>
  <c r="K4" i="1" s="1"/>
  <c r="G5" i="1"/>
  <c r="K5" i="1" s="1"/>
  <c r="G6" i="1"/>
  <c r="K6" i="1" s="1"/>
  <c r="G7" i="1"/>
  <c r="K7" i="1" s="1"/>
  <c r="G8" i="1"/>
  <c r="K8" i="1" s="1"/>
  <c r="G9" i="1"/>
  <c r="K9" i="1" s="1"/>
  <c r="O10" i="1" a="1"/>
  <c r="O10" i="1" s="1"/>
  <c r="G11" i="1"/>
  <c r="K11" i="1" s="1"/>
  <c r="G12" i="1"/>
  <c r="K12" i="1" s="1"/>
  <c r="G13" i="1"/>
  <c r="K13" i="1" s="1"/>
  <c r="G14" i="1"/>
  <c r="K14" i="1" s="1"/>
  <c r="G15" i="1"/>
  <c r="K15" i="1" s="1"/>
  <c r="G16" i="1"/>
  <c r="K16" i="1" s="1"/>
  <c r="G17" i="1"/>
  <c r="K17" i="1" s="1"/>
  <c r="G18" i="1"/>
  <c r="K18" i="1" s="1"/>
  <c r="G19" i="1"/>
  <c r="K19" i="1" s="1"/>
  <c r="G20" i="1"/>
  <c r="K20" i="1" s="1"/>
  <c r="G21" i="1"/>
  <c r="K21" i="1" s="1"/>
  <c r="G22" i="1"/>
  <c r="K22" i="1" s="1"/>
  <c r="G23" i="1"/>
  <c r="K23" i="1" s="1"/>
  <c r="G24" i="1"/>
  <c r="K24" i="1" s="1"/>
  <c r="G25" i="1"/>
  <c r="K25" i="1" s="1"/>
  <c r="G26" i="1"/>
  <c r="K26" i="1" s="1"/>
  <c r="G27" i="1"/>
  <c r="K27" i="1" s="1"/>
  <c r="G28" i="1"/>
  <c r="K28" i="1" s="1"/>
  <c r="G29" i="1"/>
  <c r="G30" i="1"/>
  <c r="K30" i="1" s="1"/>
  <c r="G31" i="1"/>
  <c r="K31" i="1" s="1"/>
  <c r="G32" i="1"/>
  <c r="K32" i="1" s="1"/>
  <c r="G33" i="1"/>
  <c r="K33" i="1" s="1"/>
  <c r="G34" i="1"/>
  <c r="K34" i="1" s="1"/>
  <c r="G35" i="1"/>
  <c r="K35" i="1" s="1"/>
  <c r="G39" i="1"/>
  <c r="K39" i="1" s="1"/>
  <c r="G44" i="1"/>
  <c r="K44" i="1" s="1"/>
  <c r="C4" i="1"/>
  <c r="D4" i="1"/>
  <c r="E4" i="1"/>
  <c r="C5" i="1"/>
  <c r="D5" i="1"/>
  <c r="E5" i="1"/>
  <c r="C6" i="1"/>
  <c r="D6" i="1"/>
  <c r="E6" i="1"/>
  <c r="C7" i="1"/>
  <c r="D7" i="1"/>
  <c r="E7" i="1"/>
  <c r="C8" i="1"/>
  <c r="D8" i="1"/>
  <c r="E8" i="1"/>
  <c r="C9" i="1"/>
  <c r="D9" i="1"/>
  <c r="E9" i="1"/>
  <c r="C10" i="1"/>
  <c r="D10" i="1"/>
  <c r="E10" i="1"/>
  <c r="C11" i="1"/>
  <c r="D11" i="1"/>
  <c r="E11" i="1"/>
  <c r="C12" i="1"/>
  <c r="D12" i="1"/>
  <c r="E12" i="1"/>
  <c r="C13" i="1"/>
  <c r="D13" i="1"/>
  <c r="E13" i="1"/>
  <c r="C14" i="1"/>
  <c r="D14" i="1"/>
  <c r="E14" i="1"/>
  <c r="C15" i="1"/>
  <c r="D15" i="1"/>
  <c r="E15" i="1"/>
  <c r="C16" i="1"/>
  <c r="D16" i="1"/>
  <c r="E16" i="1"/>
  <c r="C17" i="1"/>
  <c r="D17" i="1"/>
  <c r="E17" i="1"/>
  <c r="C18" i="1"/>
  <c r="D18" i="1"/>
  <c r="E18" i="1"/>
  <c r="C19" i="1"/>
  <c r="D19" i="1"/>
  <c r="E19" i="1"/>
  <c r="C20" i="1"/>
  <c r="D20" i="1"/>
  <c r="E20" i="1"/>
  <c r="C21" i="1"/>
  <c r="D21" i="1"/>
  <c r="E21" i="1"/>
  <c r="C22" i="1"/>
  <c r="D22" i="1"/>
  <c r="E22" i="1"/>
  <c r="C23" i="1"/>
  <c r="D23" i="1"/>
  <c r="E23" i="1"/>
  <c r="C24" i="1"/>
  <c r="D24" i="1"/>
  <c r="E24" i="1"/>
  <c r="C25" i="1"/>
  <c r="D25" i="1"/>
  <c r="E25" i="1"/>
  <c r="C26" i="1"/>
  <c r="D26" i="1"/>
  <c r="E26" i="1"/>
  <c r="C27" i="1"/>
  <c r="D27" i="1"/>
  <c r="E27" i="1"/>
  <c r="C28" i="1"/>
  <c r="D28" i="1"/>
  <c r="E28" i="1"/>
  <c r="C29" i="1"/>
  <c r="D29" i="1"/>
  <c r="E29" i="1"/>
  <c r="C30" i="1"/>
  <c r="D30" i="1"/>
  <c r="E30" i="1"/>
  <c r="C31" i="1"/>
  <c r="D31" i="1"/>
  <c r="E31" i="1"/>
  <c r="C32" i="1"/>
  <c r="D32" i="1"/>
  <c r="E32" i="1"/>
  <c r="C33" i="1"/>
  <c r="D33" i="1"/>
  <c r="E33" i="1"/>
  <c r="C34" i="1"/>
  <c r="D34" i="1"/>
  <c r="E34" i="1"/>
  <c r="C35" i="1"/>
  <c r="D35" i="1"/>
  <c r="E35" i="1"/>
  <c r="C39" i="1"/>
  <c r="D39" i="1"/>
  <c r="E39" i="1"/>
  <c r="C44" i="1"/>
  <c r="D44" i="1"/>
  <c r="E44" i="1"/>
  <c r="G2" i="1"/>
  <c r="E2" i="1"/>
  <c r="D2" i="1"/>
  <c r="C2" i="1"/>
  <c r="G3" i="1"/>
  <c r="K3" i="1" s="1"/>
  <c r="E3" i="1"/>
  <c r="D3" i="1"/>
  <c r="C3" i="1"/>
  <c r="S33" i="1"/>
  <c r="S32" i="1"/>
  <c r="S31" i="1"/>
  <c r="S30" i="1"/>
  <c r="S29" i="1"/>
  <c r="S28" i="1"/>
  <c r="S24" i="1"/>
  <c r="S23" i="1"/>
  <c r="S22" i="1"/>
  <c r="S21" i="1"/>
  <c r="S13" i="1"/>
  <c r="S12" i="1"/>
  <c r="S7" i="1"/>
  <c r="S5" i="1"/>
  <c r="S3" i="1"/>
  <c r="O48" i="1" l="1" a="1"/>
  <c r="O48" i="1" s="1"/>
  <c r="N48" i="1" a="1"/>
  <c r="N48" i="1" s="1"/>
  <c r="B47" i="1"/>
  <c r="J47" i="1" s="1"/>
  <c r="O45" i="1" a="1"/>
  <c r="O45" i="1" s="1"/>
  <c r="N45" i="1" a="1"/>
  <c r="N45" i="1" s="1"/>
  <c r="O37" i="1" a="1"/>
  <c r="O37" i="1" s="1"/>
  <c r="N37" i="1" a="1"/>
  <c r="N37" i="1" s="1"/>
  <c r="O36" i="1" a="1"/>
  <c r="O36" i="1" s="1"/>
  <c r="N36" i="1" a="1"/>
  <c r="N36" i="1" s="1"/>
  <c r="O3" i="1" a="1"/>
  <c r="O3" i="1" s="1"/>
  <c r="N3" i="1" a="1"/>
  <c r="N3" i="1" s="1"/>
  <c r="O44" i="1" a="1"/>
  <c r="O44" i="1" s="1"/>
  <c r="N44" i="1" a="1"/>
  <c r="N44" i="1" s="1"/>
  <c r="O39" i="1" a="1"/>
  <c r="O39" i="1" s="1"/>
  <c r="N39" i="1" a="1"/>
  <c r="N39" i="1" s="1"/>
  <c r="O35" i="1" a="1"/>
  <c r="O35" i="1" s="1"/>
  <c r="N35" i="1" a="1"/>
  <c r="N35" i="1" s="1"/>
  <c r="O34" i="1" a="1"/>
  <c r="O34" i="1" s="1"/>
  <c r="N34" i="1" a="1"/>
  <c r="N34" i="1" s="1"/>
  <c r="O33" i="1" a="1"/>
  <c r="O33" i="1" s="1"/>
  <c r="N33" i="1" a="1"/>
  <c r="N33" i="1" s="1"/>
  <c r="O32" i="1" a="1"/>
  <c r="O32" i="1" s="1"/>
  <c r="N32" i="1" a="1"/>
  <c r="N32" i="1" s="1"/>
  <c r="O31" i="1" a="1"/>
  <c r="O31" i="1" s="1"/>
  <c r="N31" i="1" a="1"/>
  <c r="N31" i="1" s="1"/>
  <c r="O30" i="1" a="1"/>
  <c r="O30" i="1" s="1"/>
  <c r="N30" i="1" a="1"/>
  <c r="N30" i="1" s="1"/>
  <c r="O28" i="1" a="1"/>
  <c r="O28" i="1" s="1"/>
  <c r="N28" i="1" a="1"/>
  <c r="N28" i="1" s="1"/>
  <c r="O27" i="1" a="1"/>
  <c r="O27" i="1" s="1"/>
  <c r="N27" i="1" a="1"/>
  <c r="N27" i="1" s="1"/>
  <c r="O26" i="1" a="1"/>
  <c r="O26" i="1" s="1"/>
  <c r="N26" i="1" a="1"/>
  <c r="N26" i="1" s="1"/>
  <c r="O25" i="1" a="1"/>
  <c r="O25" i="1" s="1"/>
  <c r="N25" i="1" a="1"/>
  <c r="N25" i="1" s="1"/>
  <c r="O24" i="1" a="1"/>
  <c r="O24" i="1" s="1"/>
  <c r="N24" i="1" a="1"/>
  <c r="N24" i="1" s="1"/>
  <c r="O23" i="1" a="1"/>
  <c r="O23" i="1" s="1"/>
  <c r="N23" i="1" a="1"/>
  <c r="N23" i="1" s="1"/>
  <c r="O22" i="1" a="1"/>
  <c r="O22" i="1" s="1"/>
  <c r="N22" i="1" a="1"/>
  <c r="N22" i="1" s="1"/>
  <c r="O21" i="1" a="1"/>
  <c r="O21" i="1" s="1"/>
  <c r="N21" i="1" a="1"/>
  <c r="N21" i="1" s="1"/>
  <c r="O20" i="1" a="1"/>
  <c r="O20" i="1" s="1"/>
  <c r="N20" i="1" a="1"/>
  <c r="N20" i="1" s="1"/>
  <c r="O19" i="1" a="1"/>
  <c r="O19" i="1" s="1"/>
  <c r="N19" i="1" a="1"/>
  <c r="N19" i="1" s="1"/>
  <c r="O18" i="1" a="1"/>
  <c r="O18" i="1" s="1"/>
  <c r="N18" i="1" a="1"/>
  <c r="N18" i="1" s="1"/>
  <c r="O17" i="1" a="1"/>
  <c r="O17" i="1" s="1"/>
  <c r="N17" i="1" a="1"/>
  <c r="N17" i="1" s="1"/>
  <c r="O16" i="1" a="1"/>
  <c r="O16" i="1" s="1"/>
  <c r="N16" i="1" a="1"/>
  <c r="N16" i="1" s="1"/>
  <c r="O15" i="1" a="1"/>
  <c r="O15" i="1" s="1"/>
  <c r="N15" i="1" a="1"/>
  <c r="N15" i="1" s="1"/>
  <c r="O14" i="1" a="1"/>
  <c r="O14" i="1" s="1"/>
  <c r="N14" i="1" a="1"/>
  <c r="N14" i="1" s="1"/>
  <c r="O13" i="1" a="1"/>
  <c r="O13" i="1" s="1"/>
  <c r="N13" i="1" a="1"/>
  <c r="N13" i="1" s="1"/>
  <c r="O12" i="1" a="1"/>
  <c r="O12" i="1" s="1"/>
  <c r="N12" i="1" a="1"/>
  <c r="N12" i="1" s="1"/>
  <c r="O11" i="1" a="1"/>
  <c r="O11" i="1" s="1"/>
  <c r="N11" i="1" a="1"/>
  <c r="N11" i="1" s="1"/>
  <c r="O9" i="1" a="1"/>
  <c r="O9" i="1" s="1"/>
  <c r="N9" i="1" a="1"/>
  <c r="N9" i="1" s="1"/>
  <c r="O8" i="1" a="1"/>
  <c r="O8" i="1" s="1"/>
  <c r="N8" i="1" a="1"/>
  <c r="N8" i="1" s="1"/>
  <c r="O7" i="1" a="1"/>
  <c r="O7" i="1" s="1"/>
  <c r="N7" i="1" a="1"/>
  <c r="N7" i="1" s="1"/>
  <c r="O6" i="1" a="1"/>
  <c r="O6" i="1" s="1"/>
  <c r="N6" i="1" a="1"/>
  <c r="N6" i="1" s="1"/>
  <c r="O5" i="1" a="1"/>
  <c r="O5" i="1" s="1"/>
  <c r="N5" i="1" a="1"/>
  <c r="N5" i="1" s="1"/>
  <c r="O4" i="1" a="1"/>
  <c r="O4" i="1" s="1"/>
  <c r="N4" i="1" a="1"/>
  <c r="N4" i="1" s="1"/>
  <c r="O29" i="1" a="1"/>
  <c r="O29" i="1" s="1"/>
  <c r="N29" i="1" a="1"/>
  <c r="N29" i="1" s="1"/>
  <c r="O38" i="1" a="1"/>
  <c r="O38" i="1" s="1"/>
  <c r="N38" i="1" a="1"/>
  <c r="N38" i="1" s="1"/>
  <c r="O40" i="1" a="1"/>
  <c r="O40" i="1" s="1"/>
  <c r="N40" i="1" a="1"/>
  <c r="N40" i="1" s="1"/>
  <c r="O41" i="1" a="1"/>
  <c r="O41" i="1" s="1"/>
  <c r="N41" i="1" a="1"/>
  <c r="N41" i="1" s="1"/>
  <c r="O42" i="1" a="1"/>
  <c r="O42" i="1" s="1"/>
  <c r="N42" i="1" a="1"/>
  <c r="N42" i="1" s="1"/>
  <c r="O43" i="1" a="1"/>
  <c r="O43" i="1" s="1"/>
  <c r="N43" i="1" a="1"/>
  <c r="N43" i="1" s="1"/>
  <c r="B21" i="1"/>
  <c r="J21" i="1" s="1"/>
  <c r="B43" i="1"/>
  <c r="J43" i="1" s="1"/>
  <c r="B41" i="1"/>
  <c r="J41" i="1" s="1"/>
  <c r="B40" i="1"/>
  <c r="J40" i="1" s="1"/>
  <c r="B13" i="1"/>
  <c r="J13" i="1" s="1"/>
  <c r="B26" i="1"/>
  <c r="J26" i="1" s="1"/>
  <c r="B16" i="1"/>
  <c r="J16" i="1" s="1"/>
  <c r="B22" i="1"/>
  <c r="J22" i="1" s="1"/>
  <c r="B11" i="1"/>
  <c r="J11" i="1" s="1"/>
  <c r="B17" i="1"/>
  <c r="J17" i="1" s="1"/>
  <c r="B38" i="1"/>
  <c r="J38" i="1" s="1"/>
  <c r="B3" i="1"/>
  <c r="J3" i="1" s="1"/>
  <c r="B8" i="1"/>
  <c r="J8" i="1" s="1"/>
  <c r="B33" i="1"/>
  <c r="J33" i="1" s="1"/>
  <c r="B39" i="1"/>
  <c r="J39" i="1" s="1"/>
  <c r="B23" i="1"/>
  <c r="J23" i="1" s="1"/>
  <c r="B4" i="1"/>
  <c r="J4" i="1" s="1"/>
  <c r="B29" i="1"/>
  <c r="J29" i="1" s="1"/>
  <c r="B19" i="1"/>
  <c r="J19" i="1" s="1"/>
  <c r="B28" i="1"/>
  <c r="J28" i="1" s="1"/>
  <c r="B31" i="1"/>
  <c r="J31" i="1" s="1"/>
  <c r="B12" i="1"/>
  <c r="J12" i="1" s="1"/>
  <c r="B24" i="1"/>
  <c r="J24" i="1" s="1"/>
  <c r="B18" i="1"/>
  <c r="J18" i="1" s="1"/>
  <c r="B35" i="1"/>
  <c r="J35" i="1" s="1"/>
  <c r="B32" i="1"/>
  <c r="J32" i="1" s="1"/>
  <c r="B9" i="1"/>
  <c r="J9" i="1" s="1"/>
  <c r="B6" i="1"/>
  <c r="J6" i="1" s="1"/>
  <c r="B14" i="1"/>
  <c r="J14" i="1" s="1"/>
  <c r="B44" i="1"/>
  <c r="J44" i="1" s="1"/>
  <c r="B34" i="1"/>
  <c r="J34" i="1" s="1"/>
  <c r="B20" i="1"/>
  <c r="J20" i="1" s="1"/>
  <c r="B5" i="1"/>
  <c r="J5" i="1" s="1"/>
  <c r="B25" i="1"/>
  <c r="J25" i="1" s="1"/>
  <c r="B30" i="1"/>
  <c r="J30" i="1" s="1"/>
  <c r="B27" i="1"/>
  <c r="J27" i="1" s="1"/>
  <c r="B10" i="1"/>
  <c r="J10" i="1" s="1"/>
  <c r="B7" i="1"/>
  <c r="J7" i="1" s="1"/>
  <c r="B15" i="1"/>
  <c r="J15" i="1" s="1"/>
  <c r="B2" i="1"/>
  <c r="J2" i="1" s="1"/>
  <c r="K2" i="1"/>
  <c r="N2" i="1" l="1" a="1"/>
  <c r="N2" i="1" s="1"/>
  <c r="O2" i="1" a="1"/>
  <c r="O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<sst xmlns="http://schemas.openxmlformats.org/spreadsheetml/2006/main" count="530" uniqueCount="266">
  <si>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</si>
  <si>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</si>
  <si>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</si>
  <si>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</si>
  <si>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</si>
  <si>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</si>
  <si>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</si>
  <si>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</si>
  <si>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</si>
  <si>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</si>
  <si>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</si>
  <si>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</si>
  <si>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</si>
  <si>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</si>
  <si>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</si>
  <si>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</si>
  <si>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</si>
  <si>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</si>
  <si>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</si>
  <si>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</si>
  <si>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</si>
  <si>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</si>
  <si>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Item description</t>
  </si>
  <si>
    <t>Main Trait(s)</t>
  </si>
  <si>
    <t>Source type</t>
  </si>
  <si>
    <t>Team</t>
  </si>
  <si>
    <t>Method</t>
  </si>
  <si>
    <t>Possible Traits</t>
  </si>
  <si>
    <t>Note</t>
  </si>
  <si>
    <t>Subcategory</t>
  </si>
  <si>
    <t xml:space="preserve">Flags pre-addressed </t>
  </si>
  <si>
    <t xml:space="preserve">Flags possible </t>
  </si>
  <si>
    <t>Flags active (skips)</t>
  </si>
  <si>
    <t>_ProjectKaskan, (Unpublished)</t>
  </si>
  <si>
    <t xml:space="preserve">quality control </t>
  </si>
  <si>
    <t/>
  </si>
  <si>
    <t>csv (planned)</t>
  </si>
  <si>
    <t>table in progress</t>
  </si>
  <si>
    <t>cortical surface areas (specifically defined)</t>
  </si>
  <si>
    <t>primary (derived from published materials)</t>
  </si>
  <si>
    <t>these are semi-primary data being input into csv</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</si>
  <si>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</si>
  <si>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</si>
  <si>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</si>
  <si>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</si>
  <si>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</si>
  <si>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</si>
  <si>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</si>
  <si>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</si>
  <si>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</si>
  <si>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</si>
  <si>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</si>
  <si>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</si>
  <si>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</si>
  <si>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</si>
  <si>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</si>
  <si>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</si>
  <si>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</si>
  <si>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</si>
  <si>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</si>
  <si>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</si>
  <si>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</si>
  <si>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</si>
  <si>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</si>
  <si>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</si>
  <si>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</si>
  <si>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</si>
  <si>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</si>
  <si>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</si>
  <si>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</si>
  <si>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</si>
  <si>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</si>
  <si>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</si>
  <si>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</si>
  <si>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</si>
  <si>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</si>
  <si>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</si>
  <si>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</si>
  <si>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</si>
  <si>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</si>
  <si>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</si>
  <si>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</si>
  <si>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</si>
  <si>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</si>
  <si>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</si>
  <si>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</si>
  <si>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</si>
  <si>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</si>
  <si>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</si>
  <si>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</si>
  <si>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</si>
  <si>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</si>
  <si>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</si>
  <si>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</si>
  <si>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</si>
  <si>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</si>
  <si>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</si>
  <si>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</si>
  <si>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</si>
  <si>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</si>
  <si>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</si>
  <si>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</si>
  <si>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</si>
  <si>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</si>
  <si>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</si>
  <si>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</si>
  <si>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</si>
  <si>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</si>
  <si>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</si>
  <si>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</si>
  <si>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</si>
  <si>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</si>
  <si>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</si>
  <si>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</si>
  <si>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</si>
  <si>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</si>
  <si>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</si>
  <si>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</si>
  <si>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</si>
  <si>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</si>
  <si>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</si>
  <si>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</si>
  <si>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</si>
  <si>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</si>
  <si>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</si>
  <si>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</si>
  <si>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</si>
  <si>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</si>
  <si>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</si>
  <si>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</si>
  <si>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</si>
  <si>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</si>
  <si>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</si>
  <si>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</si>
  <si>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</si>
  <si>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</si>
  <si>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</si>
  <si>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</si>
  <si>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</si>
  <si>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</si>
  <si>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</si>
  <si>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</si>
  <si>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</si>
  <si>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</si>
  <si>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</si>
  <si>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</si>
  <si>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</si>
  <si>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</si>
  <si>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</si>
  <si>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</si>
  <si>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</si>
  <si>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</si>
  <si>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</si>
  <si>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</si>
  <si>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</si>
  <si>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</si>
  <si>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</si>
  <si>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</si>
  <si>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</si>
  <si>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</si>
  <si>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</si>
  <si>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</si>
  <si>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</si>
  <si>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</si>
  <si>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</si>
  <si>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</si>
  <si>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</si>
  <si>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</si>
  <si>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</si>
  <si>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</si>
  <si>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</si>
  <si>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</si>
  <si>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</si>
  <si>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</si>
  <si>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</si>
  <si>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</si>
  <si>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</si>
  <si>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</si>
  <si>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</si>
  <si>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</si>
  <si>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</si>
  <si>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</si>
  <si>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</si>
  <si>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</si>
  <si>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</si>
  <si>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</si>
  <si>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</si>
  <si>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</si>
  <si>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</si>
  <si>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</si>
  <si>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</si>
  <si>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</si>
  <si>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</si>
  <si>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</si>
  <si>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</si>
  <si>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</si>
  <si>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</si>
  <si>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</si>
  <si>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</si>
  <si>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</si>
  <si>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</si>
  <si>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</si>
  <si>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</si>
  <si>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</si>
  <si>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</si>
  <si>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</si>
  <si>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</si>
  <si>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</si>
  <si>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</si>
  <si>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</si>
  <si>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</si>
  <si>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</si>
  <si>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</si>
  <si>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</si>
  <si>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</si>
  <si>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</si>
  <si>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</si>
  <si>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</si>
  <si>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</si>
  <si>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</si>
  <si>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</si>
  <si>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</si>
  <si>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</si>
  <si>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</si>
  <si>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</si>
  <si>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</si>
  <si>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</si>
  <si>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</si>
  <si>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</si>
  <si>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</si>
  <si>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10.1159/000323671</t>
  </si>
  <si>
    <t>SupplementaryTable1</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</si>
  <si>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</si>
  <si>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</si>
  <si>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</si>
  <si>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</si>
  <si>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</si>
  <si>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</si>
  <si>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</si>
  <si>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</si>
  <si>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</si>
  <si>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</si>
  <si>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</si>
  <si>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</si>
  <si>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shorthand speces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</si>
  <si>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</si>
  <si>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</si>
  <si>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</si>
  <si>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names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</si>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</sst>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b/>
      <sz val="12"/>
      <color theme="1"/>
      <name val="Calibri"/>
      <family val="2"/>
      <scheme val="minor"/>
    </font>
    <font>
      <sz val="12"/>
      <color rgb="FF000000"/>
      <name val="Calibri"/>
      <family val="2"/>
      <scheme val="minor"/>
    </font>
    <font>
      <u/>
      <sz val="12"/>
      <color theme="10"/>
      <name val="Calibri"/>
      <family val="2"/>
      <scheme val="minor"/>
    </font>
    <font>
      <sz val="8"/>
      <name val="Calibri"/>
      <family val="2"/>
      <scheme val="minor"/>
    </font>
    <font>
      <sz val="12"/>
      <name val="Calibri"/>
      <family val="2"/>
      <scheme val="minor"/>
    </font>
    <font>
      <i/>
      <sz val="12"/>
      <color theme="1"/>
      <name val="Calibri"/>
      <family val="2"/>
      <scheme val="minor"/>
    </font>
    <font>
      <sz val="12"/>
      <color theme="1"/>
      <name val="Calibri"/>
      <family val="2"/>
    </font>
    <font>
      <b/>
      <sz val="12"/>
      <color theme="1"/>
      <name val="Calibri"/>
      <family val="2"/>
    </font>
    <font>
      <sz val="12"/>
      <color rgb="FFFF0000"/>
      <name val="Calibri"/>
      <family val="2"/>
      <scheme val="minor"/>
    </font>
    <font>
      <sz val="12"/>
      <color rgb="FFFF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6">
    <xf numFmtId="0" fontId="0" fillId="0" borderId="0" xfId="0"/>
    <xf numFmtId="0" fontId="0" fillId="0" borderId="0" xfId="0" quotePrefix="1"/>
    <xf numFmtId="0" fontId="0" fillId="0" borderId="0" xfId="0" quotePrefix="1" applyAlignment="1">
      <alignment wrapText="1"/>
    </xf>
    <xf numFmtId="0" fontId="5" fillId="0" borderId="0" xfId="1" applyFont="1" applyFill="1"/>
    <xf numFmtId="0" fontId="6" fillId="0" borderId="0" xfId="0" applyFont="1"/>
    <xf numFmtId="0" fontId="8" fillId="0" borderId="0" xfId="0" applyFont="1"/>
    <xf numFmtId="0" fontId="1" fillId="0" borderId="0" xfId="0" applyFont="1"/>
    <xf numFmtId="0" fontId="7" fillId="0" borderId="0" xfId="1" applyFont="1" applyFill="1"/>
    <xf numFmtId="0" fontId="3" fillId="0" borderId="0" xfId="1" applyFill="1"/>
    <xf numFmtId="0" fontId="7" fillId="0" borderId="0" xfId="0" applyFont="1"/>
    <xf numFmtId="0" fontId="5" fillId="0" borderId="0" xfId="0" applyFont="1"/>
    <xf numFmtId="0" fontId="7" fillId="0" borderId="0" xfId="1" applyFont="1" applyFill="1" applyAlignment="1"/>
    <xf numFmtId="0" fontId="5" fillId="0" borderId="0" xfId="1" applyFont="1" applyFill="1" applyAlignment="1"/>
    <xf numFmtId="0" fontId="3" fillId="0" borderId="0" xfId="1" applyFill="1" applyAlignment="1"/>
    <xf numFmtId="49" fontId="7" fillId="0" borderId="0" xfId="1" applyNumberFormat="1" applyFont="1" applyFill="1"/>
    <xf numFmtId="0" fontId="2" fillId="0" borderId="0" xfId="0" applyFont="1"/>
    <xf numFmtId="49" fontId="7" fillId="0" borderId="0" xfId="0" applyNumberFormat="1" applyFont="1"/>
    <xf numFmtId="0" fontId="9" fillId="0" borderId="0" xfId="0" applyFont="1"/>
    <xf numFmtId="0" fontId="10" fillId="0" borderId="0" xfId="1" applyFont="1" applyFill="1"/>
    <xf numFmtId="0" fontId="10" fillId="0" borderId="0" xfId="0" applyFont="1"/>
    <xf numFmtId="0" fontId="9" fillId="0" borderId="0" xfId="1" applyFont="1" applyFill="1"/>
    <xf numFmtId="0" fontId="9" fillId="2" borderId="0" xfId="1" applyFont="1" applyFill="1"/>
    <xf numFmtId="0" fontId="11" fillId="0" borderId="0" xfId="1" applyFont="1" applyFill="1"/>
    <xf numFmtId="0" fontId="2" fillId="0" borderId="0" xfId="1" applyFont="1" applyFill="1"/>
    <xf numFmtId="0" fontId="2" fillId="0" borderId="0" xfId="0" applyFont="1" applyFill="1"/>
    <xf numFmtId="0" fontId="11" fillId="0"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lleninstitute.sharepoint.com/sites/MammalianM1/Shared%20Documents/General/Species/Evo-M1-Trait-Data/file_list.xlsx" TargetMode="External"/><Relationship Id="rId1" Type="http://schemas.openxmlformats.org/officeDocument/2006/relationships/externalLinkPath" Target="file_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LmviqIkNkU-5KarvTLZlFGpsrTudMulFuLAevsyKh2Qj_R6OuvTSQoX9alEEN7rm" itemId="01BSP3E5VBLELHBKLNIBELDTNFUEYQ5KUR">
      <xxl21:absoluteUrl r:id="rId2"/>
    </xxl21:alternateUrls>
    <sheetNames>
      <sheetName val="FileList"/>
    </sheetNames>
    <sheetDataSet>
      <sheetData sheetId="0">
        <row r="1">
          <cell r="A1" t="str">
            <v>Files</v>
          </cell>
        </row>
        <row r="2">
          <cell r="A2" t="str">
            <v>10.1002%2Fcne.24985_TABLE1.tsv</v>
          </cell>
        </row>
        <row r="3">
          <cell r="A3" t="str">
            <v>10.1002%2Fcne.24985_TABLE2.tsv</v>
          </cell>
        </row>
        <row r="4">
          <cell r="A4" t="str">
            <v>10.1007%2Fs004220000205_Figure3.tsv</v>
          </cell>
        </row>
        <row r="5">
          <cell r="A5" t="str">
            <v>10.1016%2Fj.jhevol.2008.08.004_Table2.tsv</v>
          </cell>
        </row>
        <row r="6">
          <cell r="A6" t="str">
            <v>10.1016%2Fj.jhevol.2008.08.004_Table7.tsv</v>
          </cell>
        </row>
        <row r="7">
          <cell r="A7" t="str">
            <v>10.1016%2Fj.jhevol.2008.08.004_TableS1.tsv</v>
          </cell>
        </row>
        <row r="8">
          <cell r="A8" t="str">
            <v>10.1016%2Fj.jhevol.2008.08.004_TableS2.tsv</v>
          </cell>
        </row>
        <row r="9">
          <cell r="A9" t="str">
            <v>10.1016%2Fj.jhevol.2008.08.004_TableS3.tsv</v>
          </cell>
        </row>
        <row r="10">
          <cell r="A10" t="str">
            <v>10.1016%2Fj.jhevol.2008.08.004_Tree.nex</v>
          </cell>
        </row>
        <row r="11">
          <cell r="A11" t="str">
            <v>10.1038%2Fs41467-020-14356-3_SupplementaryData3.tsv</v>
          </cell>
        </row>
        <row r="12">
          <cell r="A12" t="str">
            <v>10.1038%2Fs41598-018-26062-8_TableS1.tsv</v>
          </cell>
        </row>
        <row r="13">
          <cell r="A13" t="str">
            <v>10.1038%2Fs41598-018-26062-8_TableS5.tsv</v>
          </cell>
        </row>
        <row r="14">
          <cell r="A14" t="str">
            <v>10.1093%2Foso%2F9780198568742.003.0006_Table6.1.tsv</v>
          </cell>
        </row>
        <row r="15">
          <cell r="A15" t="str">
            <v>10.1126%2Fscience.aaa9101_TableS1.tsv</v>
          </cell>
        </row>
        <row r="16">
          <cell r="A16" t="str">
            <v>10.1159%2F000124401_TableI.tsv</v>
          </cell>
        </row>
        <row r="17">
          <cell r="A17" t="str">
            <v>10.1159%2F000323671_SupplementaryTable1.tsv</v>
          </cell>
        </row>
        <row r="18">
          <cell r="A18" t="str">
            <v>10.1159%2F000323671_SupplementaryTable2.tsv</v>
          </cell>
        </row>
        <row r="19">
          <cell r="A19" t="str">
            <v>10.1159%2F000323671.ReadMe.md</v>
          </cell>
        </row>
        <row r="20">
          <cell r="A20" t="str">
            <v>10.1159%2F000437413_Table1.tsv</v>
          </cell>
        </row>
        <row r="21">
          <cell r="A21" t="str">
            <v>10.1159%2F000437413_Table2.tsv</v>
          </cell>
        </row>
        <row r="22">
          <cell r="A22" t="str">
            <v>10.1159%2F000437413_Table3.tsv</v>
          </cell>
        </row>
        <row r="23">
          <cell r="A23" t="str">
            <v>10.1159%2F000437413_Table4.tsv</v>
          </cell>
        </row>
        <row r="24">
          <cell r="A24" t="str">
            <v>10.1159%2F000437413_Table5.tsv</v>
          </cell>
        </row>
        <row r="25">
          <cell r="A25" t="str">
            <v>10.1159%2F000452856_TableS1.tsv</v>
          </cell>
        </row>
        <row r="26">
          <cell r="A26" t="str">
            <v>10.1371%2Fjournal.pbio.1002000_TableS1.tsv</v>
          </cell>
        </row>
        <row r="27">
          <cell r="A27" t="str">
            <v>10.1371%2Fjournal.pbio.1002000_TableS8.ReadMe.md</v>
          </cell>
        </row>
        <row r="28">
          <cell r="A28" t="str">
            <v>10.1371%2Fjournal.pbio.1002000_TableS8.tsv</v>
          </cell>
        </row>
        <row r="29">
          <cell r="A29" t="str">
            <v>10.1523%2FJNEUROSCI.2339-19.2020_Table1.tsv</v>
          </cell>
        </row>
        <row r="30">
          <cell r="A30" t="str">
            <v>10.3389%25Ffnana.2013.00035.svg</v>
          </cell>
        </row>
        <row r="31">
          <cell r="A31" t="str">
            <v>10.3389%2Ffnana.2013.00035_Figure2TopLeft.ReadMe.md</v>
          </cell>
        </row>
        <row r="32">
          <cell r="A32" t="str">
            <v>10.3389%2Ffnana.2013.00035_Figure2TopLeft.tsv</v>
          </cell>
        </row>
        <row r="33">
          <cell r="A33" t="str">
            <v>10.3389%2Ffnana.2013.00035_Table1-a.tsv</v>
          </cell>
        </row>
        <row r="34">
          <cell r="A34" t="str">
            <v>10.3389%2Ffnana.2013.00035_Table1-b.tsv</v>
          </cell>
        </row>
        <row r="35">
          <cell r="A35" t="str">
            <v>10.3389%2Ffnana.2013.00035.ReadMe.md</v>
          </cell>
        </row>
        <row r="36">
          <cell r="A36" t="str">
            <v>10.3389%2Ffnana.2017.00118_Table1.tsv</v>
          </cell>
        </row>
        <row r="37">
          <cell r="A37" t="str">
            <v>10.3389%2Ffnhum.2013.00424.ReadMe.md</v>
          </cell>
        </row>
        <row r="38">
          <cell r="A38" t="str">
            <v>10.3389%2Ffnhum.2013.00424.tsv</v>
          </cell>
        </row>
        <row r="39">
          <cell r="A39" t="str">
            <v>10.5061%2Fdryad.2r62k7s.ReadMe.md</v>
          </cell>
        </row>
        <row r="40">
          <cell r="A40" t="str">
            <v>10.5061%2Fdryad.2r62k7s.tsv</v>
          </cell>
        </row>
        <row r="41">
          <cell r="A41" t="str">
            <v>10.7554%2FeLife.77875_Supplementaryfile3.tsv</v>
          </cell>
        </row>
        <row r="42">
          <cell r="A42" t="str">
            <v>10.7554%2FeLife.77875_Table1.tsv</v>
          </cell>
        </row>
        <row r="43">
          <cell r="A43" t="str">
            <v>README.md</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8A1DF-1B63-6441-BF14-74AB84A91AD4}">
  <sheetPr codeName="Sheet1"/>
  <dimension ref="A1:AH48"/>
  <sheetViews>
    <sheetView tabSelected="1" zoomScale="110" zoomScaleNormal="110" workbookViewId="0">
      <pane xSplit="2" ySplit="1" topLeftCell="H19" activePane="bottomRight" state="frozen"/>
      <selection pane="bottomRight" activeCell="J50" sqref="J50"/>
      <selection pane="bottomLeft" activeCell="A2" sqref="A2"/>
      <selection pane="topRight" activeCell="B1" sqref="B1"/>
    </sheetView>
  </sheetViews>
  <sheetFormatPr defaultColWidth="11" defaultRowHeight="15.75" customHeight="1"/>
  <cols>
    <col min="1" max="1" width="24.625" customWidth="1"/>
    <col min="2" max="2" width="23.75" style="9" customWidth="1"/>
    <col min="3" max="3" width="15" style="9" customWidth="1"/>
    <col min="4" max="4" width="10.625" style="9" customWidth="1"/>
    <col min="5" max="5" width="5.75" style="9" customWidth="1"/>
    <col min="6" max="6" width="8.875" style="9" customWidth="1"/>
    <col min="7" max="7" width="25.5" customWidth="1"/>
    <col min="8" max="8" width="19.5" customWidth="1"/>
    <col min="9" max="9" width="16.125" customWidth="1"/>
    <col min="10" max="10" width="31.25" customWidth="1"/>
    <col min="11" max="11" width="48.25" customWidth="1"/>
    <col min="12" max="13" width="14.125" customWidth="1"/>
    <col min="14" max="14" width="41.25" customWidth="1"/>
    <col min="15" max="15" width="49.125" customWidth="1"/>
    <col min="16" max="19" width="14.125" customWidth="1"/>
    <col min="20" max="20" width="13.875" customWidth="1"/>
    <col min="21" max="21" width="12.625" customWidth="1"/>
    <col min="22" max="22" width="22.125" customWidth="1"/>
    <col min="23" max="23" width="14.375" customWidth="1"/>
    <col min="24" max="24" width="15.375" customWidth="1"/>
    <col min="25" max="25" width="22" customWidth="1"/>
    <col min="26" max="26" width="11.125" customWidth="1"/>
    <col min="27" max="27" width="5" customWidth="1"/>
    <col min="28" max="28" width="7.5" customWidth="1"/>
    <col min="29" max="29" width="10.625" customWidth="1"/>
    <col min="30" max="30" width="6.5" customWidth="1"/>
    <col min="31" max="31" width="11" customWidth="1"/>
    <col min="32" max="32" width="16.75" customWidth="1"/>
    <col min="33" max="33" width="14.75" customWidth="1"/>
  </cols>
  <sheetData>
    <row r="1" spans="1:34" s="6" customFormat="1">
      <c r="A1" s="6" t="s">
        <v>0</v>
      </c>
      <c r="B1" s="5" t="s">
        <v>1</v>
      </c>
      <c r="C1" s="5" t="s">
        <v>2</v>
      </c>
      <c r="D1" s="5" t="s">
        <v>3</v>
      </c>
      <c r="E1" s="5" t="s">
        <v>4</v>
      </c>
      <c r="F1" s="5" t="s">
        <v>5</v>
      </c>
      <c r="G1" s="6" t="s">
        <v>6</v>
      </c>
      <c r="H1" s="6" t="s">
        <v>7</v>
      </c>
      <c r="I1" s="6" t="s">
        <v>8</v>
      </c>
      <c r="J1" s="6" t="s">
        <v>9</v>
      </c>
      <c r="K1" s="6" t="s">
        <v>10</v>
      </c>
      <c r="L1" s="6" t="s">
        <v>11</v>
      </c>
      <c r="M1" s="6" t="s">
        <v>12</v>
      </c>
      <c r="N1" s="6" t="s">
        <v>13</v>
      </c>
      <c r="O1" s="6" t="s">
        <v>13</v>
      </c>
      <c r="P1" s="6" t="s">
        <v>14</v>
      </c>
      <c r="Q1" s="6" t="s">
        <v>15</v>
      </c>
      <c r="R1" s="6" t="s">
        <v>16</v>
      </c>
      <c r="S1" s="6" t="s">
        <v>17</v>
      </c>
      <c r="T1" s="6" t="s">
        <v>18</v>
      </c>
      <c r="U1" s="6" t="s">
        <v>19</v>
      </c>
      <c r="V1" s="6" t="s">
        <v>20</v>
      </c>
      <c r="W1" s="6" t="s">
        <v>21</v>
      </c>
      <c r="X1" s="6" t="s">
        <v>22</v>
      </c>
      <c r="Y1" s="6" t="s">
        <v>23</v>
      </c>
      <c r="Z1" s="6" t="s">
        <v>24</v>
      </c>
      <c r="AA1" s="6" t="s">
        <v>25</v>
      </c>
      <c r="AB1" s="6" t="s">
        <v>26</v>
      </c>
      <c r="AC1" s="6" t="s">
        <v>27</v>
      </c>
      <c r="AD1" s="6" t="s">
        <v>28</v>
      </c>
      <c r="AE1" s="6" t="s">
        <v>29</v>
      </c>
      <c r="AF1" s="6" t="s">
        <v>30</v>
      </c>
      <c r="AG1" s="6" t="s">
        <v>31</v>
      </c>
      <c r="AH1" s="6" t="s">
        <v>32</v>
      </c>
    </row>
    <row r="2" spans="1:34">
      <c r="A2" s="7" t="s">
        <v>33</v>
      </c>
      <c r="B2" s="7" t="str">
        <f t="shared" ref="B2" si="0">C2 &amp; IF(D2&lt;&gt;"", "_" &amp; D2, "_") &amp; IF(E2&lt;&gt;"", "_" &amp; E2, "_") &amp; IF(F2&lt;&gt;"", "_" &amp; F2, "")</f>
        <v>_ProjectKaskan__Unpublished</v>
      </c>
      <c r="C2" s="9" t="str">
        <f>SUBSTITUTE(SUBSTITUTE(_xlfn.TEXTBEFORE(A2,","), "-", ""), " ", "")</f>
        <v>_ProjectKaskan</v>
      </c>
      <c r="D2" s="9" t="str">
        <f>IF(ISNUMBER(FIND("&amp;", A2)),
    IF(LEN(A2)-LEN(SUBSTITUTE(A2, ",", ""))&gt;=3, "etal", MID(A2, SEARCH("&amp; ", A2)+2, SEARCH(",", A2, SEARCH("&amp; ", A2)+2) - SEARCH("&amp; ", A2)-2)),
    ""
)</f>
        <v/>
      </c>
      <c r="E2" s="9" t="str">
        <f t="shared" ref="E2" si="1">_xlfn.TEXTBEFORE(_xlfn.TEXTAFTER(A2, "("), ")")</f>
        <v>Unpublished</v>
      </c>
      <c r="G2" t="e">
        <f t="shared" ref="G2" si="2">_xlfn.TEXTAFTER(A2,"https://doi.org/")</f>
        <v>#N/A</v>
      </c>
      <c r="H2" s="3"/>
      <c r="I2" s="3"/>
      <c r="J2" s="3" t="str">
        <f>TRIM(_xlfn.TEXTJOIN("_",FALSE,B2,(SUBSTITUTE(SUBSTITUTE(I2," ",""), "_", ""))))</f>
        <v>_ProjectKaskan__Unpublished_</v>
      </c>
      <c r="K2" s="3" t="e">
        <f>TRIM(SUBSTITUTE(SUBSTITUTE(SUBSTITUTE(_xlfn.TEXTJOIN("_", FALSE, G2, SUBSTITUTE(I2,"_", "")), "/", "%2F"), ":", "%3A"), " ", ""))</f>
        <v>#N/A</v>
      </c>
      <c r="L2" s="3"/>
      <c r="M2" t="s">
        <v>34</v>
      </c>
      <c r="N2" t="str" cm="1">
        <f t="array" ref="N2">IFERROR(INDEX([1]FileList!$A$1:$A$43, MATCH(K2, _xlfn.TEXTBEFORE([1]FileList!$A$1:$A$43, ".tsv"), 0)), "notfound")</f>
        <v>notfound</v>
      </c>
      <c r="O2" t="str" cm="1">
        <f t="array" ref="O2">IFERROR(INDEX([1]FileList!$A$1:$A$43, MATCH(_xlfn.TEXTBEFORE(K2, "_"), _xlfn.TEXTBEFORE([1]FileList!$A$1:$A$43, "_"), 0)), "notfound")</f>
        <v>notfound</v>
      </c>
      <c r="P2" t="s">
        <v>35</v>
      </c>
      <c r="Q2" s="7"/>
      <c r="R2" s="8"/>
      <c r="T2" t="s">
        <v>36</v>
      </c>
      <c r="U2" t="s">
        <v>37</v>
      </c>
      <c r="X2" s="7"/>
      <c r="Y2" t="s">
        <v>38</v>
      </c>
      <c r="Z2" t="s">
        <v>39</v>
      </c>
      <c r="AD2" t="s">
        <v>40</v>
      </c>
      <c r="AE2" t="s">
        <v>41</v>
      </c>
    </row>
    <row r="3" spans="1:34">
      <c r="A3" t="s">
        <v>42</v>
      </c>
      <c r="B3" s="7" t="str">
        <f t="shared" ref="B3" si="3">C3 &amp; IF(D3&lt;&gt;"", "_" &amp; D3, "_") &amp; IF(E3&lt;&gt;"", "_" &amp; E3, "_") &amp; IF(F3&lt;&gt;"", "_" &amp; F3, "")</f>
        <v>Burger_etal_2019</v>
      </c>
      <c r="C3" s="9" t="str">
        <f>SUBSTITUTE(SUBSTITUTE(_xlfn.TEXTBEFORE(A3,","), "-", ""), " ", "")</f>
        <v>Burger</v>
      </c>
      <c r="D3" s="9" t="str">
        <f>IF(ISNUMBER(FIND("&amp;", A3)),
    IF(LEN(A3)-LEN(SUBSTITUTE(A3, ",", ""))&gt;=3, "etal", MID(A3, SEARCH("&amp; ", A3)+2, SEARCH(",", A3, SEARCH("&amp; ", A3)+2) - SEARCH("&amp; ", A3)-2)),
    ""
)</f>
        <v>etal</v>
      </c>
      <c r="E3" s="9" t="str">
        <f t="shared" ref="E3" si="4">_xlfn.TEXTBEFORE(_xlfn.TEXTAFTER(A3, "("), ")")</f>
        <v>2019</v>
      </c>
      <c r="G3" t="str">
        <f>_xlfn.TEXTAFTER(A3,"https://doi.org/")</f>
        <v>10.1093/jmammal/gyz043</v>
      </c>
      <c r="H3" s="3"/>
      <c r="I3" s="3" t="s">
        <v>43</v>
      </c>
      <c r="J3" s="3" t="str">
        <f t="shared" ref="J3:J44" si="5">TRIM(_xlfn.TEXTJOIN("_",FALSE,B3,(SUBSTITUTE(SUBSTITUTE(I3," ",""), "_", ""))))</f>
        <v>Burger_etal_2019_SupplementaryDataSD1</v>
      </c>
      <c r="K3" s="21" t="str">
        <f>IF(ISBLANK(H3),TRIM(SUBSTITUTE(SUBSTITUTE(SUBSTITUTE(_xlfn.TEXTJOIN("_", FALSE, G3, SUBSTITUTE(I3,"_", "")), "/", "%2F"), ":", "%3A"), " ", "")),TRIM(SUBSTITUTE(SUBSTITUTE(SUBSTITUTE(_xlfn.TEXTJOIN("_", FALSE, H3, SUBSTITUTE(I3,"_", "")), "/", "%2F"), ":", "%3A"), " ", "")))</f>
        <v>10.1093%2Fjmammal%2Fgyz043_SupplementaryDataSD1</v>
      </c>
      <c r="L3" s="3" t="s">
        <v>44</v>
      </c>
      <c r="M3" t="s">
        <v>45</v>
      </c>
      <c r="N3" t="str" cm="1">
        <f t="array" ref="N3">IFERROR(INDEX([1]FileList!$A$1:$A$43, MATCH(K3, _xlfn.TEXTBEFORE([1]FileList!$A$1:$A$43, ".tsv"), 0)), "notfound")</f>
        <v>notfound</v>
      </c>
      <c r="O3" t="str" cm="1">
        <f t="array" ref="O3">IFERROR(INDEX([1]FileList!$A$1:$A$43, MATCH(_xlfn.TEXTBEFORE(K3, "_"), _xlfn.TEXTBEFORE([1]FileList!$A$1:$A$43, "_"), 0)), "notfound")</f>
        <v>notfound</v>
      </c>
      <c r="P3" s="3" t="s">
        <v>46</v>
      </c>
      <c r="Q3" s="9" t="s">
        <v>47</v>
      </c>
      <c r="R3" t="s">
        <v>48</v>
      </c>
      <c r="S3" t="str">
        <f>IF(R3="N", Q3, "write file name")</f>
        <v>gyz043_suppl_Supplement_Data.csv</v>
      </c>
      <c r="T3" t="s">
        <v>49</v>
      </c>
      <c r="U3" t="s">
        <v>50</v>
      </c>
      <c r="V3" t="s">
        <v>51</v>
      </c>
      <c r="X3" s="7"/>
      <c r="Y3" t="s">
        <v>52</v>
      </c>
      <c r="Z3" t="s">
        <v>53</v>
      </c>
      <c r="AD3" t="s">
        <v>54</v>
      </c>
      <c r="AE3" t="s">
        <v>41</v>
      </c>
    </row>
    <row r="4" spans="1:34" ht="17.100000000000001" customHeight="1">
      <c r="A4" t="s">
        <v>55</v>
      </c>
      <c r="B4" s="7" t="str">
        <f t="shared" ref="B4:B44" si="6">C4 &amp; IF(D4&lt;&gt;"", "_" &amp; D4, "_") &amp; IF(E4&lt;&gt;"", "_" &amp; E4, "_") &amp; IF(F4&lt;&gt;"", "_" &amp; F4, "")</f>
        <v>Caspar_etal_2022</v>
      </c>
      <c r="C4" s="9" t="str">
        <f t="shared" ref="C4:C44" si="7">SUBSTITUTE(SUBSTITUTE(_xlfn.TEXTBEFORE(A4,","), "-", ""), " ", "")</f>
        <v>Caspar</v>
      </c>
      <c r="D4" s="9" t="str">
        <f t="shared" ref="D4:D44" si="8">IF(ISNUMBER(FIND("&amp;", A4)),
    IF(LEN(A4)-LEN(SUBSTITUTE(A4, ",", ""))&gt;=3, "etal", MID(A4, SEARCH("&amp; ", A4)+2, SEARCH(",", A4, SEARCH("&amp; ", A4)+2) - SEARCH("&amp; ", A4)-2)),
    ""
)</f>
        <v>etal</v>
      </c>
      <c r="E4" s="9" t="str">
        <f t="shared" ref="E4:E44" si="9">_xlfn.TEXTBEFORE(_xlfn.TEXTAFTER(A4, "("), ")")</f>
        <v>2022</v>
      </c>
      <c r="G4" t="str">
        <f>_xlfn.TEXTAFTER(A4,"https://doi.org/")</f>
        <v>10.7554/eLife.77875</v>
      </c>
      <c r="H4" s="10"/>
      <c r="I4" s="3" t="s">
        <v>56</v>
      </c>
      <c r="J4" s="3" t="str">
        <f t="shared" si="5"/>
        <v>Caspar_etal_2022_Table1</v>
      </c>
      <c r="K4" s="3" t="str">
        <f t="shared" ref="K4:K44" si="10">IF(ISBLANK(H4),TRIM(SUBSTITUTE(SUBSTITUTE(SUBSTITUTE(_xlfn.TEXTJOIN("_", FALSE, G4, SUBSTITUTE(I4,"_", "")), "/", "%2F"), ":", "%3A"), " ", "")),TRIM(SUBSTITUTE(SUBSTITUTE(SUBSTITUTE(_xlfn.TEXTJOIN("_", FALSE, H4, SUBSTITUTE(I4,"_", "")), "/", "%2F"), ":", "%3A"), " ", "")))</f>
        <v>10.7554%2FeLife.77875_Table1</v>
      </c>
      <c r="L4" s="3"/>
      <c r="M4" t="s">
        <v>45</v>
      </c>
      <c r="N4" t="str" cm="1">
        <f t="array" ref="N4">IFERROR(INDEX([1]FileList!$A$1:$A$43, MATCH(K4, _xlfn.TEXTBEFORE([1]FileList!$A$1:$A$43, ".tsv"), 0)), "notfound")</f>
        <v>10.7554%2FeLife.77875_Table1.tsv</v>
      </c>
      <c r="O4" t="str" cm="1">
        <f t="array" ref="O4">IFERROR(INDEX([1]FileList!$A$1:$A$43, MATCH(_xlfn.TEXTBEFORE(K4, "_"), _xlfn.TEXTBEFORE([1]FileList!$A$1:$A$43, "_"), 0)), "notfound")</f>
        <v>10.7554%2FeLife.77875_Supplementaryfile3.tsv</v>
      </c>
      <c r="P4" t="s">
        <v>57</v>
      </c>
      <c r="Q4" s="9" t="s">
        <v>58</v>
      </c>
      <c r="R4" t="s">
        <v>59</v>
      </c>
      <c r="S4" t="s">
        <v>60</v>
      </c>
      <c r="T4" t="s">
        <v>61</v>
      </c>
      <c r="U4" t="s">
        <v>50</v>
      </c>
      <c r="V4" t="s">
        <v>62</v>
      </c>
      <c r="W4" s="8" t="s">
        <v>63</v>
      </c>
      <c r="X4" s="9" t="s">
        <v>64</v>
      </c>
      <c r="Y4" t="s">
        <v>65</v>
      </c>
      <c r="Z4" t="s">
        <v>66</v>
      </c>
      <c r="AD4" t="s">
        <v>67</v>
      </c>
      <c r="AE4" t="s">
        <v>68</v>
      </c>
    </row>
    <row r="5" spans="1:34">
      <c r="A5" t="s">
        <v>55</v>
      </c>
      <c r="B5" s="7" t="str">
        <f t="shared" si="6"/>
        <v>Caspar_etal_2022</v>
      </c>
      <c r="C5" s="9" t="str">
        <f t="shared" si="7"/>
        <v>Caspar</v>
      </c>
      <c r="D5" s="9" t="str">
        <f t="shared" si="8"/>
        <v>etal</v>
      </c>
      <c r="E5" s="9" t="str">
        <f t="shared" si="9"/>
        <v>2022</v>
      </c>
      <c r="G5" t="str">
        <f>_xlfn.TEXTAFTER(A5,"https://doi.org/")</f>
        <v>10.7554/eLife.77875</v>
      </c>
      <c r="H5" s="12"/>
      <c r="I5" s="12" t="s">
        <v>69</v>
      </c>
      <c r="J5" s="3" t="str">
        <f t="shared" si="5"/>
        <v>Caspar_etal_2022_Supplementaryfile3</v>
      </c>
      <c r="K5" s="3" t="str">
        <f t="shared" si="10"/>
        <v>10.7554%2FeLife.77875_Supplementaryfile3</v>
      </c>
      <c r="L5" s="12"/>
      <c r="M5" t="s">
        <v>45</v>
      </c>
      <c r="N5" t="str" cm="1">
        <f t="array" ref="N5">IFERROR(INDEX([1]FileList!$A$1:$A$43, MATCH(K5, _xlfn.TEXTBEFORE([1]FileList!$A$1:$A$43, ".tsv"), 0)), "notfound")</f>
        <v>10.7554%2FeLife.77875_Supplementaryfile3.tsv</v>
      </c>
      <c r="O5" t="str" cm="1">
        <f t="array" ref="O5">IFERROR(INDEX([1]FileList!$A$1:$A$43, MATCH(_xlfn.TEXTBEFORE(K5, "_"), _xlfn.TEXTBEFORE([1]FileList!$A$1:$A$43, "_"), 0)), "notfound")</f>
        <v>10.7554%2FeLife.77875_Supplementaryfile3.tsv</v>
      </c>
      <c r="P5" t="s">
        <v>57</v>
      </c>
      <c r="Q5" s="9" t="s">
        <v>70</v>
      </c>
      <c r="R5" t="s">
        <v>48</v>
      </c>
      <c r="S5" t="str">
        <f>IF(R5="N", Q5, "write file name")</f>
        <v>elife-77875-supp3-v1.xlsx</v>
      </c>
      <c r="T5" t="s">
        <v>71</v>
      </c>
      <c r="U5" t="s">
        <v>50</v>
      </c>
      <c r="V5" t="s">
        <v>72</v>
      </c>
      <c r="W5" s="13" t="s">
        <v>73</v>
      </c>
      <c r="X5" s="9" t="s">
        <v>74</v>
      </c>
      <c r="Y5" t="s">
        <v>75</v>
      </c>
      <c r="Z5" t="s">
        <v>53</v>
      </c>
      <c r="AE5" t="s">
        <v>68</v>
      </c>
    </row>
    <row r="6" spans="1:34">
      <c r="A6" t="s">
        <v>76</v>
      </c>
      <c r="B6" s="7" t="str">
        <f t="shared" si="6"/>
        <v>Changizi__2001</v>
      </c>
      <c r="C6" s="9" t="str">
        <f t="shared" si="7"/>
        <v>Changizi</v>
      </c>
      <c r="D6" s="9" t="str">
        <f t="shared" si="8"/>
        <v/>
      </c>
      <c r="E6" s="9" t="str">
        <f t="shared" si="9"/>
        <v>2001</v>
      </c>
      <c r="G6" t="str">
        <f>_xlfn.TEXTAFTER(A6,"https://doi.org/")</f>
        <v>10.1007/s004220000205</v>
      </c>
      <c r="H6" s="12"/>
      <c r="I6" s="12" t="s">
        <v>77</v>
      </c>
      <c r="J6" s="3" t="str">
        <f t="shared" si="5"/>
        <v>Changizi__2001_Figure3</v>
      </c>
      <c r="K6" s="3" t="str">
        <f t="shared" si="10"/>
        <v>10.1007%2Fs004220000205_Figure3</v>
      </c>
      <c r="L6" s="12"/>
      <c r="M6" t="s">
        <v>78</v>
      </c>
      <c r="N6" t="str" cm="1">
        <f t="array" ref="N6">IFERROR(INDEX([1]FileList!$A$1:$A$43, MATCH(K6, _xlfn.TEXTBEFORE([1]FileList!$A$1:$A$43, ".tsv"), 0)), "notfound")</f>
        <v>10.1007%2Fs004220000205_Figure3.tsv</v>
      </c>
      <c r="O6" t="str" cm="1">
        <f t="array" ref="O6">IFERROR(INDEX([1]FileList!$A$1:$A$43, MATCH(_xlfn.TEXTBEFORE(K6, "_"), _xlfn.TEXTBEFORE([1]FileList!$A$1:$A$43, "_"), 0)), "notfound")</f>
        <v>10.1007%2Fs004220000205_Figure3.tsv</v>
      </c>
      <c r="P6" t="s">
        <v>35</v>
      </c>
      <c r="Q6" s="9" t="s">
        <v>79</v>
      </c>
      <c r="R6" t="s">
        <v>59</v>
      </c>
      <c r="S6" s="9" t="s">
        <v>80</v>
      </c>
      <c r="T6" t="s">
        <v>61</v>
      </c>
      <c r="U6" t="s">
        <v>81</v>
      </c>
      <c r="V6" t="s">
        <v>82</v>
      </c>
      <c r="W6" s="13"/>
      <c r="X6" s="9"/>
      <c r="Y6" t="s">
        <v>83</v>
      </c>
      <c r="Z6" t="s">
        <v>39</v>
      </c>
      <c r="AD6" t="s">
        <v>84</v>
      </c>
    </row>
    <row r="7" spans="1:34">
      <c r="A7" t="s">
        <v>85</v>
      </c>
      <c r="B7" s="7" t="str">
        <f t="shared" si="6"/>
        <v>Chen_etal_2020</v>
      </c>
      <c r="C7" s="9" t="str">
        <f t="shared" si="7"/>
        <v>Chen</v>
      </c>
      <c r="D7" s="9" t="str">
        <f t="shared" si="8"/>
        <v>etal</v>
      </c>
      <c r="E7" s="9" t="str">
        <f t="shared" si="9"/>
        <v>2020</v>
      </c>
      <c r="F7" s="7"/>
      <c r="G7" t="str">
        <f>_xlfn.TEXTAFTER(A7,"https://doi.org/")</f>
        <v>10.1038/s41467-020-14356-3</v>
      </c>
      <c r="H7" s="3"/>
      <c r="I7" s="3" t="s">
        <v>86</v>
      </c>
      <c r="J7" s="3" t="str">
        <f t="shared" si="5"/>
        <v>Chen_etal_2020_SupplementaryData3</v>
      </c>
      <c r="K7" s="3" t="str">
        <f t="shared" si="10"/>
        <v>10.1038%2Fs41467-020-14356-3_SupplementaryData3</v>
      </c>
      <c r="L7" s="3"/>
      <c r="M7" t="s">
        <v>45</v>
      </c>
      <c r="N7" t="str" cm="1">
        <f t="array" ref="N7">IFERROR(INDEX([1]FileList!$A$1:$A$43, MATCH(K7, _xlfn.TEXTBEFORE([1]FileList!$A$1:$A$43, ".tsv"), 0)), "notfound")</f>
        <v>10.1038%2Fs41467-020-14356-3_SupplementaryData3.tsv</v>
      </c>
      <c r="O7" t="str" cm="1">
        <f t="array" ref="O7">IFERROR(INDEX([1]FileList!$A$1:$A$43, MATCH(_xlfn.TEXTBEFORE(K7, "_"), _xlfn.TEXTBEFORE([1]FileList!$A$1:$A$43, "_"), 0)), "notfound")</f>
        <v>10.1038%2Fs41467-020-14356-3_SupplementaryData3.tsv</v>
      </c>
      <c r="P7" t="s">
        <v>57</v>
      </c>
      <c r="Q7" s="9" t="s">
        <v>87</v>
      </c>
      <c r="R7" t="s">
        <v>48</v>
      </c>
      <c r="S7" t="str">
        <f>IF(R7="N", Q7, "write file name")</f>
        <v>41467_2020_14356_MOESM6_ESM.xlsx</v>
      </c>
      <c r="T7" t="s">
        <v>71</v>
      </c>
      <c r="U7" t="s">
        <v>50</v>
      </c>
      <c r="V7" t="s">
        <v>72</v>
      </c>
      <c r="W7" s="8" t="s">
        <v>88</v>
      </c>
      <c r="X7" s="7"/>
      <c r="Y7" t="s">
        <v>89</v>
      </c>
      <c r="Z7" t="s">
        <v>53</v>
      </c>
      <c r="AC7" t="s">
        <v>90</v>
      </c>
      <c r="AD7" t="s">
        <v>91</v>
      </c>
      <c r="AE7" t="s">
        <v>92</v>
      </c>
    </row>
    <row r="8" spans="1:34">
      <c r="A8" t="s">
        <v>93</v>
      </c>
      <c r="B8" s="7" t="str">
        <f t="shared" si="6"/>
        <v>DosSantos_etal_2017</v>
      </c>
      <c r="C8" s="9" t="str">
        <f t="shared" si="7"/>
        <v>DosSantos</v>
      </c>
      <c r="D8" s="9" t="str">
        <f t="shared" si="8"/>
        <v>etal</v>
      </c>
      <c r="E8" s="9" t="str">
        <f t="shared" si="9"/>
        <v>2017</v>
      </c>
      <c r="G8" t="str">
        <f>_xlfn.TEXTAFTER(A8,"https://doi.org/")</f>
        <v>10.1159/000452856</v>
      </c>
      <c r="H8" s="3"/>
      <c r="I8" s="3" t="s">
        <v>94</v>
      </c>
      <c r="J8" s="3" t="str">
        <f t="shared" si="5"/>
        <v>DosSantos_etal_2017_TableS1</v>
      </c>
      <c r="K8" s="3" t="str">
        <f t="shared" si="10"/>
        <v>10.1159%2F000452856_TableS1</v>
      </c>
      <c r="L8" s="3" t="s">
        <v>95</v>
      </c>
      <c r="M8" t="s">
        <v>45</v>
      </c>
      <c r="N8" t="str" cm="1">
        <f t="array" ref="N8">IFERROR(INDEX([1]FileList!$A$1:$A$43, MATCH(K8, _xlfn.TEXTBEFORE([1]FileList!$A$1:$A$43, ".tsv"), 0)), "notfound")</f>
        <v>10.1159%2F000452856_TableS1.tsv</v>
      </c>
      <c r="O8" t="str" cm="1">
        <f t="array" ref="O8">IFERROR(INDEX([1]FileList!$A$1:$A$43, MATCH(_xlfn.TEXTBEFORE(K8, "_"), _xlfn.TEXTBEFORE([1]FileList!$A$1:$A$43, "_"), 0)), "notfound")</f>
        <v>10.1159%2F000452856_TableS1.tsv</v>
      </c>
      <c r="P8" t="s">
        <v>57</v>
      </c>
      <c r="Q8" s="9" t="s">
        <v>96</v>
      </c>
      <c r="R8" t="s">
        <v>59</v>
      </c>
      <c r="S8" t="s">
        <v>97</v>
      </c>
      <c r="T8" t="s">
        <v>98</v>
      </c>
      <c r="U8" t="s">
        <v>99</v>
      </c>
      <c r="V8" t="s">
        <v>72</v>
      </c>
      <c r="W8" s="8" t="s">
        <v>100</v>
      </c>
      <c r="X8" s="9"/>
      <c r="Y8" t="s">
        <v>101</v>
      </c>
      <c r="Z8" t="s">
        <v>102</v>
      </c>
      <c r="AA8" t="s">
        <v>103</v>
      </c>
      <c r="AB8" t="s">
        <v>103</v>
      </c>
      <c r="AE8" t="s">
        <v>104</v>
      </c>
      <c r="AF8" t="s">
        <v>105</v>
      </c>
    </row>
    <row r="9" spans="1:34">
      <c r="A9" t="s">
        <v>106</v>
      </c>
      <c r="B9" s="7" t="str">
        <f t="shared" si="6"/>
        <v>DosSantos_etal_2020</v>
      </c>
      <c r="C9" s="9" t="str">
        <f t="shared" si="7"/>
        <v>DosSantos</v>
      </c>
      <c r="D9" s="9" t="str">
        <f t="shared" si="8"/>
        <v>etal</v>
      </c>
      <c r="E9" s="9" t="str">
        <f t="shared" si="9"/>
        <v>2020</v>
      </c>
      <c r="G9" t="str">
        <f>_xlfn.TEXTAFTER(A9,"https://doi.org/")</f>
        <v>10.1523/JNEUROSCI.2339-19.2020</v>
      </c>
      <c r="H9" s="3"/>
      <c r="I9" s="3" t="s">
        <v>56</v>
      </c>
      <c r="J9" s="3" t="str">
        <f t="shared" si="5"/>
        <v>DosSantos_etal_2020_Table1</v>
      </c>
      <c r="K9" s="3" t="str">
        <f t="shared" si="10"/>
        <v>10.1523%2FJNEUROSCI.2339-19.2020_Table1</v>
      </c>
      <c r="L9" s="3"/>
      <c r="M9" t="s">
        <v>45</v>
      </c>
      <c r="N9" t="str" cm="1">
        <f t="array" ref="N9">IFERROR(INDEX([1]FileList!$A$1:$A$43, MATCH(K9, _xlfn.TEXTBEFORE([1]FileList!$A$1:$A$43, ".tsv"), 0)), "notfound")</f>
        <v>10.1523%2FJNEUROSCI.2339-19.2020_Table1.tsv</v>
      </c>
      <c r="O9" t="str" cm="1">
        <f t="array" ref="O9">IFERROR(INDEX([1]FileList!$A$1:$A$43, MATCH(_xlfn.TEXTBEFORE(K9, "_"), _xlfn.TEXTBEFORE([1]FileList!$A$1:$A$43, "_"), 0)), "notfound")</f>
        <v>10.1523%2FJNEUROSCI.2339-19.2020_Table1.tsv</v>
      </c>
      <c r="P9" t="s">
        <v>57</v>
      </c>
      <c r="Q9" s="14" t="s">
        <v>107</v>
      </c>
      <c r="R9" t="s">
        <v>59</v>
      </c>
      <c r="S9" t="s">
        <v>108</v>
      </c>
      <c r="T9" t="s">
        <v>109</v>
      </c>
      <c r="U9" t="s">
        <v>50</v>
      </c>
      <c r="X9" s="7"/>
      <c r="Y9" t="s">
        <v>101</v>
      </c>
      <c r="Z9" t="s">
        <v>110</v>
      </c>
      <c r="AA9" t="s">
        <v>103</v>
      </c>
      <c r="AB9" t="s">
        <v>103</v>
      </c>
      <c r="AE9" t="s">
        <v>111</v>
      </c>
    </row>
    <row r="10" spans="1:34">
      <c r="A10" t="s">
        <v>112</v>
      </c>
      <c r="B10" s="7" t="str">
        <f t="shared" si="6"/>
        <v>Finlay_etal_2006</v>
      </c>
      <c r="C10" s="9" t="str">
        <f t="shared" si="7"/>
        <v>Finlay</v>
      </c>
      <c r="D10" s="9" t="str">
        <f t="shared" si="8"/>
        <v>etal</v>
      </c>
      <c r="E10" s="9" t="str">
        <f t="shared" si="9"/>
        <v>2006</v>
      </c>
      <c r="F10" s="7"/>
      <c r="G10" t="str">
        <f>_xlfn.TEXTAFTER(A10,"https://doi.org/")</f>
        <v>10.1093/oso/9780198568742.003.0006</v>
      </c>
      <c r="H10" s="3"/>
      <c r="I10" s="3" t="s">
        <v>113</v>
      </c>
      <c r="J10" s="3" t="str">
        <f t="shared" si="5"/>
        <v>Finlay_etal_2006_Table6.1</v>
      </c>
      <c r="K10" s="3" t="str">
        <f>IF(ISBLANK(H10),TRIM(SUBSTITUTE(SUBSTITUTE(SUBSTITUTE(_xlfn.TEXTJOIN("_", FALSE, G10, SUBSTITUTE(I10,"_", "")), "/", "%2F"), ":", "%3A"), " ", "")),TRIM(SUBSTITUTE(SUBSTITUTE(SUBSTITUTE(_xlfn.TEXTJOIN("_", FALSE, H10, SUBSTITUTE(I10,"_", "")), "/", "%2F"), ":", "%3A"), " ", "")))</f>
        <v>10.1093%2Foso%2F9780198568742.003.0006_Table6.1</v>
      </c>
      <c r="L10" s="3"/>
      <c r="M10" t="s">
        <v>78</v>
      </c>
      <c r="N10" t="str" cm="1">
        <f t="array" ref="N10">IFERROR(INDEX([1]FileList!$A$1:$A$43, MATCH(K10, _xlfn.TEXTBEFORE([1]FileList!$A$1:$A$43, ".tsv"), 0)), "notfound")</f>
        <v>10.1093%2Foso%2F9780198568742.003.0006_Table6.1.tsv</v>
      </c>
      <c r="O10" t="str" cm="1">
        <f t="array" ref="O10">IFERROR(INDEX([1]FileList!$A$1:$A$43, MATCH(_xlfn.TEXTBEFORE(K10, "_"), _xlfn.TEXTBEFORE([1]FileList!$A$1:$A$43, "_"), 0)), "notfound")</f>
        <v>10.1093%2Foso%2F9780198568742.003.0006_Table6.1.tsv</v>
      </c>
      <c r="P10" t="s">
        <v>35</v>
      </c>
      <c r="Q10" s="9" t="s">
        <v>114</v>
      </c>
      <c r="R10" t="s">
        <v>59</v>
      </c>
      <c r="S10" t="s">
        <v>115</v>
      </c>
      <c r="T10" t="s">
        <v>116</v>
      </c>
      <c r="U10" t="s">
        <v>50</v>
      </c>
      <c r="V10" t="s">
        <v>62</v>
      </c>
      <c r="W10" s="8" t="s">
        <v>117</v>
      </c>
      <c r="X10" s="7"/>
      <c r="Y10" t="s">
        <v>118</v>
      </c>
      <c r="Z10" t="s">
        <v>39</v>
      </c>
      <c r="AD10" t="s">
        <v>119</v>
      </c>
      <c r="AE10" t="s">
        <v>41</v>
      </c>
    </row>
    <row r="11" spans="1:34">
      <c r="A11" t="s">
        <v>120</v>
      </c>
      <c r="B11" s="7" t="str">
        <f t="shared" si="6"/>
        <v>Heffner_etal_1975</v>
      </c>
      <c r="C11" s="9" t="str">
        <f t="shared" si="7"/>
        <v>Heffner</v>
      </c>
      <c r="D11" s="9" t="str">
        <f t="shared" si="8"/>
        <v>etal</v>
      </c>
      <c r="E11" s="9" t="str">
        <f t="shared" si="9"/>
        <v>1975</v>
      </c>
      <c r="F11" s="7"/>
      <c r="G11" t="str">
        <f>_xlfn.TEXTAFTER(A11,"https://doi.org/")</f>
        <v>10.1159/000124401</v>
      </c>
      <c r="H11" s="3"/>
      <c r="I11" s="3" t="s">
        <v>121</v>
      </c>
      <c r="J11" s="3" t="str">
        <f t="shared" si="5"/>
        <v>Heffner_etal_1975_TableI</v>
      </c>
      <c r="K11" s="3" t="str">
        <f t="shared" si="10"/>
        <v>10.1159%2F000124401_TableI</v>
      </c>
      <c r="L11" s="3"/>
      <c r="M11" t="s">
        <v>45</v>
      </c>
      <c r="N11" t="str" cm="1">
        <f t="array" ref="N11">IFERROR(INDEX([1]FileList!$A$1:$A$43, MATCH(K11, _xlfn.TEXTBEFORE([1]FileList!$A$1:$A$43, ".tsv"), 0)), "notfound")</f>
        <v>10.1159%2F000124401_TableI.tsv</v>
      </c>
      <c r="O11" t="str" cm="1">
        <f t="array" ref="O11">IFERROR(INDEX([1]FileList!$A$1:$A$43, MATCH(_xlfn.TEXTBEFORE(K11, "_"), _xlfn.TEXTBEFORE([1]FileList!$A$1:$A$43, "_"), 0)), "notfound")</f>
        <v>10.1159%2F000124401_TableI.tsv</v>
      </c>
      <c r="P11" t="s">
        <v>57</v>
      </c>
      <c r="Q11" s="9" t="s">
        <v>122</v>
      </c>
      <c r="R11" t="s">
        <v>59</v>
      </c>
      <c r="S11" t="s">
        <v>123</v>
      </c>
      <c r="T11" t="s">
        <v>61</v>
      </c>
      <c r="U11" t="s">
        <v>50</v>
      </c>
      <c r="V11" t="s">
        <v>82</v>
      </c>
      <c r="X11" s="7"/>
      <c r="Y11" t="s">
        <v>124</v>
      </c>
      <c r="Z11" t="s">
        <v>125</v>
      </c>
      <c r="AC11" t="s">
        <v>126</v>
      </c>
      <c r="AE11" t="s">
        <v>41</v>
      </c>
    </row>
    <row r="12" spans="1:34">
      <c r="A12" t="s">
        <v>127</v>
      </c>
      <c r="B12" s="7" t="str">
        <f t="shared" si="6"/>
        <v>Heffner_etal_1983</v>
      </c>
      <c r="C12" s="9" t="str">
        <f t="shared" si="7"/>
        <v>Heffner</v>
      </c>
      <c r="D12" s="9" t="str">
        <f t="shared" si="8"/>
        <v>etal</v>
      </c>
      <c r="E12" s="9" t="str">
        <f t="shared" si="9"/>
        <v>1983</v>
      </c>
      <c r="F12" s="7"/>
      <c r="G12" t="str">
        <f>_xlfn.TEXTAFTER(A12,"https://doi.org/")</f>
        <v>10.1159/000121494</v>
      </c>
      <c r="H12" s="3"/>
      <c r="I12" s="3" t="s">
        <v>121</v>
      </c>
      <c r="J12" s="3" t="str">
        <f t="shared" si="5"/>
        <v>Heffner_etal_1983_TableI</v>
      </c>
      <c r="K12" s="3" t="str">
        <f t="shared" si="10"/>
        <v>10.1159%2F000121494_TableI</v>
      </c>
      <c r="L12" s="3"/>
      <c r="M12" s="15" t="s">
        <v>128</v>
      </c>
      <c r="N12" t="str" cm="1">
        <f t="array" ref="N12">IFERROR(INDEX([1]FileList!$A$1:$A$43, MATCH(K12, _xlfn.TEXTBEFORE([1]FileList!$A$1:$A$43, ".tsv"), 0)), "notfound")</f>
        <v>notfound</v>
      </c>
      <c r="O12" t="str" cm="1">
        <f t="array" ref="O12">IFERROR(INDEX([1]FileList!$A$1:$A$43, MATCH(_xlfn.TEXTBEFORE(K12, "_"), _xlfn.TEXTBEFORE([1]FileList!$A$1:$A$43, "_"), 0)), "notfound")</f>
        <v>notfound</v>
      </c>
      <c r="P12" t="s">
        <v>35</v>
      </c>
      <c r="Q12" s="14"/>
      <c r="S12" t="str">
        <f>IF(R12="N", Q12, "write file name")</f>
        <v>write file name</v>
      </c>
      <c r="T12" t="s">
        <v>61</v>
      </c>
      <c r="U12" t="s">
        <v>50</v>
      </c>
      <c r="X12" s="7"/>
      <c r="Y12" t="s">
        <v>124</v>
      </c>
      <c r="AE12" t="s">
        <v>41</v>
      </c>
      <c r="AG12" t="s">
        <v>129</v>
      </c>
    </row>
    <row r="13" spans="1:34">
      <c r="A13" t="s">
        <v>130</v>
      </c>
      <c r="B13" s="7" t="str">
        <f t="shared" si="6"/>
        <v>Heldstab_etal_2016</v>
      </c>
      <c r="C13" s="9" t="str">
        <f t="shared" si="7"/>
        <v>Heldstab</v>
      </c>
      <c r="D13" s="9" t="str">
        <f t="shared" si="8"/>
        <v>etal</v>
      </c>
      <c r="E13" s="9" t="str">
        <f t="shared" si="9"/>
        <v>2016</v>
      </c>
      <c r="F13" s="7"/>
      <c r="G13" t="str">
        <f>_xlfn.TEXTAFTER(A13,"https://doi.org/")</f>
        <v>10.1038/srep24528</v>
      </c>
      <c r="H13" s="3"/>
      <c r="I13" s="3" t="s">
        <v>94</v>
      </c>
      <c r="J13" s="3" t="str">
        <f t="shared" si="5"/>
        <v>Heldstab_etal_2016_TableS1</v>
      </c>
      <c r="K13" s="3" t="str">
        <f t="shared" si="10"/>
        <v>10.1038%2Fsrep24528_TableS1</v>
      </c>
      <c r="L13" s="3"/>
      <c r="M13" s="15" t="s">
        <v>128</v>
      </c>
      <c r="N13" t="str" cm="1">
        <f t="array" ref="N13">IFERROR(INDEX([1]FileList!$A$1:$A$43, MATCH(K13, _xlfn.TEXTBEFORE([1]FileList!$A$1:$A$43, ".tsv"), 0)), "notfound")</f>
        <v>notfound</v>
      </c>
      <c r="O13" t="str" cm="1">
        <f t="array" ref="O13">IFERROR(INDEX([1]FileList!$A$1:$A$43, MATCH(_xlfn.TEXTBEFORE(K13, "_"), _xlfn.TEXTBEFORE([1]FileList!$A$1:$A$43, "_"), 0)), "notfound")</f>
        <v>notfound</v>
      </c>
      <c r="P13" t="s">
        <v>35</v>
      </c>
      <c r="Q13" s="14"/>
      <c r="S13" t="str">
        <f>IF(R13="N", Q13, "write file name")</f>
        <v>write file name</v>
      </c>
      <c r="T13" t="s">
        <v>61</v>
      </c>
      <c r="U13" t="s">
        <v>50</v>
      </c>
      <c r="X13" s="7"/>
      <c r="Y13" t="s">
        <v>131</v>
      </c>
      <c r="AE13" t="s">
        <v>68</v>
      </c>
    </row>
    <row r="14" spans="1:34">
      <c r="A14" t="s">
        <v>132</v>
      </c>
      <c r="B14" s="7" t="str">
        <f t="shared" si="6"/>
        <v>HerculanoHouzel_etal_2015</v>
      </c>
      <c r="C14" s="9" t="str">
        <f t="shared" si="7"/>
        <v>HerculanoHouzel</v>
      </c>
      <c r="D14" s="9" t="str">
        <f t="shared" si="8"/>
        <v>etal</v>
      </c>
      <c r="E14" s="9" t="str">
        <f t="shared" si="9"/>
        <v>2015</v>
      </c>
      <c r="G14" t="str">
        <f>_xlfn.TEXTAFTER(A14,"https://doi.org/")</f>
        <v>10.1159/000437413</v>
      </c>
      <c r="H14" s="3"/>
      <c r="I14" s="3" t="s">
        <v>56</v>
      </c>
      <c r="J14" s="3" t="str">
        <f t="shared" si="5"/>
        <v>HerculanoHouzel_etal_2015_Table1</v>
      </c>
      <c r="K14" s="3" t="str">
        <f t="shared" si="10"/>
        <v>10.1159%2F000437413_Table1</v>
      </c>
      <c r="L14" s="3"/>
      <c r="M14" t="s">
        <v>45</v>
      </c>
      <c r="N14" t="str" cm="1">
        <f t="array" ref="N14">IFERROR(INDEX([1]FileList!$A$1:$A$43, MATCH(K14, _xlfn.TEXTBEFORE([1]FileList!$A$1:$A$43, ".tsv"), 0)), "notfound")</f>
        <v>10.1159%2F000437413_Table1.tsv</v>
      </c>
      <c r="O14" t="str" cm="1">
        <f t="array" ref="O14">IFERROR(INDEX([1]FileList!$A$1:$A$43, MATCH(_xlfn.TEXTBEFORE(K14, "_"), _xlfn.TEXTBEFORE([1]FileList!$A$1:$A$43, "_"), 0)), "notfound")</f>
        <v>10.1159%2F000437413_Table1.tsv</v>
      </c>
      <c r="P14" t="s">
        <v>57</v>
      </c>
      <c r="Q14" s="14" t="s">
        <v>133</v>
      </c>
      <c r="R14" s="3" t="s">
        <v>59</v>
      </c>
      <c r="S14" t="s">
        <v>134</v>
      </c>
      <c r="T14" t="s">
        <v>61</v>
      </c>
      <c r="U14" t="s">
        <v>50</v>
      </c>
      <c r="V14" t="s">
        <v>62</v>
      </c>
      <c r="W14" s="8" t="s">
        <v>135</v>
      </c>
      <c r="X14" s="7" t="s">
        <v>136</v>
      </c>
      <c r="Y14" t="s">
        <v>101</v>
      </c>
      <c r="AA14" t="s">
        <v>103</v>
      </c>
      <c r="AB14" t="s">
        <v>103</v>
      </c>
      <c r="AE14" t="s">
        <v>137</v>
      </c>
    </row>
    <row r="15" spans="1:34">
      <c r="A15" t="s">
        <v>132</v>
      </c>
      <c r="B15" s="7" t="str">
        <f t="shared" si="6"/>
        <v>HerculanoHouzel_etal_2015</v>
      </c>
      <c r="C15" s="9" t="str">
        <f t="shared" si="7"/>
        <v>HerculanoHouzel</v>
      </c>
      <c r="D15" s="9" t="str">
        <f t="shared" si="8"/>
        <v>etal</v>
      </c>
      <c r="E15" s="9" t="str">
        <f t="shared" si="9"/>
        <v>2015</v>
      </c>
      <c r="F15" s="7"/>
      <c r="G15" t="str">
        <f>_xlfn.TEXTAFTER(A15,"https://doi.org/")</f>
        <v>10.1159/000437413</v>
      </c>
      <c r="H15" s="3"/>
      <c r="I15" s="3" t="s">
        <v>138</v>
      </c>
      <c r="J15" s="3" t="str">
        <f t="shared" si="5"/>
        <v>HerculanoHouzel_etal_2015_Table2</v>
      </c>
      <c r="K15" s="3" t="str">
        <f t="shared" si="10"/>
        <v>10.1159%2F000437413_Table2</v>
      </c>
      <c r="L15" s="3"/>
      <c r="M15" t="s">
        <v>45</v>
      </c>
      <c r="N15" t="str" cm="1">
        <f t="array" ref="N15">IFERROR(INDEX([1]FileList!$A$1:$A$43, MATCH(K15, _xlfn.TEXTBEFORE([1]FileList!$A$1:$A$43, ".tsv"), 0)), "notfound")</f>
        <v>10.1159%2F000437413_Table2.tsv</v>
      </c>
      <c r="O15" t="str" cm="1">
        <f t="array" ref="O15">IFERROR(INDEX([1]FileList!$A$1:$A$43, MATCH(_xlfn.TEXTBEFORE(K15, "_"), _xlfn.TEXTBEFORE([1]FileList!$A$1:$A$43, "_"), 0)), "notfound")</f>
        <v>10.1159%2F000437413_Table1.tsv</v>
      </c>
      <c r="P15" t="s">
        <v>57</v>
      </c>
      <c r="Q15" s="14" t="s">
        <v>139</v>
      </c>
      <c r="R15" s="3" t="s">
        <v>59</v>
      </c>
      <c r="S15" t="s">
        <v>140</v>
      </c>
      <c r="T15" t="s">
        <v>61</v>
      </c>
      <c r="U15" t="s">
        <v>50</v>
      </c>
      <c r="V15" t="s">
        <v>62</v>
      </c>
      <c r="W15" s="8" t="s">
        <v>135</v>
      </c>
      <c r="X15" s="7" t="s">
        <v>141</v>
      </c>
      <c r="Y15" t="s">
        <v>101</v>
      </c>
      <c r="AA15" t="s">
        <v>103</v>
      </c>
      <c r="AB15" t="s">
        <v>103</v>
      </c>
      <c r="AE15" t="s">
        <v>137</v>
      </c>
    </row>
    <row r="16" spans="1:34">
      <c r="A16" t="s">
        <v>132</v>
      </c>
      <c r="B16" s="7" t="str">
        <f t="shared" si="6"/>
        <v>HerculanoHouzel_etal_2015</v>
      </c>
      <c r="C16" s="9" t="str">
        <f t="shared" si="7"/>
        <v>HerculanoHouzel</v>
      </c>
      <c r="D16" s="9" t="str">
        <f t="shared" si="8"/>
        <v>etal</v>
      </c>
      <c r="E16" s="9" t="str">
        <f t="shared" si="9"/>
        <v>2015</v>
      </c>
      <c r="F16" s="7"/>
      <c r="G16" t="str">
        <f>_xlfn.TEXTAFTER(A16,"https://doi.org/")</f>
        <v>10.1159/000437413</v>
      </c>
      <c r="H16" s="3"/>
      <c r="I16" s="3" t="s">
        <v>142</v>
      </c>
      <c r="J16" s="3" t="str">
        <f t="shared" si="5"/>
        <v>HerculanoHouzel_etal_2015_Table3</v>
      </c>
      <c r="K16" s="3" t="str">
        <f t="shared" si="10"/>
        <v>10.1159%2F000437413_Table3</v>
      </c>
      <c r="L16" s="3"/>
      <c r="M16" t="s">
        <v>45</v>
      </c>
      <c r="N16" t="str" cm="1">
        <f t="array" ref="N16">IFERROR(INDEX([1]FileList!$A$1:$A$43, MATCH(K16, _xlfn.TEXTBEFORE([1]FileList!$A$1:$A$43, ".tsv"), 0)), "notfound")</f>
        <v>10.1159%2F000437413_Table3.tsv</v>
      </c>
      <c r="O16" t="str" cm="1">
        <f t="array" ref="O16">IFERROR(INDEX([1]FileList!$A$1:$A$43, MATCH(_xlfn.TEXTBEFORE(K16, "_"), _xlfn.TEXTBEFORE([1]FileList!$A$1:$A$43, "_"), 0)), "notfound")</f>
        <v>10.1159%2F000437413_Table1.tsv</v>
      </c>
      <c r="P16" t="s">
        <v>57</v>
      </c>
      <c r="Q16" s="16" t="s">
        <v>143</v>
      </c>
      <c r="R16" s="3" t="s">
        <v>59</v>
      </c>
      <c r="S16" t="s">
        <v>144</v>
      </c>
      <c r="T16" t="s">
        <v>61</v>
      </c>
      <c r="U16" t="s">
        <v>50</v>
      </c>
      <c r="V16" t="s">
        <v>62</v>
      </c>
      <c r="W16" s="8" t="s">
        <v>135</v>
      </c>
      <c r="X16" s="7" t="s">
        <v>145</v>
      </c>
      <c r="Y16" t="s">
        <v>101</v>
      </c>
      <c r="AA16" t="s">
        <v>103</v>
      </c>
      <c r="AB16" t="s">
        <v>103</v>
      </c>
      <c r="AE16" t="s">
        <v>137</v>
      </c>
    </row>
    <row r="17" spans="1:31">
      <c r="A17" t="s">
        <v>132</v>
      </c>
      <c r="B17" s="7" t="str">
        <f t="shared" si="6"/>
        <v>HerculanoHouzel_etal_2015</v>
      </c>
      <c r="C17" s="9" t="str">
        <f t="shared" si="7"/>
        <v>HerculanoHouzel</v>
      </c>
      <c r="D17" s="9" t="str">
        <f t="shared" si="8"/>
        <v>etal</v>
      </c>
      <c r="E17" s="9" t="str">
        <f t="shared" si="9"/>
        <v>2015</v>
      </c>
      <c r="F17" s="7"/>
      <c r="G17" t="str">
        <f>_xlfn.TEXTAFTER(A17,"https://doi.org/")</f>
        <v>10.1159/000437413</v>
      </c>
      <c r="H17" s="3"/>
      <c r="I17" s="3" t="s">
        <v>146</v>
      </c>
      <c r="J17" s="3" t="str">
        <f t="shared" si="5"/>
        <v>HerculanoHouzel_etal_2015_Table4</v>
      </c>
      <c r="K17" s="3" t="str">
        <f t="shared" si="10"/>
        <v>10.1159%2F000437413_Table4</v>
      </c>
      <c r="L17" s="3"/>
      <c r="M17" t="s">
        <v>45</v>
      </c>
      <c r="N17" t="str" cm="1">
        <f t="array" ref="N17">IFERROR(INDEX([1]FileList!$A$1:$A$43, MATCH(K17, _xlfn.TEXTBEFORE([1]FileList!$A$1:$A$43, ".tsv"), 0)), "notfound")</f>
        <v>10.1159%2F000437413_Table4.tsv</v>
      </c>
      <c r="O17" t="str" cm="1">
        <f t="array" ref="O17">IFERROR(INDEX([1]FileList!$A$1:$A$43, MATCH(_xlfn.TEXTBEFORE(K17, "_"), _xlfn.TEXTBEFORE([1]FileList!$A$1:$A$43, "_"), 0)), "notfound")</f>
        <v>10.1159%2F000437413_Table1.tsv</v>
      </c>
      <c r="P17" t="s">
        <v>57</v>
      </c>
      <c r="Q17" s="14" t="s">
        <v>147</v>
      </c>
      <c r="R17" s="3" t="s">
        <v>59</v>
      </c>
      <c r="S17" t="s">
        <v>148</v>
      </c>
      <c r="T17" t="s">
        <v>61</v>
      </c>
      <c r="U17" t="s">
        <v>50</v>
      </c>
      <c r="V17" t="s">
        <v>62</v>
      </c>
      <c r="W17" s="8" t="s">
        <v>135</v>
      </c>
      <c r="X17" s="9" t="s">
        <v>149</v>
      </c>
      <c r="Y17" t="s">
        <v>101</v>
      </c>
      <c r="AA17" t="s">
        <v>103</v>
      </c>
      <c r="AB17" t="s">
        <v>103</v>
      </c>
      <c r="AE17" t="s">
        <v>137</v>
      </c>
    </row>
    <row r="18" spans="1:31">
      <c r="A18" t="s">
        <v>132</v>
      </c>
      <c r="B18" s="7" t="str">
        <f t="shared" si="6"/>
        <v>HerculanoHouzel_etal_2015</v>
      </c>
      <c r="C18" s="9" t="str">
        <f t="shared" si="7"/>
        <v>HerculanoHouzel</v>
      </c>
      <c r="D18" s="9" t="str">
        <f t="shared" si="8"/>
        <v>etal</v>
      </c>
      <c r="E18" s="9" t="str">
        <f t="shared" si="9"/>
        <v>2015</v>
      </c>
      <c r="F18" s="7"/>
      <c r="G18" t="str">
        <f>_xlfn.TEXTAFTER(A18,"https://doi.org/")</f>
        <v>10.1159/000437413</v>
      </c>
      <c r="H18" s="3"/>
      <c r="I18" s="3" t="s">
        <v>150</v>
      </c>
      <c r="J18" s="3" t="str">
        <f t="shared" si="5"/>
        <v>HerculanoHouzel_etal_2015_Table5</v>
      </c>
      <c r="K18" s="3" t="str">
        <f t="shared" si="10"/>
        <v>10.1159%2F000437413_Table5</v>
      </c>
      <c r="L18" s="3"/>
      <c r="M18" t="s">
        <v>45</v>
      </c>
      <c r="N18" t="str" cm="1">
        <f t="array" ref="N18">IFERROR(INDEX([1]FileList!$A$1:$A$43, MATCH(K18, _xlfn.TEXTBEFORE([1]FileList!$A$1:$A$43, ".tsv"), 0)), "notfound")</f>
        <v>10.1159%2F000437413_Table5.tsv</v>
      </c>
      <c r="O18" t="str" cm="1">
        <f t="array" ref="O18">IFERROR(INDEX([1]FileList!$A$1:$A$43, MATCH(_xlfn.TEXTBEFORE(K18, "_"), _xlfn.TEXTBEFORE([1]FileList!$A$1:$A$43, "_"), 0)), "notfound")</f>
        <v>10.1159%2F000437413_Table1.tsv</v>
      </c>
      <c r="P18" t="s">
        <v>57</v>
      </c>
      <c r="Q18" s="14" t="s">
        <v>151</v>
      </c>
      <c r="R18" s="3" t="s">
        <v>59</v>
      </c>
      <c r="S18" t="s">
        <v>152</v>
      </c>
      <c r="T18" t="s">
        <v>61</v>
      </c>
      <c r="U18" t="s">
        <v>50</v>
      </c>
      <c r="V18" t="s">
        <v>62</v>
      </c>
      <c r="W18" s="8" t="s">
        <v>135</v>
      </c>
      <c r="X18" s="9" t="s">
        <v>153</v>
      </c>
      <c r="Y18" t="s">
        <v>101</v>
      </c>
      <c r="AA18" t="s">
        <v>103</v>
      </c>
      <c r="AB18" t="s">
        <v>103</v>
      </c>
      <c r="AE18" t="s">
        <v>137</v>
      </c>
    </row>
    <row r="19" spans="1:31">
      <c r="A19" t="s">
        <v>154</v>
      </c>
      <c r="B19" s="7" t="str">
        <f t="shared" si="6"/>
        <v>HerculanoHouzel_etal_2020</v>
      </c>
      <c r="C19" s="9" t="str">
        <f t="shared" si="7"/>
        <v>HerculanoHouzel</v>
      </c>
      <c r="D19" s="9" t="str">
        <f t="shared" si="8"/>
        <v>etal</v>
      </c>
      <c r="E19" s="9" t="str">
        <f t="shared" si="9"/>
        <v>2020</v>
      </c>
      <c r="F19" s="7"/>
      <c r="G19" t="str">
        <f>_xlfn.TEXTAFTER(A19,"https://doi.org/")</f>
        <v>10.1002/cne.24985</v>
      </c>
      <c r="H19" s="3"/>
      <c r="I19" s="3" t="s">
        <v>155</v>
      </c>
      <c r="J19" s="3" t="str">
        <f t="shared" si="5"/>
        <v>HerculanoHouzel_etal_2020_TABLE1</v>
      </c>
      <c r="K19" s="3" t="str">
        <f t="shared" si="10"/>
        <v>10.1002%2Fcne.24985_TABLE1</v>
      </c>
      <c r="L19" s="3"/>
      <c r="M19" t="s">
        <v>45</v>
      </c>
      <c r="N19" t="str" cm="1">
        <f t="array" ref="N19">IFERROR(INDEX([1]FileList!$A$1:$A$43, MATCH(K19, _xlfn.TEXTBEFORE([1]FileList!$A$1:$A$43, ".tsv"), 0)), "notfound")</f>
        <v>10.1002%2Fcne.24985_TABLE1.tsv</v>
      </c>
      <c r="O19" t="str" cm="1">
        <f t="array" ref="O19">IFERROR(INDEX([1]FileList!$A$1:$A$43, MATCH(_xlfn.TEXTBEFORE(K19, "_"), _xlfn.TEXTBEFORE([1]FileList!$A$1:$A$43, "_"), 0)), "notfound")</f>
        <v>10.1002%2Fcne.24985_TABLE1.tsv</v>
      </c>
      <c r="P19" t="s">
        <v>57</v>
      </c>
      <c r="Q19" s="14" t="s">
        <v>156</v>
      </c>
      <c r="R19" s="3" t="s">
        <v>59</v>
      </c>
      <c r="S19" t="s">
        <v>157</v>
      </c>
      <c r="T19" t="s">
        <v>61</v>
      </c>
      <c r="U19" t="s">
        <v>50</v>
      </c>
      <c r="V19" t="s">
        <v>82</v>
      </c>
      <c r="X19" s="7" t="s">
        <v>158</v>
      </c>
      <c r="Y19" t="s">
        <v>159</v>
      </c>
      <c r="AA19" t="s">
        <v>103</v>
      </c>
      <c r="AB19" t="s">
        <v>103</v>
      </c>
      <c r="AE19" t="s">
        <v>160</v>
      </c>
    </row>
    <row r="20" spans="1:31" ht="18.95" customHeight="1">
      <c r="A20" t="s">
        <v>154</v>
      </c>
      <c r="B20" s="7" t="str">
        <f t="shared" si="6"/>
        <v>HerculanoHouzel_etal_2020</v>
      </c>
      <c r="C20" s="9" t="str">
        <f t="shared" si="7"/>
        <v>HerculanoHouzel</v>
      </c>
      <c r="D20" s="9" t="str">
        <f t="shared" si="8"/>
        <v>etal</v>
      </c>
      <c r="E20" s="9" t="str">
        <f t="shared" si="9"/>
        <v>2020</v>
      </c>
      <c r="F20" s="7"/>
      <c r="G20" t="str">
        <f>_xlfn.TEXTAFTER(A20,"https://doi.org/")</f>
        <v>10.1002/cne.24985</v>
      </c>
      <c r="H20" s="3"/>
      <c r="I20" s="3" t="s">
        <v>161</v>
      </c>
      <c r="J20" s="3" t="str">
        <f t="shared" si="5"/>
        <v>HerculanoHouzel_etal_2020_TABLE2</v>
      </c>
      <c r="K20" s="3" t="str">
        <f t="shared" si="10"/>
        <v>10.1002%2Fcne.24985_TABLE2</v>
      </c>
      <c r="L20" s="3"/>
      <c r="M20" t="s">
        <v>45</v>
      </c>
      <c r="N20" t="str" cm="1">
        <f t="array" ref="N20">IFERROR(INDEX([1]FileList!$A$1:$A$43, MATCH(K20, _xlfn.TEXTBEFORE([1]FileList!$A$1:$A$43, ".tsv"), 0)), "notfound")</f>
        <v>10.1002%2Fcne.24985_TABLE2.tsv</v>
      </c>
      <c r="O20" t="str" cm="1">
        <f t="array" ref="O20">IFERROR(INDEX([1]FileList!$A$1:$A$43, MATCH(_xlfn.TEXTBEFORE(K20, "_"), _xlfn.TEXTBEFORE([1]FileList!$A$1:$A$43, "_"), 0)), "notfound")</f>
        <v>10.1002%2Fcne.24985_TABLE1.tsv</v>
      </c>
      <c r="P20" t="s">
        <v>57</v>
      </c>
      <c r="Q20" s="14" t="s">
        <v>162</v>
      </c>
      <c r="R20" s="3" t="s">
        <v>59</v>
      </c>
      <c r="S20" t="s">
        <v>163</v>
      </c>
      <c r="T20" t="s">
        <v>61</v>
      </c>
      <c r="U20" t="s">
        <v>50</v>
      </c>
      <c r="V20" t="s">
        <v>82</v>
      </c>
      <c r="X20" s="7" t="s">
        <v>164</v>
      </c>
      <c r="Y20" t="s">
        <v>165</v>
      </c>
      <c r="AA20" t="s">
        <v>103</v>
      </c>
      <c r="AB20" t="s">
        <v>103</v>
      </c>
      <c r="AE20" t="s">
        <v>160</v>
      </c>
    </row>
    <row r="21" spans="1:31" ht="17.100000000000001" customHeight="1">
      <c r="A21" t="s">
        <v>166</v>
      </c>
      <c r="B21" s="7" t="str">
        <f t="shared" si="6"/>
        <v>Iwaniuk_etal_2001</v>
      </c>
      <c r="C21" s="9" t="str">
        <f t="shared" si="7"/>
        <v>Iwaniuk</v>
      </c>
      <c r="D21" s="9" t="str">
        <f t="shared" si="8"/>
        <v>etal</v>
      </c>
      <c r="E21" s="9" t="str">
        <f t="shared" si="9"/>
        <v>2001</v>
      </c>
      <c r="G21" t="str">
        <f>_xlfn.TEXTAFTER(A21,"https://doi.org/")</f>
        <v>10.1037/0735-7036.115.1.29</v>
      </c>
      <c r="H21" s="3"/>
      <c r="I21" s="3" t="s">
        <v>56</v>
      </c>
      <c r="J21" s="3" t="str">
        <f t="shared" si="5"/>
        <v>Iwaniuk_etal_2001_Table1</v>
      </c>
      <c r="K21" s="3" t="str">
        <f t="shared" si="10"/>
        <v>10.1037%2F0735-7036.115.1.29_Table1</v>
      </c>
      <c r="L21" s="3"/>
      <c r="M21" t="s">
        <v>167</v>
      </c>
      <c r="N21" t="str" cm="1">
        <f t="array" ref="N21">IFERROR(INDEX([1]FileList!$A$1:$A$43, MATCH(K21, _xlfn.TEXTBEFORE([1]FileList!$A$1:$A$43, ".tsv"), 0)), "notfound")</f>
        <v>notfound</v>
      </c>
      <c r="O21" t="str" cm="1">
        <f t="array" ref="O21">IFERROR(INDEX([1]FileList!$A$1:$A$43, MATCH(_xlfn.TEXTBEFORE(K21, "_"), _xlfn.TEXTBEFORE([1]FileList!$A$1:$A$43, "_"), 0)), "notfound")</f>
        <v>notfound</v>
      </c>
      <c r="P21" t="s">
        <v>35</v>
      </c>
      <c r="Q21" s="14"/>
      <c r="S21" t="str">
        <f>IF(R21="N", Q21, "write file name")</f>
        <v>write file name</v>
      </c>
      <c r="T21" t="s">
        <v>61</v>
      </c>
      <c r="U21" t="s">
        <v>50</v>
      </c>
      <c r="X21" s="11" t="s">
        <v>168</v>
      </c>
      <c r="Y21" t="s">
        <v>169</v>
      </c>
      <c r="AE21" t="s">
        <v>170</v>
      </c>
    </row>
    <row r="22" spans="1:31" ht="17.100000000000001" customHeight="1">
      <c r="A22" t="s">
        <v>166</v>
      </c>
      <c r="B22" s="7" t="str">
        <f t="shared" si="6"/>
        <v>Iwaniuk_etal_2001</v>
      </c>
      <c r="C22" s="9" t="str">
        <f t="shared" si="7"/>
        <v>Iwaniuk</v>
      </c>
      <c r="D22" s="9" t="str">
        <f t="shared" si="8"/>
        <v>etal</v>
      </c>
      <c r="E22" s="9" t="str">
        <f t="shared" si="9"/>
        <v>2001</v>
      </c>
      <c r="G22" t="str">
        <f>_xlfn.TEXTAFTER(A22,"https://doi.org/")</f>
        <v>10.1037/0735-7036.115.1.29</v>
      </c>
      <c r="H22" s="3"/>
      <c r="I22" s="3" t="s">
        <v>138</v>
      </c>
      <c r="J22" s="3" t="str">
        <f t="shared" si="5"/>
        <v>Iwaniuk_etal_2001_Table2</v>
      </c>
      <c r="K22" s="3" t="str">
        <f t="shared" si="10"/>
        <v>10.1037%2F0735-7036.115.1.29_Table2</v>
      </c>
      <c r="L22" s="3"/>
      <c r="M22" t="s">
        <v>167</v>
      </c>
      <c r="N22" t="str" cm="1">
        <f t="array" ref="N22">IFERROR(INDEX([1]FileList!$A$1:$A$43, MATCH(K22, _xlfn.TEXTBEFORE([1]FileList!$A$1:$A$43, ".tsv"), 0)), "notfound")</f>
        <v>notfound</v>
      </c>
      <c r="O22" t="str" cm="1">
        <f t="array" ref="O22">IFERROR(INDEX([1]FileList!$A$1:$A$43, MATCH(_xlfn.TEXTBEFORE(K22, "_"), _xlfn.TEXTBEFORE([1]FileList!$A$1:$A$43, "_"), 0)), "notfound")</f>
        <v>notfound</v>
      </c>
      <c r="P22" t="s">
        <v>35</v>
      </c>
      <c r="Q22" s="14"/>
      <c r="S22" t="str">
        <f>IF(R22="N", Q22, "write file name")</f>
        <v>write file name</v>
      </c>
      <c r="T22" t="s">
        <v>61</v>
      </c>
      <c r="U22" t="s">
        <v>50</v>
      </c>
      <c r="X22" s="11" t="s">
        <v>171</v>
      </c>
      <c r="Y22" t="s">
        <v>169</v>
      </c>
      <c r="AE22" t="s">
        <v>170</v>
      </c>
    </row>
    <row r="23" spans="1:31" ht="17.100000000000001" customHeight="1">
      <c r="A23" t="s">
        <v>166</v>
      </c>
      <c r="B23" s="7" t="str">
        <f t="shared" si="6"/>
        <v>Iwaniuk_etal_2001</v>
      </c>
      <c r="C23" s="9" t="str">
        <f t="shared" si="7"/>
        <v>Iwaniuk</v>
      </c>
      <c r="D23" s="9" t="str">
        <f t="shared" si="8"/>
        <v>etal</v>
      </c>
      <c r="E23" s="9" t="str">
        <f t="shared" si="9"/>
        <v>2001</v>
      </c>
      <c r="G23" t="str">
        <f>_xlfn.TEXTAFTER(A23,"https://doi.org/")</f>
        <v>10.1037/0735-7036.115.1.29</v>
      </c>
      <c r="H23" s="3"/>
      <c r="I23" s="3" t="s">
        <v>142</v>
      </c>
      <c r="J23" s="3" t="str">
        <f t="shared" si="5"/>
        <v>Iwaniuk_etal_2001_Table3</v>
      </c>
      <c r="K23" s="3" t="str">
        <f t="shared" si="10"/>
        <v>10.1037%2F0735-7036.115.1.29_Table3</v>
      </c>
      <c r="L23" s="3"/>
      <c r="M23" t="s">
        <v>167</v>
      </c>
      <c r="N23" t="str" cm="1">
        <f t="array" ref="N23">IFERROR(INDEX([1]FileList!$A$1:$A$43, MATCH(K23, _xlfn.TEXTBEFORE([1]FileList!$A$1:$A$43, ".tsv"), 0)), "notfound")</f>
        <v>notfound</v>
      </c>
      <c r="O23" t="str" cm="1">
        <f t="array" ref="O23">IFERROR(INDEX([1]FileList!$A$1:$A$43, MATCH(_xlfn.TEXTBEFORE(K23, "_"), _xlfn.TEXTBEFORE([1]FileList!$A$1:$A$43, "_"), 0)), "notfound")</f>
        <v>notfound</v>
      </c>
      <c r="P23" t="s">
        <v>35</v>
      </c>
      <c r="Q23" s="14"/>
      <c r="S23" t="str">
        <f>IF(R23="N", Q23, "write file name")</f>
        <v>write file name</v>
      </c>
      <c r="T23" t="s">
        <v>61</v>
      </c>
      <c r="U23" t="s">
        <v>50</v>
      </c>
      <c r="X23" s="11" t="s">
        <v>172</v>
      </c>
      <c r="Y23" t="s">
        <v>169</v>
      </c>
      <c r="AE23" t="s">
        <v>170</v>
      </c>
    </row>
    <row r="24" spans="1:31" ht="17.100000000000001" customHeight="1">
      <c r="A24" t="s">
        <v>166</v>
      </c>
      <c r="B24" s="7" t="str">
        <f t="shared" si="6"/>
        <v>Iwaniuk_etal_2001</v>
      </c>
      <c r="C24" s="9" t="str">
        <f t="shared" si="7"/>
        <v>Iwaniuk</v>
      </c>
      <c r="D24" s="9" t="str">
        <f t="shared" si="8"/>
        <v>etal</v>
      </c>
      <c r="E24" s="9" t="str">
        <f t="shared" si="9"/>
        <v>2001</v>
      </c>
      <c r="G24" t="str">
        <f>_xlfn.TEXTAFTER(A24,"https://doi.org/")</f>
        <v>10.1037/0735-7036.115.1.29</v>
      </c>
      <c r="H24" s="3"/>
      <c r="I24" s="3" t="s">
        <v>146</v>
      </c>
      <c r="J24" s="3" t="str">
        <f t="shared" si="5"/>
        <v>Iwaniuk_etal_2001_Table4</v>
      </c>
      <c r="K24" s="3" t="str">
        <f t="shared" si="10"/>
        <v>10.1037%2F0735-7036.115.1.29_Table4</v>
      </c>
      <c r="L24" s="3"/>
      <c r="M24" t="s">
        <v>167</v>
      </c>
      <c r="N24" t="str" cm="1">
        <f t="array" ref="N24">IFERROR(INDEX([1]FileList!$A$1:$A$43, MATCH(K24, _xlfn.TEXTBEFORE([1]FileList!$A$1:$A$43, ".tsv"), 0)), "notfound")</f>
        <v>notfound</v>
      </c>
      <c r="O24" t="str" cm="1">
        <f t="array" ref="O24">IFERROR(INDEX([1]FileList!$A$1:$A$43, MATCH(_xlfn.TEXTBEFORE(K24, "_"), _xlfn.TEXTBEFORE([1]FileList!$A$1:$A$43, "_"), 0)), "notfound")</f>
        <v>notfound</v>
      </c>
      <c r="P24" t="s">
        <v>35</v>
      </c>
      <c r="Q24" s="14"/>
      <c r="S24" t="str">
        <f>IF(R24="N", Q24, "write file name")</f>
        <v>write file name</v>
      </c>
      <c r="T24" t="s">
        <v>61</v>
      </c>
      <c r="U24" t="s">
        <v>50</v>
      </c>
      <c r="X24" s="11" t="s">
        <v>173</v>
      </c>
      <c r="Y24" t="s">
        <v>169</v>
      </c>
      <c r="AE24" t="s">
        <v>170</v>
      </c>
    </row>
    <row r="25" spans="1:31">
      <c r="A25" t="s">
        <v>174</v>
      </c>
      <c r="B25" s="7" t="str">
        <f t="shared" si="6"/>
        <v>JardimMesseder_etal_2017</v>
      </c>
      <c r="C25" s="9" t="str">
        <f t="shared" si="7"/>
        <v>JardimMesseder</v>
      </c>
      <c r="D25" s="9" t="str">
        <f t="shared" si="8"/>
        <v>etal</v>
      </c>
      <c r="E25" s="9" t="str">
        <f t="shared" si="9"/>
        <v>2017</v>
      </c>
      <c r="G25" t="str">
        <f>_xlfn.TEXTAFTER(A25,"https://doi.org/")</f>
        <v>10.3389/fnana.2017.00118</v>
      </c>
      <c r="H25" s="3"/>
      <c r="I25" s="3" t="s">
        <v>56</v>
      </c>
      <c r="J25" s="3" t="str">
        <f t="shared" si="5"/>
        <v>JardimMesseder_etal_2017_Table1</v>
      </c>
      <c r="K25" s="3" t="str">
        <f t="shared" si="10"/>
        <v>10.3389%2Ffnana.2017.00118_Table1</v>
      </c>
      <c r="L25" s="3"/>
      <c r="M25" t="s">
        <v>45</v>
      </c>
      <c r="N25" t="str" cm="1">
        <f t="array" ref="N25">IFERROR(INDEX([1]FileList!$A$1:$A$43, MATCH(K25, _xlfn.TEXTBEFORE([1]FileList!$A$1:$A$43, ".tsv"), 0)), "notfound")</f>
        <v>10.3389%2Ffnana.2017.00118_Table1.tsv</v>
      </c>
      <c r="O25" t="str" cm="1">
        <f t="array" ref="O25">IFERROR(INDEX([1]FileList!$A$1:$A$43, MATCH(_xlfn.TEXTBEFORE(K25, "_"), _xlfn.TEXTBEFORE([1]FileList!$A$1:$A$43, "_"), 0)), "notfound")</f>
        <v>10.3389%2Ffnana.2017.00118_Table1.tsv</v>
      </c>
      <c r="P25" t="s">
        <v>57</v>
      </c>
      <c r="Q25" s="14" t="s">
        <v>175</v>
      </c>
      <c r="R25" s="3" t="s">
        <v>59</v>
      </c>
      <c r="S25" t="s">
        <v>176</v>
      </c>
      <c r="T25" t="s">
        <v>61</v>
      </c>
      <c r="U25" t="s">
        <v>50</v>
      </c>
      <c r="V25" t="s">
        <v>62</v>
      </c>
      <c r="W25" s="8" t="s">
        <v>177</v>
      </c>
      <c r="X25" s="7" t="s">
        <v>178</v>
      </c>
      <c r="Y25" t="s">
        <v>101</v>
      </c>
      <c r="Z25" t="s">
        <v>102</v>
      </c>
      <c r="AA25" t="s">
        <v>103</v>
      </c>
      <c r="AB25" t="s">
        <v>103</v>
      </c>
      <c r="AE25" t="s">
        <v>179</v>
      </c>
    </row>
    <row r="26" spans="1:31">
      <c r="A26" t="s">
        <v>180</v>
      </c>
      <c r="B26" s="7" t="str">
        <f t="shared" si="6"/>
        <v>Kverkova_etal_2018</v>
      </c>
      <c r="C26" s="9" t="str">
        <f t="shared" si="7"/>
        <v>Kverkova</v>
      </c>
      <c r="D26" s="9" t="str">
        <f t="shared" si="8"/>
        <v>etal</v>
      </c>
      <c r="E26" s="9" t="str">
        <f t="shared" si="9"/>
        <v>2018</v>
      </c>
      <c r="F26" s="7"/>
      <c r="G26" t="str">
        <f>_xlfn.TEXTAFTER(A26,"https://doi.org/")</f>
        <v>10.1038/s41598-018-26062-8</v>
      </c>
      <c r="H26" s="3"/>
      <c r="I26" s="3" t="s">
        <v>94</v>
      </c>
      <c r="J26" s="3" t="str">
        <f t="shared" si="5"/>
        <v>Kverkova_etal_2018_TableS1</v>
      </c>
      <c r="K26" s="3" t="str">
        <f t="shared" si="10"/>
        <v>10.1038%2Fs41598-018-26062-8_TableS1</v>
      </c>
      <c r="L26" s="3"/>
      <c r="M26" t="s">
        <v>45</v>
      </c>
      <c r="N26" t="str" cm="1">
        <f t="array" ref="N26">IFERROR(INDEX([1]FileList!$A$1:$A$43, MATCH(K26, _xlfn.TEXTBEFORE([1]FileList!$A$1:$A$43, ".tsv"), 0)), "notfound")</f>
        <v>10.1038%2Fs41598-018-26062-8_TableS1.tsv</v>
      </c>
      <c r="O26" t="str" cm="1">
        <f t="array" ref="O26">IFERROR(INDEX([1]FileList!$A$1:$A$43, MATCH(_xlfn.TEXTBEFORE(K26, "_"), _xlfn.TEXTBEFORE([1]FileList!$A$1:$A$43, "_"), 0)), "notfound")</f>
        <v>10.1038%2Fs41598-018-26062-8_TableS1.tsv</v>
      </c>
      <c r="P26" t="s">
        <v>57</v>
      </c>
      <c r="Q26" s="14"/>
      <c r="R26" s="3" t="s">
        <v>59</v>
      </c>
      <c r="S26" t="s">
        <v>181</v>
      </c>
      <c r="T26" t="s">
        <v>182</v>
      </c>
      <c r="U26" t="s">
        <v>50</v>
      </c>
      <c r="V26" t="s">
        <v>62</v>
      </c>
      <c r="W26" s="8" t="s">
        <v>183</v>
      </c>
      <c r="X26" s="7" t="s">
        <v>184</v>
      </c>
      <c r="Y26" t="s">
        <v>159</v>
      </c>
      <c r="Z26" t="s">
        <v>185</v>
      </c>
      <c r="AB26" t="s">
        <v>103</v>
      </c>
      <c r="AE26" t="s">
        <v>186</v>
      </c>
    </row>
    <row r="27" spans="1:31">
      <c r="A27" t="s">
        <v>180</v>
      </c>
      <c r="B27" s="7" t="str">
        <f t="shared" si="6"/>
        <v>Kverkova_etal_2018</v>
      </c>
      <c r="C27" s="9" t="str">
        <f t="shared" si="7"/>
        <v>Kverkova</v>
      </c>
      <c r="D27" s="9" t="str">
        <f t="shared" si="8"/>
        <v>etal</v>
      </c>
      <c r="E27" s="9" t="str">
        <f t="shared" si="9"/>
        <v>2018</v>
      </c>
      <c r="F27" s="7"/>
      <c r="G27" t="str">
        <f>_xlfn.TEXTAFTER(A27,"https://doi.org/")</f>
        <v>10.1038/s41598-018-26062-8</v>
      </c>
      <c r="H27" s="3"/>
      <c r="I27" s="3" t="s">
        <v>187</v>
      </c>
      <c r="J27" s="3" t="str">
        <f t="shared" si="5"/>
        <v>Kverkova_etal_2018_TableS5</v>
      </c>
      <c r="K27" s="3" t="str">
        <f t="shared" si="10"/>
        <v>10.1038%2Fs41598-018-26062-8_TableS5</v>
      </c>
      <c r="L27" s="3"/>
      <c r="M27" t="s">
        <v>45</v>
      </c>
      <c r="N27" t="str" cm="1">
        <f t="array" ref="N27">IFERROR(INDEX([1]FileList!$A$1:$A$43, MATCH(K27, _xlfn.TEXTBEFORE([1]FileList!$A$1:$A$43, ".tsv"), 0)), "notfound")</f>
        <v>10.1038%2Fs41598-018-26062-8_TableS5.tsv</v>
      </c>
      <c r="O27" t="str" cm="1">
        <f t="array" ref="O27">IFERROR(INDEX([1]FileList!$A$1:$A$43, MATCH(_xlfn.TEXTBEFORE(K27, "_"), _xlfn.TEXTBEFORE([1]FileList!$A$1:$A$43, "_"), 0)), "notfound")</f>
        <v>10.1038%2Fs41598-018-26062-8_TableS1.tsv</v>
      </c>
      <c r="P27" t="s">
        <v>57</v>
      </c>
      <c r="Q27" s="14"/>
      <c r="R27" s="3" t="s">
        <v>59</v>
      </c>
      <c r="S27" t="s">
        <v>188</v>
      </c>
      <c r="T27" t="s">
        <v>189</v>
      </c>
      <c r="U27" t="s">
        <v>50</v>
      </c>
      <c r="V27" t="s">
        <v>62</v>
      </c>
      <c r="W27" s="8" t="s">
        <v>183</v>
      </c>
      <c r="X27" s="7" t="s">
        <v>190</v>
      </c>
      <c r="Y27" t="s">
        <v>165</v>
      </c>
      <c r="Z27" t="s">
        <v>102</v>
      </c>
      <c r="AB27" t="s">
        <v>103</v>
      </c>
      <c r="AE27" t="s">
        <v>186</v>
      </c>
    </row>
    <row r="28" spans="1:31">
      <c r="A28" t="s">
        <v>191</v>
      </c>
      <c r="B28" s="7" t="str">
        <f t="shared" si="6"/>
        <v>ManyPrimates__2022</v>
      </c>
      <c r="C28" s="9" t="str">
        <f t="shared" si="7"/>
        <v>ManyPrimates</v>
      </c>
      <c r="D28" s="9" t="str">
        <f t="shared" si="8"/>
        <v/>
      </c>
      <c r="E28" s="9" t="str">
        <f t="shared" si="9"/>
        <v>2022</v>
      </c>
      <c r="F28" s="7"/>
      <c r="G28" t="str">
        <f>_xlfn.TEXTAFTER(A28,"https://doi.org/")</f>
        <v>10.26451/abc.09.04.06.2022</v>
      </c>
      <c r="H28" s="3"/>
      <c r="I28" s="12" t="s">
        <v>192</v>
      </c>
      <c r="J28" s="3" t="str">
        <f t="shared" si="5"/>
        <v>ManyPrimates__2022_data/speciespredictors.xlsx</v>
      </c>
      <c r="K28" s="3" t="str">
        <f t="shared" si="10"/>
        <v>10.26451%2Fabc.09.04.06.2022_data%2Fspeciespredictors.xlsx</v>
      </c>
      <c r="L28" s="3"/>
      <c r="M28" t="s">
        <v>193</v>
      </c>
      <c r="N28" t="str" cm="1">
        <f t="array" ref="N28">IFERROR(INDEX([1]FileList!$A$1:$A$43, MATCH(K28, _xlfn.TEXTBEFORE([1]FileList!$A$1:$A$43, ".tsv"), 0)), "notfound")</f>
        <v>notfound</v>
      </c>
      <c r="O28" t="str" cm="1">
        <f t="array" ref="O28">IFERROR(INDEX([1]FileList!$A$1:$A$43, MATCH(_xlfn.TEXTBEFORE(K28, "_"), _xlfn.TEXTBEFORE([1]FileList!$A$1:$A$43, "_"), 0)), "notfound")</f>
        <v>notfound</v>
      </c>
      <c r="P28" t="s">
        <v>35</v>
      </c>
      <c r="Q28" s="14"/>
      <c r="S28" t="str">
        <f t="shared" ref="S28:S33" si="11">IF(R28="N", Q28, "write file name")</f>
        <v>write file name</v>
      </c>
      <c r="T28" t="s">
        <v>71</v>
      </c>
      <c r="U28" t="s">
        <v>50</v>
      </c>
      <c r="V28" t="s">
        <v>72</v>
      </c>
      <c r="W28" s="8" t="s">
        <v>194</v>
      </c>
      <c r="X28" s="7"/>
      <c r="Y28" t="s">
        <v>195</v>
      </c>
      <c r="Z28" t="s">
        <v>53</v>
      </c>
      <c r="AC28" t="s">
        <v>196</v>
      </c>
      <c r="AE28" t="s">
        <v>68</v>
      </c>
    </row>
    <row r="29" spans="1:31">
      <c r="A29" t="s">
        <v>197</v>
      </c>
      <c r="B29" s="7" t="str">
        <f t="shared" si="6"/>
        <v>Powell_etal_2017</v>
      </c>
      <c r="C29" s="9" t="str">
        <f t="shared" si="7"/>
        <v>Powell</v>
      </c>
      <c r="D29" s="9" t="str">
        <f t="shared" si="8"/>
        <v>etal</v>
      </c>
      <c r="E29" s="9" t="str">
        <f t="shared" si="9"/>
        <v>2017</v>
      </c>
      <c r="F29" s="7"/>
      <c r="G29" t="str">
        <f>_xlfn.TEXTAFTER(A29,"https://doi.org/")</f>
        <v>10.1098/rspb.2017.1765</v>
      </c>
      <c r="H29" s="3" t="s">
        <v>198</v>
      </c>
      <c r="I29" s="3" t="s">
        <v>199</v>
      </c>
      <c r="J29" s="3" t="str">
        <f t="shared" si="5"/>
        <v>Powell_etal_2017_Dataset1</v>
      </c>
      <c r="K29" s="3" t="str">
        <f t="shared" si="10"/>
        <v>10.6084%2Fm9.figshare.c.3899422.v1_Dataset1</v>
      </c>
      <c r="L29" s="3"/>
      <c r="M29" s="15" t="s">
        <v>128</v>
      </c>
      <c r="N29" t="str" cm="1">
        <f t="array" ref="N29">IFERROR(INDEX([1]FileList!$A$1:$A$43, MATCH(K29, _xlfn.TEXTBEFORE([1]FileList!$A$1:$A$43, ".tsv"), 0)), "notfound")</f>
        <v>notfound</v>
      </c>
      <c r="O29" t="str" cm="1">
        <f t="array" ref="O29">IFERROR(INDEX([1]FileList!$A$1:$A$43, MATCH(_xlfn.TEXTBEFORE(K29, "_"), _xlfn.TEXTBEFORE([1]FileList!$A$1:$A$43, "_"), 0)), "notfound")</f>
        <v>notfound</v>
      </c>
      <c r="P29" t="s">
        <v>35</v>
      </c>
      <c r="Q29" s="14"/>
      <c r="S29" t="str">
        <f t="shared" si="11"/>
        <v>write file name</v>
      </c>
      <c r="T29" t="s">
        <v>71</v>
      </c>
      <c r="U29" t="s">
        <v>50</v>
      </c>
      <c r="V29" t="s">
        <v>72</v>
      </c>
      <c r="W29" s="8" t="s">
        <v>200</v>
      </c>
      <c r="X29" s="7"/>
      <c r="Y29" t="s">
        <v>201</v>
      </c>
      <c r="Z29" t="s">
        <v>53</v>
      </c>
      <c r="AC29" t="s">
        <v>52</v>
      </c>
      <c r="AE29" t="s">
        <v>68</v>
      </c>
    </row>
    <row r="30" spans="1:31">
      <c r="A30" t="s">
        <v>202</v>
      </c>
      <c r="B30" s="7" t="str">
        <f t="shared" si="6"/>
        <v>Sherwood_etal_2004_I</v>
      </c>
      <c r="C30" s="9" t="str">
        <f t="shared" si="7"/>
        <v>Sherwood</v>
      </c>
      <c r="D30" s="9" t="str">
        <f t="shared" si="8"/>
        <v>etal</v>
      </c>
      <c r="E30" s="9" t="str">
        <f t="shared" si="9"/>
        <v>2004</v>
      </c>
      <c r="F30" s="7" t="s">
        <v>203</v>
      </c>
      <c r="G30" t="str">
        <f>_xlfn.TEXTAFTER(A30,"https://doi.org/")</f>
        <v>10.1159/000075672</v>
      </c>
      <c r="H30" s="3"/>
      <c r="I30" s="3" t="s">
        <v>146</v>
      </c>
      <c r="J30" s="3" t="str">
        <f t="shared" si="5"/>
        <v>Sherwood_etal_2004_I_Table4</v>
      </c>
      <c r="K30" s="3" t="str">
        <f t="shared" si="10"/>
        <v>10.1159%2F000075672_Table4</v>
      </c>
      <c r="L30" s="3"/>
      <c r="M30" t="s">
        <v>193</v>
      </c>
      <c r="N30" t="str" cm="1">
        <f t="array" ref="N30">IFERROR(INDEX([1]FileList!$A$1:$A$43, MATCH(K30, _xlfn.TEXTBEFORE([1]FileList!$A$1:$A$43, ".tsv"), 0)), "notfound")</f>
        <v>notfound</v>
      </c>
      <c r="O30" t="str" cm="1">
        <f t="array" ref="O30">IFERROR(INDEX([1]FileList!$A$1:$A$43, MATCH(_xlfn.TEXTBEFORE(K30, "_"), _xlfn.TEXTBEFORE([1]FileList!$A$1:$A$43, "_"), 0)), "notfound")</f>
        <v>notfound</v>
      </c>
      <c r="P30" t="s">
        <v>35</v>
      </c>
      <c r="Q30" s="14"/>
      <c r="S30" t="str">
        <f t="shared" si="11"/>
        <v>write file name</v>
      </c>
      <c r="T30" t="s">
        <v>61</v>
      </c>
      <c r="U30" t="s">
        <v>204</v>
      </c>
      <c r="X30" s="7" t="s">
        <v>205</v>
      </c>
      <c r="Y30" t="s">
        <v>206</v>
      </c>
      <c r="Z30" t="s">
        <v>102</v>
      </c>
      <c r="AE30" t="s">
        <v>68</v>
      </c>
    </row>
    <row r="31" spans="1:31">
      <c r="A31" t="s">
        <v>202</v>
      </c>
      <c r="B31" s="7" t="str">
        <f t="shared" si="6"/>
        <v>Sherwood_etal_2004_I</v>
      </c>
      <c r="C31" s="9" t="str">
        <f t="shared" si="7"/>
        <v>Sherwood</v>
      </c>
      <c r="D31" s="9" t="str">
        <f t="shared" si="8"/>
        <v>etal</v>
      </c>
      <c r="E31" s="9" t="str">
        <f t="shared" si="9"/>
        <v>2004</v>
      </c>
      <c r="F31" s="7" t="s">
        <v>203</v>
      </c>
      <c r="G31" t="str">
        <f>_xlfn.TEXTAFTER(A31,"https://doi.org/")</f>
        <v>10.1159/000075672</v>
      </c>
      <c r="H31" s="3"/>
      <c r="I31" s="3" t="s">
        <v>150</v>
      </c>
      <c r="J31" s="3" t="str">
        <f t="shared" si="5"/>
        <v>Sherwood_etal_2004_I_Table5</v>
      </c>
      <c r="K31" s="3" t="str">
        <f t="shared" si="10"/>
        <v>10.1159%2F000075672_Table5</v>
      </c>
      <c r="L31" s="3"/>
      <c r="M31" t="s">
        <v>193</v>
      </c>
      <c r="N31" t="str" cm="1">
        <f t="array" ref="N31">IFERROR(INDEX([1]FileList!$A$1:$A$43, MATCH(K31, _xlfn.TEXTBEFORE([1]FileList!$A$1:$A$43, ".tsv"), 0)), "notfound")</f>
        <v>notfound</v>
      </c>
      <c r="O31" t="str" cm="1">
        <f t="array" ref="O31">IFERROR(INDEX([1]FileList!$A$1:$A$43, MATCH(_xlfn.TEXTBEFORE(K31, "_"), _xlfn.TEXTBEFORE([1]FileList!$A$1:$A$43, "_"), 0)), "notfound")</f>
        <v>notfound</v>
      </c>
      <c r="P31" t="s">
        <v>35</v>
      </c>
      <c r="Q31" s="14"/>
      <c r="S31" t="str">
        <f t="shared" si="11"/>
        <v>write file name</v>
      </c>
      <c r="T31" t="s">
        <v>61</v>
      </c>
      <c r="U31" t="s">
        <v>204</v>
      </c>
      <c r="X31" s="11" t="s">
        <v>207</v>
      </c>
      <c r="Y31" t="s">
        <v>206</v>
      </c>
      <c r="Z31" t="s">
        <v>102</v>
      </c>
      <c r="AE31" t="s">
        <v>68</v>
      </c>
    </row>
    <row r="32" spans="1:31">
      <c r="A32" t="s">
        <v>208</v>
      </c>
      <c r="B32" s="7" t="str">
        <f t="shared" si="6"/>
        <v>Winkler_etal_2021</v>
      </c>
      <c r="C32" s="9" t="str">
        <f t="shared" si="7"/>
        <v>Winkler</v>
      </c>
      <c r="D32" s="9" t="str">
        <f t="shared" si="8"/>
        <v>etal</v>
      </c>
      <c r="E32" s="9" t="str">
        <f t="shared" si="9"/>
        <v>2021</v>
      </c>
      <c r="F32" s="7"/>
      <c r="G32" t="str">
        <f>_xlfn.TEXTAFTER(A32,"https://doi.org/")</f>
        <v>10.1080/09524622.2021.1905065</v>
      </c>
      <c r="H32" s="3"/>
      <c r="I32" s="3" t="s">
        <v>209</v>
      </c>
      <c r="J32" s="3" t="str">
        <f t="shared" si="5"/>
        <v>Winkler_etal_2021_Figure1</v>
      </c>
      <c r="K32" s="3" t="str">
        <f t="shared" si="10"/>
        <v>10.1080%2F09524622.2021.1905065_Figure1</v>
      </c>
      <c r="L32" s="3"/>
      <c r="M32" s="15" t="s">
        <v>128</v>
      </c>
      <c r="N32" t="str" cm="1">
        <f t="array" ref="N32">IFERROR(INDEX([1]FileList!$A$1:$A$43, MATCH(K32, _xlfn.TEXTBEFORE([1]FileList!$A$1:$A$43, ".tsv"), 0)), "notfound")</f>
        <v>notfound</v>
      </c>
      <c r="O32" t="str" cm="1">
        <f t="array" ref="O32">IFERROR(INDEX([1]FileList!$A$1:$A$43, MATCH(_xlfn.TEXTBEFORE(K32, "_"), _xlfn.TEXTBEFORE([1]FileList!$A$1:$A$43, "_"), 0)), "notfound")</f>
        <v>notfound</v>
      </c>
      <c r="P32" t="s">
        <v>35</v>
      </c>
      <c r="Q32" s="14"/>
      <c r="S32" t="str">
        <f t="shared" si="11"/>
        <v>write file name</v>
      </c>
      <c r="T32" t="s">
        <v>61</v>
      </c>
      <c r="U32" t="s">
        <v>210</v>
      </c>
      <c r="X32" s="7"/>
      <c r="Y32" t="s">
        <v>211</v>
      </c>
      <c r="AE32" t="s">
        <v>41</v>
      </c>
    </row>
    <row r="33" spans="1:31">
      <c r="A33" t="s">
        <v>212</v>
      </c>
      <c r="B33" s="7" t="str">
        <f t="shared" si="6"/>
        <v>Young_etal_2013</v>
      </c>
      <c r="C33" s="9" t="str">
        <f t="shared" si="7"/>
        <v>Young</v>
      </c>
      <c r="D33" s="9" t="str">
        <f t="shared" si="8"/>
        <v>etal</v>
      </c>
      <c r="E33" s="9" t="str">
        <f t="shared" si="9"/>
        <v>2013</v>
      </c>
      <c r="F33" s="7"/>
      <c r="G33" t="str">
        <f>_xlfn.TEXTAFTER(A33,"https://doi.org/")</f>
        <v>10.3389/fncir.2013.00030</v>
      </c>
      <c r="H33" s="3"/>
      <c r="I33" s="3" t="s">
        <v>56</v>
      </c>
      <c r="J33" s="3" t="str">
        <f t="shared" si="5"/>
        <v>Young_etal_2013_Table1</v>
      </c>
      <c r="K33" s="3" t="str">
        <f t="shared" si="10"/>
        <v>10.3389%2Ffncir.2013.00030_Table1</v>
      </c>
      <c r="L33" s="3"/>
      <c r="M33" t="s">
        <v>193</v>
      </c>
      <c r="N33" t="str" cm="1">
        <f t="array" ref="N33">IFERROR(INDEX([1]FileList!$A$1:$A$43, MATCH(K33, _xlfn.TEXTBEFORE([1]FileList!$A$1:$A$43, ".tsv"), 0)), "notfound")</f>
        <v>notfound</v>
      </c>
      <c r="O33" t="str" cm="1">
        <f t="array" ref="O33">IFERROR(INDEX([1]FileList!$A$1:$A$43, MATCH(_xlfn.TEXTBEFORE(K33, "_"), _xlfn.TEXTBEFORE([1]FileList!$A$1:$A$43, "_"), 0)), "notfound")</f>
        <v>notfound</v>
      </c>
      <c r="P33" t="s">
        <v>35</v>
      </c>
      <c r="Q33" s="14"/>
      <c r="S33" t="str">
        <f t="shared" si="11"/>
        <v>write file name</v>
      </c>
      <c r="T33" t="s">
        <v>116</v>
      </c>
      <c r="U33" t="s">
        <v>50</v>
      </c>
      <c r="X33" s="7"/>
      <c r="Y33" t="s">
        <v>213</v>
      </c>
      <c r="AE33" t="s">
        <v>68</v>
      </c>
    </row>
    <row r="34" spans="1:31">
      <c r="A34" t="s">
        <v>214</v>
      </c>
      <c r="B34" s="7" t="str">
        <f t="shared" si="6"/>
        <v>Mota_etal_2015</v>
      </c>
      <c r="C34" s="9" t="str">
        <f t="shared" si="7"/>
        <v>Mota</v>
      </c>
      <c r="D34" s="9" t="str">
        <f t="shared" si="8"/>
        <v>etal</v>
      </c>
      <c r="E34" s="9" t="str">
        <f t="shared" si="9"/>
        <v>2015</v>
      </c>
      <c r="G34" t="str">
        <f>_xlfn.TEXTAFTER(A34,"https://doi.org/")</f>
        <v>10.1126/science.aaa9101</v>
      </c>
      <c r="I34" s="3" t="s">
        <v>94</v>
      </c>
      <c r="J34" s="3" t="str">
        <f t="shared" si="5"/>
        <v>Mota_etal_2015_TableS1</v>
      </c>
      <c r="K34" s="3" t="str">
        <f t="shared" si="10"/>
        <v>10.1126%2Fscience.aaa9101_TableS1</v>
      </c>
      <c r="N34" t="str" cm="1">
        <f t="array" ref="N34">IFERROR(INDEX([1]FileList!$A$1:$A$43, MATCH(K34, _xlfn.TEXTBEFORE([1]FileList!$A$1:$A$43, ".tsv"), 0)), "notfound")</f>
        <v>10.1126%2Fscience.aaa9101_TableS1.tsv</v>
      </c>
      <c r="O34" t="str" cm="1">
        <f t="array" ref="O34">IFERROR(INDEX([1]FileList!$A$1:$A$43, MATCH(_xlfn.TEXTBEFORE(K34, "_"), _xlfn.TEXTBEFORE([1]FileList!$A$1:$A$43, "_"), 0)), "notfound")</f>
        <v>10.1126%2Fscience.aaa9101_TableS1.tsv</v>
      </c>
      <c r="P34" s="3" t="s">
        <v>46</v>
      </c>
    </row>
    <row r="35" spans="1:31">
      <c r="A35" t="s">
        <v>215</v>
      </c>
      <c r="B35" s="7" t="str">
        <f t="shared" si="6"/>
        <v>HerculanoHouzel_etal_2013</v>
      </c>
      <c r="C35" s="9" t="str">
        <f t="shared" si="7"/>
        <v>HerculanoHouzel</v>
      </c>
      <c r="D35" s="9" t="str">
        <f t="shared" si="8"/>
        <v>etal</v>
      </c>
      <c r="E35" s="9" t="str">
        <f t="shared" si="9"/>
        <v>2013</v>
      </c>
      <c r="G35" t="str">
        <f>_xlfn.TEXTAFTER(A35,"https://doi.org/")</f>
        <v>10.3389/fnana.2013.00035</v>
      </c>
      <c r="I35" s="3" t="s">
        <v>216</v>
      </c>
      <c r="J35" s="3" t="str">
        <f t="shared" si="5"/>
        <v>HerculanoHouzel_etal_2013_Figure2TopLeft</v>
      </c>
      <c r="K35" s="3" t="str">
        <f t="shared" si="10"/>
        <v>10.3389%2Ffnana.2013.00035_Figure2TopLeft</v>
      </c>
      <c r="N35" t="str" cm="1">
        <f t="array" ref="N35">IFERROR(INDEX([1]FileList!$A$1:$A$43, MATCH(K35, _xlfn.TEXTBEFORE([1]FileList!$A$1:$A$43, ".tsv"), 0)), "notfound")</f>
        <v>10.3389%2Ffnana.2013.00035_Figure2TopLeft.tsv</v>
      </c>
      <c r="O35" t="str" cm="1">
        <f t="array" ref="O35">IFERROR(INDEX([1]FileList!$A$1:$A$43, MATCH(_xlfn.TEXTBEFORE(K35, "_"), _xlfn.TEXTBEFORE([1]FileList!$A$1:$A$43, "_"), 0)), "notfound")</f>
        <v>10.3389%2Ffnana.2013.00035_Figure2TopLeft.ReadMe.md</v>
      </c>
      <c r="P35" s="3" t="s">
        <v>46</v>
      </c>
    </row>
    <row r="36" spans="1:31">
      <c r="A36" t="s">
        <v>215</v>
      </c>
      <c r="B36" s="7" t="str">
        <f t="shared" ref="B36" si="12">C36 &amp; IF(D36&lt;&gt;"", "_" &amp; D36, "_") &amp; IF(E36&lt;&gt;"", "_" &amp; E36, "_") &amp; IF(F36&lt;&gt;"", "_" &amp; F36, "")</f>
        <v>HerculanoHouzel_etal_2013</v>
      </c>
      <c r="C36" s="9" t="str">
        <f t="shared" ref="C36" si="13">SUBSTITUTE(SUBSTITUTE(_xlfn.TEXTBEFORE(A36,","), "-", ""), " ", "")</f>
        <v>HerculanoHouzel</v>
      </c>
      <c r="D36" s="9" t="str">
        <f t="shared" ref="D36" si="14">IF(ISNUMBER(FIND("&amp;", A36)),
    IF(LEN(A36)-LEN(SUBSTITUTE(A36, ",", ""))&gt;=3, "etal", MID(A36, SEARCH("&amp; ", A36)+2, SEARCH(",", A36, SEARCH("&amp; ", A36)+2) - SEARCH("&amp; ", A36)-2)),
    ""
)</f>
        <v>etal</v>
      </c>
      <c r="E36" s="9" t="str">
        <f t="shared" ref="E36" si="15">_xlfn.TEXTBEFORE(_xlfn.TEXTAFTER(A36, "("), ")")</f>
        <v>2013</v>
      </c>
      <c r="G36" t="str">
        <f>_xlfn.TEXTAFTER(A36,"https://doi.org/")</f>
        <v>10.3389/fnana.2013.00035</v>
      </c>
      <c r="I36" s="3" t="s">
        <v>217</v>
      </c>
      <c r="J36" s="3" t="str">
        <f t="shared" ref="J36" si="16">TRIM(_xlfn.TEXTJOIN("_",FALSE,B36,(SUBSTITUTE(SUBSTITUTE(I36," ",""), "_", ""))))</f>
        <v>HerculanoHouzel_etal_2013_Table1-a</v>
      </c>
      <c r="K36" s="3" t="str">
        <f t="shared" ref="K36" si="17">IF(ISBLANK(H36),TRIM(SUBSTITUTE(SUBSTITUTE(SUBSTITUTE(_xlfn.TEXTJOIN("_", FALSE, G36, SUBSTITUTE(I36,"_", "")), "/", "%2F"), ":", "%3A"), " ", "")),TRIM(SUBSTITUTE(SUBSTITUTE(SUBSTITUTE(_xlfn.TEXTJOIN("_", FALSE, H36, SUBSTITUTE(I36,"_", "")), "/", "%2F"), ":", "%3A"), " ", "")))</f>
        <v>10.3389%2Ffnana.2013.00035_Table1-a</v>
      </c>
      <c r="N36" t="str" cm="1">
        <f t="array" ref="N36">IFERROR(INDEX([1]FileList!$A$1:$A$43, MATCH(K36, _xlfn.TEXTBEFORE([1]FileList!$A$1:$A$43, ".tsv"), 0)), "notfound")</f>
        <v>10.3389%2Ffnana.2013.00035_Table1-a.tsv</v>
      </c>
      <c r="O36" t="str" cm="1">
        <f t="array" ref="O36">IFERROR(INDEX([1]FileList!$A$1:$A$43, MATCH(_xlfn.TEXTBEFORE(K36, "_"), _xlfn.TEXTBEFORE([1]FileList!$A$1:$A$43, "_"), 0)), "notfound")</f>
        <v>10.3389%2Ffnana.2013.00035_Figure2TopLeft.ReadMe.md</v>
      </c>
      <c r="P36" s="3" t="s">
        <v>46</v>
      </c>
    </row>
    <row r="37" spans="1:31">
      <c r="A37" t="s">
        <v>215</v>
      </c>
      <c r="B37" s="7" t="str">
        <f t="shared" ref="B37" si="18">C37 &amp; IF(D37&lt;&gt;"", "_" &amp; D37, "_") &amp; IF(E37&lt;&gt;"", "_" &amp; E37, "_") &amp; IF(F37&lt;&gt;"", "_" &amp; F37, "")</f>
        <v>HerculanoHouzel_etal_2013</v>
      </c>
      <c r="C37" s="9" t="str">
        <f t="shared" ref="C37" si="19">SUBSTITUTE(SUBSTITUTE(_xlfn.TEXTBEFORE(A37,","), "-", ""), " ", "")</f>
        <v>HerculanoHouzel</v>
      </c>
      <c r="D37" s="9" t="str">
        <f t="shared" ref="D37" si="20">IF(ISNUMBER(FIND("&amp;", A37)),
    IF(LEN(A37)-LEN(SUBSTITUTE(A37, ",", ""))&gt;=3, "etal", MID(A37, SEARCH("&amp; ", A37)+2, SEARCH(",", A37, SEARCH("&amp; ", A37)+2) - SEARCH("&amp; ", A37)-2)),
    ""
)</f>
        <v>etal</v>
      </c>
      <c r="E37" s="9" t="str">
        <f t="shared" ref="E37" si="21">_xlfn.TEXTBEFORE(_xlfn.TEXTAFTER(A37, "("), ")")</f>
        <v>2013</v>
      </c>
      <c r="G37" t="str">
        <f>_xlfn.TEXTAFTER(A37,"https://doi.org/")</f>
        <v>10.3389/fnana.2013.00035</v>
      </c>
      <c r="I37" s="3" t="s">
        <v>218</v>
      </c>
      <c r="J37" s="3" t="str">
        <f t="shared" ref="J37" si="22">TRIM(_xlfn.TEXTJOIN("_",FALSE,B37,(SUBSTITUTE(SUBSTITUTE(I37," ",""), "_", ""))))</f>
        <v>HerculanoHouzel_etal_2013_Table1-b</v>
      </c>
      <c r="K37" s="3" t="str">
        <f t="shared" ref="K37" si="23">IF(ISBLANK(H37),TRIM(SUBSTITUTE(SUBSTITUTE(SUBSTITUTE(_xlfn.TEXTJOIN("_", FALSE, G37, SUBSTITUTE(I37,"_", "")), "/", "%2F"), ":", "%3A"), " ", "")),TRIM(SUBSTITUTE(SUBSTITUTE(SUBSTITUTE(_xlfn.TEXTJOIN("_", FALSE, H37, SUBSTITUTE(I37,"_", "")), "/", "%2F"), ":", "%3A"), " ", "")))</f>
        <v>10.3389%2Ffnana.2013.00035_Table1-b</v>
      </c>
      <c r="N37" t="str" cm="1">
        <f t="array" ref="N37">IFERROR(INDEX([1]FileList!$A$1:$A$43, MATCH(K37, _xlfn.TEXTBEFORE([1]FileList!$A$1:$A$43, ".tsv"), 0)), "notfound")</f>
        <v>10.3389%2Ffnana.2013.00035_Table1-b.tsv</v>
      </c>
      <c r="O37" t="str" cm="1">
        <f t="array" ref="O37">IFERROR(INDEX([1]FileList!$A$1:$A$43, MATCH(_xlfn.TEXTBEFORE(K37, "_"), _xlfn.TEXTBEFORE([1]FileList!$A$1:$A$43, "_"), 0)), "notfound")</f>
        <v>10.3389%2Ffnana.2013.00035_Figure2TopLeft.ReadMe.md</v>
      </c>
      <c r="P37" s="3" t="s">
        <v>46</v>
      </c>
    </row>
    <row r="38" spans="1:31">
      <c r="A38" t="s">
        <v>219</v>
      </c>
      <c r="B38" s="7" t="str">
        <f t="shared" ref="B38" si="24">C38 &amp; IF(D38&lt;&gt;"", "_" &amp; D38, "_") &amp; IF(E38&lt;&gt;"", "_" &amp; E38, "_") &amp; IF(F38&lt;&gt;"", "_" &amp; F38, "")</f>
        <v>Isler_etal_2008</v>
      </c>
      <c r="C38" s="9" t="str">
        <f t="shared" ref="C38" si="25">SUBSTITUTE(SUBSTITUTE(_xlfn.TEXTBEFORE(A38,","), "-", ""), " ", "")</f>
        <v>Isler</v>
      </c>
      <c r="D38" s="9" t="str">
        <f t="shared" ref="D38" si="26">IF(ISNUMBER(FIND("&amp;", A38)),
    IF(LEN(A38)-LEN(SUBSTITUTE(A38, ",", ""))&gt;=3, "etal", MID(A38, SEARCH("&amp; ", A38)+2, SEARCH(",", A38, SEARCH("&amp; ", A38)+2) - SEARCH("&amp; ", A38)-2)),
    ""
)</f>
        <v>etal</v>
      </c>
      <c r="E38" s="9" t="str">
        <f t="shared" ref="E38" si="27">_xlfn.TEXTBEFORE(_xlfn.TEXTAFTER(A38, "("), ")")</f>
        <v>2008</v>
      </c>
      <c r="G38" t="str">
        <f t="shared" ref="G38" si="28">_xlfn.TEXTAFTER(A38,"https://doi.org/")</f>
        <v>10.1016/j.jhevol.2008.08.004</v>
      </c>
      <c r="I38" s="3" t="s">
        <v>138</v>
      </c>
      <c r="J38" s="3" t="str">
        <f t="shared" ref="J38" si="29">TRIM(_xlfn.TEXTJOIN("_",FALSE,B38,(SUBSTITUTE(SUBSTITUTE(I38," ",""), "_", ""))))</f>
        <v>Isler_etal_2008_Table2</v>
      </c>
      <c r="K38" s="3" t="str">
        <f t="shared" ref="K38" si="30">IF(ISBLANK(H38),TRIM(SUBSTITUTE(SUBSTITUTE(SUBSTITUTE(_xlfn.TEXTJOIN("_", FALSE, G38, SUBSTITUTE(I38,"_", "")), "/", "%2F"), ":", "%3A"), " ", "")),TRIM(SUBSTITUTE(SUBSTITUTE(SUBSTITUTE(_xlfn.TEXTJOIN("_", FALSE, H38, SUBSTITUTE(I38,"_", "")), "/", "%2F"), ":", "%3A"), " ", "")))</f>
        <v>10.1016%2Fj.jhevol.2008.08.004_Table2</v>
      </c>
      <c r="N38" t="str" cm="1">
        <f t="array" ref="N38">IFERROR(INDEX([1]FileList!$A$1:$A$43, MATCH(K38, _xlfn.TEXTBEFORE([1]FileList!$A$1:$A$43, ".tsv"), 0)), "notfound")</f>
        <v>10.1016%2Fj.jhevol.2008.08.004_Table2.tsv</v>
      </c>
      <c r="O38" t="str" cm="1">
        <f t="array" ref="O38">IFERROR(INDEX([1]FileList!$A$1:$A$43, MATCH(_xlfn.TEXTBEFORE(K38, "_"), _xlfn.TEXTBEFORE([1]FileList!$A$1:$A$43, "_"), 0)), "notfound")</f>
        <v>10.1016%2Fj.jhevol.2008.08.004_Table2.tsv</v>
      </c>
      <c r="P38" s="3" t="s">
        <v>46</v>
      </c>
    </row>
    <row r="39" spans="1:31">
      <c r="A39" t="s">
        <v>219</v>
      </c>
      <c r="B39" s="7" t="str">
        <f t="shared" si="6"/>
        <v>Isler_etal_2008</v>
      </c>
      <c r="C39" s="9" t="str">
        <f t="shared" si="7"/>
        <v>Isler</v>
      </c>
      <c r="D39" s="9" t="str">
        <f t="shared" si="8"/>
        <v>etal</v>
      </c>
      <c r="E39" s="9" t="str">
        <f t="shared" si="9"/>
        <v>2008</v>
      </c>
      <c r="G39" t="str">
        <f>_xlfn.TEXTAFTER(A39,"https://doi.org/")</f>
        <v>10.1016/j.jhevol.2008.08.004</v>
      </c>
      <c r="I39" s="3" t="s">
        <v>220</v>
      </c>
      <c r="J39" s="3" t="str">
        <f t="shared" si="5"/>
        <v>Isler_etal_2008_Table7</v>
      </c>
      <c r="K39" s="3" t="str">
        <f t="shared" si="10"/>
        <v>10.1016%2Fj.jhevol.2008.08.004_Table7</v>
      </c>
      <c r="N39" t="str" cm="1">
        <f t="array" ref="N39">IFERROR(INDEX([1]FileList!$A$1:$A$43, MATCH(K39, _xlfn.TEXTBEFORE([1]FileList!$A$1:$A$43, ".tsv"), 0)), "notfound")</f>
        <v>10.1016%2Fj.jhevol.2008.08.004_Table7.tsv</v>
      </c>
      <c r="O39" t="str" cm="1">
        <f t="array" ref="O39">IFERROR(INDEX([1]FileList!$A$1:$A$43, MATCH(_xlfn.TEXTBEFORE(K39, "_"), _xlfn.TEXTBEFORE([1]FileList!$A$1:$A$43, "_"), 0)), "notfound")</f>
        <v>10.1016%2Fj.jhevol.2008.08.004_Table2.tsv</v>
      </c>
      <c r="P39" s="3" t="s">
        <v>46</v>
      </c>
    </row>
    <row r="40" spans="1:31">
      <c r="A40" t="s">
        <v>219</v>
      </c>
      <c r="B40" s="7" t="str">
        <f t="shared" si="6"/>
        <v>Isler_etal_2008</v>
      </c>
      <c r="C40" s="9" t="str">
        <f t="shared" si="7"/>
        <v>Isler</v>
      </c>
      <c r="D40" s="9" t="str">
        <f t="shared" si="8"/>
        <v>etal</v>
      </c>
      <c r="E40" s="9" t="str">
        <f t="shared" si="9"/>
        <v>2008</v>
      </c>
      <c r="G40" t="str">
        <f>_xlfn.TEXTAFTER(A40,"https://doi.org/")</f>
        <v>10.1016/j.jhevol.2008.08.004</v>
      </c>
      <c r="I40" s="3" t="s">
        <v>94</v>
      </c>
      <c r="J40" s="3" t="str">
        <f t="shared" si="5"/>
        <v>Isler_etal_2008_TableS1</v>
      </c>
      <c r="K40" s="3" t="str">
        <f t="shared" si="10"/>
        <v>10.1016%2Fj.jhevol.2008.08.004_TableS1</v>
      </c>
      <c r="N40" t="str" cm="1">
        <f t="array" ref="N40">IFERROR(INDEX([1]FileList!$A$1:$A$43, MATCH(K40, _xlfn.TEXTBEFORE([1]FileList!$A$1:$A$43, ".tsv"), 0)), "notfound")</f>
        <v>10.1016%2Fj.jhevol.2008.08.004_TableS1.tsv</v>
      </c>
      <c r="O40" t="str" cm="1">
        <f t="array" ref="O40">IFERROR(INDEX([1]FileList!$A$1:$A$43, MATCH(_xlfn.TEXTBEFORE(K40, "_"), _xlfn.TEXTBEFORE([1]FileList!$A$1:$A$43, "_"), 0)), "notfound")</f>
        <v>10.1016%2Fj.jhevol.2008.08.004_Table2.tsv</v>
      </c>
      <c r="P40" s="3" t="s">
        <v>46</v>
      </c>
    </row>
    <row r="41" spans="1:31">
      <c r="A41" t="s">
        <v>219</v>
      </c>
      <c r="B41" s="7" t="str">
        <f t="shared" ref="B41" si="31">C41 &amp; IF(D41&lt;&gt;"", "_" &amp; D41, "_") &amp; IF(E41&lt;&gt;"", "_" &amp; E41, "_") &amp; IF(F41&lt;&gt;"", "_" &amp; F41, "")</f>
        <v>Isler_etal_2008</v>
      </c>
      <c r="C41" s="9" t="str">
        <f t="shared" ref="C41" si="32">SUBSTITUTE(SUBSTITUTE(_xlfn.TEXTBEFORE(A41,","), "-", ""), " ", "")</f>
        <v>Isler</v>
      </c>
      <c r="D41" s="9" t="str">
        <f t="shared" ref="D41" si="33">IF(ISNUMBER(FIND("&amp;", A41)),
    IF(LEN(A41)-LEN(SUBSTITUTE(A41, ",", ""))&gt;=3, "etal", MID(A41, SEARCH("&amp; ", A41)+2, SEARCH(",", A41, SEARCH("&amp; ", A41)+2) - SEARCH("&amp; ", A41)-2)),
    ""
)</f>
        <v>etal</v>
      </c>
      <c r="E41" s="9" t="str">
        <f t="shared" ref="E41" si="34">_xlfn.TEXTBEFORE(_xlfn.TEXTAFTER(A41, "("), ")")</f>
        <v>2008</v>
      </c>
      <c r="G41" t="str">
        <f t="shared" ref="G41" si="35">_xlfn.TEXTAFTER(A41,"https://doi.org/")</f>
        <v>10.1016/j.jhevol.2008.08.004</v>
      </c>
      <c r="I41" s="3" t="s">
        <v>221</v>
      </c>
      <c r="J41" s="3" t="str">
        <f t="shared" ref="J41" si="36">TRIM(_xlfn.TEXTJOIN("_",FALSE,B41,(SUBSTITUTE(SUBSTITUTE(I41," ",""), "_", ""))))</f>
        <v>Isler_etal_2008_TableS2</v>
      </c>
      <c r="K41" s="3" t="str">
        <f t="shared" ref="K41" si="37">IF(ISBLANK(H41),TRIM(SUBSTITUTE(SUBSTITUTE(SUBSTITUTE(_xlfn.TEXTJOIN("_", FALSE, G41, SUBSTITUTE(I41,"_", "")), "/", "%2F"), ":", "%3A"), " ", "")),TRIM(SUBSTITUTE(SUBSTITUTE(SUBSTITUTE(_xlfn.TEXTJOIN("_", FALSE, H41, SUBSTITUTE(I41,"_", "")), "/", "%2F"), ":", "%3A"), " ", "")))</f>
        <v>10.1016%2Fj.jhevol.2008.08.004_TableS2</v>
      </c>
      <c r="N41" t="str" cm="1">
        <f t="array" ref="N41">IFERROR(INDEX([1]FileList!$A$1:$A$43, MATCH(K41, _xlfn.TEXTBEFORE([1]FileList!$A$1:$A$43, ".tsv"), 0)), "notfound")</f>
        <v>10.1016%2Fj.jhevol.2008.08.004_TableS2.tsv</v>
      </c>
      <c r="O41" t="str" cm="1">
        <f t="array" ref="O41">IFERROR(INDEX([1]FileList!$A$1:$A$43, MATCH(_xlfn.TEXTBEFORE(K41, "_"), _xlfn.TEXTBEFORE([1]FileList!$A$1:$A$43, "_"), 0)), "notfound")</f>
        <v>10.1016%2Fj.jhevol.2008.08.004_Table2.tsv</v>
      </c>
      <c r="P41" s="3" t="s">
        <v>46</v>
      </c>
    </row>
    <row r="42" spans="1:31">
      <c r="A42" t="s">
        <v>219</v>
      </c>
      <c r="B42" s="7" t="str">
        <f t="shared" ref="B42" si="38">C42 &amp; IF(D42&lt;&gt;"", "_" &amp; D42, "_") &amp; IF(E42&lt;&gt;"", "_" &amp; E42, "_") &amp; IF(F42&lt;&gt;"", "_" &amp; F42, "")</f>
        <v>Isler_etal_2008</v>
      </c>
      <c r="C42" s="9" t="str">
        <f t="shared" ref="C42" si="39">SUBSTITUTE(SUBSTITUTE(_xlfn.TEXTBEFORE(A42,","), "-", ""), " ", "")</f>
        <v>Isler</v>
      </c>
      <c r="D42" s="9" t="str">
        <f t="shared" ref="D42" si="40">IF(ISNUMBER(FIND("&amp;", A42)),
    IF(LEN(A42)-LEN(SUBSTITUTE(A42, ",", ""))&gt;=3, "etal", MID(A42, SEARCH("&amp; ", A42)+2, SEARCH(",", A42, SEARCH("&amp; ", A42)+2) - SEARCH("&amp; ", A42)-2)),
    ""
)</f>
        <v>etal</v>
      </c>
      <c r="E42" s="9" t="str">
        <f t="shared" ref="E42" si="41">_xlfn.TEXTBEFORE(_xlfn.TEXTAFTER(A42, "("), ")")</f>
        <v>2008</v>
      </c>
      <c r="G42" t="str">
        <f t="shared" ref="G42" si="42">_xlfn.TEXTAFTER(A42,"https://doi.org/")</f>
        <v>10.1016/j.jhevol.2008.08.004</v>
      </c>
      <c r="I42" s="3" t="s">
        <v>222</v>
      </c>
      <c r="J42" s="3" t="str">
        <f t="shared" ref="J42" si="43">TRIM(_xlfn.TEXTJOIN("_",FALSE,B42,(SUBSTITUTE(SUBSTITUTE(I42," ",""), "_", ""))))</f>
        <v>Isler_etal_2008_TableS3</v>
      </c>
      <c r="K42" s="3" t="str">
        <f t="shared" ref="K42" si="44">IF(ISBLANK(H42),TRIM(SUBSTITUTE(SUBSTITUTE(SUBSTITUTE(_xlfn.TEXTJOIN("_", FALSE, G42, SUBSTITUTE(I42,"_", "")), "/", "%2F"), ":", "%3A"), " ", "")),TRIM(SUBSTITUTE(SUBSTITUTE(SUBSTITUTE(_xlfn.TEXTJOIN("_", FALSE, H42, SUBSTITUTE(I42,"_", "")), "/", "%2F"), ":", "%3A"), " ", "")))</f>
        <v>10.1016%2Fj.jhevol.2008.08.004_TableS3</v>
      </c>
      <c r="N42" t="str" cm="1">
        <f t="array" ref="N42">IFERROR(INDEX([1]FileList!$A$1:$A$43, MATCH(K42, _xlfn.TEXTBEFORE([1]FileList!$A$1:$A$43, ".tsv"), 0)), "notfound")</f>
        <v>10.1016%2Fj.jhevol.2008.08.004_TableS3.tsv</v>
      </c>
      <c r="O42" t="str" cm="1">
        <f t="array" ref="O42">IFERROR(INDEX([1]FileList!$A$1:$A$43, MATCH(_xlfn.TEXTBEFORE(K42, "_"), _xlfn.TEXTBEFORE([1]FileList!$A$1:$A$43, "_"), 0)), "notfound")</f>
        <v>10.1016%2Fj.jhevol.2008.08.004_Table2.tsv</v>
      </c>
      <c r="P42" s="3" t="s">
        <v>46</v>
      </c>
    </row>
    <row r="43" spans="1:31" s="17" customFormat="1">
      <c r="A43" s="17" t="s">
        <v>219</v>
      </c>
      <c r="B43" s="18" t="str">
        <f t="shared" ref="B43" si="45">C43 &amp; IF(D43&lt;&gt;"", "_" &amp; D43, "_") &amp; IF(E43&lt;&gt;"", "_" &amp; E43, "_") &amp; IF(F43&lt;&gt;"", "_" &amp; F43, "")</f>
        <v>Isler_etal_2008</v>
      </c>
      <c r="C43" s="19" t="str">
        <f t="shared" ref="C43" si="46">SUBSTITUTE(SUBSTITUTE(_xlfn.TEXTBEFORE(A43,","), "-", ""), " ", "")</f>
        <v>Isler</v>
      </c>
      <c r="D43" s="19" t="str">
        <f t="shared" ref="D43" si="47">IF(ISNUMBER(FIND("&amp;", A43)),
    IF(LEN(A43)-LEN(SUBSTITUTE(A43, ",", ""))&gt;=3, "etal", MID(A43, SEARCH("&amp; ", A43)+2, SEARCH(",", A43, SEARCH("&amp; ", A43)+2) - SEARCH("&amp; ", A43)-2)),
    ""
)</f>
        <v>etal</v>
      </c>
      <c r="E43" s="19" t="str">
        <f t="shared" ref="E43" si="48">_xlfn.TEXTBEFORE(_xlfn.TEXTAFTER(A43, "("), ")")</f>
        <v>2008</v>
      </c>
      <c r="F43" s="19"/>
      <c r="G43" s="17" t="str">
        <f t="shared" ref="G43" si="49">_xlfn.TEXTAFTER(A43,"https://doi.org/")</f>
        <v>10.1016/j.jhevol.2008.08.004</v>
      </c>
      <c r="I43" s="20" t="s">
        <v>223</v>
      </c>
      <c r="J43" s="20" t="str">
        <f t="shared" ref="J43" si="50">TRIM(_xlfn.TEXTJOIN("_",FALSE,B43,(SUBSTITUTE(SUBSTITUTE(I43," ",""), "_", ""))))</f>
        <v>Isler_etal_2008_Tree.nex</v>
      </c>
      <c r="K43" s="21" t="str">
        <f t="shared" ref="K43" si="51">IF(ISBLANK(H43),TRIM(SUBSTITUTE(SUBSTITUTE(SUBSTITUTE(_xlfn.TEXTJOIN("_", FALSE, G43, SUBSTITUTE(I43,"_", "")), "/", "%2F"), ":", "%3A"), " ", "")),TRIM(SUBSTITUTE(SUBSTITUTE(SUBSTITUTE(_xlfn.TEXTJOIN("_", FALSE, H43, SUBSTITUTE(I43,"_", "")), "/", "%2F"), ":", "%3A"), " ", "")))</f>
        <v>10.1016%2Fj.jhevol.2008.08.004_Tree.nex</v>
      </c>
      <c r="N43" s="17" t="str" cm="1">
        <f t="array" ref="N43">IFERROR(INDEX([1]FileList!$A$1:$A$43, MATCH(K43, _xlfn.TEXTBEFORE([1]FileList!$A$1:$A$43, ".tsv"), 0)), "notfound")</f>
        <v>notfound</v>
      </c>
      <c r="O43" s="17" t="str" cm="1">
        <f t="array" ref="O43">IFERROR(INDEX([1]FileList!$A$1:$A$43, MATCH(_xlfn.TEXTBEFORE(K43, "_"), _xlfn.TEXTBEFORE([1]FileList!$A$1:$A$43, "_"), 0)), "notfound")</f>
        <v>10.1016%2Fj.jhevol.2008.08.004_Table2.tsv</v>
      </c>
      <c r="P43" s="20" t="s">
        <v>46</v>
      </c>
    </row>
    <row r="44" spans="1:31">
      <c r="A44" t="s">
        <v>224</v>
      </c>
      <c r="B44" s="7" t="str">
        <f t="shared" si="6"/>
        <v>Lewitus_etal_2014</v>
      </c>
      <c r="C44" s="9" t="str">
        <f t="shared" si="7"/>
        <v>Lewitus</v>
      </c>
      <c r="D44" s="9" t="str">
        <f t="shared" si="8"/>
        <v>etal</v>
      </c>
      <c r="E44" s="9" t="str">
        <f t="shared" si="9"/>
        <v>2014</v>
      </c>
      <c r="G44" t="str">
        <f>_xlfn.TEXTAFTER(A44,"https://doi.org/")</f>
        <v>10.1371/journal.pbio.1002000</v>
      </c>
      <c r="I44" s="3" t="s">
        <v>94</v>
      </c>
      <c r="J44" s="3" t="str">
        <f t="shared" si="5"/>
        <v>Lewitus_etal_2014_TableS1</v>
      </c>
      <c r="K44" s="3" t="str">
        <f t="shared" si="10"/>
        <v>10.1371%2Fjournal.pbio.1002000_TableS1</v>
      </c>
      <c r="N44" t="str" cm="1">
        <f t="array" ref="N44">IFERROR(INDEX([1]FileList!$A$1:$A$43, MATCH(K44, _xlfn.TEXTBEFORE([1]FileList!$A$1:$A$43, ".tsv"), 0)), "notfound")</f>
        <v>10.1371%2Fjournal.pbio.1002000_TableS1.tsv</v>
      </c>
      <c r="O44" t="str" cm="1">
        <f t="array" ref="O44">IFERROR(INDEX([1]FileList!$A$1:$A$43, MATCH(_xlfn.TEXTBEFORE(K44, "_"), _xlfn.TEXTBEFORE([1]FileList!$A$1:$A$43, "_"), 0)), "notfound")</f>
        <v>10.1371%2Fjournal.pbio.1002000_TableS1.tsv</v>
      </c>
      <c r="P44" s="3" t="s">
        <v>46</v>
      </c>
    </row>
    <row r="45" spans="1:31">
      <c r="A45" t="s">
        <v>224</v>
      </c>
      <c r="B45" s="7" t="str">
        <f t="shared" ref="B45" si="52">C45 &amp; IF(D45&lt;&gt;"", "_" &amp; D45, "_") &amp; IF(E45&lt;&gt;"", "_" &amp; E45, "_") &amp; IF(F45&lt;&gt;"", "_" &amp; F45, "")</f>
        <v>Lewitus_etal_2014</v>
      </c>
      <c r="C45" s="9" t="str">
        <f t="shared" ref="C45" si="53">SUBSTITUTE(SUBSTITUTE(_xlfn.TEXTBEFORE(A45,","), "-", ""), " ", "")</f>
        <v>Lewitus</v>
      </c>
      <c r="D45" s="9" t="str">
        <f t="shared" ref="D45" si="54">IF(ISNUMBER(FIND("&amp;", A45)),
    IF(LEN(A45)-LEN(SUBSTITUTE(A45, ",", ""))&gt;=3, "etal", MID(A45, SEARCH("&amp; ", A45)+2, SEARCH(",", A45, SEARCH("&amp; ", A45)+2) - SEARCH("&amp; ", A45)-2)),
    ""
)</f>
        <v>etal</v>
      </c>
      <c r="E45" s="9" t="str">
        <f t="shared" ref="E45" si="55">_xlfn.TEXTBEFORE(_xlfn.TEXTAFTER(A45, "("), ")")</f>
        <v>2014</v>
      </c>
      <c r="G45" t="str">
        <f>_xlfn.TEXTAFTER(A45,"https://doi.org/")</f>
        <v>10.1371/journal.pbio.1002000</v>
      </c>
      <c r="I45" s="3" t="s">
        <v>225</v>
      </c>
      <c r="J45" s="3" t="str">
        <f t="shared" ref="J45" si="56">TRIM(_xlfn.TEXTJOIN("_",FALSE,B45,(SUBSTITUTE(SUBSTITUTE(I45," ",""), "_", ""))))</f>
        <v>Lewitus_etal_2014_TableS8</v>
      </c>
      <c r="K45" s="3" t="str">
        <f t="shared" ref="K45" si="57">IF(ISBLANK(H45),TRIM(SUBSTITUTE(SUBSTITUTE(SUBSTITUTE(_xlfn.TEXTJOIN("_", FALSE, G45, SUBSTITUTE(I45,"_", "")), "/", "%2F"), ":", "%3A"), " ", "")),TRIM(SUBSTITUTE(SUBSTITUTE(SUBSTITUTE(_xlfn.TEXTJOIN("_", FALSE, H45, SUBSTITUTE(I45,"_", "")), "/", "%2F"), ":", "%3A"), " ", "")))</f>
        <v>10.1371%2Fjournal.pbio.1002000_TableS8</v>
      </c>
      <c r="N45" t="str" cm="1">
        <f t="array" ref="N45">IFERROR(INDEX([1]FileList!$A$1:$A$43, MATCH(K45, _xlfn.TEXTBEFORE([1]FileList!$A$1:$A$43, ".tsv"), 0)), "notfound")</f>
        <v>10.1371%2Fjournal.pbio.1002000_TableS8.tsv</v>
      </c>
      <c r="O45" t="str" cm="1">
        <f t="array" ref="O45">IFERROR(INDEX([1]FileList!$A$1:$A$43, MATCH(_xlfn.TEXTBEFORE(K45, "_"), _xlfn.TEXTBEFORE([1]FileList!$A$1:$A$43, "_"), 0)), "notfound")</f>
        <v>10.1371%2Fjournal.pbio.1002000_TableS1.tsv</v>
      </c>
      <c r="P45" s="3" t="s">
        <v>46</v>
      </c>
      <c r="X45" t="s">
        <v>226</v>
      </c>
    </row>
    <row r="46" spans="1:31" s="17" customFormat="1">
      <c r="A46" s="17" t="s">
        <v>227</v>
      </c>
      <c r="B46" s="18" t="str">
        <f t="shared" ref="B46" si="58">C46 &amp; IF(D46&lt;&gt;"", "_" &amp; D46, "_") &amp; IF(E46&lt;&gt;"", "_" &amp; E46, "_") &amp; IF(F46&lt;&gt;"", "_" &amp; F46, "")</f>
        <v>Lewitus_etal_2013</v>
      </c>
      <c r="C46" s="19" t="str">
        <f t="shared" ref="C46" si="59">SUBSTITUTE(SUBSTITUTE(_xlfn.TEXTBEFORE(A46,","), "-", ""), " ", "")</f>
        <v>Lewitus</v>
      </c>
      <c r="D46" s="19" t="str">
        <f t="shared" ref="D46" si="60">IF(ISNUMBER(FIND("&amp;", A46)),
    IF(LEN(A46)-LEN(SUBSTITUTE(A46, ",", ""))&gt;=3, "etal", MID(A46, SEARCH("&amp; ", A46)+2, SEARCH(",", A46, SEARCH("&amp; ", A46)+2) - SEARCH("&amp; ", A46)-2)),
    ""
)</f>
        <v>etal</v>
      </c>
      <c r="E46" s="19" t="str">
        <f t="shared" ref="E46" si="61">_xlfn.TEXTBEFORE(_xlfn.TEXTAFTER(A46, "("), ")")</f>
        <v>2013</v>
      </c>
      <c r="F46" s="19"/>
      <c r="G46" s="17" t="str">
        <f>_xlfn.TEXTAFTER(A46,"https://doi.org/")</f>
        <v>10.3389/fnhum.2013.00424</v>
      </c>
      <c r="I46" s="20" t="s">
        <v>228</v>
      </c>
      <c r="J46" s="20" t="str">
        <f t="shared" ref="J46" si="62">TRIM(_xlfn.TEXTJOIN("_",FALSE,B46,(SUBSTITUTE(SUBSTITUTE(I46," ",""), "_", ""))))</f>
        <v>Lewitus_etal_2013_TableS2partial</v>
      </c>
      <c r="K46" s="21" t="str">
        <f>IF(ISBLANK(H46),TRIM(SUBSTITUTE(SUBSTITUTE(SUBSTITUTE(_xlfn.TEXTJOIN("_", FALSE, G46, SUBSTITUTE(I46,"_", "")), "/", "%2F"), ":", "%3A"), " ", "")),TRIM(SUBSTITUTE(SUBSTITUTE(SUBSTITUTE(_xlfn.TEXTJOIN("_", FALSE, H46, SUBSTITUTE(I46,"_", "")), "/", "%2F"), ":", "%3A"), " ", "")))</f>
        <v>10.3389%2Ffnhum.2013.00424_TableS2partial</v>
      </c>
      <c r="N46" s="17" t="str" cm="1">
        <f t="array" ref="N46">IFERROR(INDEX([1]FileList!$A$1:$A$43, MATCH(K46, _xlfn.TEXTBEFORE([1]FileList!$A$1:$A$43, ".tsv"), 0)), "notfound")</f>
        <v>notfound</v>
      </c>
      <c r="O46" s="17" t="str" cm="1">
        <f t="array" ref="O46">IFERROR(INDEX([1]FileList!$A$1:$A$43, MATCH(_xlfn.TEXTBEFORE(K46, "_"), _xlfn.TEXTBEFORE([1]FileList!$A$1:$A$43, "_"), 0)), "notfound")</f>
        <v>notfound</v>
      </c>
      <c r="P46" s="20" t="s">
        <v>46</v>
      </c>
    </row>
    <row r="47" spans="1:31" s="24" customFormat="1" ht="15.75" customHeight="1">
      <c r="A47" s="24" t="s">
        <v>229</v>
      </c>
      <c r="B47" s="22" t="str">
        <f t="shared" ref="B47" si="63">C47 &amp; IF(D47&lt;&gt;"", "_" &amp; D47, "_") &amp; IF(E47&lt;&gt;"", "_" &amp; E47, "_") &amp; IF(F47&lt;&gt;"", "_" &amp; F47, "")</f>
        <v>Smaers_etal_2011</v>
      </c>
      <c r="C47" s="25" t="str">
        <f t="shared" ref="C47" si="64">SUBSTITUTE(SUBSTITUTE(_xlfn.TEXTBEFORE(A47,","), "-", ""), " ", "")</f>
        <v>Smaers</v>
      </c>
      <c r="D47" s="25" t="str">
        <f t="shared" ref="D47" si="65">IF(ISNUMBER(FIND("&amp;", A47)),
    IF(LEN(A47)-LEN(SUBSTITUTE(A47, ",", ""))&gt;=3, "etal", MID(A47, SEARCH("&amp; ", A47)+2, SEARCH(",", A47, SEARCH("&amp; ", A47)+2) - SEARCH("&amp; ", A47)-2)),
    ""
)</f>
        <v>etal</v>
      </c>
      <c r="E47" s="25" t="str">
        <f t="shared" ref="E47" si="66">_xlfn.TEXTBEFORE(_xlfn.TEXTAFTER(A47, "("), ")")</f>
        <v>2011</v>
      </c>
      <c r="F47" s="25"/>
      <c r="G47" s="24" t="s">
        <v>230</v>
      </c>
      <c r="I47" s="24" t="s">
        <v>231</v>
      </c>
      <c r="J47" s="23" t="str">
        <f t="shared" ref="J47" si="67">TRIM(_xlfn.TEXTJOIN("_",FALSE,B47,(SUBSTITUTE(SUBSTITUTE(I47," ",""), "_", ""))))</f>
        <v>Smaers_etal_2011_SupplementaryTable1</v>
      </c>
      <c r="K47" s="23" t="str">
        <f>IF(ISBLANK(H47),TRIM(SUBSTITUTE(SUBSTITUTE(SUBSTITUTE(_xlfn.TEXTJOIN("_", FALSE, G47, SUBSTITUTE(I47,"_", "")), "/", "%2F"), ":", "%3A"), " ", "")),TRIM(SUBSTITUTE(SUBSTITUTE(SUBSTITUTE(_xlfn.TEXTJOIN("_", FALSE, H47, SUBSTITUTE(I47,"_", "")), "/", "%2F"), ":", "%3A"), " ", "")))</f>
        <v>10.1159%2F000323671_SupplementaryTable1</v>
      </c>
      <c r="N47" s="24" t="str" cm="1">
        <f t="array" ref="N47">IFERROR(INDEX([1]FileList!$A$1:$A$43, MATCH(K47, _xlfn.TEXTBEFORE([1]FileList!$A$1:$A$43, ".tsv"), 0)), "notfound")</f>
        <v>10.1159%2F000323671_SupplementaryTable1.tsv</v>
      </c>
      <c r="O47" s="24" t="str" cm="1">
        <f t="array" ref="O47">IFERROR(INDEX([1]FileList!$A$1:$A$43, MATCH(_xlfn.TEXTBEFORE(K47, "_"), _xlfn.TEXTBEFORE([1]FileList!$A$1:$A$43, "_"), 0)), "notfound")</f>
        <v>10.1159%2F000323671_SupplementaryTable1.tsv</v>
      </c>
      <c r="P47" s="23" t="s">
        <v>46</v>
      </c>
    </row>
    <row r="48" spans="1:31" s="24" customFormat="1" ht="15.75" customHeight="1">
      <c r="A48" s="24" t="s">
        <v>229</v>
      </c>
      <c r="B48" s="22" t="str">
        <f t="shared" ref="B48" si="68">C48 &amp; IF(D48&lt;&gt;"", "_" &amp; D48, "_") &amp; IF(E48&lt;&gt;"", "_" &amp; E48, "_") &amp; IF(F48&lt;&gt;"", "_" &amp; F48, "")</f>
        <v>Smaers_etal_2011</v>
      </c>
      <c r="C48" s="25" t="str">
        <f t="shared" ref="C48" si="69">SUBSTITUTE(SUBSTITUTE(_xlfn.TEXTBEFORE(A48,","), "-", ""), " ", "")</f>
        <v>Smaers</v>
      </c>
      <c r="D48" s="25" t="str">
        <f t="shared" ref="D48" si="70">IF(ISNUMBER(FIND("&amp;", A48)),
    IF(LEN(A48)-LEN(SUBSTITUTE(A48, ",", ""))&gt;=3, "etal", MID(A48, SEARCH("&amp; ", A48)+2, SEARCH(",", A48, SEARCH("&amp; ", A48)+2) - SEARCH("&amp; ", A48)-2)),
    ""
)</f>
        <v>etal</v>
      </c>
      <c r="E48" s="25" t="str">
        <f t="shared" ref="E48" si="71">_xlfn.TEXTBEFORE(_xlfn.TEXTAFTER(A48, "("), ")")</f>
        <v>2011</v>
      </c>
      <c r="F48" s="25"/>
      <c r="G48" s="24" t="s">
        <v>230</v>
      </c>
      <c r="I48" s="24" t="s">
        <v>232</v>
      </c>
      <c r="J48" s="23" t="str">
        <f t="shared" ref="J48" si="72">TRIM(_xlfn.TEXTJOIN("_",FALSE,B48,(SUBSTITUTE(SUBSTITUTE(I48," ",""), "_", ""))))</f>
        <v>Smaers_etal_2011_SupplementaryTable2</v>
      </c>
      <c r="K48" s="23" t="str">
        <f>IF(ISBLANK(H48),TRIM(SUBSTITUTE(SUBSTITUTE(SUBSTITUTE(_xlfn.TEXTJOIN("_", FALSE, G48, SUBSTITUTE(I48,"_", "")), "/", "%2F"), ":", "%3A"), " ", "")),TRIM(SUBSTITUTE(SUBSTITUTE(SUBSTITUTE(_xlfn.TEXTJOIN("_", FALSE, H48, SUBSTITUTE(I48,"_", "")), "/", "%2F"), ":", "%3A"), " ", "")))</f>
        <v>10.1159%2F000323671_SupplementaryTable2</v>
      </c>
      <c r="N48" s="24" t="str" cm="1">
        <f t="array" ref="N48">IFERROR(INDEX([1]FileList!$A$1:$A$43, MATCH(K48, _xlfn.TEXTBEFORE([1]FileList!$A$1:$A$43, ".tsv"), 0)), "notfound")</f>
        <v>10.1159%2F000323671_SupplementaryTable2.tsv</v>
      </c>
      <c r="O48" s="24" t="str" cm="1">
        <f t="array" ref="O48">IFERROR(INDEX([1]FileList!$A$1:$A$43, MATCH(_xlfn.TEXTBEFORE(K48, "_"), _xlfn.TEXTBEFORE([1]FileList!$A$1:$A$43, "_"), 0)), "notfound")</f>
        <v>10.1159%2F000323671_SupplementaryTable1.tsv</v>
      </c>
      <c r="P48" s="23" t="s">
        <v>46</v>
      </c>
    </row>
  </sheetData>
  <phoneticPr fontId="4" type="noConversion"/>
  <hyperlinks>
    <hyperlink ref="W4" r:id="rId1" display="https://elifesciences.org/download/aHR0cHM6Ly9jZG4uZWxpZmVzY2llbmNlcy5vcmcvYXJ0aWNsZXMvNzc4NzUvZWxpZmUtNzc4NzUtdjEucGRmP2Nhbm9uaWNhbFVyaT1odHRwczovL2VsaWZlc2NpZW5jZXMub3JnL2FydGljbGVzLzc3ODc1/elife-77875-v1.pdf?_hash=NStjcL9fTlmy3AQDwSiM0YgMVB3UYjO8nDg0UbwN5gM%3D" xr:uid="{E0793C32-CFF3-BA46-91D5-CE57A5CB5249}"/>
    <hyperlink ref="W5" r:id="rId2" xr:uid="{0C8D4DAC-C617-2547-BF75-D17B07FAB104}"/>
    <hyperlink ref="W7" r:id="rId3" xr:uid="{5C533C8B-7E31-6247-B07A-DA36A2ECB804}"/>
    <hyperlink ref="W8" r:id="rId4" xr:uid="{C7A27B14-F289-2345-8125-B9AE06601A7B}"/>
    <hyperlink ref="W10" r:id="rId5" xr:uid="{BC8CFBF1-94B9-B04B-B168-9B969B0A4C7D}"/>
    <hyperlink ref="W28" r:id="rId6" xr:uid="{C4869E3C-B5B1-6647-A144-091B1A64A38B}"/>
    <hyperlink ref="W29" r:id="rId7" xr:uid="{808C07EB-0E2A-B640-A28C-8E310E5A987B}"/>
    <hyperlink ref="W14" r:id="rId8" xr:uid="{9534F0D1-7C63-EC4F-921C-5D21474866A4}"/>
    <hyperlink ref="W15:W18" r:id="rId9" display="https://karger.com/bbe/article-pdf/86/3-4/145/2264694/000437413.pdf" xr:uid="{0070BD27-D760-3846-9F0D-91BB5EDD333F}"/>
    <hyperlink ref="W27" r:id="rId10" xr:uid="{FD223821-8B74-3345-B8A9-FA7536E78F2E}"/>
    <hyperlink ref="W26" r:id="rId11" xr:uid="{8FF3DE15-909D-F043-B90F-3D2A3402F9DE}"/>
    <hyperlink ref="W25" r:id="rId12" xr:uid="{236492C9-FC3A-614B-84DC-0D56063EE7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489E-9770-1041-AA5F-EEF758A56CB8}">
  <sheetPr codeName="Sheet2"/>
  <dimension ref="A1:B13"/>
  <sheetViews>
    <sheetView workbookViewId="0">
      <selection activeCell="P15" sqref="P15"/>
    </sheetView>
  </sheetViews>
  <sheetFormatPr defaultColWidth="11" defaultRowHeight="15.95"/>
  <cols>
    <col min="1" max="1" width="26.125" customWidth="1"/>
  </cols>
  <sheetData>
    <row r="1" spans="1:2">
      <c r="A1" t="s">
        <v>233</v>
      </c>
    </row>
    <row r="2" spans="1:2">
      <c r="A2" t="s">
        <v>234</v>
      </c>
    </row>
    <row r="3" spans="1:2">
      <c r="A3" s="1" t="s">
        <v>235</v>
      </c>
      <c r="B3" t="s">
        <v>236</v>
      </c>
    </row>
    <row r="4" spans="1:2">
      <c r="A4" s="1" t="s">
        <v>237</v>
      </c>
      <c r="B4" t="s">
        <v>238</v>
      </c>
    </row>
    <row r="5" spans="1:2">
      <c r="A5" s="1" t="s">
        <v>239</v>
      </c>
      <c r="B5" t="s">
        <v>240</v>
      </c>
    </row>
    <row r="6" spans="1:2">
      <c r="A6" s="1" t="s">
        <v>241</v>
      </c>
      <c r="B6" t="s">
        <v>242</v>
      </c>
    </row>
    <row r="7" spans="1:2">
      <c r="A7" s="1" t="s">
        <v>243</v>
      </c>
      <c r="B7" t="s">
        <v>244</v>
      </c>
    </row>
    <row r="8" spans="1:2">
      <c r="A8" s="1" t="s">
        <v>245</v>
      </c>
      <c r="B8" t="s">
        <v>246</v>
      </c>
    </row>
    <row r="9" spans="1:2">
      <c r="A9" s="1" t="s">
        <v>247</v>
      </c>
      <c r="B9" t="s">
        <v>248</v>
      </c>
    </row>
    <row r="10" spans="1:2">
      <c r="A10" s="1" t="s">
        <v>249</v>
      </c>
      <c r="B10" t="s">
        <v>250</v>
      </c>
    </row>
    <row r="11" spans="1:2">
      <c r="A11" s="1" t="s">
        <v>251</v>
      </c>
      <c r="B11" t="s">
        <v>252</v>
      </c>
    </row>
    <row r="12" spans="1:2" ht="17.100000000000001">
      <c r="A12" s="2" t="s">
        <v>253</v>
      </c>
      <c r="B12" t="s">
        <v>254</v>
      </c>
    </row>
    <row r="13" spans="1:2">
      <c r="A13" s="4" t="s">
        <v>255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CCE6-51F2-A040-A333-66D02DBB8DB4}">
  <sheetPr codeName="Sheet3"/>
  <dimension ref="A1:C6"/>
  <sheetViews>
    <sheetView workbookViewId="0">
      <selection activeCell="C3" sqref="C3"/>
    </sheetView>
  </sheetViews>
  <sheetFormatPr defaultColWidth="11" defaultRowHeight="15.95"/>
  <cols>
    <col min="1" max="1" width="1.875" customWidth="1"/>
    <col min="2" max="2" width="126" customWidth="1"/>
  </cols>
  <sheetData>
    <row r="1" spans="1:3">
      <c r="A1" t="s">
        <v>256</v>
      </c>
    </row>
    <row r="2" spans="1:3">
      <c r="C2" t="s">
        <v>257</v>
      </c>
    </row>
    <row r="3" spans="1:3">
      <c r="A3">
        <v>1</v>
      </c>
      <c r="B3" t="s">
        <v>258</v>
      </c>
      <c r="C3" t="s">
        <v>259</v>
      </c>
    </row>
    <row r="4" spans="1:3">
      <c r="A4">
        <v>2</v>
      </c>
      <c r="B4" t="s">
        <v>260</v>
      </c>
      <c r="C4" t="s">
        <v>261</v>
      </c>
    </row>
    <row r="5" spans="1:3">
      <c r="A5">
        <v>3</v>
      </c>
      <c r="B5" t="s">
        <v>262</v>
      </c>
      <c r="C5" t="s">
        <v>263</v>
      </c>
    </row>
    <row r="6" spans="1:3">
      <c r="A6">
        <v>4</v>
      </c>
      <c r="B6" t="s">
        <v>264</v>
      </c>
      <c r="C6" t="s">
        <v>265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276598-8A19-40B6-BED3-157936C93058}"/>
</file>

<file path=customXml/itemProps2.xml><?xml version="1.0" encoding="utf-8"?>
<ds:datastoreItem xmlns:ds="http://schemas.openxmlformats.org/officeDocument/2006/customXml" ds:itemID="{6B6DEDC7-93D0-4B5E-BED5-006DF8C890FC}"/>
</file>

<file path=customXml/itemProps3.xml><?xml version="1.0" encoding="utf-8"?>
<ds:datastoreItem xmlns:ds="http://schemas.openxmlformats.org/officeDocument/2006/customXml" ds:itemID="{025C630B-64D2-4AAA-9CA6-B49D96BBCC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2024-01-22T06:56:12Z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