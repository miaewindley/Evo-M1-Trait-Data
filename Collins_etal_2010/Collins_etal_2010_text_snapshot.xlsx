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Collins_etal_2010/"/>
    </mc:Choice>
  </mc:AlternateContent>
  <xr:revisionPtr revIDLastSave="123" documentId="8_{C1C64D51-FE1D-DE41-B4D0-69072B2F292D}" xr6:coauthVersionLast="47" xr6:coauthVersionMax="47" xr10:uidLastSave="{C65BA5C0-FEA4-4846-9D04-6BF4D9044588}"/>
  <bookViews>
    <workbookView xWindow="34640" yWindow="-14180" windowWidth="36500" windowHeight="8720" activeTab="1" xr2:uid="{3B3DDC04-7439-B144-AE47-70596B9BDF54}"/>
  </bookViews>
  <sheets>
    <sheet name="Sheet1" sheetId="1" r:id="rId1"/>
    <sheet name="0859Macaqu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45" i="2" s="1"/>
  <c r="I46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E45" i="2"/>
  <c r="E46" i="2" s="1"/>
  <c r="C45" i="2"/>
  <c r="C46" i="2" s="1"/>
  <c r="J45" i="2"/>
  <c r="J46" i="2" s="1"/>
  <c r="J34" i="2"/>
  <c r="J35" i="2"/>
  <c r="J36" i="2"/>
  <c r="J37" i="2"/>
  <c r="J38" i="2"/>
  <c r="J39" i="2"/>
  <c r="J40" i="2"/>
  <c r="J41" i="2"/>
  <c r="J42" i="2"/>
  <c r="J4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2" i="2"/>
  <c r="B45" i="2"/>
  <c r="K45" i="2" l="1"/>
  <c r="U2" i="1"/>
</calcChain>
</file>

<file path=xl/sharedStrings.xml><?xml version="1.0" encoding="utf-8"?>
<sst xmlns="http://schemas.openxmlformats.org/spreadsheetml/2006/main" count="91" uniqueCount="57">
  <si>
    <t>Species</t>
  </si>
  <si>
    <t>Common name</t>
  </si>
  <si>
    <t>Specimen</t>
  </si>
  <si>
    <t>Structure</t>
  </si>
  <si>
    <t>Hemisphere</t>
  </si>
  <si>
    <t>Method</t>
  </si>
  <si>
    <t>Note</t>
  </si>
  <si>
    <t>Brain mass (g)</t>
  </si>
  <si>
    <t>Body weight (kg)</t>
  </si>
  <si>
    <t>Volume (cm3)</t>
  </si>
  <si>
    <t>Area (cm2)</t>
  </si>
  <si>
    <t>Percent neocortical area</t>
  </si>
  <si>
    <t>Number of cells</t>
  </si>
  <si>
    <t>Number of neurons</t>
  </si>
  <si>
    <t>Percent neurons</t>
  </si>
  <si>
    <t>Cells per cm2 surface</t>
  </si>
  <si>
    <t>Cells per g tissue</t>
  </si>
  <si>
    <t>Neurons per cm2 surface</t>
  </si>
  <si>
    <t>Neurons per g tissue</t>
  </si>
  <si>
    <t>Macaca mulatta</t>
  </si>
  <si>
    <t>1.4 billion</t>
  </si>
  <si>
    <t>macaque monkey</t>
  </si>
  <si>
    <t>V1</t>
  </si>
  <si>
    <t>cortex</t>
  </si>
  <si>
    <t>56–66%</t>
  </si>
  <si>
    <t>MT</t>
  </si>
  <si>
    <t>85 million neurons/g</t>
  </si>
  <si>
    <t>V1 near the representation of central vision</t>
  </si>
  <si>
    <t>dissected</t>
  </si>
  <si>
    <t>nearly 3.5 billion</t>
  </si>
  <si>
    <t>99–176 million neurons/g</t>
  </si>
  <si>
    <t>37 million neurons/g</t>
  </si>
  <si>
    <t>S1, area 3b</t>
  </si>
  <si>
    <t>combined somatosensory areas 1 and 2</t>
  </si>
  <si>
    <t>71 million neurons/g</t>
  </si>
  <si>
    <t>63 million neurons/g</t>
  </si>
  <si>
    <t>80 million neurons/g</t>
  </si>
  <si>
    <t>A1 plus R</t>
  </si>
  <si>
    <t>motor cortex (M1 plus part of 3a)</t>
  </si>
  <si>
    <t>177 million neurons/g</t>
  </si>
  <si>
    <t>V1 max density</t>
  </si>
  <si>
    <t>macaque 08-59; Vanderbilt University</t>
  </si>
  <si>
    <t>Piece_Id (my estimates)</t>
  </si>
  <si>
    <t>all</t>
  </si>
  <si>
    <t>Piece_Id</t>
  </si>
  <si>
    <t>Piece_Wt</t>
  </si>
  <si>
    <t>Total_Cells</t>
  </si>
  <si>
    <t>NeuN_Percent</t>
  </si>
  <si>
    <t>Total_neurons</t>
  </si>
  <si>
    <t>Cell_Dens_Wt</t>
  </si>
  <si>
    <t>Neu_Dens_Wt</t>
  </si>
  <si>
    <t>29a</t>
  </si>
  <si>
    <t xml:space="preserve">weight av cells/g </t>
  </si>
  <si>
    <t>SUM</t>
  </si>
  <si>
    <t xml:space="preserve"> cell/g</t>
  </si>
  <si>
    <t>million</t>
  </si>
  <si>
    <t>percent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</si>
</sst>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Verdana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Alignment="1"/>
    <xf numFmtId="0" fontId="3" fillId="0" borderId="0" xfId="1" applyFont="1" applyAlignment="1">
      <alignment horizontal="right"/>
    </xf>
    <xf numFmtId="0" fontId="3" fillId="0" borderId="0" xfId="1" applyFont="1"/>
    <xf numFmtId="0" fontId="2" fillId="0" borderId="0" xfId="1" applyAlignment="1">
      <alignment horizontal="right"/>
    </xf>
    <xf numFmtId="0" fontId="2" fillId="0" borderId="0" xfId="1"/>
    <xf numFmtId="3" fontId="2" fillId="0" borderId="0" xfId="1" applyNumberFormat="1"/>
    <xf numFmtId="0" fontId="2" fillId="2" borderId="0" xfId="1" applyFill="1"/>
  </cellXfs>
  <cellStyles count="2">
    <cellStyle name="Normal" xfId="0" builtinId="0"/>
    <cellStyle name="Normal 2" xfId="1" xr:uid="{4DA0E448-DC95-0344-9B03-65E9C327F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88C9-BA66-8A4B-AAC1-4861885DEFFD}">
  <dimension ref="A1:U10"/>
  <sheetViews>
    <sheetView workbookViewId="0">
      <selection activeCell="U2" sqref="U2"/>
    </sheetView>
  </sheetViews>
  <sheetFormatPr baseColWidth="10" defaultRowHeight="16" x14ac:dyDescent="0.2"/>
  <cols>
    <col min="1" max="1" width="13.83203125" customWidth="1"/>
    <col min="2" max="3" width="15.5" customWidth="1"/>
    <col min="4" max="4" width="35.83203125" customWidth="1"/>
    <col min="13" max="13" width="22.1640625" customWidth="1"/>
    <col min="19" max="19" width="22.33203125" customWidth="1"/>
    <col min="20" max="20" width="24.33203125" customWidth="1"/>
    <col min="21" max="21" width="11.1640625" bestFit="1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42</v>
      </c>
      <c r="U1" s="1" t="s">
        <v>18</v>
      </c>
    </row>
    <row r="2" spans="1:21" ht="17" x14ac:dyDescent="0.2">
      <c r="A2" t="s">
        <v>19</v>
      </c>
      <c r="B2" t="s">
        <v>21</v>
      </c>
      <c r="C2" t="s">
        <v>41</v>
      </c>
      <c r="D2" t="s">
        <v>23</v>
      </c>
      <c r="F2" t="s">
        <v>28</v>
      </c>
      <c r="L2" s="3"/>
      <c r="M2" s="2" t="s">
        <v>29</v>
      </c>
      <c r="N2" t="s">
        <v>20</v>
      </c>
      <c r="O2" s="3">
        <v>0.4</v>
      </c>
      <c r="S2" t="s">
        <v>31</v>
      </c>
      <c r="T2" t="s">
        <v>43</v>
      </c>
      <c r="U2">
        <f>'0859Macaque'!I45</f>
        <v>155232925.21834061</v>
      </c>
    </row>
    <row r="3" spans="1:21" ht="19" customHeight="1" x14ac:dyDescent="0.2">
      <c r="A3" t="s">
        <v>19</v>
      </c>
      <c r="B3" t="s">
        <v>21</v>
      </c>
      <c r="C3" t="s">
        <v>41</v>
      </c>
      <c r="D3" t="s">
        <v>22</v>
      </c>
      <c r="F3" t="s">
        <v>28</v>
      </c>
      <c r="S3" s="2" t="s">
        <v>30</v>
      </c>
    </row>
    <row r="4" spans="1:21" x14ac:dyDescent="0.2">
      <c r="A4" t="s">
        <v>19</v>
      </c>
      <c r="B4" t="s">
        <v>21</v>
      </c>
      <c r="C4" t="s">
        <v>41</v>
      </c>
      <c r="D4" s="4" t="s">
        <v>27</v>
      </c>
      <c r="F4" t="s">
        <v>28</v>
      </c>
      <c r="O4" t="s">
        <v>24</v>
      </c>
    </row>
    <row r="5" spans="1:21" x14ac:dyDescent="0.2">
      <c r="A5" t="s">
        <v>19</v>
      </c>
      <c r="B5" t="s">
        <v>21</v>
      </c>
      <c r="C5" t="s">
        <v>41</v>
      </c>
      <c r="D5" t="s">
        <v>25</v>
      </c>
      <c r="F5" t="s">
        <v>28</v>
      </c>
      <c r="S5" t="s">
        <v>26</v>
      </c>
    </row>
    <row r="6" spans="1:21" x14ac:dyDescent="0.2">
      <c r="A6" t="s">
        <v>19</v>
      </c>
      <c r="B6" t="s">
        <v>21</v>
      </c>
      <c r="C6" t="s">
        <v>41</v>
      </c>
      <c r="D6" t="s">
        <v>32</v>
      </c>
      <c r="F6" t="s">
        <v>28</v>
      </c>
      <c r="S6" t="s">
        <v>36</v>
      </c>
    </row>
    <row r="7" spans="1:21" x14ac:dyDescent="0.2">
      <c r="A7" t="s">
        <v>19</v>
      </c>
      <c r="B7" t="s">
        <v>21</v>
      </c>
      <c r="C7" t="s">
        <v>41</v>
      </c>
      <c r="D7" t="s">
        <v>33</v>
      </c>
      <c r="F7" t="s">
        <v>28</v>
      </c>
      <c r="S7" t="s">
        <v>34</v>
      </c>
    </row>
    <row r="8" spans="1:21" x14ac:dyDescent="0.2">
      <c r="A8" t="s">
        <v>19</v>
      </c>
      <c r="B8" t="s">
        <v>21</v>
      </c>
      <c r="C8" t="s">
        <v>41</v>
      </c>
      <c r="D8" t="s">
        <v>38</v>
      </c>
      <c r="F8" t="s">
        <v>28</v>
      </c>
      <c r="S8" t="s">
        <v>35</v>
      </c>
    </row>
    <row r="9" spans="1:21" x14ac:dyDescent="0.2">
      <c r="A9" t="s">
        <v>19</v>
      </c>
      <c r="B9" t="s">
        <v>21</v>
      </c>
      <c r="C9" t="s">
        <v>41</v>
      </c>
      <c r="D9" t="s">
        <v>37</v>
      </c>
      <c r="F9" t="s">
        <v>28</v>
      </c>
      <c r="S9" t="s">
        <v>26</v>
      </c>
    </row>
    <row r="10" spans="1:21" x14ac:dyDescent="0.2">
      <c r="A10" t="s">
        <v>19</v>
      </c>
      <c r="B10" t="s">
        <v>21</v>
      </c>
      <c r="C10" t="s">
        <v>41</v>
      </c>
      <c r="D10" t="s">
        <v>40</v>
      </c>
      <c r="F10" t="s">
        <v>28</v>
      </c>
      <c r="S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A636-0B1C-1A43-96A9-2477290F7DE1}">
  <dimension ref="A1:K46"/>
  <sheetViews>
    <sheetView tabSelected="1" workbookViewId="0">
      <selection activeCell="I1" sqref="I1:I1048576"/>
    </sheetView>
  </sheetViews>
  <sheetFormatPr baseColWidth="10" defaultRowHeight="13" x14ac:dyDescent="0.15"/>
  <cols>
    <col min="1" max="2" width="10.83203125" style="8"/>
    <col min="3" max="3" width="12" style="8" customWidth="1"/>
    <col min="4" max="4" width="12.33203125" style="8" customWidth="1"/>
    <col min="5" max="5" width="13.33203125" style="8" customWidth="1"/>
    <col min="6" max="6" width="13.6640625" style="8" customWidth="1"/>
    <col min="7" max="7" width="13.5" style="8" customWidth="1"/>
    <col min="8" max="8" width="10.83203125" style="8"/>
    <col min="9" max="9" width="17.1640625" style="8" customWidth="1"/>
    <col min="10" max="10" width="15" style="8" customWidth="1"/>
    <col min="11" max="258" width="10.83203125" style="8"/>
    <col min="259" max="259" width="12" style="8" customWidth="1"/>
    <col min="260" max="260" width="12.33203125" style="8" customWidth="1"/>
    <col min="261" max="261" width="13.33203125" style="8" customWidth="1"/>
    <col min="262" max="262" width="13.6640625" style="8" customWidth="1"/>
    <col min="263" max="263" width="13.5" style="8" customWidth="1"/>
    <col min="264" max="514" width="10.83203125" style="8"/>
    <col min="515" max="515" width="12" style="8" customWidth="1"/>
    <col min="516" max="516" width="12.33203125" style="8" customWidth="1"/>
    <col min="517" max="517" width="13.33203125" style="8" customWidth="1"/>
    <col min="518" max="518" width="13.6640625" style="8" customWidth="1"/>
    <col min="519" max="519" width="13.5" style="8" customWidth="1"/>
    <col min="520" max="770" width="10.83203125" style="8"/>
    <col min="771" max="771" width="12" style="8" customWidth="1"/>
    <col min="772" max="772" width="12.33203125" style="8" customWidth="1"/>
    <col min="773" max="773" width="13.33203125" style="8" customWidth="1"/>
    <col min="774" max="774" width="13.6640625" style="8" customWidth="1"/>
    <col min="775" max="775" width="13.5" style="8" customWidth="1"/>
    <col min="776" max="1026" width="10.83203125" style="8"/>
    <col min="1027" max="1027" width="12" style="8" customWidth="1"/>
    <col min="1028" max="1028" width="12.33203125" style="8" customWidth="1"/>
    <col min="1029" max="1029" width="13.33203125" style="8" customWidth="1"/>
    <col min="1030" max="1030" width="13.6640625" style="8" customWidth="1"/>
    <col min="1031" max="1031" width="13.5" style="8" customWidth="1"/>
    <col min="1032" max="1282" width="10.83203125" style="8"/>
    <col min="1283" max="1283" width="12" style="8" customWidth="1"/>
    <col min="1284" max="1284" width="12.33203125" style="8" customWidth="1"/>
    <col min="1285" max="1285" width="13.33203125" style="8" customWidth="1"/>
    <col min="1286" max="1286" width="13.6640625" style="8" customWidth="1"/>
    <col min="1287" max="1287" width="13.5" style="8" customWidth="1"/>
    <col min="1288" max="1538" width="10.83203125" style="8"/>
    <col min="1539" max="1539" width="12" style="8" customWidth="1"/>
    <col min="1540" max="1540" width="12.33203125" style="8" customWidth="1"/>
    <col min="1541" max="1541" width="13.33203125" style="8" customWidth="1"/>
    <col min="1542" max="1542" width="13.6640625" style="8" customWidth="1"/>
    <col min="1543" max="1543" width="13.5" style="8" customWidth="1"/>
    <col min="1544" max="1794" width="10.83203125" style="8"/>
    <col min="1795" max="1795" width="12" style="8" customWidth="1"/>
    <col min="1796" max="1796" width="12.33203125" style="8" customWidth="1"/>
    <col min="1797" max="1797" width="13.33203125" style="8" customWidth="1"/>
    <col min="1798" max="1798" width="13.6640625" style="8" customWidth="1"/>
    <col min="1799" max="1799" width="13.5" style="8" customWidth="1"/>
    <col min="1800" max="2050" width="10.83203125" style="8"/>
    <col min="2051" max="2051" width="12" style="8" customWidth="1"/>
    <col min="2052" max="2052" width="12.33203125" style="8" customWidth="1"/>
    <col min="2053" max="2053" width="13.33203125" style="8" customWidth="1"/>
    <col min="2054" max="2054" width="13.6640625" style="8" customWidth="1"/>
    <col min="2055" max="2055" width="13.5" style="8" customWidth="1"/>
    <col min="2056" max="2306" width="10.83203125" style="8"/>
    <col min="2307" max="2307" width="12" style="8" customWidth="1"/>
    <col min="2308" max="2308" width="12.33203125" style="8" customWidth="1"/>
    <col min="2309" max="2309" width="13.33203125" style="8" customWidth="1"/>
    <col min="2310" max="2310" width="13.6640625" style="8" customWidth="1"/>
    <col min="2311" max="2311" width="13.5" style="8" customWidth="1"/>
    <col min="2312" max="2562" width="10.83203125" style="8"/>
    <col min="2563" max="2563" width="12" style="8" customWidth="1"/>
    <col min="2564" max="2564" width="12.33203125" style="8" customWidth="1"/>
    <col min="2565" max="2565" width="13.33203125" style="8" customWidth="1"/>
    <col min="2566" max="2566" width="13.6640625" style="8" customWidth="1"/>
    <col min="2567" max="2567" width="13.5" style="8" customWidth="1"/>
    <col min="2568" max="2818" width="10.83203125" style="8"/>
    <col min="2819" max="2819" width="12" style="8" customWidth="1"/>
    <col min="2820" max="2820" width="12.33203125" style="8" customWidth="1"/>
    <col min="2821" max="2821" width="13.33203125" style="8" customWidth="1"/>
    <col min="2822" max="2822" width="13.6640625" style="8" customWidth="1"/>
    <col min="2823" max="2823" width="13.5" style="8" customWidth="1"/>
    <col min="2824" max="3074" width="10.83203125" style="8"/>
    <col min="3075" max="3075" width="12" style="8" customWidth="1"/>
    <col min="3076" max="3076" width="12.33203125" style="8" customWidth="1"/>
    <col min="3077" max="3077" width="13.33203125" style="8" customWidth="1"/>
    <col min="3078" max="3078" width="13.6640625" style="8" customWidth="1"/>
    <col min="3079" max="3079" width="13.5" style="8" customWidth="1"/>
    <col min="3080" max="3330" width="10.83203125" style="8"/>
    <col min="3331" max="3331" width="12" style="8" customWidth="1"/>
    <col min="3332" max="3332" width="12.33203125" style="8" customWidth="1"/>
    <col min="3333" max="3333" width="13.33203125" style="8" customWidth="1"/>
    <col min="3334" max="3334" width="13.6640625" style="8" customWidth="1"/>
    <col min="3335" max="3335" width="13.5" style="8" customWidth="1"/>
    <col min="3336" max="3586" width="10.83203125" style="8"/>
    <col min="3587" max="3587" width="12" style="8" customWidth="1"/>
    <col min="3588" max="3588" width="12.33203125" style="8" customWidth="1"/>
    <col min="3589" max="3589" width="13.33203125" style="8" customWidth="1"/>
    <col min="3590" max="3590" width="13.6640625" style="8" customWidth="1"/>
    <col min="3591" max="3591" width="13.5" style="8" customWidth="1"/>
    <col min="3592" max="3842" width="10.83203125" style="8"/>
    <col min="3843" max="3843" width="12" style="8" customWidth="1"/>
    <col min="3844" max="3844" width="12.33203125" style="8" customWidth="1"/>
    <col min="3845" max="3845" width="13.33203125" style="8" customWidth="1"/>
    <col min="3846" max="3846" width="13.6640625" style="8" customWidth="1"/>
    <col min="3847" max="3847" width="13.5" style="8" customWidth="1"/>
    <col min="3848" max="4098" width="10.83203125" style="8"/>
    <col min="4099" max="4099" width="12" style="8" customWidth="1"/>
    <col min="4100" max="4100" width="12.33203125" style="8" customWidth="1"/>
    <col min="4101" max="4101" width="13.33203125" style="8" customWidth="1"/>
    <col min="4102" max="4102" width="13.6640625" style="8" customWidth="1"/>
    <col min="4103" max="4103" width="13.5" style="8" customWidth="1"/>
    <col min="4104" max="4354" width="10.83203125" style="8"/>
    <col min="4355" max="4355" width="12" style="8" customWidth="1"/>
    <col min="4356" max="4356" width="12.33203125" style="8" customWidth="1"/>
    <col min="4357" max="4357" width="13.33203125" style="8" customWidth="1"/>
    <col min="4358" max="4358" width="13.6640625" style="8" customWidth="1"/>
    <col min="4359" max="4359" width="13.5" style="8" customWidth="1"/>
    <col min="4360" max="4610" width="10.83203125" style="8"/>
    <col min="4611" max="4611" width="12" style="8" customWidth="1"/>
    <col min="4612" max="4612" width="12.33203125" style="8" customWidth="1"/>
    <col min="4613" max="4613" width="13.33203125" style="8" customWidth="1"/>
    <col min="4614" max="4614" width="13.6640625" style="8" customWidth="1"/>
    <col min="4615" max="4615" width="13.5" style="8" customWidth="1"/>
    <col min="4616" max="4866" width="10.83203125" style="8"/>
    <col min="4867" max="4867" width="12" style="8" customWidth="1"/>
    <col min="4868" max="4868" width="12.33203125" style="8" customWidth="1"/>
    <col min="4869" max="4869" width="13.33203125" style="8" customWidth="1"/>
    <col min="4870" max="4870" width="13.6640625" style="8" customWidth="1"/>
    <col min="4871" max="4871" width="13.5" style="8" customWidth="1"/>
    <col min="4872" max="5122" width="10.83203125" style="8"/>
    <col min="5123" max="5123" width="12" style="8" customWidth="1"/>
    <col min="5124" max="5124" width="12.33203125" style="8" customWidth="1"/>
    <col min="5125" max="5125" width="13.33203125" style="8" customWidth="1"/>
    <col min="5126" max="5126" width="13.6640625" style="8" customWidth="1"/>
    <col min="5127" max="5127" width="13.5" style="8" customWidth="1"/>
    <col min="5128" max="5378" width="10.83203125" style="8"/>
    <col min="5379" max="5379" width="12" style="8" customWidth="1"/>
    <col min="5380" max="5380" width="12.33203125" style="8" customWidth="1"/>
    <col min="5381" max="5381" width="13.33203125" style="8" customWidth="1"/>
    <col min="5382" max="5382" width="13.6640625" style="8" customWidth="1"/>
    <col min="5383" max="5383" width="13.5" style="8" customWidth="1"/>
    <col min="5384" max="5634" width="10.83203125" style="8"/>
    <col min="5635" max="5635" width="12" style="8" customWidth="1"/>
    <col min="5636" max="5636" width="12.33203125" style="8" customWidth="1"/>
    <col min="5637" max="5637" width="13.33203125" style="8" customWidth="1"/>
    <col min="5638" max="5638" width="13.6640625" style="8" customWidth="1"/>
    <col min="5639" max="5639" width="13.5" style="8" customWidth="1"/>
    <col min="5640" max="5890" width="10.83203125" style="8"/>
    <col min="5891" max="5891" width="12" style="8" customWidth="1"/>
    <col min="5892" max="5892" width="12.33203125" style="8" customWidth="1"/>
    <col min="5893" max="5893" width="13.33203125" style="8" customWidth="1"/>
    <col min="5894" max="5894" width="13.6640625" style="8" customWidth="1"/>
    <col min="5895" max="5895" width="13.5" style="8" customWidth="1"/>
    <col min="5896" max="6146" width="10.83203125" style="8"/>
    <col min="6147" max="6147" width="12" style="8" customWidth="1"/>
    <col min="6148" max="6148" width="12.33203125" style="8" customWidth="1"/>
    <col min="6149" max="6149" width="13.33203125" style="8" customWidth="1"/>
    <col min="6150" max="6150" width="13.6640625" style="8" customWidth="1"/>
    <col min="6151" max="6151" width="13.5" style="8" customWidth="1"/>
    <col min="6152" max="6402" width="10.83203125" style="8"/>
    <col min="6403" max="6403" width="12" style="8" customWidth="1"/>
    <col min="6404" max="6404" width="12.33203125" style="8" customWidth="1"/>
    <col min="6405" max="6405" width="13.33203125" style="8" customWidth="1"/>
    <col min="6406" max="6406" width="13.6640625" style="8" customWidth="1"/>
    <col min="6407" max="6407" width="13.5" style="8" customWidth="1"/>
    <col min="6408" max="6658" width="10.83203125" style="8"/>
    <col min="6659" max="6659" width="12" style="8" customWidth="1"/>
    <col min="6660" max="6660" width="12.33203125" style="8" customWidth="1"/>
    <col min="6661" max="6661" width="13.33203125" style="8" customWidth="1"/>
    <col min="6662" max="6662" width="13.6640625" style="8" customWidth="1"/>
    <col min="6663" max="6663" width="13.5" style="8" customWidth="1"/>
    <col min="6664" max="6914" width="10.83203125" style="8"/>
    <col min="6915" max="6915" width="12" style="8" customWidth="1"/>
    <col min="6916" max="6916" width="12.33203125" style="8" customWidth="1"/>
    <col min="6917" max="6917" width="13.33203125" style="8" customWidth="1"/>
    <col min="6918" max="6918" width="13.6640625" style="8" customWidth="1"/>
    <col min="6919" max="6919" width="13.5" style="8" customWidth="1"/>
    <col min="6920" max="7170" width="10.83203125" style="8"/>
    <col min="7171" max="7171" width="12" style="8" customWidth="1"/>
    <col min="7172" max="7172" width="12.33203125" style="8" customWidth="1"/>
    <col min="7173" max="7173" width="13.33203125" style="8" customWidth="1"/>
    <col min="7174" max="7174" width="13.6640625" style="8" customWidth="1"/>
    <col min="7175" max="7175" width="13.5" style="8" customWidth="1"/>
    <col min="7176" max="7426" width="10.83203125" style="8"/>
    <col min="7427" max="7427" width="12" style="8" customWidth="1"/>
    <col min="7428" max="7428" width="12.33203125" style="8" customWidth="1"/>
    <col min="7429" max="7429" width="13.33203125" style="8" customWidth="1"/>
    <col min="7430" max="7430" width="13.6640625" style="8" customWidth="1"/>
    <col min="7431" max="7431" width="13.5" style="8" customWidth="1"/>
    <col min="7432" max="7682" width="10.83203125" style="8"/>
    <col min="7683" max="7683" width="12" style="8" customWidth="1"/>
    <col min="7684" max="7684" width="12.33203125" style="8" customWidth="1"/>
    <col min="7685" max="7685" width="13.33203125" style="8" customWidth="1"/>
    <col min="7686" max="7686" width="13.6640625" style="8" customWidth="1"/>
    <col min="7687" max="7687" width="13.5" style="8" customWidth="1"/>
    <col min="7688" max="7938" width="10.83203125" style="8"/>
    <col min="7939" max="7939" width="12" style="8" customWidth="1"/>
    <col min="7940" max="7940" width="12.33203125" style="8" customWidth="1"/>
    <col min="7941" max="7941" width="13.33203125" style="8" customWidth="1"/>
    <col min="7942" max="7942" width="13.6640625" style="8" customWidth="1"/>
    <col min="7943" max="7943" width="13.5" style="8" customWidth="1"/>
    <col min="7944" max="8194" width="10.83203125" style="8"/>
    <col min="8195" max="8195" width="12" style="8" customWidth="1"/>
    <col min="8196" max="8196" width="12.33203125" style="8" customWidth="1"/>
    <col min="8197" max="8197" width="13.33203125" style="8" customWidth="1"/>
    <col min="8198" max="8198" width="13.6640625" style="8" customWidth="1"/>
    <col min="8199" max="8199" width="13.5" style="8" customWidth="1"/>
    <col min="8200" max="8450" width="10.83203125" style="8"/>
    <col min="8451" max="8451" width="12" style="8" customWidth="1"/>
    <col min="8452" max="8452" width="12.33203125" style="8" customWidth="1"/>
    <col min="8453" max="8453" width="13.33203125" style="8" customWidth="1"/>
    <col min="8454" max="8454" width="13.6640625" style="8" customWidth="1"/>
    <col min="8455" max="8455" width="13.5" style="8" customWidth="1"/>
    <col min="8456" max="8706" width="10.83203125" style="8"/>
    <col min="8707" max="8707" width="12" style="8" customWidth="1"/>
    <col min="8708" max="8708" width="12.33203125" style="8" customWidth="1"/>
    <col min="8709" max="8709" width="13.33203125" style="8" customWidth="1"/>
    <col min="8710" max="8710" width="13.6640625" style="8" customWidth="1"/>
    <col min="8711" max="8711" width="13.5" style="8" customWidth="1"/>
    <col min="8712" max="8962" width="10.83203125" style="8"/>
    <col min="8963" max="8963" width="12" style="8" customWidth="1"/>
    <col min="8964" max="8964" width="12.33203125" style="8" customWidth="1"/>
    <col min="8965" max="8965" width="13.33203125" style="8" customWidth="1"/>
    <col min="8966" max="8966" width="13.6640625" style="8" customWidth="1"/>
    <col min="8967" max="8967" width="13.5" style="8" customWidth="1"/>
    <col min="8968" max="9218" width="10.83203125" style="8"/>
    <col min="9219" max="9219" width="12" style="8" customWidth="1"/>
    <col min="9220" max="9220" width="12.33203125" style="8" customWidth="1"/>
    <col min="9221" max="9221" width="13.33203125" style="8" customWidth="1"/>
    <col min="9222" max="9222" width="13.6640625" style="8" customWidth="1"/>
    <col min="9223" max="9223" width="13.5" style="8" customWidth="1"/>
    <col min="9224" max="9474" width="10.83203125" style="8"/>
    <col min="9475" max="9475" width="12" style="8" customWidth="1"/>
    <col min="9476" max="9476" width="12.33203125" style="8" customWidth="1"/>
    <col min="9477" max="9477" width="13.33203125" style="8" customWidth="1"/>
    <col min="9478" max="9478" width="13.6640625" style="8" customWidth="1"/>
    <col min="9479" max="9479" width="13.5" style="8" customWidth="1"/>
    <col min="9480" max="9730" width="10.83203125" style="8"/>
    <col min="9731" max="9731" width="12" style="8" customWidth="1"/>
    <col min="9732" max="9732" width="12.33203125" style="8" customWidth="1"/>
    <col min="9733" max="9733" width="13.33203125" style="8" customWidth="1"/>
    <col min="9734" max="9734" width="13.6640625" style="8" customWidth="1"/>
    <col min="9735" max="9735" width="13.5" style="8" customWidth="1"/>
    <col min="9736" max="9986" width="10.83203125" style="8"/>
    <col min="9987" max="9987" width="12" style="8" customWidth="1"/>
    <col min="9988" max="9988" width="12.33203125" style="8" customWidth="1"/>
    <col min="9989" max="9989" width="13.33203125" style="8" customWidth="1"/>
    <col min="9990" max="9990" width="13.6640625" style="8" customWidth="1"/>
    <col min="9991" max="9991" width="13.5" style="8" customWidth="1"/>
    <col min="9992" max="10242" width="10.83203125" style="8"/>
    <col min="10243" max="10243" width="12" style="8" customWidth="1"/>
    <col min="10244" max="10244" width="12.33203125" style="8" customWidth="1"/>
    <col min="10245" max="10245" width="13.33203125" style="8" customWidth="1"/>
    <col min="10246" max="10246" width="13.6640625" style="8" customWidth="1"/>
    <col min="10247" max="10247" width="13.5" style="8" customWidth="1"/>
    <col min="10248" max="10498" width="10.83203125" style="8"/>
    <col min="10499" max="10499" width="12" style="8" customWidth="1"/>
    <col min="10500" max="10500" width="12.33203125" style="8" customWidth="1"/>
    <col min="10501" max="10501" width="13.33203125" style="8" customWidth="1"/>
    <col min="10502" max="10502" width="13.6640625" style="8" customWidth="1"/>
    <col min="10503" max="10503" width="13.5" style="8" customWidth="1"/>
    <col min="10504" max="10754" width="10.83203125" style="8"/>
    <col min="10755" max="10755" width="12" style="8" customWidth="1"/>
    <col min="10756" max="10756" width="12.33203125" style="8" customWidth="1"/>
    <col min="10757" max="10757" width="13.33203125" style="8" customWidth="1"/>
    <col min="10758" max="10758" width="13.6640625" style="8" customWidth="1"/>
    <col min="10759" max="10759" width="13.5" style="8" customWidth="1"/>
    <col min="10760" max="11010" width="10.83203125" style="8"/>
    <col min="11011" max="11011" width="12" style="8" customWidth="1"/>
    <col min="11012" max="11012" width="12.33203125" style="8" customWidth="1"/>
    <col min="11013" max="11013" width="13.33203125" style="8" customWidth="1"/>
    <col min="11014" max="11014" width="13.6640625" style="8" customWidth="1"/>
    <col min="11015" max="11015" width="13.5" style="8" customWidth="1"/>
    <col min="11016" max="11266" width="10.83203125" style="8"/>
    <col min="11267" max="11267" width="12" style="8" customWidth="1"/>
    <col min="11268" max="11268" width="12.33203125" style="8" customWidth="1"/>
    <col min="11269" max="11269" width="13.33203125" style="8" customWidth="1"/>
    <col min="11270" max="11270" width="13.6640625" style="8" customWidth="1"/>
    <col min="11271" max="11271" width="13.5" style="8" customWidth="1"/>
    <col min="11272" max="11522" width="10.83203125" style="8"/>
    <col min="11523" max="11523" width="12" style="8" customWidth="1"/>
    <col min="11524" max="11524" width="12.33203125" style="8" customWidth="1"/>
    <col min="11525" max="11525" width="13.33203125" style="8" customWidth="1"/>
    <col min="11526" max="11526" width="13.6640625" style="8" customWidth="1"/>
    <col min="11527" max="11527" width="13.5" style="8" customWidth="1"/>
    <col min="11528" max="11778" width="10.83203125" style="8"/>
    <col min="11779" max="11779" width="12" style="8" customWidth="1"/>
    <col min="11780" max="11780" width="12.33203125" style="8" customWidth="1"/>
    <col min="11781" max="11781" width="13.33203125" style="8" customWidth="1"/>
    <col min="11782" max="11782" width="13.6640625" style="8" customWidth="1"/>
    <col min="11783" max="11783" width="13.5" style="8" customWidth="1"/>
    <col min="11784" max="12034" width="10.83203125" style="8"/>
    <col min="12035" max="12035" width="12" style="8" customWidth="1"/>
    <col min="12036" max="12036" width="12.33203125" style="8" customWidth="1"/>
    <col min="12037" max="12037" width="13.33203125" style="8" customWidth="1"/>
    <col min="12038" max="12038" width="13.6640625" style="8" customWidth="1"/>
    <col min="12039" max="12039" width="13.5" style="8" customWidth="1"/>
    <col min="12040" max="12290" width="10.83203125" style="8"/>
    <col min="12291" max="12291" width="12" style="8" customWidth="1"/>
    <col min="12292" max="12292" width="12.33203125" style="8" customWidth="1"/>
    <col min="12293" max="12293" width="13.33203125" style="8" customWidth="1"/>
    <col min="12294" max="12294" width="13.6640625" style="8" customWidth="1"/>
    <col min="12295" max="12295" width="13.5" style="8" customWidth="1"/>
    <col min="12296" max="12546" width="10.83203125" style="8"/>
    <col min="12547" max="12547" width="12" style="8" customWidth="1"/>
    <col min="12548" max="12548" width="12.33203125" style="8" customWidth="1"/>
    <col min="12549" max="12549" width="13.33203125" style="8" customWidth="1"/>
    <col min="12550" max="12550" width="13.6640625" style="8" customWidth="1"/>
    <col min="12551" max="12551" width="13.5" style="8" customWidth="1"/>
    <col min="12552" max="12802" width="10.83203125" style="8"/>
    <col min="12803" max="12803" width="12" style="8" customWidth="1"/>
    <col min="12804" max="12804" width="12.33203125" style="8" customWidth="1"/>
    <col min="12805" max="12805" width="13.33203125" style="8" customWidth="1"/>
    <col min="12806" max="12806" width="13.6640625" style="8" customWidth="1"/>
    <col min="12807" max="12807" width="13.5" style="8" customWidth="1"/>
    <col min="12808" max="13058" width="10.83203125" style="8"/>
    <col min="13059" max="13059" width="12" style="8" customWidth="1"/>
    <col min="13060" max="13060" width="12.33203125" style="8" customWidth="1"/>
    <col min="13061" max="13061" width="13.33203125" style="8" customWidth="1"/>
    <col min="13062" max="13062" width="13.6640625" style="8" customWidth="1"/>
    <col min="13063" max="13063" width="13.5" style="8" customWidth="1"/>
    <col min="13064" max="13314" width="10.83203125" style="8"/>
    <col min="13315" max="13315" width="12" style="8" customWidth="1"/>
    <col min="13316" max="13316" width="12.33203125" style="8" customWidth="1"/>
    <col min="13317" max="13317" width="13.33203125" style="8" customWidth="1"/>
    <col min="13318" max="13318" width="13.6640625" style="8" customWidth="1"/>
    <col min="13319" max="13319" width="13.5" style="8" customWidth="1"/>
    <col min="13320" max="13570" width="10.83203125" style="8"/>
    <col min="13571" max="13571" width="12" style="8" customWidth="1"/>
    <col min="13572" max="13572" width="12.33203125" style="8" customWidth="1"/>
    <col min="13573" max="13573" width="13.33203125" style="8" customWidth="1"/>
    <col min="13574" max="13574" width="13.6640625" style="8" customWidth="1"/>
    <col min="13575" max="13575" width="13.5" style="8" customWidth="1"/>
    <col min="13576" max="13826" width="10.83203125" style="8"/>
    <col min="13827" max="13827" width="12" style="8" customWidth="1"/>
    <col min="13828" max="13828" width="12.33203125" style="8" customWidth="1"/>
    <col min="13829" max="13829" width="13.33203125" style="8" customWidth="1"/>
    <col min="13830" max="13830" width="13.6640625" style="8" customWidth="1"/>
    <col min="13831" max="13831" width="13.5" style="8" customWidth="1"/>
    <col min="13832" max="14082" width="10.83203125" style="8"/>
    <col min="14083" max="14083" width="12" style="8" customWidth="1"/>
    <col min="14084" max="14084" width="12.33203125" style="8" customWidth="1"/>
    <col min="14085" max="14085" width="13.33203125" style="8" customWidth="1"/>
    <col min="14086" max="14086" width="13.6640625" style="8" customWidth="1"/>
    <col min="14087" max="14087" width="13.5" style="8" customWidth="1"/>
    <col min="14088" max="14338" width="10.83203125" style="8"/>
    <col min="14339" max="14339" width="12" style="8" customWidth="1"/>
    <col min="14340" max="14340" width="12.33203125" style="8" customWidth="1"/>
    <col min="14341" max="14341" width="13.33203125" style="8" customWidth="1"/>
    <col min="14342" max="14342" width="13.6640625" style="8" customWidth="1"/>
    <col min="14343" max="14343" width="13.5" style="8" customWidth="1"/>
    <col min="14344" max="14594" width="10.83203125" style="8"/>
    <col min="14595" max="14595" width="12" style="8" customWidth="1"/>
    <col min="14596" max="14596" width="12.33203125" style="8" customWidth="1"/>
    <col min="14597" max="14597" width="13.33203125" style="8" customWidth="1"/>
    <col min="14598" max="14598" width="13.6640625" style="8" customWidth="1"/>
    <col min="14599" max="14599" width="13.5" style="8" customWidth="1"/>
    <col min="14600" max="14850" width="10.83203125" style="8"/>
    <col min="14851" max="14851" width="12" style="8" customWidth="1"/>
    <col min="14852" max="14852" width="12.33203125" style="8" customWidth="1"/>
    <col min="14853" max="14853" width="13.33203125" style="8" customWidth="1"/>
    <col min="14854" max="14854" width="13.6640625" style="8" customWidth="1"/>
    <col min="14855" max="14855" width="13.5" style="8" customWidth="1"/>
    <col min="14856" max="15106" width="10.83203125" style="8"/>
    <col min="15107" max="15107" width="12" style="8" customWidth="1"/>
    <col min="15108" max="15108" width="12.33203125" style="8" customWidth="1"/>
    <col min="15109" max="15109" width="13.33203125" style="8" customWidth="1"/>
    <col min="15110" max="15110" width="13.6640625" style="8" customWidth="1"/>
    <col min="15111" max="15111" width="13.5" style="8" customWidth="1"/>
    <col min="15112" max="15362" width="10.83203125" style="8"/>
    <col min="15363" max="15363" width="12" style="8" customWidth="1"/>
    <col min="15364" max="15364" width="12.33203125" style="8" customWidth="1"/>
    <col min="15365" max="15365" width="13.33203125" style="8" customWidth="1"/>
    <col min="15366" max="15366" width="13.6640625" style="8" customWidth="1"/>
    <col min="15367" max="15367" width="13.5" style="8" customWidth="1"/>
    <col min="15368" max="15618" width="10.83203125" style="8"/>
    <col min="15619" max="15619" width="12" style="8" customWidth="1"/>
    <col min="15620" max="15620" width="12.33203125" style="8" customWidth="1"/>
    <col min="15621" max="15621" width="13.33203125" style="8" customWidth="1"/>
    <col min="15622" max="15622" width="13.6640625" style="8" customWidth="1"/>
    <col min="15623" max="15623" width="13.5" style="8" customWidth="1"/>
    <col min="15624" max="15874" width="10.83203125" style="8"/>
    <col min="15875" max="15875" width="12" style="8" customWidth="1"/>
    <col min="15876" max="15876" width="12.33203125" style="8" customWidth="1"/>
    <col min="15877" max="15877" width="13.33203125" style="8" customWidth="1"/>
    <col min="15878" max="15878" width="13.6640625" style="8" customWidth="1"/>
    <col min="15879" max="15879" width="13.5" style="8" customWidth="1"/>
    <col min="15880" max="16130" width="10.83203125" style="8"/>
    <col min="16131" max="16131" width="12" style="8" customWidth="1"/>
    <col min="16132" max="16132" width="12.33203125" style="8" customWidth="1"/>
    <col min="16133" max="16133" width="13.33203125" style="8" customWidth="1"/>
    <col min="16134" max="16134" width="13.6640625" style="8" customWidth="1"/>
    <col min="16135" max="16135" width="13.5" style="8" customWidth="1"/>
    <col min="16136" max="16384" width="10.83203125" style="8"/>
  </cols>
  <sheetData>
    <row r="1" spans="1:11" s="6" customFormat="1" x14ac:dyDescent="0.15">
      <c r="A1" s="5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I1" s="6" t="s">
        <v>52</v>
      </c>
      <c r="J1" s="6" t="s">
        <v>54</v>
      </c>
      <c r="K1" s="6" t="s">
        <v>56</v>
      </c>
    </row>
    <row r="2" spans="1:11" x14ac:dyDescent="0.15">
      <c r="A2" s="7">
        <v>1</v>
      </c>
      <c r="B2" s="8">
        <v>0.115</v>
      </c>
      <c r="C2" s="9">
        <v>21031250</v>
      </c>
      <c r="D2" s="8">
        <v>0.54</v>
      </c>
      <c r="E2" s="9">
        <v>11353523</v>
      </c>
      <c r="F2" s="9">
        <v>182880435</v>
      </c>
      <c r="G2" s="9">
        <v>98984511</v>
      </c>
      <c r="I2" s="8">
        <f>(C2/B2)*B2</f>
        <v>21031250</v>
      </c>
      <c r="J2" s="8">
        <f>C2/B2</f>
        <v>182880434.78260869</v>
      </c>
    </row>
    <row r="3" spans="1:11" x14ac:dyDescent="0.15">
      <c r="A3" s="7">
        <v>2</v>
      </c>
      <c r="B3" s="8">
        <v>0.06</v>
      </c>
      <c r="C3" s="9">
        <v>11406250</v>
      </c>
      <c r="D3" s="8">
        <v>0.60099999999999998</v>
      </c>
      <c r="E3" s="9">
        <v>6855270</v>
      </c>
      <c r="F3" s="9">
        <v>190104167</v>
      </c>
      <c r="G3" s="9">
        <v>114254505</v>
      </c>
      <c r="I3" s="8">
        <f t="shared" ref="I3:I43" si="0">(C3/B3)*B3</f>
        <v>11406250</v>
      </c>
      <c r="J3" s="8">
        <f t="shared" ref="J3:J43" si="1">C3/B3</f>
        <v>190104166.66666669</v>
      </c>
    </row>
    <row r="4" spans="1:11" x14ac:dyDescent="0.15">
      <c r="A4" s="7">
        <v>3</v>
      </c>
      <c r="B4" s="8">
        <v>0.115</v>
      </c>
      <c r="C4" s="9">
        <v>20144531</v>
      </c>
      <c r="D4" s="8">
        <v>0.52700000000000002</v>
      </c>
      <c r="E4" s="9">
        <v>10610487</v>
      </c>
      <c r="F4" s="9">
        <v>175169835</v>
      </c>
      <c r="G4" s="9">
        <v>92425847</v>
      </c>
      <c r="I4" s="8">
        <f t="shared" si="0"/>
        <v>20144531</v>
      </c>
      <c r="J4" s="8">
        <f t="shared" si="1"/>
        <v>175169834.78260869</v>
      </c>
    </row>
    <row r="5" spans="1:11" x14ac:dyDescent="0.15">
      <c r="A5" s="7">
        <v>4</v>
      </c>
      <c r="B5" s="8">
        <v>0.108</v>
      </c>
      <c r="C5" s="9">
        <v>23730469</v>
      </c>
      <c r="D5" s="8">
        <v>0.58399999999999996</v>
      </c>
      <c r="E5" s="9">
        <v>13847780</v>
      </c>
      <c r="F5" s="9">
        <v>219726565</v>
      </c>
      <c r="G5" s="9">
        <v>128220184</v>
      </c>
      <c r="I5" s="8">
        <f t="shared" si="0"/>
        <v>23730469</v>
      </c>
      <c r="J5" s="8">
        <f t="shared" si="1"/>
        <v>219726564.81481481</v>
      </c>
    </row>
    <row r="6" spans="1:11" x14ac:dyDescent="0.15">
      <c r="A6" s="7">
        <v>5</v>
      </c>
      <c r="B6" s="8">
        <v>0.122</v>
      </c>
      <c r="C6" s="9">
        <v>19421875</v>
      </c>
      <c r="D6" s="8">
        <v>0.55900000000000005</v>
      </c>
      <c r="E6" s="9">
        <v>10853410</v>
      </c>
      <c r="F6" s="9">
        <v>159195697</v>
      </c>
      <c r="G6" s="9">
        <v>89035356</v>
      </c>
      <c r="I6" s="8">
        <f t="shared" si="0"/>
        <v>19421875</v>
      </c>
      <c r="J6" s="8">
        <f t="shared" si="1"/>
        <v>159195696.72131148</v>
      </c>
    </row>
    <row r="7" spans="1:11" x14ac:dyDescent="0.15">
      <c r="A7" s="7">
        <v>6</v>
      </c>
      <c r="B7" s="8">
        <v>0.21299999999999999</v>
      </c>
      <c r="C7" s="9">
        <v>49587891</v>
      </c>
      <c r="D7" s="8">
        <v>0.59299999999999997</v>
      </c>
      <c r="E7" s="9">
        <v>29426496</v>
      </c>
      <c r="F7" s="9">
        <v>232807000</v>
      </c>
      <c r="G7" s="9">
        <v>138282404</v>
      </c>
      <c r="I7" s="8">
        <f t="shared" si="0"/>
        <v>49587891</v>
      </c>
      <c r="J7" s="8">
        <f t="shared" si="1"/>
        <v>232807000</v>
      </c>
    </row>
    <row r="8" spans="1:11" x14ac:dyDescent="0.15">
      <c r="A8" s="7">
        <v>7</v>
      </c>
      <c r="B8" s="8">
        <v>0.16800000000000001</v>
      </c>
      <c r="C8" s="9">
        <v>34822266</v>
      </c>
      <c r="D8" s="8">
        <v>0.63700000000000001</v>
      </c>
      <c r="E8" s="9">
        <v>22189723</v>
      </c>
      <c r="F8" s="9">
        <v>207275393</v>
      </c>
      <c r="G8" s="9">
        <v>131924629</v>
      </c>
      <c r="I8" s="8">
        <f t="shared" si="0"/>
        <v>34822266</v>
      </c>
      <c r="J8" s="8">
        <f t="shared" si="1"/>
        <v>207275392.85714284</v>
      </c>
    </row>
    <row r="9" spans="1:11" x14ac:dyDescent="0.15">
      <c r="A9" s="7">
        <v>8</v>
      </c>
      <c r="B9" s="8">
        <v>3.1E-2</v>
      </c>
      <c r="C9" s="9">
        <v>8232422</v>
      </c>
      <c r="D9" s="8">
        <v>0.57699999999999996</v>
      </c>
      <c r="E9" s="9">
        <v>4748951</v>
      </c>
      <c r="F9" s="9">
        <v>265562000</v>
      </c>
      <c r="G9" s="9">
        <v>152699383</v>
      </c>
      <c r="I9" s="8">
        <f t="shared" si="0"/>
        <v>8232422</v>
      </c>
      <c r="J9" s="8">
        <f t="shared" si="1"/>
        <v>265562000</v>
      </c>
    </row>
    <row r="10" spans="1:11" x14ac:dyDescent="0.15">
      <c r="A10" s="7">
        <v>9</v>
      </c>
      <c r="B10" s="8">
        <v>0.27200000000000002</v>
      </c>
      <c r="C10" s="9">
        <v>60759766</v>
      </c>
      <c r="D10" s="8">
        <v>0.66400000000000003</v>
      </c>
      <c r="E10" s="9">
        <v>40320727</v>
      </c>
      <c r="F10" s="9">
        <v>223381493</v>
      </c>
      <c r="G10" s="9">
        <v>148020291</v>
      </c>
      <c r="I10" s="8">
        <f t="shared" si="0"/>
        <v>60759766</v>
      </c>
      <c r="J10" s="8">
        <f t="shared" si="1"/>
        <v>223381492.64705881</v>
      </c>
    </row>
    <row r="11" spans="1:11" x14ac:dyDescent="0.15">
      <c r="A11" s="7">
        <v>10</v>
      </c>
      <c r="B11" s="8">
        <v>0.26200000000000001</v>
      </c>
      <c r="C11" s="9">
        <v>69638672</v>
      </c>
      <c r="D11" s="8">
        <v>0.56299999999999994</v>
      </c>
      <c r="E11" s="9">
        <v>39171753</v>
      </c>
      <c r="F11" s="9">
        <v>265796458</v>
      </c>
      <c r="G11" s="9">
        <v>149739117</v>
      </c>
      <c r="I11" s="8">
        <f t="shared" si="0"/>
        <v>69638672</v>
      </c>
      <c r="J11" s="8">
        <f t="shared" si="1"/>
        <v>265796458.01526716</v>
      </c>
    </row>
    <row r="12" spans="1:11" x14ac:dyDescent="0.15">
      <c r="A12" s="7">
        <v>11</v>
      </c>
      <c r="B12" s="8">
        <v>0.29199999999999998</v>
      </c>
      <c r="C12" s="9">
        <v>58871094</v>
      </c>
      <c r="D12" s="8">
        <v>0.64600000000000002</v>
      </c>
      <c r="E12" s="9">
        <v>38042206</v>
      </c>
      <c r="F12" s="9">
        <v>201613336</v>
      </c>
      <c r="G12" s="9">
        <v>130236927</v>
      </c>
      <c r="I12" s="8">
        <f t="shared" si="0"/>
        <v>58871094</v>
      </c>
      <c r="J12" s="8">
        <f t="shared" si="1"/>
        <v>201613335.61643836</v>
      </c>
    </row>
    <row r="13" spans="1:11" x14ac:dyDescent="0.15">
      <c r="A13" s="7">
        <v>12</v>
      </c>
      <c r="B13" s="8">
        <v>0.23100000000000001</v>
      </c>
      <c r="C13" s="9">
        <v>54333984</v>
      </c>
      <c r="D13" s="8">
        <v>0.55600000000000005</v>
      </c>
      <c r="E13" s="9">
        <v>30224365</v>
      </c>
      <c r="F13" s="9">
        <v>235212052</v>
      </c>
      <c r="G13" s="9">
        <v>130954790</v>
      </c>
      <c r="I13" s="8">
        <f t="shared" si="0"/>
        <v>54333984</v>
      </c>
      <c r="J13" s="8">
        <f t="shared" si="1"/>
        <v>235212051.94805193</v>
      </c>
    </row>
    <row r="14" spans="1:11" x14ac:dyDescent="0.15">
      <c r="A14" s="7">
        <v>13</v>
      </c>
      <c r="B14" s="8">
        <v>0.11899999999999999</v>
      </c>
      <c r="C14" s="9">
        <v>35878906</v>
      </c>
      <c r="D14" s="8">
        <v>0.58699999999999997</v>
      </c>
      <c r="E14" s="9">
        <v>21055680</v>
      </c>
      <c r="F14" s="9">
        <v>301503412</v>
      </c>
      <c r="G14" s="9">
        <v>176493543</v>
      </c>
      <c r="I14" s="8">
        <f t="shared" si="0"/>
        <v>35878906</v>
      </c>
      <c r="J14" s="8">
        <f t="shared" si="1"/>
        <v>301503411.7647059</v>
      </c>
    </row>
    <row r="15" spans="1:11" x14ac:dyDescent="0.15">
      <c r="A15" s="7">
        <v>14</v>
      </c>
      <c r="B15" s="8">
        <v>0.188</v>
      </c>
      <c r="C15" s="9">
        <v>28968750</v>
      </c>
      <c r="D15" s="8">
        <v>0.56999999999999995</v>
      </c>
      <c r="E15" s="9">
        <v>16515896</v>
      </c>
      <c r="F15" s="9">
        <v>154089096</v>
      </c>
      <c r="G15" s="9">
        <v>87850508</v>
      </c>
      <c r="I15" s="8">
        <f t="shared" si="0"/>
        <v>28968750</v>
      </c>
      <c r="J15" s="8">
        <f t="shared" si="1"/>
        <v>154089095.74468085</v>
      </c>
    </row>
    <row r="16" spans="1:11" x14ac:dyDescent="0.15">
      <c r="A16" s="7">
        <v>15</v>
      </c>
      <c r="B16" s="8">
        <v>0.161</v>
      </c>
      <c r="C16" s="9">
        <v>34095703</v>
      </c>
      <c r="D16" s="8">
        <v>0.39100000000000001</v>
      </c>
      <c r="E16" s="9">
        <v>13325378</v>
      </c>
      <c r="F16" s="9">
        <v>211774553</v>
      </c>
      <c r="G16" s="9">
        <v>82920832</v>
      </c>
      <c r="I16" s="8">
        <f t="shared" si="0"/>
        <v>34095703</v>
      </c>
      <c r="J16" s="8">
        <f t="shared" si="1"/>
        <v>211774552.79503104</v>
      </c>
    </row>
    <row r="17" spans="1:10" x14ac:dyDescent="0.15">
      <c r="A17" s="7">
        <v>16</v>
      </c>
      <c r="B17" s="8">
        <v>0.14000000000000001</v>
      </c>
      <c r="C17" s="9">
        <v>24855469</v>
      </c>
      <c r="D17" s="8">
        <v>0.54900000000000004</v>
      </c>
      <c r="E17" s="9">
        <v>13646853</v>
      </c>
      <c r="F17" s="9">
        <v>177539064</v>
      </c>
      <c r="G17" s="9">
        <v>97547200</v>
      </c>
      <c r="I17" s="8">
        <f t="shared" si="0"/>
        <v>24855469</v>
      </c>
      <c r="J17" s="8">
        <f t="shared" si="1"/>
        <v>177539064.28571427</v>
      </c>
    </row>
    <row r="18" spans="1:10" x14ac:dyDescent="0.15">
      <c r="A18" s="7">
        <v>17</v>
      </c>
      <c r="B18" s="8">
        <v>0.42599999999999999</v>
      </c>
      <c r="C18" s="9">
        <v>76140625</v>
      </c>
      <c r="D18" s="8">
        <v>0.47399999999999998</v>
      </c>
      <c r="E18" s="9">
        <v>36072620</v>
      </c>
      <c r="F18" s="9">
        <v>178733862</v>
      </c>
      <c r="G18" s="9">
        <v>84757096</v>
      </c>
      <c r="I18" s="8">
        <f t="shared" si="0"/>
        <v>76140625</v>
      </c>
      <c r="J18" s="8">
        <f t="shared" si="1"/>
        <v>178733861.50234741</v>
      </c>
    </row>
    <row r="19" spans="1:10" x14ac:dyDescent="0.15">
      <c r="A19" s="7">
        <v>18</v>
      </c>
      <c r="B19" s="8">
        <v>0.57699999999999996</v>
      </c>
      <c r="C19" s="9">
        <v>103468750</v>
      </c>
      <c r="D19" s="8">
        <v>0.35399999999999998</v>
      </c>
      <c r="E19" s="9">
        <v>36648734</v>
      </c>
      <c r="F19" s="9">
        <v>179321924</v>
      </c>
      <c r="G19" s="9">
        <v>63472001</v>
      </c>
      <c r="I19" s="8">
        <f t="shared" si="0"/>
        <v>103468750</v>
      </c>
      <c r="J19" s="8">
        <f t="shared" si="1"/>
        <v>179321923.74350089</v>
      </c>
    </row>
    <row r="20" spans="1:10" x14ac:dyDescent="0.15">
      <c r="A20" s="7">
        <v>19</v>
      </c>
      <c r="B20" s="8">
        <v>0.84</v>
      </c>
      <c r="C20" s="9">
        <v>206279297</v>
      </c>
      <c r="D20" s="8">
        <v>0.373</v>
      </c>
      <c r="E20" s="9">
        <v>77000130</v>
      </c>
      <c r="F20" s="9">
        <v>245570592</v>
      </c>
      <c r="G20" s="9">
        <v>91710494</v>
      </c>
      <c r="I20" s="8">
        <f t="shared" si="0"/>
        <v>206279297</v>
      </c>
      <c r="J20" s="8">
        <f t="shared" si="1"/>
        <v>245570591.66666669</v>
      </c>
    </row>
    <row r="21" spans="1:10" x14ac:dyDescent="0.15">
      <c r="A21" s="7">
        <v>20</v>
      </c>
      <c r="B21" s="8">
        <v>1.1040000000000001</v>
      </c>
      <c r="C21" s="9">
        <v>241611328</v>
      </c>
      <c r="D21" s="8">
        <v>0.41499999999999998</v>
      </c>
      <c r="E21" s="9">
        <v>100265220</v>
      </c>
      <c r="F21" s="9">
        <v>218850841</v>
      </c>
      <c r="G21" s="9">
        <v>90828173</v>
      </c>
      <c r="I21" s="8">
        <f t="shared" si="0"/>
        <v>241611328</v>
      </c>
      <c r="J21" s="8">
        <f t="shared" si="1"/>
        <v>218850840.57971013</v>
      </c>
    </row>
    <row r="22" spans="1:10" x14ac:dyDescent="0.15">
      <c r="A22" s="7">
        <v>21</v>
      </c>
      <c r="B22" s="8">
        <v>0.80700000000000005</v>
      </c>
      <c r="C22" s="9">
        <v>142656250</v>
      </c>
      <c r="D22" s="8">
        <v>0.442</v>
      </c>
      <c r="E22" s="9">
        <v>63117693</v>
      </c>
      <c r="F22" s="9">
        <v>176773544</v>
      </c>
      <c r="G22" s="9">
        <v>78183691</v>
      </c>
      <c r="I22" s="8">
        <f t="shared" si="0"/>
        <v>142656250</v>
      </c>
      <c r="J22" s="8">
        <f t="shared" si="1"/>
        <v>176773543.99008673</v>
      </c>
    </row>
    <row r="23" spans="1:10" x14ac:dyDescent="0.15">
      <c r="A23" s="7">
        <v>22</v>
      </c>
      <c r="B23" s="8">
        <v>0.72599999999999998</v>
      </c>
      <c r="C23" s="9">
        <v>117500000</v>
      </c>
      <c r="D23" s="8">
        <v>0.36</v>
      </c>
      <c r="E23" s="9">
        <v>42243202</v>
      </c>
      <c r="F23" s="9">
        <v>161845730</v>
      </c>
      <c r="G23" s="9">
        <v>58194245</v>
      </c>
      <c r="I23" s="8">
        <f t="shared" si="0"/>
        <v>117500000</v>
      </c>
      <c r="J23" s="8">
        <f t="shared" si="1"/>
        <v>161845730.02754822</v>
      </c>
    </row>
    <row r="24" spans="1:10" x14ac:dyDescent="0.15">
      <c r="A24" s="7">
        <v>23</v>
      </c>
      <c r="B24" s="8">
        <v>1.1020000000000001</v>
      </c>
      <c r="C24" s="9">
        <v>132626953</v>
      </c>
      <c r="D24" s="8">
        <v>0.38300000000000001</v>
      </c>
      <c r="E24" s="9">
        <v>50788180</v>
      </c>
      <c r="F24" s="9">
        <v>120351137</v>
      </c>
      <c r="G24" s="9">
        <v>46087278</v>
      </c>
      <c r="I24" s="8">
        <f t="shared" si="0"/>
        <v>132626953</v>
      </c>
      <c r="J24" s="8">
        <f t="shared" si="1"/>
        <v>120351137.02359346</v>
      </c>
    </row>
    <row r="25" spans="1:10" x14ac:dyDescent="0.15">
      <c r="A25" s="7">
        <v>24</v>
      </c>
      <c r="B25" s="8">
        <v>0.13100000000000001</v>
      </c>
      <c r="C25" s="9">
        <v>24687500</v>
      </c>
      <c r="D25" s="8">
        <v>0.45200000000000001</v>
      </c>
      <c r="E25" s="9">
        <v>11147650</v>
      </c>
      <c r="F25" s="9">
        <v>188454198</v>
      </c>
      <c r="G25" s="9">
        <v>84902134</v>
      </c>
      <c r="I25" s="8">
        <f t="shared" si="0"/>
        <v>24687500</v>
      </c>
      <c r="J25" s="8">
        <f t="shared" si="1"/>
        <v>188454198.47328243</v>
      </c>
    </row>
    <row r="26" spans="1:10" x14ac:dyDescent="0.15">
      <c r="A26" s="7">
        <v>25</v>
      </c>
      <c r="B26" s="8">
        <v>0.32800000000000001</v>
      </c>
      <c r="C26" s="9">
        <v>44433594</v>
      </c>
      <c r="D26" s="8">
        <v>0.36</v>
      </c>
      <c r="E26" s="9">
        <v>16017656</v>
      </c>
      <c r="F26" s="9">
        <v>135468274</v>
      </c>
      <c r="G26" s="9">
        <v>48908873</v>
      </c>
      <c r="I26" s="8">
        <f t="shared" si="0"/>
        <v>44433594</v>
      </c>
      <c r="J26" s="8">
        <f t="shared" si="1"/>
        <v>135468274.39024389</v>
      </c>
    </row>
    <row r="27" spans="1:10" x14ac:dyDescent="0.15">
      <c r="A27" s="7">
        <v>26</v>
      </c>
      <c r="B27" s="8">
        <v>0.48699999999999999</v>
      </c>
      <c r="C27" s="9">
        <v>58320313</v>
      </c>
      <c r="D27" s="8">
        <v>0.35399999999999998</v>
      </c>
      <c r="E27" s="9">
        <v>20619313</v>
      </c>
      <c r="F27" s="9">
        <v>119754236</v>
      </c>
      <c r="G27" s="9">
        <v>42304705</v>
      </c>
      <c r="I27" s="8">
        <f t="shared" si="0"/>
        <v>58320313</v>
      </c>
      <c r="J27" s="8">
        <f t="shared" si="1"/>
        <v>119754236.13963039</v>
      </c>
    </row>
    <row r="28" spans="1:10" x14ac:dyDescent="0.15">
      <c r="A28" s="7">
        <v>27</v>
      </c>
      <c r="B28" s="8">
        <v>0.76400000000000001</v>
      </c>
      <c r="C28" s="9">
        <v>82412109</v>
      </c>
      <c r="D28" s="8">
        <v>0.32100000000000001</v>
      </c>
      <c r="E28" s="9">
        <v>26445677</v>
      </c>
      <c r="F28" s="9">
        <v>107869253</v>
      </c>
      <c r="G28" s="9">
        <v>34614760</v>
      </c>
      <c r="I28" s="8">
        <f>(C28/B28)*B28</f>
        <v>82412109</v>
      </c>
      <c r="J28" s="8">
        <f t="shared" si="1"/>
        <v>107869252.61780104</v>
      </c>
    </row>
    <row r="29" spans="1:10" x14ac:dyDescent="0.15">
      <c r="A29" s="7">
        <v>28</v>
      </c>
      <c r="B29" s="8">
        <v>0.66</v>
      </c>
      <c r="C29" s="9">
        <v>74867188</v>
      </c>
      <c r="D29" s="8">
        <v>0.32200000000000001</v>
      </c>
      <c r="E29" s="9">
        <v>24121343</v>
      </c>
      <c r="F29" s="9">
        <v>113435133</v>
      </c>
      <c r="G29" s="9">
        <v>36558568</v>
      </c>
      <c r="I29" s="8">
        <f t="shared" si="0"/>
        <v>74867188</v>
      </c>
      <c r="J29" s="8">
        <f t="shared" si="1"/>
        <v>113435133.33333333</v>
      </c>
    </row>
    <row r="30" spans="1:10" x14ac:dyDescent="0.15">
      <c r="A30" s="7">
        <v>29</v>
      </c>
      <c r="B30" s="8">
        <v>0.40100000000000002</v>
      </c>
      <c r="C30" s="9">
        <v>62343750</v>
      </c>
      <c r="D30" s="8">
        <v>0.45500000000000002</v>
      </c>
      <c r="E30" s="9">
        <v>28338068</v>
      </c>
      <c r="F30" s="9">
        <v>155470698</v>
      </c>
      <c r="G30" s="9">
        <v>70668499</v>
      </c>
      <c r="I30" s="8">
        <f t="shared" si="0"/>
        <v>62343750</v>
      </c>
      <c r="J30" s="8">
        <f t="shared" si="1"/>
        <v>155470698.25436407</v>
      </c>
    </row>
    <row r="31" spans="1:10" x14ac:dyDescent="0.15">
      <c r="A31" s="7" t="s">
        <v>51</v>
      </c>
      <c r="B31" s="8">
        <v>0.27200000000000002</v>
      </c>
      <c r="C31" s="9">
        <v>47841797</v>
      </c>
      <c r="D31" s="8">
        <v>0.45300000000000001</v>
      </c>
      <c r="E31" s="9">
        <v>21662471</v>
      </c>
      <c r="F31" s="9">
        <v>175888960</v>
      </c>
      <c r="G31" s="9">
        <v>79788106</v>
      </c>
      <c r="I31" s="8">
        <f t="shared" si="0"/>
        <v>47841797</v>
      </c>
      <c r="J31" s="8">
        <f t="shared" si="1"/>
        <v>175888959.55882353</v>
      </c>
    </row>
    <row r="32" spans="1:10" x14ac:dyDescent="0.15">
      <c r="A32" s="7">
        <v>30</v>
      </c>
      <c r="B32" s="8">
        <v>1.1499999999999999</v>
      </c>
      <c r="C32" s="9">
        <v>183496094</v>
      </c>
      <c r="D32" s="8">
        <v>0.39700000000000002</v>
      </c>
      <c r="E32" s="9">
        <v>72811250</v>
      </c>
      <c r="F32" s="9">
        <v>159561821</v>
      </c>
      <c r="G32" s="9">
        <v>63297618</v>
      </c>
      <c r="I32" s="8">
        <f t="shared" si="0"/>
        <v>183496094</v>
      </c>
      <c r="J32" s="8">
        <f t="shared" si="1"/>
        <v>159561820.86956522</v>
      </c>
    </row>
    <row r="33" spans="1:11" x14ac:dyDescent="0.15">
      <c r="A33" s="7">
        <v>31</v>
      </c>
      <c r="B33" s="8">
        <v>2.004</v>
      </c>
      <c r="C33" s="9">
        <v>265312500</v>
      </c>
      <c r="D33" s="8">
        <v>0.34799999999999998</v>
      </c>
      <c r="E33" s="9">
        <v>92200798</v>
      </c>
      <c r="F33" s="9">
        <v>132391467</v>
      </c>
      <c r="G33" s="9">
        <v>46001496</v>
      </c>
      <c r="I33" s="8">
        <f t="shared" si="0"/>
        <v>265312500</v>
      </c>
      <c r="J33" s="8">
        <f t="shared" si="1"/>
        <v>132391467.06586826</v>
      </c>
    </row>
    <row r="34" spans="1:11" x14ac:dyDescent="0.15">
      <c r="A34" s="7">
        <v>32</v>
      </c>
      <c r="B34" s="8">
        <v>1.986</v>
      </c>
      <c r="C34" s="9">
        <v>198378906</v>
      </c>
      <c r="D34" s="8">
        <v>0.34200000000000003</v>
      </c>
      <c r="E34" s="9">
        <v>67927408</v>
      </c>
      <c r="F34" s="9">
        <v>99888674</v>
      </c>
      <c r="G34" s="9">
        <v>34203126</v>
      </c>
      <c r="I34" s="8">
        <f t="shared" si="0"/>
        <v>198378906</v>
      </c>
      <c r="J34" s="8">
        <f>C34/B34</f>
        <v>99888673.71601209</v>
      </c>
    </row>
    <row r="35" spans="1:11" x14ac:dyDescent="0.15">
      <c r="A35" s="7">
        <v>33</v>
      </c>
      <c r="B35" s="8">
        <v>0.38100000000000001</v>
      </c>
      <c r="C35" s="9">
        <v>52554688</v>
      </c>
      <c r="D35" s="8">
        <v>0.316</v>
      </c>
      <c r="E35" s="9">
        <v>16591339</v>
      </c>
      <c r="F35" s="9">
        <v>137938814</v>
      </c>
      <c r="G35" s="9">
        <v>43558253</v>
      </c>
      <c r="I35" s="8">
        <f t="shared" si="0"/>
        <v>52554688.000000007</v>
      </c>
      <c r="J35" s="8">
        <f t="shared" si="1"/>
        <v>137938813.64829397</v>
      </c>
    </row>
    <row r="36" spans="1:11" x14ac:dyDescent="0.15">
      <c r="A36" s="7">
        <v>34</v>
      </c>
      <c r="B36" s="8">
        <v>0.21</v>
      </c>
      <c r="C36" s="9">
        <v>24902344</v>
      </c>
      <c r="D36" s="8">
        <v>0.29199999999999998</v>
      </c>
      <c r="E36" s="9">
        <v>7265087</v>
      </c>
      <c r="F36" s="9">
        <v>118582590</v>
      </c>
      <c r="G36" s="9">
        <v>34579188</v>
      </c>
      <c r="I36" s="8">
        <f>(C36/B36)*B36</f>
        <v>24902344</v>
      </c>
      <c r="J36" s="8">
        <f t="shared" si="1"/>
        <v>118582590.47619048</v>
      </c>
    </row>
    <row r="37" spans="1:11" x14ac:dyDescent="0.15">
      <c r="A37" s="7">
        <v>35</v>
      </c>
      <c r="B37" s="8">
        <v>0.45600000000000002</v>
      </c>
      <c r="C37" s="9">
        <v>55617188</v>
      </c>
      <c r="D37" s="8">
        <v>0.28899999999999998</v>
      </c>
      <c r="E37" s="9">
        <v>16056440</v>
      </c>
      <c r="F37" s="9">
        <v>121967518</v>
      </c>
      <c r="G37" s="9">
        <v>35250143</v>
      </c>
      <c r="I37" s="8">
        <f t="shared" si="0"/>
        <v>55617188</v>
      </c>
      <c r="J37" s="8">
        <f t="shared" si="1"/>
        <v>121967517.54385965</v>
      </c>
    </row>
    <row r="38" spans="1:11" x14ac:dyDescent="0.15">
      <c r="A38" s="7">
        <v>36</v>
      </c>
      <c r="B38" s="8">
        <v>0.113</v>
      </c>
      <c r="C38" s="9">
        <v>17031250</v>
      </c>
      <c r="D38" s="8">
        <v>0.312</v>
      </c>
      <c r="E38" s="9">
        <v>5311441</v>
      </c>
      <c r="F38" s="9">
        <v>150719027</v>
      </c>
      <c r="G38" s="9">
        <v>46962340</v>
      </c>
      <c r="I38" s="8">
        <f t="shared" si="0"/>
        <v>17031250</v>
      </c>
      <c r="J38" s="8">
        <f t="shared" si="1"/>
        <v>150719026.54867256</v>
      </c>
    </row>
    <row r="39" spans="1:11" x14ac:dyDescent="0.15">
      <c r="A39" s="7">
        <v>37</v>
      </c>
      <c r="B39" s="8">
        <v>0.41299999999999998</v>
      </c>
      <c r="C39" s="9">
        <v>63875000</v>
      </c>
      <c r="D39" s="8">
        <v>0.307</v>
      </c>
      <c r="E39" s="9">
        <v>19625000</v>
      </c>
      <c r="F39" s="9">
        <v>154661017</v>
      </c>
      <c r="G39" s="9">
        <v>47575758</v>
      </c>
      <c r="I39" s="8">
        <f t="shared" si="0"/>
        <v>63875000</v>
      </c>
      <c r="J39" s="8">
        <f t="shared" si="1"/>
        <v>154661016.94915256</v>
      </c>
    </row>
    <row r="40" spans="1:11" x14ac:dyDescent="0.15">
      <c r="A40" s="7">
        <v>38</v>
      </c>
      <c r="B40" s="8">
        <v>1.0660000000000001</v>
      </c>
      <c r="C40" s="9">
        <v>158671875</v>
      </c>
      <c r="D40" s="8">
        <v>0.312</v>
      </c>
      <c r="E40" s="9">
        <v>49478327</v>
      </c>
      <c r="F40" s="9">
        <v>148847913</v>
      </c>
      <c r="G40" s="9">
        <v>46419295</v>
      </c>
      <c r="I40" s="8">
        <f t="shared" si="0"/>
        <v>158671875</v>
      </c>
      <c r="J40" s="8">
        <f t="shared" si="1"/>
        <v>148847912.75797373</v>
      </c>
    </row>
    <row r="41" spans="1:11" x14ac:dyDescent="0.15">
      <c r="A41" s="7">
        <v>39</v>
      </c>
      <c r="B41" s="8">
        <v>0.40200000000000002</v>
      </c>
      <c r="C41" s="9">
        <v>56109375</v>
      </c>
      <c r="D41" s="8">
        <v>0.35199999999999998</v>
      </c>
      <c r="E41" s="9">
        <v>19753862</v>
      </c>
      <c r="F41" s="9">
        <v>139575560</v>
      </c>
      <c r="G41" s="9">
        <v>49200155</v>
      </c>
      <c r="I41" s="8">
        <f t="shared" si="0"/>
        <v>56109374.999999993</v>
      </c>
      <c r="J41" s="8">
        <f t="shared" si="1"/>
        <v>139575559.70149252</v>
      </c>
    </row>
    <row r="42" spans="1:11" x14ac:dyDescent="0.15">
      <c r="A42" s="7">
        <v>40</v>
      </c>
      <c r="B42" s="8">
        <v>1.2010000000000001</v>
      </c>
      <c r="C42" s="9">
        <v>166503906</v>
      </c>
      <c r="D42" s="8">
        <v>0.34300000000000003</v>
      </c>
      <c r="E42" s="9">
        <v>57057413</v>
      </c>
      <c r="F42" s="9">
        <v>138637724</v>
      </c>
      <c r="G42" s="9">
        <v>47508254</v>
      </c>
      <c r="I42" s="8">
        <f t="shared" si="0"/>
        <v>166503906</v>
      </c>
      <c r="J42" s="8">
        <f t="shared" si="1"/>
        <v>138637723.56369692</v>
      </c>
    </row>
    <row r="43" spans="1:11" x14ac:dyDescent="0.15">
      <c r="A43" s="7">
        <v>41</v>
      </c>
      <c r="B43" s="8">
        <v>1.38</v>
      </c>
      <c r="C43" s="9">
        <v>199218750</v>
      </c>
      <c r="D43" s="8">
        <v>0.30499999999999999</v>
      </c>
      <c r="E43" s="9">
        <v>60696554</v>
      </c>
      <c r="F43" s="9">
        <v>144361413</v>
      </c>
      <c r="G43" s="9">
        <v>43986197</v>
      </c>
      <c r="I43" s="8">
        <f t="shared" si="0"/>
        <v>199218750</v>
      </c>
      <c r="J43" s="8">
        <f t="shared" si="1"/>
        <v>144361413.04347828</v>
      </c>
    </row>
    <row r="45" spans="1:11" x14ac:dyDescent="0.15">
      <c r="A45" s="8" t="s">
        <v>53</v>
      </c>
      <c r="B45" s="8">
        <f>SUM(B2:B43)</f>
        <v>21.984000000000002</v>
      </c>
      <c r="C45" s="8">
        <f>SUM(C2:C43)</f>
        <v>3412640628</v>
      </c>
      <c r="E45" s="8">
        <f>SUM(E2:E43)</f>
        <v>1361451374</v>
      </c>
      <c r="I45" s="8">
        <f>SUM(I2:I43)/B45</f>
        <v>155232925.21834061</v>
      </c>
      <c r="J45" s="8">
        <f>AVERAGE(J2:J43)</f>
        <v>174489344.53874499</v>
      </c>
      <c r="K45" s="10">
        <f>E45/C45</f>
        <v>0.39894366925997926</v>
      </c>
    </row>
    <row r="46" spans="1:11" x14ac:dyDescent="0.15">
      <c r="A46" s="8" t="s">
        <v>55</v>
      </c>
      <c r="C46" s="10">
        <f>C45/1000000</f>
        <v>3412.6406280000001</v>
      </c>
      <c r="E46" s="10">
        <f>E45/1000000</f>
        <v>1361.451374</v>
      </c>
      <c r="I46" s="8">
        <f>I45/1000000</f>
        <v>155.2329252183406</v>
      </c>
      <c r="J46" s="8">
        <f>J45/1000000</f>
        <v>174.48934453874497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ADA409-499A-4C54-90BE-D83281B098CF}"/>
</file>

<file path=customXml/itemProps2.xml><?xml version="1.0" encoding="utf-8"?>
<ds:datastoreItem xmlns:ds="http://schemas.openxmlformats.org/officeDocument/2006/customXml" ds:itemID="{C1BF6436-083A-4507-AA30-4F6B08C9DF46}"/>
</file>

<file path=customXml/itemProps3.xml><?xml version="1.0" encoding="utf-8"?>
<ds:datastoreItem xmlns:ds="http://schemas.openxmlformats.org/officeDocument/2006/customXml" ds:itemID="{E2102180-AB16-4D3F-9540-F3D9B4A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0859Macaque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2024-10-31T23:33:26Z</dcterms:created>
  <dcterms:modified xsi:type="dcterms:W3CDTF">2024-11-01T00:50:13Z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