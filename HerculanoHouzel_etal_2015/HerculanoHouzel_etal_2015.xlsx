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codeName="ThisWorkbook" defaultThemeVersion="166925"/>
  <mc:AlternateContent xmlns:mc="http://schemas.openxmlformats.org/markup-compatibility/2006">
    <mc:Choice Requires="x15">
      <x15ac:absPath xmlns:x15ac="http://schemas.microsoft.com/office/spreadsheetml/2010/11/ac" url="https://alleninstitute.sharepoint.com/sites/MammalianM1/Shared Documents/General/Species/Evo M1 Trait Data/Cell_Counts_Isotropic_Fractionator/"/>
    </mc:Choice>
  </mc:AlternateContent>
  <xr:revisionPtr revIDLastSave="54" documentId="13_ncr:40009_{D9A01FD5-54F0-2F46-83F5-AB47BB064313}" xr6:coauthVersionLast="47" xr6:coauthVersionMax="47" xr10:uidLastSave="{2B36422F-7FA5-E747-9C75-308EB50D4677}"/>
  <bookViews>
    <workbookView xWindow="72960" yWindow="-10300" windowWidth="35040" windowHeight="21100" firstSheet="3" activeTab="10" xr2:uid="{00000000-000D-0000-FFFF-FFFF00000000}"/>
  </bookViews>
  <sheets>
    <sheet name="publishedTable1cerebral cortex" sheetId="8" r:id="rId1"/>
    <sheet name="publishedTable2cerebellum" sheetId="9" r:id="rId2"/>
    <sheet name="publishedTable3RoB" sheetId="10" r:id="rId3"/>
    <sheet name="publishedTable4olfactory bulb" sheetId="11" r:id="rId4"/>
    <sheet name="publishedTable5whole brain" sheetId="12" r:id="rId5"/>
    <sheet name="reformattedTable1cerebrum" sheetId="2" r:id="rId6"/>
    <sheet name="reformattedTable2cerebellum" sheetId="3" r:id="rId7"/>
    <sheet name="reformattedTable3RoB" sheetId="4" r:id="rId8"/>
    <sheet name="reformattedTable4olfactory_bulb" sheetId="5" r:id="rId9"/>
    <sheet name="reformattedTable5whole_brain" sheetId="6" r:id="rId10"/>
    <sheet name="Tables1_5" sheetId="7"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2" i="7" l="1"/>
  <c r="BM2" i="7"/>
  <c r="BN2" i="7"/>
  <c r="BO2" i="7"/>
  <c r="BP2" i="7"/>
  <c r="BQ2" i="7"/>
  <c r="BR2" i="7"/>
  <c r="BL3" i="7"/>
  <c r="BM3" i="7"/>
  <c r="BN3" i="7"/>
  <c r="BO3" i="7"/>
  <c r="BP3" i="7"/>
  <c r="BQ3" i="7"/>
  <c r="BR3" i="7"/>
  <c r="BL4" i="7"/>
  <c r="BM4" i="7"/>
  <c r="BN4" i="7"/>
  <c r="BO4" i="7"/>
  <c r="BP4" i="7"/>
  <c r="BQ4" i="7"/>
  <c r="BR4" i="7"/>
  <c r="BL5" i="7"/>
  <c r="BM5" i="7"/>
  <c r="BN5" i="7"/>
  <c r="BO5" i="7"/>
  <c r="BP5" i="7"/>
  <c r="BQ5" i="7"/>
  <c r="BR5" i="7"/>
  <c r="BL6" i="7"/>
  <c r="BM6" i="7"/>
  <c r="BN6" i="7"/>
  <c r="BO6" i="7"/>
  <c r="BP6" i="7"/>
  <c r="BQ6" i="7"/>
  <c r="BR6" i="7"/>
  <c r="BL7" i="7"/>
  <c r="BM7" i="7"/>
  <c r="BN7" i="7"/>
  <c r="BO7" i="7"/>
  <c r="BP7" i="7"/>
  <c r="BQ7" i="7"/>
  <c r="BR7" i="7"/>
  <c r="BL8" i="7"/>
  <c r="BM8" i="7"/>
  <c r="BN8" i="7"/>
  <c r="BO8" i="7"/>
  <c r="BP8" i="7"/>
  <c r="BQ8" i="7"/>
  <c r="BR8" i="7"/>
  <c r="BL9" i="7"/>
  <c r="BM9" i="7"/>
  <c r="BN9" i="7"/>
  <c r="BO9" i="7"/>
  <c r="BP9" i="7"/>
  <c r="BQ9" i="7"/>
  <c r="BR9" i="7"/>
  <c r="BL10" i="7"/>
  <c r="BM10" i="7"/>
  <c r="BN10" i="7"/>
  <c r="BO10" i="7"/>
  <c r="BP10" i="7"/>
  <c r="BQ10" i="7"/>
  <c r="BR10" i="7"/>
  <c r="BL11" i="7"/>
  <c r="BM11" i="7"/>
  <c r="BN11" i="7"/>
  <c r="BO11" i="7"/>
  <c r="BP11" i="7"/>
  <c r="BQ11" i="7"/>
  <c r="BR11" i="7"/>
  <c r="BL12" i="7"/>
  <c r="BM12" i="7"/>
  <c r="BN12" i="7"/>
  <c r="BO12" i="7"/>
  <c r="BP12" i="7"/>
  <c r="BQ12" i="7"/>
  <c r="BR12" i="7"/>
  <c r="BL13" i="7"/>
  <c r="BM13" i="7"/>
  <c r="BN13" i="7"/>
  <c r="BO13" i="7"/>
  <c r="BP13" i="7"/>
  <c r="BQ13" i="7"/>
  <c r="BR13" i="7"/>
  <c r="BL14" i="7"/>
  <c r="BM14" i="7"/>
  <c r="BN14" i="7"/>
  <c r="BO14" i="7"/>
  <c r="BP14" i="7"/>
  <c r="BQ14" i="7"/>
  <c r="BR14" i="7"/>
  <c r="BL15" i="7"/>
  <c r="BM15" i="7"/>
  <c r="BN15" i="7"/>
  <c r="BO15" i="7"/>
  <c r="BP15" i="7"/>
  <c r="BQ15" i="7"/>
  <c r="BR15" i="7"/>
  <c r="BL16" i="7"/>
  <c r="BM16" i="7"/>
  <c r="BN16" i="7"/>
  <c r="BO16" i="7"/>
  <c r="BP16" i="7"/>
  <c r="BQ16" i="7"/>
  <c r="BR16" i="7"/>
  <c r="BL17" i="7"/>
  <c r="BM17" i="7"/>
  <c r="BN17" i="7"/>
  <c r="BO17" i="7"/>
  <c r="BP17" i="7"/>
  <c r="BQ17" i="7"/>
  <c r="BR17" i="7"/>
  <c r="BL18" i="7"/>
  <c r="BM18" i="7"/>
  <c r="BN18" i="7"/>
  <c r="BO18" i="7"/>
  <c r="BP18" i="7"/>
  <c r="BQ18" i="7"/>
  <c r="BR18" i="7"/>
  <c r="BL19" i="7"/>
  <c r="BM19" i="7"/>
  <c r="BN19" i="7"/>
  <c r="BO19" i="7"/>
  <c r="BP19" i="7"/>
  <c r="BQ19" i="7"/>
  <c r="BR19" i="7"/>
  <c r="BL20" i="7"/>
  <c r="BM20" i="7"/>
  <c r="BN20" i="7"/>
  <c r="BO20" i="7"/>
  <c r="BP20" i="7"/>
  <c r="BQ20" i="7"/>
  <c r="BR20" i="7"/>
  <c r="BL21" i="7"/>
  <c r="BM21" i="7"/>
  <c r="BN21" i="7"/>
  <c r="BO21" i="7"/>
  <c r="BP21" i="7"/>
  <c r="BQ21" i="7"/>
  <c r="BR21" i="7"/>
  <c r="BL22" i="7"/>
  <c r="BM22" i="7"/>
  <c r="BN22" i="7"/>
  <c r="BO22" i="7"/>
  <c r="BP22" i="7"/>
  <c r="BQ22" i="7"/>
  <c r="BR22" i="7"/>
  <c r="BL23" i="7"/>
  <c r="BM23" i="7"/>
  <c r="BN23" i="7"/>
  <c r="BO23" i="7"/>
  <c r="BP23" i="7"/>
  <c r="BQ23" i="7"/>
  <c r="BR23" i="7"/>
  <c r="BL24" i="7"/>
  <c r="BM24" i="7"/>
  <c r="BN24" i="7"/>
  <c r="BO24" i="7"/>
  <c r="BP24" i="7"/>
  <c r="BQ24" i="7"/>
  <c r="BR24" i="7"/>
  <c r="BL25" i="7"/>
  <c r="BM25" i="7"/>
  <c r="BN25" i="7"/>
  <c r="BO25" i="7"/>
  <c r="BP25" i="7"/>
  <c r="BQ25" i="7"/>
  <c r="BR25" i="7"/>
  <c r="BL26" i="7"/>
  <c r="BM26" i="7"/>
  <c r="BN26" i="7"/>
  <c r="BO26" i="7"/>
  <c r="BP26" i="7"/>
  <c r="BQ26" i="7"/>
  <c r="BR26" i="7"/>
  <c r="BL27" i="7"/>
  <c r="BM27" i="7"/>
  <c r="BN27" i="7"/>
  <c r="BO27" i="7"/>
  <c r="BP27" i="7"/>
  <c r="BQ27" i="7"/>
  <c r="BR27" i="7"/>
  <c r="BL28" i="7"/>
  <c r="BM28" i="7"/>
  <c r="BN28" i="7"/>
  <c r="BO28" i="7"/>
  <c r="BP28" i="7"/>
  <c r="BQ28" i="7"/>
  <c r="BR28" i="7"/>
  <c r="BL29" i="7"/>
  <c r="BM29" i="7"/>
  <c r="BN29" i="7"/>
  <c r="BO29" i="7"/>
  <c r="BP29" i="7"/>
  <c r="BQ29" i="7"/>
  <c r="BR29" i="7"/>
  <c r="BL30" i="7"/>
  <c r="BM30" i="7"/>
  <c r="BN30" i="7"/>
  <c r="BO30" i="7"/>
  <c r="BP30" i="7"/>
  <c r="BQ30" i="7"/>
  <c r="BR30" i="7"/>
  <c r="BL31" i="7"/>
  <c r="BM31" i="7"/>
  <c r="BN31" i="7"/>
  <c r="BO31" i="7"/>
  <c r="BP31" i="7"/>
  <c r="BQ31" i="7"/>
  <c r="BR31" i="7"/>
  <c r="BL32" i="7"/>
  <c r="BM32" i="7"/>
  <c r="BN32" i="7"/>
  <c r="BO32" i="7"/>
  <c r="BP32" i="7"/>
  <c r="BQ32" i="7"/>
  <c r="BR32" i="7"/>
  <c r="BL33" i="7"/>
  <c r="BM33" i="7"/>
  <c r="BN33" i="7"/>
  <c r="BO33" i="7"/>
  <c r="BP33" i="7"/>
  <c r="BQ33" i="7"/>
  <c r="BR33" i="7"/>
  <c r="BL34" i="7"/>
  <c r="BM34" i="7"/>
  <c r="BN34" i="7"/>
  <c r="BO34" i="7"/>
  <c r="BP34" i="7"/>
  <c r="BQ34" i="7"/>
  <c r="BR34" i="7"/>
  <c r="BL35" i="7"/>
  <c r="BM35" i="7"/>
  <c r="BN35" i="7"/>
  <c r="BO35" i="7"/>
  <c r="BP35" i="7"/>
  <c r="BQ35" i="7"/>
  <c r="BR35" i="7"/>
  <c r="BL36" i="7"/>
  <c r="BM36" i="7"/>
  <c r="BN36" i="7"/>
  <c r="BO36" i="7"/>
  <c r="BP36" i="7"/>
  <c r="BQ36" i="7"/>
  <c r="BR36" i="7"/>
  <c r="BL37" i="7"/>
  <c r="BM37" i="7"/>
  <c r="BN37" i="7"/>
  <c r="BO37" i="7"/>
  <c r="BP37" i="7"/>
  <c r="BQ37" i="7"/>
  <c r="BR37" i="7"/>
  <c r="BL38" i="7"/>
  <c r="BM38" i="7"/>
  <c r="BN38" i="7"/>
  <c r="BO38" i="7"/>
  <c r="BP38" i="7"/>
  <c r="BQ38" i="7"/>
  <c r="BR38" i="7"/>
  <c r="BL39" i="7"/>
  <c r="BM39" i="7"/>
  <c r="BN39" i="7"/>
  <c r="BO39" i="7"/>
  <c r="BP39" i="7"/>
  <c r="BQ39" i="7"/>
  <c r="BR39" i="7"/>
  <c r="BL40" i="7"/>
  <c r="BM40" i="7"/>
  <c r="BN40" i="7"/>
  <c r="BO40" i="7"/>
  <c r="BP40" i="7"/>
  <c r="BQ40" i="7"/>
  <c r="BR40" i="7"/>
  <c r="BL41" i="7"/>
  <c r="BM41" i="7"/>
  <c r="BN41" i="7"/>
  <c r="BO41" i="7"/>
  <c r="BP41" i="7"/>
  <c r="BQ41" i="7"/>
  <c r="BR41" i="7"/>
  <c r="BL42" i="7"/>
  <c r="BM42" i="7"/>
  <c r="BN42" i="7"/>
  <c r="BO42" i="7"/>
  <c r="BP42" i="7"/>
  <c r="BQ42" i="7"/>
  <c r="BR42" i="7"/>
  <c r="BL43" i="7"/>
  <c r="BM43" i="7"/>
  <c r="BN43" i="7"/>
  <c r="BO43" i="7"/>
  <c r="BP43" i="7"/>
  <c r="BQ43" i="7"/>
  <c r="BR43" i="7"/>
  <c r="BJ2" i="7"/>
  <c r="BK2" i="7"/>
  <c r="BJ3" i="7"/>
  <c r="BK3" i="7"/>
  <c r="BJ4" i="7"/>
  <c r="BK4" i="7"/>
  <c r="BJ5" i="7"/>
  <c r="BK5" i="7"/>
  <c r="BJ6" i="7"/>
  <c r="BK6" i="7"/>
  <c r="BJ7" i="7"/>
  <c r="BK7" i="7"/>
  <c r="BJ8" i="7"/>
  <c r="BK8" i="7"/>
  <c r="BJ9" i="7"/>
  <c r="BK9" i="7"/>
  <c r="BJ10" i="7"/>
  <c r="BK10" i="7"/>
  <c r="BJ11" i="7"/>
  <c r="BK11" i="7"/>
  <c r="BJ12" i="7"/>
  <c r="BK12" i="7"/>
  <c r="BJ13" i="7"/>
  <c r="BK13" i="7"/>
  <c r="BJ14" i="7"/>
  <c r="BK14" i="7"/>
  <c r="BJ15" i="7"/>
  <c r="BK15" i="7"/>
  <c r="BJ16" i="7"/>
  <c r="BK16" i="7"/>
  <c r="BJ17" i="7"/>
  <c r="BK17" i="7"/>
  <c r="BJ18" i="7"/>
  <c r="BK18" i="7"/>
  <c r="BJ19" i="7"/>
  <c r="BK19" i="7"/>
  <c r="BJ20" i="7"/>
  <c r="BK20" i="7"/>
  <c r="BJ21" i="7"/>
  <c r="BK21" i="7"/>
  <c r="BJ22" i="7"/>
  <c r="BK22" i="7"/>
  <c r="BJ23" i="7"/>
  <c r="BK23" i="7"/>
  <c r="BJ24" i="7"/>
  <c r="BK24" i="7"/>
  <c r="BJ25" i="7"/>
  <c r="BK25" i="7"/>
  <c r="BJ26" i="7"/>
  <c r="BK26" i="7"/>
  <c r="BJ27" i="7"/>
  <c r="BK27" i="7"/>
  <c r="BJ28" i="7"/>
  <c r="BK28" i="7"/>
  <c r="BJ29" i="7"/>
  <c r="BK29" i="7"/>
  <c r="BJ30" i="7"/>
  <c r="BK30" i="7"/>
  <c r="BJ31" i="7"/>
  <c r="BK31" i="7"/>
  <c r="BJ32" i="7"/>
  <c r="BK32" i="7"/>
  <c r="BJ33" i="7"/>
  <c r="BK33" i="7"/>
  <c r="BJ34" i="7"/>
  <c r="BK34" i="7"/>
  <c r="BJ35" i="7"/>
  <c r="BK35" i="7"/>
  <c r="BJ36" i="7"/>
  <c r="BK36" i="7"/>
  <c r="BJ37" i="7"/>
  <c r="BK37" i="7"/>
  <c r="BJ38" i="7"/>
  <c r="BK38" i="7"/>
  <c r="BJ39" i="7"/>
  <c r="BK39" i="7"/>
  <c r="BJ40" i="7"/>
  <c r="BK40" i="7"/>
  <c r="BJ41" i="7"/>
  <c r="BK41" i="7"/>
  <c r="BJ42" i="7"/>
  <c r="BK42" i="7"/>
  <c r="BJ43" i="7"/>
  <c r="BK43" i="7"/>
  <c r="BI2" i="7"/>
  <c r="BI3" i="7"/>
  <c r="BI4" i="7"/>
  <c r="BI5" i="7"/>
  <c r="BI6" i="7"/>
  <c r="BI7" i="7"/>
  <c r="BI8" i="7"/>
  <c r="BI9" i="7"/>
  <c r="BI10" i="7"/>
  <c r="BI11" i="7"/>
  <c r="BI12" i="7"/>
  <c r="BI13" i="7"/>
  <c r="BI14" i="7"/>
  <c r="BI15" i="7"/>
  <c r="BI16" i="7"/>
  <c r="BI17" i="7"/>
  <c r="BI18" i="7"/>
  <c r="BI19" i="7"/>
  <c r="BI20" i="7"/>
  <c r="BI21" i="7"/>
  <c r="BI22" i="7"/>
  <c r="BI23" i="7"/>
  <c r="BI24" i="7"/>
  <c r="BI25" i="7"/>
  <c r="BI26" i="7"/>
  <c r="BI27" i="7"/>
  <c r="BI28" i="7"/>
  <c r="BI29" i="7"/>
  <c r="BI30" i="7"/>
  <c r="BI31" i="7"/>
  <c r="BI32" i="7"/>
  <c r="BI33" i="7"/>
  <c r="BI34" i="7"/>
  <c r="BI35" i="7"/>
  <c r="BI36" i="7"/>
  <c r="BI37" i="7"/>
  <c r="BI38" i="7"/>
  <c r="BI39" i="7"/>
  <c r="BI40" i="7"/>
  <c r="BI41" i="7"/>
  <c r="BI42" i="7"/>
  <c r="BI43" i="7"/>
  <c r="BH2" i="7"/>
  <c r="BH3" i="7"/>
  <c r="BH4" i="7"/>
  <c r="BH5" i="7"/>
  <c r="BH6" i="7"/>
  <c r="BH7" i="7"/>
  <c r="BH8" i="7"/>
  <c r="BH9" i="7"/>
  <c r="BH10" i="7"/>
  <c r="BH11" i="7"/>
  <c r="BH12" i="7"/>
  <c r="BH13" i="7"/>
  <c r="BH14" i="7"/>
  <c r="BH15" i="7"/>
  <c r="BH16" i="7"/>
  <c r="BH17" i="7"/>
  <c r="BH18" i="7"/>
  <c r="BH19" i="7"/>
  <c r="BH20" i="7"/>
  <c r="BH21" i="7"/>
  <c r="BH22" i="7"/>
  <c r="BH23" i="7"/>
  <c r="BH24" i="7"/>
  <c r="BH25" i="7"/>
  <c r="BH26" i="7"/>
  <c r="BH27" i="7"/>
  <c r="BH28" i="7"/>
  <c r="BH29" i="7"/>
  <c r="BH30" i="7"/>
  <c r="BH31" i="7"/>
  <c r="BH32" i="7"/>
  <c r="BH33" i="7"/>
  <c r="BH34" i="7"/>
  <c r="BH35" i="7"/>
  <c r="BH36" i="7"/>
  <c r="BH37" i="7"/>
  <c r="BH38" i="7"/>
  <c r="BH39" i="7"/>
  <c r="BH40" i="7"/>
  <c r="BH41" i="7"/>
  <c r="BH42" i="7"/>
  <c r="BH43" i="7"/>
  <c r="BG2" i="7"/>
  <c r="BG3" i="7"/>
  <c r="BG4" i="7"/>
  <c r="BG5" i="7"/>
  <c r="BG6" i="7"/>
  <c r="BG7" i="7"/>
  <c r="BG8" i="7"/>
  <c r="BG9" i="7"/>
  <c r="BG10" i="7"/>
  <c r="BG11" i="7"/>
  <c r="BG12" i="7"/>
  <c r="BG13" i="7"/>
  <c r="BG14" i="7"/>
  <c r="BG15" i="7"/>
  <c r="BG16" i="7"/>
  <c r="BG17" i="7"/>
  <c r="BG18" i="7"/>
  <c r="BG19" i="7"/>
  <c r="BG20" i="7"/>
  <c r="BG21" i="7"/>
  <c r="BG22" i="7"/>
  <c r="BG23" i="7"/>
  <c r="BG24" i="7"/>
  <c r="BG25" i="7"/>
  <c r="BG26" i="7"/>
  <c r="BG27" i="7"/>
  <c r="BG28" i="7"/>
  <c r="BG29" i="7"/>
  <c r="BG30" i="7"/>
  <c r="BG31" i="7"/>
  <c r="BG32" i="7"/>
  <c r="BG33" i="7"/>
  <c r="BG34" i="7"/>
  <c r="BG35" i="7"/>
  <c r="BG36" i="7"/>
  <c r="BG37" i="7"/>
  <c r="BG38" i="7"/>
  <c r="BG39" i="7"/>
  <c r="BG40" i="7"/>
  <c r="BG41" i="7"/>
  <c r="BG42" i="7"/>
  <c r="BG43" i="7"/>
  <c r="BR1" i="7"/>
  <c r="BQ1" i="7"/>
  <c r="BP1" i="7"/>
  <c r="BO1" i="7"/>
  <c r="BN1" i="7"/>
  <c r="BM1" i="7"/>
  <c r="BL1" i="7"/>
  <c r="BK1" i="7"/>
  <c r="BJ1" i="7"/>
  <c r="BI1" i="7"/>
  <c r="BH1" i="7"/>
  <c r="BG1" i="7"/>
  <c r="BF2" i="7"/>
  <c r="BF3" i="7"/>
  <c r="BF4" i="7"/>
  <c r="BF5" i="7"/>
  <c r="BF6" i="7"/>
  <c r="BF7" i="7"/>
  <c r="BF8" i="7"/>
  <c r="BF9" i="7"/>
  <c r="BF10" i="7"/>
  <c r="BF11" i="7"/>
  <c r="BF12" i="7"/>
  <c r="BF13" i="7"/>
  <c r="BF14" i="7"/>
  <c r="BF15" i="7"/>
  <c r="BF16" i="7"/>
  <c r="BF17" i="7"/>
  <c r="BF18" i="7"/>
  <c r="BF19" i="7"/>
  <c r="BF20" i="7"/>
  <c r="BF21" i="7"/>
  <c r="BF22" i="7"/>
  <c r="BF23" i="7"/>
  <c r="BF24" i="7"/>
  <c r="BF25" i="7"/>
  <c r="BF26" i="7"/>
  <c r="BF27" i="7"/>
  <c r="BF28" i="7"/>
  <c r="BF29" i="7"/>
  <c r="BF30" i="7"/>
  <c r="BF31" i="7"/>
  <c r="BF32" i="7"/>
  <c r="BF33" i="7"/>
  <c r="BF34" i="7"/>
  <c r="BF35" i="7"/>
  <c r="BF36" i="7"/>
  <c r="BF37" i="7"/>
  <c r="BF38" i="7"/>
  <c r="BF39" i="7"/>
  <c r="BF40" i="7"/>
  <c r="BF41" i="7"/>
  <c r="BF42" i="7"/>
  <c r="BF43" i="7"/>
  <c r="BE2" i="7"/>
  <c r="BE3" i="7"/>
  <c r="BE4" i="7"/>
  <c r="BE5" i="7"/>
  <c r="BE6" i="7"/>
  <c r="BE7" i="7"/>
  <c r="BE8" i="7"/>
  <c r="BE9" i="7"/>
  <c r="BE10" i="7"/>
  <c r="BE11" i="7"/>
  <c r="BE12" i="7"/>
  <c r="BE13" i="7"/>
  <c r="BE14" i="7"/>
  <c r="BE15" i="7"/>
  <c r="BE16" i="7"/>
  <c r="BE17" i="7"/>
  <c r="BE18" i="7"/>
  <c r="BE19" i="7"/>
  <c r="BE20" i="7"/>
  <c r="BE21" i="7"/>
  <c r="BE22" i="7"/>
  <c r="BE23" i="7"/>
  <c r="BE24" i="7"/>
  <c r="BE25" i="7"/>
  <c r="BE26" i="7"/>
  <c r="BE27" i="7"/>
  <c r="BE28" i="7"/>
  <c r="BE29" i="7"/>
  <c r="BE30" i="7"/>
  <c r="BE31" i="7"/>
  <c r="BE32" i="7"/>
  <c r="BE33" i="7"/>
  <c r="BE34" i="7"/>
  <c r="BE35" i="7"/>
  <c r="BE36" i="7"/>
  <c r="BE37" i="7"/>
  <c r="BE38" i="7"/>
  <c r="BE39" i="7"/>
  <c r="BE40" i="7"/>
  <c r="BE41" i="7"/>
  <c r="BE42" i="7"/>
  <c r="BE43" i="7"/>
  <c r="BD2" i="7"/>
  <c r="BD3" i="7"/>
  <c r="BD4" i="7"/>
  <c r="BD5" i="7"/>
  <c r="BD6" i="7"/>
  <c r="BD7" i="7"/>
  <c r="BD8" i="7"/>
  <c r="BD9" i="7"/>
  <c r="BD10" i="7"/>
  <c r="BD11" i="7"/>
  <c r="BD12" i="7"/>
  <c r="BD13" i="7"/>
  <c r="BD14" i="7"/>
  <c r="BD15" i="7"/>
  <c r="BD16" i="7"/>
  <c r="BD17" i="7"/>
  <c r="BD18" i="7"/>
  <c r="BD19" i="7"/>
  <c r="BD20" i="7"/>
  <c r="BD21" i="7"/>
  <c r="BD22" i="7"/>
  <c r="BD23" i="7"/>
  <c r="BD24" i="7"/>
  <c r="BD25" i="7"/>
  <c r="BD26" i="7"/>
  <c r="BD27" i="7"/>
  <c r="BD28" i="7"/>
  <c r="BD29" i="7"/>
  <c r="BD30" i="7"/>
  <c r="BD31" i="7"/>
  <c r="BD32" i="7"/>
  <c r="BD33" i="7"/>
  <c r="BD34" i="7"/>
  <c r="BD35" i="7"/>
  <c r="BD36" i="7"/>
  <c r="BD37" i="7"/>
  <c r="BD38" i="7"/>
  <c r="BD39" i="7"/>
  <c r="BD40" i="7"/>
  <c r="BD41" i="7"/>
  <c r="BD42" i="7"/>
  <c r="BD43" i="7"/>
  <c r="BC2" i="7"/>
  <c r="BC3" i="7"/>
  <c r="BC4" i="7"/>
  <c r="BC5" i="7"/>
  <c r="BC6" i="7"/>
  <c r="BC7" i="7"/>
  <c r="BC8" i="7"/>
  <c r="BC9" i="7"/>
  <c r="BC10" i="7"/>
  <c r="BC11" i="7"/>
  <c r="BC12" i="7"/>
  <c r="BC13" i="7"/>
  <c r="BC14" i="7"/>
  <c r="BC15" i="7"/>
  <c r="BC16" i="7"/>
  <c r="BC17" i="7"/>
  <c r="BC18" i="7"/>
  <c r="BC19" i="7"/>
  <c r="BC20" i="7"/>
  <c r="BC21" i="7"/>
  <c r="BC22" i="7"/>
  <c r="BC23" i="7"/>
  <c r="BC24" i="7"/>
  <c r="BC25" i="7"/>
  <c r="BC26" i="7"/>
  <c r="BC27" i="7"/>
  <c r="BC28" i="7"/>
  <c r="BC29" i="7"/>
  <c r="BC30" i="7"/>
  <c r="BC31" i="7"/>
  <c r="BC32" i="7"/>
  <c r="BC33" i="7"/>
  <c r="BC34" i="7"/>
  <c r="BC35" i="7"/>
  <c r="BC36" i="7"/>
  <c r="BC37" i="7"/>
  <c r="BC38" i="7"/>
  <c r="BC39" i="7"/>
  <c r="BC40" i="7"/>
  <c r="BC41" i="7"/>
  <c r="BC42" i="7"/>
  <c r="BC43" i="7"/>
  <c r="BB2" i="7"/>
  <c r="BB3" i="7"/>
  <c r="BB4" i="7"/>
  <c r="BB5" i="7"/>
  <c r="BB6" i="7"/>
  <c r="BB7" i="7"/>
  <c r="BB8" i="7"/>
  <c r="BB9" i="7"/>
  <c r="BB10" i="7"/>
  <c r="BB11" i="7"/>
  <c r="BB12" i="7"/>
  <c r="BB13" i="7"/>
  <c r="BB14" i="7"/>
  <c r="BB15" i="7"/>
  <c r="BB16" i="7"/>
  <c r="BB17" i="7"/>
  <c r="BB18" i="7"/>
  <c r="BB19" i="7"/>
  <c r="BB20" i="7"/>
  <c r="BB21" i="7"/>
  <c r="BB22" i="7"/>
  <c r="BB23" i="7"/>
  <c r="BB24" i="7"/>
  <c r="BB25" i="7"/>
  <c r="BB26" i="7"/>
  <c r="BB27" i="7"/>
  <c r="BB28" i="7"/>
  <c r="BB29" i="7"/>
  <c r="BB30" i="7"/>
  <c r="BB31" i="7"/>
  <c r="BB32" i="7"/>
  <c r="BB33" i="7"/>
  <c r="BB34" i="7"/>
  <c r="BB35" i="7"/>
  <c r="BB36" i="7"/>
  <c r="BB37" i="7"/>
  <c r="BB38" i="7"/>
  <c r="BB39" i="7"/>
  <c r="BB40" i="7"/>
  <c r="BB41" i="7"/>
  <c r="BB42" i="7"/>
  <c r="BB43" i="7"/>
  <c r="BA2" i="7"/>
  <c r="BA3" i="7"/>
  <c r="BA4" i="7"/>
  <c r="BA5" i="7"/>
  <c r="BA6" i="7"/>
  <c r="BA7" i="7"/>
  <c r="BA8" i="7"/>
  <c r="BA9" i="7"/>
  <c r="BA10" i="7"/>
  <c r="BA11" i="7"/>
  <c r="BA12" i="7"/>
  <c r="BA13" i="7"/>
  <c r="BA14" i="7"/>
  <c r="BA15" i="7"/>
  <c r="BA16" i="7"/>
  <c r="BA17" i="7"/>
  <c r="BA18" i="7"/>
  <c r="BA19" i="7"/>
  <c r="BA20" i="7"/>
  <c r="BA21" i="7"/>
  <c r="BA22" i="7"/>
  <c r="BA23" i="7"/>
  <c r="BA24" i="7"/>
  <c r="BA25" i="7"/>
  <c r="BA26" i="7"/>
  <c r="BA27" i="7"/>
  <c r="BA28" i="7"/>
  <c r="BA29" i="7"/>
  <c r="BA30" i="7"/>
  <c r="BA31" i="7"/>
  <c r="BA32" i="7"/>
  <c r="BA33" i="7"/>
  <c r="BA34" i="7"/>
  <c r="BA35" i="7"/>
  <c r="BA36" i="7"/>
  <c r="BA37" i="7"/>
  <c r="BA38" i="7"/>
  <c r="BA39" i="7"/>
  <c r="BA40" i="7"/>
  <c r="BA41" i="7"/>
  <c r="BA42" i="7"/>
  <c r="BA43" i="7"/>
  <c r="AZ2" i="7"/>
  <c r="AZ3" i="7"/>
  <c r="AZ4" i="7"/>
  <c r="AZ5" i="7"/>
  <c r="AZ6" i="7"/>
  <c r="AZ7" i="7"/>
  <c r="AZ8" i="7"/>
  <c r="AZ9" i="7"/>
  <c r="AZ10" i="7"/>
  <c r="AZ11" i="7"/>
  <c r="AZ12" i="7"/>
  <c r="AZ13" i="7"/>
  <c r="AZ14" i="7"/>
  <c r="AZ15" i="7"/>
  <c r="AZ16" i="7"/>
  <c r="AZ17" i="7"/>
  <c r="AZ18" i="7"/>
  <c r="AZ19" i="7"/>
  <c r="AZ20" i="7"/>
  <c r="AZ21" i="7"/>
  <c r="AZ22" i="7"/>
  <c r="AZ23" i="7"/>
  <c r="AZ24" i="7"/>
  <c r="AZ25" i="7"/>
  <c r="AZ26" i="7"/>
  <c r="AZ27" i="7"/>
  <c r="AZ28" i="7"/>
  <c r="AZ29" i="7"/>
  <c r="AZ30" i="7"/>
  <c r="AZ31" i="7"/>
  <c r="AZ32" i="7"/>
  <c r="AZ33" i="7"/>
  <c r="AZ34" i="7"/>
  <c r="AZ35" i="7"/>
  <c r="AZ36" i="7"/>
  <c r="AZ37" i="7"/>
  <c r="AZ38" i="7"/>
  <c r="AZ39" i="7"/>
  <c r="AZ40" i="7"/>
  <c r="AZ41" i="7"/>
  <c r="AZ42" i="7"/>
  <c r="AZ43" i="7"/>
  <c r="AY2" i="7"/>
  <c r="AY3" i="7"/>
  <c r="AY4" i="7"/>
  <c r="AY5" i="7"/>
  <c r="AY6" i="7"/>
  <c r="AY7" i="7"/>
  <c r="AY8" i="7"/>
  <c r="AY9" i="7"/>
  <c r="AY10" i="7"/>
  <c r="AY11" i="7"/>
  <c r="AY12" i="7"/>
  <c r="AY13" i="7"/>
  <c r="AY14" i="7"/>
  <c r="AY15" i="7"/>
  <c r="AY16" i="7"/>
  <c r="AY17" i="7"/>
  <c r="AY18" i="7"/>
  <c r="AY19" i="7"/>
  <c r="AY20" i="7"/>
  <c r="AY21" i="7"/>
  <c r="AY22" i="7"/>
  <c r="AY23" i="7"/>
  <c r="AY24" i="7"/>
  <c r="AY25" i="7"/>
  <c r="AY26" i="7"/>
  <c r="AY27" i="7"/>
  <c r="AY28" i="7"/>
  <c r="AY29" i="7"/>
  <c r="AY30" i="7"/>
  <c r="AY31" i="7"/>
  <c r="AY32" i="7"/>
  <c r="AY33" i="7"/>
  <c r="AY34" i="7"/>
  <c r="AY35" i="7"/>
  <c r="AY36" i="7"/>
  <c r="AY37" i="7"/>
  <c r="AY38" i="7"/>
  <c r="AY39" i="7"/>
  <c r="AY40" i="7"/>
  <c r="AY41" i="7"/>
  <c r="AY42" i="7"/>
  <c r="AY43" i="7"/>
  <c r="AX2" i="7"/>
  <c r="AX3" i="7"/>
  <c r="AX4" i="7"/>
  <c r="AX5" i="7"/>
  <c r="AX6" i="7"/>
  <c r="AX7" i="7"/>
  <c r="AX8" i="7"/>
  <c r="AX9" i="7"/>
  <c r="AX10" i="7"/>
  <c r="AX11" i="7"/>
  <c r="AX12" i="7"/>
  <c r="AX13" i="7"/>
  <c r="AX14" i="7"/>
  <c r="AX15" i="7"/>
  <c r="AX16" i="7"/>
  <c r="AX17" i="7"/>
  <c r="AX18" i="7"/>
  <c r="AX19" i="7"/>
  <c r="AX20" i="7"/>
  <c r="AX21" i="7"/>
  <c r="AX22" i="7"/>
  <c r="AX23" i="7"/>
  <c r="AX24" i="7"/>
  <c r="AX25" i="7"/>
  <c r="AX26" i="7"/>
  <c r="AX27" i="7"/>
  <c r="AX28" i="7"/>
  <c r="AX29" i="7"/>
  <c r="AX30" i="7"/>
  <c r="AX31" i="7"/>
  <c r="AX32" i="7"/>
  <c r="AX33" i="7"/>
  <c r="AX34" i="7"/>
  <c r="AX35" i="7"/>
  <c r="AX36" i="7"/>
  <c r="AX37" i="7"/>
  <c r="AX38" i="7"/>
  <c r="AX39" i="7"/>
  <c r="AX40" i="7"/>
  <c r="AX41" i="7"/>
  <c r="AX42" i="7"/>
  <c r="AX43" i="7"/>
  <c r="AW2" i="7"/>
  <c r="AW3" i="7"/>
  <c r="AW4" i="7"/>
  <c r="AW5" i="7"/>
  <c r="AW6" i="7"/>
  <c r="AW7" i="7"/>
  <c r="AW8" i="7"/>
  <c r="AW9" i="7"/>
  <c r="AW10" i="7"/>
  <c r="AW11" i="7"/>
  <c r="AW12" i="7"/>
  <c r="AW13" i="7"/>
  <c r="AW14" i="7"/>
  <c r="AW15" i="7"/>
  <c r="AW16" i="7"/>
  <c r="AW17" i="7"/>
  <c r="AW18" i="7"/>
  <c r="AW19" i="7"/>
  <c r="AW20" i="7"/>
  <c r="AW21" i="7"/>
  <c r="AW22" i="7"/>
  <c r="AW23" i="7"/>
  <c r="AW24" i="7"/>
  <c r="AW25" i="7"/>
  <c r="AW26" i="7"/>
  <c r="AW27" i="7"/>
  <c r="AW28" i="7"/>
  <c r="AW29" i="7"/>
  <c r="AW30" i="7"/>
  <c r="AW31" i="7"/>
  <c r="AW32" i="7"/>
  <c r="AW33" i="7"/>
  <c r="AW34" i="7"/>
  <c r="AW35" i="7"/>
  <c r="AW36" i="7"/>
  <c r="AW37" i="7"/>
  <c r="AW38" i="7"/>
  <c r="AW39" i="7"/>
  <c r="AW40" i="7"/>
  <c r="AW41" i="7"/>
  <c r="AW42" i="7"/>
  <c r="AW43" i="7"/>
  <c r="AV2" i="7"/>
  <c r="AV3" i="7"/>
  <c r="AV4" i="7"/>
  <c r="AV5" i="7"/>
  <c r="AV6" i="7"/>
  <c r="AV7" i="7"/>
  <c r="AV8" i="7"/>
  <c r="AV9" i="7"/>
  <c r="AV10" i="7"/>
  <c r="AV11" i="7"/>
  <c r="AV12" i="7"/>
  <c r="AV13" i="7"/>
  <c r="AV14" i="7"/>
  <c r="AV15" i="7"/>
  <c r="AV16" i="7"/>
  <c r="AV17" i="7"/>
  <c r="AV18" i="7"/>
  <c r="AV19" i="7"/>
  <c r="AV20" i="7"/>
  <c r="AV21" i="7"/>
  <c r="AV22" i="7"/>
  <c r="AV23" i="7"/>
  <c r="AV24" i="7"/>
  <c r="AV25" i="7"/>
  <c r="AV26" i="7"/>
  <c r="AV27" i="7"/>
  <c r="AV28" i="7"/>
  <c r="AV29" i="7"/>
  <c r="AV30" i="7"/>
  <c r="AV31" i="7"/>
  <c r="AV32" i="7"/>
  <c r="AV33" i="7"/>
  <c r="AV34" i="7"/>
  <c r="AV35" i="7"/>
  <c r="AV36" i="7"/>
  <c r="AV37" i="7"/>
  <c r="AV38" i="7"/>
  <c r="AV39" i="7"/>
  <c r="AV40" i="7"/>
  <c r="AV41" i="7"/>
  <c r="AV42" i="7"/>
  <c r="AV43" i="7"/>
  <c r="AU2" i="7"/>
  <c r="AU3" i="7"/>
  <c r="AU4" i="7"/>
  <c r="AU5" i="7"/>
  <c r="AU6" i="7"/>
  <c r="AU7" i="7"/>
  <c r="AU8" i="7"/>
  <c r="AU9" i="7"/>
  <c r="AU10" i="7"/>
  <c r="AU11" i="7"/>
  <c r="AU12" i="7"/>
  <c r="AU13" i="7"/>
  <c r="AU14" i="7"/>
  <c r="AU15" i="7"/>
  <c r="AU16" i="7"/>
  <c r="AU17" i="7"/>
  <c r="AU18" i="7"/>
  <c r="AU19" i="7"/>
  <c r="AU20" i="7"/>
  <c r="AU21" i="7"/>
  <c r="AU22" i="7"/>
  <c r="AU23" i="7"/>
  <c r="AU24" i="7"/>
  <c r="AU25" i="7"/>
  <c r="AU26" i="7"/>
  <c r="AU27" i="7"/>
  <c r="AU28" i="7"/>
  <c r="AU29" i="7"/>
  <c r="AU30" i="7"/>
  <c r="AU31" i="7"/>
  <c r="AU32" i="7"/>
  <c r="AU33" i="7"/>
  <c r="AU34" i="7"/>
  <c r="AU35" i="7"/>
  <c r="AU36" i="7"/>
  <c r="AU37" i="7"/>
  <c r="AU38" i="7"/>
  <c r="AU39" i="7"/>
  <c r="AU40" i="7"/>
  <c r="AU41" i="7"/>
  <c r="AU42" i="7"/>
  <c r="AU43" i="7"/>
  <c r="AT2" i="7"/>
  <c r="AT3" i="7"/>
  <c r="AT4" i="7"/>
  <c r="AT5" i="7"/>
  <c r="AT6" i="7"/>
  <c r="AT7" i="7"/>
  <c r="AT8" i="7"/>
  <c r="AT9" i="7"/>
  <c r="AT10" i="7"/>
  <c r="AT11" i="7"/>
  <c r="AT12" i="7"/>
  <c r="AT13" i="7"/>
  <c r="AT14" i="7"/>
  <c r="AT15" i="7"/>
  <c r="AT16" i="7"/>
  <c r="AT17" i="7"/>
  <c r="AT18" i="7"/>
  <c r="AT19" i="7"/>
  <c r="AT20" i="7"/>
  <c r="AT21" i="7"/>
  <c r="AT22" i="7"/>
  <c r="AT23" i="7"/>
  <c r="AT24" i="7"/>
  <c r="AT25" i="7"/>
  <c r="AT26" i="7"/>
  <c r="AT27" i="7"/>
  <c r="AT28" i="7"/>
  <c r="AT29" i="7"/>
  <c r="AT30" i="7"/>
  <c r="AT31" i="7"/>
  <c r="AT32" i="7"/>
  <c r="AT33" i="7"/>
  <c r="AT34" i="7"/>
  <c r="AT35" i="7"/>
  <c r="AT36" i="7"/>
  <c r="AT37" i="7"/>
  <c r="AT38" i="7"/>
  <c r="AT39" i="7"/>
  <c r="AT40" i="7"/>
  <c r="AT41" i="7"/>
  <c r="AT42" i="7"/>
  <c r="AT43" i="7"/>
  <c r="AS2" i="7"/>
  <c r="AS3" i="7"/>
  <c r="AS4" i="7"/>
  <c r="AS5" i="7"/>
  <c r="AS6" i="7"/>
  <c r="AS7" i="7"/>
  <c r="AS8" i="7"/>
  <c r="AS9" i="7"/>
  <c r="AS10" i="7"/>
  <c r="AS11" i="7"/>
  <c r="AS12" i="7"/>
  <c r="AS13" i="7"/>
  <c r="AS14" i="7"/>
  <c r="AS15" i="7"/>
  <c r="AS16" i="7"/>
  <c r="AS17" i="7"/>
  <c r="AS18" i="7"/>
  <c r="AS19" i="7"/>
  <c r="AS20" i="7"/>
  <c r="AS21" i="7"/>
  <c r="AS22" i="7"/>
  <c r="AS23" i="7"/>
  <c r="AS24" i="7"/>
  <c r="AS25" i="7"/>
  <c r="AS26" i="7"/>
  <c r="AS27" i="7"/>
  <c r="AS28" i="7"/>
  <c r="AS29" i="7"/>
  <c r="AS30" i="7"/>
  <c r="AS31" i="7"/>
  <c r="AS32" i="7"/>
  <c r="AS33" i="7"/>
  <c r="AS34" i="7"/>
  <c r="AS35" i="7"/>
  <c r="AS36" i="7"/>
  <c r="AS37" i="7"/>
  <c r="AS38" i="7"/>
  <c r="AS39" i="7"/>
  <c r="AS40" i="7"/>
  <c r="AS41" i="7"/>
  <c r="AS42" i="7"/>
  <c r="AS43" i="7"/>
  <c r="BF1" i="7"/>
  <c r="BE1" i="7"/>
  <c r="BD1" i="7"/>
  <c r="BC1" i="7"/>
  <c r="BB1" i="7"/>
  <c r="BA1" i="7"/>
  <c r="AZ1" i="7"/>
  <c r="AY1" i="7"/>
  <c r="AX1" i="7"/>
  <c r="AW1" i="7"/>
  <c r="AV1" i="7"/>
  <c r="AU1" i="7"/>
  <c r="AT1" i="7"/>
  <c r="AS1" i="7"/>
  <c r="AE1" i="7"/>
  <c r="AR2" i="7"/>
  <c r="AR3" i="7"/>
  <c r="AR4" i="7"/>
  <c r="AR5" i="7"/>
  <c r="AR6" i="7"/>
  <c r="AR7" i="7"/>
  <c r="AR8" i="7"/>
  <c r="AR9" i="7"/>
  <c r="AR10" i="7"/>
  <c r="AR11" i="7"/>
  <c r="AR12" i="7"/>
  <c r="AR13" i="7"/>
  <c r="AR14" i="7"/>
  <c r="AR15" i="7"/>
  <c r="AR16" i="7"/>
  <c r="AR17" i="7"/>
  <c r="AR18" i="7"/>
  <c r="AR19" i="7"/>
  <c r="AR20" i="7"/>
  <c r="AR21" i="7"/>
  <c r="AR22" i="7"/>
  <c r="AR23" i="7"/>
  <c r="AR24" i="7"/>
  <c r="AR25" i="7"/>
  <c r="AR26" i="7"/>
  <c r="AR27" i="7"/>
  <c r="AR28" i="7"/>
  <c r="AR29" i="7"/>
  <c r="AR30" i="7"/>
  <c r="AR31" i="7"/>
  <c r="AR32" i="7"/>
  <c r="AR33" i="7"/>
  <c r="AR34" i="7"/>
  <c r="AR35" i="7"/>
  <c r="AR36" i="7"/>
  <c r="AR37" i="7"/>
  <c r="AR38" i="7"/>
  <c r="AR39" i="7"/>
  <c r="AR40" i="7"/>
  <c r="AR41" i="7"/>
  <c r="AR42" i="7"/>
  <c r="AR43" i="7"/>
  <c r="AQ2" i="7"/>
  <c r="AQ3" i="7"/>
  <c r="AQ4" i="7"/>
  <c r="AQ5" i="7"/>
  <c r="AQ6" i="7"/>
  <c r="AQ7" i="7"/>
  <c r="AQ8" i="7"/>
  <c r="AQ9" i="7"/>
  <c r="AQ10" i="7"/>
  <c r="AQ11" i="7"/>
  <c r="AQ12" i="7"/>
  <c r="AQ13" i="7"/>
  <c r="AQ14" i="7"/>
  <c r="AQ15" i="7"/>
  <c r="AQ16" i="7"/>
  <c r="AQ17" i="7"/>
  <c r="AQ18" i="7"/>
  <c r="AQ19" i="7"/>
  <c r="AQ20" i="7"/>
  <c r="AQ21" i="7"/>
  <c r="AQ22" i="7"/>
  <c r="AQ23" i="7"/>
  <c r="AQ24" i="7"/>
  <c r="AQ25" i="7"/>
  <c r="AQ26" i="7"/>
  <c r="AQ27" i="7"/>
  <c r="AQ28" i="7"/>
  <c r="AQ29" i="7"/>
  <c r="AQ30" i="7"/>
  <c r="AQ31" i="7"/>
  <c r="AQ32" i="7"/>
  <c r="AQ33" i="7"/>
  <c r="AQ34" i="7"/>
  <c r="AQ35" i="7"/>
  <c r="AQ36" i="7"/>
  <c r="AQ37" i="7"/>
  <c r="AQ38" i="7"/>
  <c r="AQ39" i="7"/>
  <c r="AQ40" i="7"/>
  <c r="AQ41" i="7"/>
  <c r="AQ42" i="7"/>
  <c r="AQ43" i="7"/>
  <c r="AP2" i="7"/>
  <c r="AP3" i="7"/>
  <c r="AP4" i="7"/>
  <c r="AP5" i="7"/>
  <c r="AP6" i="7"/>
  <c r="AP7" i="7"/>
  <c r="AP8" i="7"/>
  <c r="AP9" i="7"/>
  <c r="AP10" i="7"/>
  <c r="AP11" i="7"/>
  <c r="AP12" i="7"/>
  <c r="AP13" i="7"/>
  <c r="AP14" i="7"/>
  <c r="AP15" i="7"/>
  <c r="AP16" i="7"/>
  <c r="AP17" i="7"/>
  <c r="AP18" i="7"/>
  <c r="AP19" i="7"/>
  <c r="AP20" i="7"/>
  <c r="AP21" i="7"/>
  <c r="AP22" i="7"/>
  <c r="AP23" i="7"/>
  <c r="AP24" i="7"/>
  <c r="AP25" i="7"/>
  <c r="AP26" i="7"/>
  <c r="AP27" i="7"/>
  <c r="AP28" i="7"/>
  <c r="AP29" i="7"/>
  <c r="AP30" i="7"/>
  <c r="AP31" i="7"/>
  <c r="AP32" i="7"/>
  <c r="AP33" i="7"/>
  <c r="AP34" i="7"/>
  <c r="AP35" i="7"/>
  <c r="AP36" i="7"/>
  <c r="AP37" i="7"/>
  <c r="AP38" i="7"/>
  <c r="AP39" i="7"/>
  <c r="AP40" i="7"/>
  <c r="AP41" i="7"/>
  <c r="AP42" i="7"/>
  <c r="AP43" i="7"/>
  <c r="AO2" i="7"/>
  <c r="AO3" i="7"/>
  <c r="AO4" i="7"/>
  <c r="AO5" i="7"/>
  <c r="AO6" i="7"/>
  <c r="AO7" i="7"/>
  <c r="AO8" i="7"/>
  <c r="AO9" i="7"/>
  <c r="AO10" i="7"/>
  <c r="AO11" i="7"/>
  <c r="AO12" i="7"/>
  <c r="AO13" i="7"/>
  <c r="AO14" i="7"/>
  <c r="AO15" i="7"/>
  <c r="AO16" i="7"/>
  <c r="AO17" i="7"/>
  <c r="AO18" i="7"/>
  <c r="AO19" i="7"/>
  <c r="AO20" i="7"/>
  <c r="AO21" i="7"/>
  <c r="AO22" i="7"/>
  <c r="AO23" i="7"/>
  <c r="AO24" i="7"/>
  <c r="AO25" i="7"/>
  <c r="AO26" i="7"/>
  <c r="AO27" i="7"/>
  <c r="AO28" i="7"/>
  <c r="AO29" i="7"/>
  <c r="AO30" i="7"/>
  <c r="AO31" i="7"/>
  <c r="AO32" i="7"/>
  <c r="AO33" i="7"/>
  <c r="AO34" i="7"/>
  <c r="AO35" i="7"/>
  <c r="AO36" i="7"/>
  <c r="AO37" i="7"/>
  <c r="AO38" i="7"/>
  <c r="AO39" i="7"/>
  <c r="AO40" i="7"/>
  <c r="AO41" i="7"/>
  <c r="AO42" i="7"/>
  <c r="AO43" i="7"/>
  <c r="AN2" i="7"/>
  <c r="AN3" i="7"/>
  <c r="AN4" i="7"/>
  <c r="AN5" i="7"/>
  <c r="AN6" i="7"/>
  <c r="AN7" i="7"/>
  <c r="AN8" i="7"/>
  <c r="AN9" i="7"/>
  <c r="AN10" i="7"/>
  <c r="AN11" i="7"/>
  <c r="AN12" i="7"/>
  <c r="AN13" i="7"/>
  <c r="AN14" i="7"/>
  <c r="AN15" i="7"/>
  <c r="AN16" i="7"/>
  <c r="AN17" i="7"/>
  <c r="AN18" i="7"/>
  <c r="AN19" i="7"/>
  <c r="AN20" i="7"/>
  <c r="AN21" i="7"/>
  <c r="AN22" i="7"/>
  <c r="AN23" i="7"/>
  <c r="AN24" i="7"/>
  <c r="AN25" i="7"/>
  <c r="AN26" i="7"/>
  <c r="AN27" i="7"/>
  <c r="AN28" i="7"/>
  <c r="AN29" i="7"/>
  <c r="AN30" i="7"/>
  <c r="AN31" i="7"/>
  <c r="AN32" i="7"/>
  <c r="AN33" i="7"/>
  <c r="AN34" i="7"/>
  <c r="AN35" i="7"/>
  <c r="AN36" i="7"/>
  <c r="AN37" i="7"/>
  <c r="AN38" i="7"/>
  <c r="AN39" i="7"/>
  <c r="AN40" i="7"/>
  <c r="AN41" i="7"/>
  <c r="AN42" i="7"/>
  <c r="AN43" i="7"/>
  <c r="AM2" i="7"/>
  <c r="AM3" i="7"/>
  <c r="AM4" i="7"/>
  <c r="AM5" i="7"/>
  <c r="AM6" i="7"/>
  <c r="AM7" i="7"/>
  <c r="AM8" i="7"/>
  <c r="AM9" i="7"/>
  <c r="AM10" i="7"/>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9" i="7"/>
  <c r="AM40" i="7"/>
  <c r="AM41" i="7"/>
  <c r="AM42" i="7"/>
  <c r="AM43" i="7"/>
  <c r="AL2" i="7"/>
  <c r="AL3" i="7"/>
  <c r="AL4"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1" i="7"/>
  <c r="AL42" i="7"/>
  <c r="AL43" i="7"/>
  <c r="AK2" i="7"/>
  <c r="AK3" i="7"/>
  <c r="AK4" i="7"/>
  <c r="AK5" i="7"/>
  <c r="AK6" i="7"/>
  <c r="AK7" i="7"/>
  <c r="AK8" i="7"/>
  <c r="AK9" i="7"/>
  <c r="AK10" i="7"/>
  <c r="AK11" i="7"/>
  <c r="AK12" i="7"/>
  <c r="AK13" i="7"/>
  <c r="AK14" i="7"/>
  <c r="AK15" i="7"/>
  <c r="AK16" i="7"/>
  <c r="AK17" i="7"/>
  <c r="AK18" i="7"/>
  <c r="AK19" i="7"/>
  <c r="AK20" i="7"/>
  <c r="AK21" i="7"/>
  <c r="AK22" i="7"/>
  <c r="AK23" i="7"/>
  <c r="AK24" i="7"/>
  <c r="AK25" i="7"/>
  <c r="AK26" i="7"/>
  <c r="AK27" i="7"/>
  <c r="AK28" i="7"/>
  <c r="AK29" i="7"/>
  <c r="AK30" i="7"/>
  <c r="AK31" i="7"/>
  <c r="AK32" i="7"/>
  <c r="AK33" i="7"/>
  <c r="AK34" i="7"/>
  <c r="AK35" i="7"/>
  <c r="AK36" i="7"/>
  <c r="AK37" i="7"/>
  <c r="AK38" i="7"/>
  <c r="AK39" i="7"/>
  <c r="AK40" i="7"/>
  <c r="AK41" i="7"/>
  <c r="AK42" i="7"/>
  <c r="AK43" i="7"/>
  <c r="AJ2" i="7"/>
  <c r="AJ3" i="7"/>
  <c r="AJ4" i="7"/>
  <c r="AJ5" i="7"/>
  <c r="AJ6" i="7"/>
  <c r="AJ7" i="7"/>
  <c r="AJ8" i="7"/>
  <c r="AJ9" i="7"/>
  <c r="AJ10" i="7"/>
  <c r="AJ11" i="7"/>
  <c r="AJ12" i="7"/>
  <c r="AJ13" i="7"/>
  <c r="AJ14" i="7"/>
  <c r="AJ15" i="7"/>
  <c r="AJ16" i="7"/>
  <c r="AJ17" i="7"/>
  <c r="AJ18" i="7"/>
  <c r="AJ19" i="7"/>
  <c r="AJ20" i="7"/>
  <c r="AJ21" i="7"/>
  <c r="AJ22" i="7"/>
  <c r="AJ23" i="7"/>
  <c r="AJ24" i="7"/>
  <c r="AJ25" i="7"/>
  <c r="AJ26" i="7"/>
  <c r="AJ27" i="7"/>
  <c r="AJ28" i="7"/>
  <c r="AJ29" i="7"/>
  <c r="AJ30" i="7"/>
  <c r="AJ31" i="7"/>
  <c r="AJ32" i="7"/>
  <c r="AJ33" i="7"/>
  <c r="AJ34" i="7"/>
  <c r="AJ35" i="7"/>
  <c r="AJ36" i="7"/>
  <c r="AJ37" i="7"/>
  <c r="AJ38" i="7"/>
  <c r="AJ39" i="7"/>
  <c r="AJ40" i="7"/>
  <c r="AJ41" i="7"/>
  <c r="AJ42" i="7"/>
  <c r="AJ43" i="7"/>
  <c r="AI2" i="7"/>
  <c r="AI3" i="7"/>
  <c r="AI4" i="7"/>
  <c r="AI5" i="7"/>
  <c r="AI6" i="7"/>
  <c r="AI7" i="7"/>
  <c r="AI8" i="7"/>
  <c r="AI9" i="7"/>
  <c r="AI10" i="7"/>
  <c r="AI11" i="7"/>
  <c r="AI12" i="7"/>
  <c r="AI13" i="7"/>
  <c r="AI14" i="7"/>
  <c r="AI15" i="7"/>
  <c r="AI16" i="7"/>
  <c r="AI17" i="7"/>
  <c r="AI18" i="7"/>
  <c r="AI19" i="7"/>
  <c r="AI20" i="7"/>
  <c r="AI21" i="7"/>
  <c r="AI22" i="7"/>
  <c r="AI23" i="7"/>
  <c r="AI24" i="7"/>
  <c r="AI25" i="7"/>
  <c r="AI26" i="7"/>
  <c r="AI27" i="7"/>
  <c r="AI28" i="7"/>
  <c r="AI29" i="7"/>
  <c r="AI30" i="7"/>
  <c r="AI31" i="7"/>
  <c r="AI32" i="7"/>
  <c r="AI33" i="7"/>
  <c r="AI34" i="7"/>
  <c r="AI35" i="7"/>
  <c r="AI36" i="7"/>
  <c r="AI37" i="7"/>
  <c r="AI38" i="7"/>
  <c r="AI39" i="7"/>
  <c r="AI40" i="7"/>
  <c r="AI41" i="7"/>
  <c r="AI42" i="7"/>
  <c r="AI43" i="7"/>
  <c r="AH2" i="7"/>
  <c r="AH3" i="7"/>
  <c r="AH4" i="7"/>
  <c r="AH5" i="7"/>
  <c r="AH6" i="7"/>
  <c r="AH7" i="7"/>
  <c r="AH8" i="7"/>
  <c r="AH9" i="7"/>
  <c r="AH10" i="7"/>
  <c r="AH11" i="7"/>
  <c r="AH12" i="7"/>
  <c r="AH13" i="7"/>
  <c r="AH14" i="7"/>
  <c r="AH15" i="7"/>
  <c r="AH16" i="7"/>
  <c r="AH17" i="7"/>
  <c r="AH18" i="7"/>
  <c r="AH19" i="7"/>
  <c r="AH20" i="7"/>
  <c r="AH21" i="7"/>
  <c r="AH22" i="7"/>
  <c r="AH23" i="7"/>
  <c r="AH24" i="7"/>
  <c r="AH25" i="7"/>
  <c r="AH26" i="7"/>
  <c r="AH27" i="7"/>
  <c r="AH28" i="7"/>
  <c r="AH29" i="7"/>
  <c r="AH30" i="7"/>
  <c r="AH31" i="7"/>
  <c r="AH32" i="7"/>
  <c r="AH33" i="7"/>
  <c r="AH34" i="7"/>
  <c r="AH35" i="7"/>
  <c r="AH36" i="7"/>
  <c r="AH37" i="7"/>
  <c r="AH38" i="7"/>
  <c r="AH39" i="7"/>
  <c r="AH40" i="7"/>
  <c r="AH41" i="7"/>
  <c r="AH42" i="7"/>
  <c r="AH43" i="7"/>
  <c r="AG2" i="7"/>
  <c r="AG3" i="7"/>
  <c r="AG4" i="7"/>
  <c r="AG5" i="7"/>
  <c r="AG6" i="7"/>
  <c r="AG7" i="7"/>
  <c r="AG8" i="7"/>
  <c r="AG9" i="7"/>
  <c r="AG10" i="7"/>
  <c r="AG11" i="7"/>
  <c r="AG12" i="7"/>
  <c r="AG13" i="7"/>
  <c r="AG14" i="7"/>
  <c r="AG15" i="7"/>
  <c r="AG16" i="7"/>
  <c r="AG17" i="7"/>
  <c r="AG18" i="7"/>
  <c r="AG19" i="7"/>
  <c r="AG20" i="7"/>
  <c r="AG21" i="7"/>
  <c r="AG22" i="7"/>
  <c r="AG23" i="7"/>
  <c r="AG24" i="7"/>
  <c r="AG25" i="7"/>
  <c r="AG26" i="7"/>
  <c r="AG27" i="7"/>
  <c r="AG28" i="7"/>
  <c r="AG29" i="7"/>
  <c r="AG30" i="7"/>
  <c r="AG31" i="7"/>
  <c r="AG32" i="7"/>
  <c r="AG33" i="7"/>
  <c r="AG34" i="7"/>
  <c r="AG35" i="7"/>
  <c r="AG36" i="7"/>
  <c r="AG37" i="7"/>
  <c r="AG38" i="7"/>
  <c r="AG39" i="7"/>
  <c r="AG40" i="7"/>
  <c r="AG41" i="7"/>
  <c r="AG42" i="7"/>
  <c r="AG43" i="7"/>
  <c r="AF2" i="7"/>
  <c r="AF3" i="7"/>
  <c r="AF4" i="7"/>
  <c r="AF5" i="7"/>
  <c r="AF6" i="7"/>
  <c r="AF7" i="7"/>
  <c r="AF8" i="7"/>
  <c r="AF9" i="7"/>
  <c r="AF10" i="7"/>
  <c r="AF11" i="7"/>
  <c r="AF12" i="7"/>
  <c r="AF13" i="7"/>
  <c r="AF14" i="7"/>
  <c r="AF15" i="7"/>
  <c r="AF16" i="7"/>
  <c r="AF17" i="7"/>
  <c r="AF18" i="7"/>
  <c r="AF19" i="7"/>
  <c r="AF20" i="7"/>
  <c r="AF21" i="7"/>
  <c r="AF22" i="7"/>
  <c r="AF23" i="7"/>
  <c r="AF24" i="7"/>
  <c r="AF25" i="7"/>
  <c r="AF26" i="7"/>
  <c r="AF27" i="7"/>
  <c r="AF28" i="7"/>
  <c r="AF29" i="7"/>
  <c r="AF30" i="7"/>
  <c r="AF31" i="7"/>
  <c r="AF32" i="7"/>
  <c r="AF33" i="7"/>
  <c r="AF34" i="7"/>
  <c r="AF35" i="7"/>
  <c r="AF36" i="7"/>
  <c r="AF37" i="7"/>
  <c r="AF38" i="7"/>
  <c r="AF39" i="7"/>
  <c r="AF40" i="7"/>
  <c r="AF41" i="7"/>
  <c r="AF42" i="7"/>
  <c r="AF43" i="7"/>
  <c r="AE2" i="7"/>
  <c r="AE3" i="7"/>
  <c r="AE4" i="7"/>
  <c r="AE5" i="7"/>
  <c r="AE6" i="7"/>
  <c r="AE7" i="7"/>
  <c r="AE8" i="7"/>
  <c r="AE9" i="7"/>
  <c r="AE10" i="7"/>
  <c r="AE11" i="7"/>
  <c r="AE12" i="7"/>
  <c r="AE13" i="7"/>
  <c r="AE14" i="7"/>
  <c r="AE15" i="7"/>
  <c r="AE16" i="7"/>
  <c r="AE17" i="7"/>
  <c r="AE18" i="7"/>
  <c r="AE19" i="7"/>
  <c r="AE20" i="7"/>
  <c r="AE21" i="7"/>
  <c r="AE22" i="7"/>
  <c r="AE23" i="7"/>
  <c r="AE24" i="7"/>
  <c r="AE25" i="7"/>
  <c r="AE26" i="7"/>
  <c r="AE27" i="7"/>
  <c r="AE28" i="7"/>
  <c r="AE29" i="7"/>
  <c r="AE30" i="7"/>
  <c r="AE31" i="7"/>
  <c r="AE32" i="7"/>
  <c r="AE33" i="7"/>
  <c r="AE34" i="7"/>
  <c r="AE35" i="7"/>
  <c r="AE36" i="7"/>
  <c r="AE37" i="7"/>
  <c r="AE38" i="7"/>
  <c r="AE39" i="7"/>
  <c r="AE40" i="7"/>
  <c r="AE41" i="7"/>
  <c r="AE42" i="7"/>
  <c r="AE43" i="7"/>
  <c r="AR1" i="7"/>
  <c r="AQ1" i="7"/>
  <c r="AP1" i="7"/>
  <c r="AO1" i="7"/>
  <c r="AN1" i="7"/>
  <c r="AM1" i="7"/>
  <c r="AL1" i="7"/>
  <c r="AK1" i="7"/>
  <c r="AJ1" i="7"/>
  <c r="AI1" i="7"/>
  <c r="AH1" i="7"/>
  <c r="AG1" i="7"/>
  <c r="AF1" i="7"/>
  <c r="Q1" i="7"/>
  <c r="AD2" i="7"/>
  <c r="AD3" i="7"/>
  <c r="AD4" i="7"/>
  <c r="AD5" i="7"/>
  <c r="AD6" i="7"/>
  <c r="AD7" i="7"/>
  <c r="AD8" i="7"/>
  <c r="AD9" i="7"/>
  <c r="AD10" i="7"/>
  <c r="AD11" i="7"/>
  <c r="AD12" i="7"/>
  <c r="AD13" i="7"/>
  <c r="AD14" i="7"/>
  <c r="AD15" i="7"/>
  <c r="AD16" i="7"/>
  <c r="AD17" i="7"/>
  <c r="AD18" i="7"/>
  <c r="AD19" i="7"/>
  <c r="AD20" i="7"/>
  <c r="AD21" i="7"/>
  <c r="AD22" i="7"/>
  <c r="AD23" i="7"/>
  <c r="AD24" i="7"/>
  <c r="AD25" i="7"/>
  <c r="AD26" i="7"/>
  <c r="AD27" i="7"/>
  <c r="AD28" i="7"/>
  <c r="AD29" i="7"/>
  <c r="AD30" i="7"/>
  <c r="AD31" i="7"/>
  <c r="AD32" i="7"/>
  <c r="AD33" i="7"/>
  <c r="AD34" i="7"/>
  <c r="AD35" i="7"/>
  <c r="AD36" i="7"/>
  <c r="AD37" i="7"/>
  <c r="AD38" i="7"/>
  <c r="AD39" i="7"/>
  <c r="AD40" i="7"/>
  <c r="AD41" i="7"/>
  <c r="AD42" i="7"/>
  <c r="AD43" i="7"/>
  <c r="AC2" i="7"/>
  <c r="AC3" i="7"/>
  <c r="AC4" i="7"/>
  <c r="AC5" i="7"/>
  <c r="AC6" i="7"/>
  <c r="AC7" i="7"/>
  <c r="AC8" i="7"/>
  <c r="AC9" i="7"/>
  <c r="AC10" i="7"/>
  <c r="AC11" i="7"/>
  <c r="AC12" i="7"/>
  <c r="AC13" i="7"/>
  <c r="AC14" i="7"/>
  <c r="AC15" i="7"/>
  <c r="AC16" i="7"/>
  <c r="AC17" i="7"/>
  <c r="AC18" i="7"/>
  <c r="AC19" i="7"/>
  <c r="AC20" i="7"/>
  <c r="AC21" i="7"/>
  <c r="AC22" i="7"/>
  <c r="AC23" i="7"/>
  <c r="AC24" i="7"/>
  <c r="AC25" i="7"/>
  <c r="AC26" i="7"/>
  <c r="AC27" i="7"/>
  <c r="AC28" i="7"/>
  <c r="AC29" i="7"/>
  <c r="AC30" i="7"/>
  <c r="AC31" i="7"/>
  <c r="AC32" i="7"/>
  <c r="AC33" i="7"/>
  <c r="AC34" i="7"/>
  <c r="AC35" i="7"/>
  <c r="AC36" i="7"/>
  <c r="AC37" i="7"/>
  <c r="AC38" i="7"/>
  <c r="AC39" i="7"/>
  <c r="AC40" i="7"/>
  <c r="AC41" i="7"/>
  <c r="AC42" i="7"/>
  <c r="AC43" i="7"/>
  <c r="AB2" i="7"/>
  <c r="AB3" i="7"/>
  <c r="AB4" i="7"/>
  <c r="AB5" i="7"/>
  <c r="AB6" i="7"/>
  <c r="AB7" i="7"/>
  <c r="AB8" i="7"/>
  <c r="AB9" i="7"/>
  <c r="AB10" i="7"/>
  <c r="AB11" i="7"/>
  <c r="AB12" i="7"/>
  <c r="AB13" i="7"/>
  <c r="AB14" i="7"/>
  <c r="AB15" i="7"/>
  <c r="AB16" i="7"/>
  <c r="AB17" i="7"/>
  <c r="AB18" i="7"/>
  <c r="AB19" i="7"/>
  <c r="AB20" i="7"/>
  <c r="AB21" i="7"/>
  <c r="AB22" i="7"/>
  <c r="AB23" i="7"/>
  <c r="AB24" i="7"/>
  <c r="AB25" i="7"/>
  <c r="AB26" i="7"/>
  <c r="AB27" i="7"/>
  <c r="AB28" i="7"/>
  <c r="AB29" i="7"/>
  <c r="AB30" i="7"/>
  <c r="AB31" i="7"/>
  <c r="AB32" i="7"/>
  <c r="AB33" i="7"/>
  <c r="AB34" i="7"/>
  <c r="AB35" i="7"/>
  <c r="AB36" i="7"/>
  <c r="AB37" i="7"/>
  <c r="AB38" i="7"/>
  <c r="AB39" i="7"/>
  <c r="AB40" i="7"/>
  <c r="AB41" i="7"/>
  <c r="AB42" i="7"/>
  <c r="AB43" i="7"/>
  <c r="AA2" i="7"/>
  <c r="AA3" i="7"/>
  <c r="AA4" i="7"/>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Z2" i="7"/>
  <c r="Z3" i="7"/>
  <c r="Z4" i="7"/>
  <c r="Z5" i="7"/>
  <c r="Z6" i="7"/>
  <c r="Z7"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Z37" i="7"/>
  <c r="Z38" i="7"/>
  <c r="Z39" i="7"/>
  <c r="Z40" i="7"/>
  <c r="Z41" i="7"/>
  <c r="Z42" i="7"/>
  <c r="Z43" i="7"/>
  <c r="Y2" i="7"/>
  <c r="Y3" i="7"/>
  <c r="Y4" i="7"/>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X2" i="7"/>
  <c r="X3"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W2" i="7"/>
  <c r="W3" i="7"/>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V2"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U2" i="7"/>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T2" i="7"/>
  <c r="T3" i="7"/>
  <c r="T4" i="7"/>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S2"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R2"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AD1" i="7"/>
  <c r="AC1" i="7"/>
  <c r="AB1" i="7"/>
  <c r="Z1" i="7"/>
  <c r="AA1" i="7"/>
  <c r="Y1" i="7"/>
  <c r="X1" i="7"/>
  <c r="W1" i="7"/>
  <c r="V1" i="7"/>
  <c r="U1" i="7"/>
  <c r="T1" i="7"/>
  <c r="S1" i="7"/>
  <c r="R1" i="7"/>
  <c r="Q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C1" i="7"/>
  <c r="P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J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I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H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F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P1" i="7"/>
  <c r="O1" i="7"/>
  <c r="N1" i="7"/>
  <c r="M1" i="7"/>
  <c r="L1" i="7"/>
  <c r="K1" i="7"/>
  <c r="J1" i="7"/>
  <c r="I1" i="7"/>
  <c r="H1" i="7"/>
  <c r="G1" i="7"/>
  <c r="F1" i="7"/>
  <c r="E1" i="7"/>
  <c r="D1" i="7"/>
</calcChain>
</file>

<file path=xl/sharedStrings.xml><?xml version="1.0" encoding="utf-8"?>
<sst xmlns="http://schemas.openxmlformats.org/spreadsheetml/2006/main" count="2779" uniqueCount="870">
  <si>
    <t>Species</t>
  </si>
  <si>
    <t>Cerebral_Cortex_Species</t>
  </si>
  <si>
    <t>Cerebral_Cortex_Order</t>
  </si>
  <si>
    <t>Cerebral_Cortex_Mass,_g</t>
  </si>
  <si>
    <t>Cerebral_Cortex_N,_n</t>
  </si>
  <si>
    <t>Cerebral_Cortex_O,_n</t>
  </si>
  <si>
    <t>Cerebral_Cortex_N/mg</t>
  </si>
  <si>
    <t>Cerebral_Cortex_N/mg_SD</t>
  </si>
  <si>
    <t>Cerebral_Cortex_O/mg</t>
  </si>
  <si>
    <t>Cerebral_Cortex_O/mg__SD</t>
  </si>
  <si>
    <t>Cerebral_Cortex_O/N</t>
  </si>
  <si>
    <t>Cerebral_Cortex_O/N_SD_</t>
  </si>
  <si>
    <t>Cerebral_Cortex_Source</t>
  </si>
  <si>
    <t>Sorex_fumeus</t>
  </si>
  <si>
    <t>Sorex fumeus</t>
  </si>
  <si>
    <t>Eulipotyphla</t>
  </si>
  <si>
    <t>Sarko et al., 2009</t>
  </si>
  <si>
    <t>Mus_musculus</t>
  </si>
  <si>
    <t>Mus musculus</t>
  </si>
  <si>
    <t>Glires</t>
  </si>
  <si>
    <t>Herculano-Houzel et al., 2006</t>
  </si>
  <si>
    <t>Blarina_brevicauda</t>
  </si>
  <si>
    <t>Blarina brevicauda</t>
  </si>
  <si>
    <t>Heterocephalus_glaber</t>
  </si>
  <si>
    <t>Heterocephalus glaber</t>
  </si>
  <si>
    <t>Herculano-Houzel et al., 2011</t>
  </si>
  <si>
    <t>Condylura_cristata</t>
  </si>
  <si>
    <t>Condylura cristata</t>
  </si>
  <si>
    <t>Parascalops_breweri</t>
  </si>
  <si>
    <t>Parascalops breweri</t>
  </si>
  <si>
    <t>Amblysomus_hottentotus</t>
  </si>
  <si>
    <t>Amblysomus hottentotus</t>
  </si>
  <si>
    <t>Afrotheria</t>
  </si>
  <si>
    <t>Neves et al., 2014</t>
  </si>
  <si>
    <t>Scalopus_aquaticus</t>
  </si>
  <si>
    <t>Scalopus aquaticus</t>
  </si>
  <si>
    <t>Elephantulus_myurus</t>
  </si>
  <si>
    <t>Elephantulus myurus</t>
  </si>
  <si>
    <t>Mesocricetus_auratus</t>
  </si>
  <si>
    <t>Mesocricetus auratus</t>
  </si>
  <si>
    <t>Rattus_norvegicus</t>
  </si>
  <si>
    <t>Rattus norvegicus</t>
  </si>
  <si>
    <t>Microcebus_murinus</t>
  </si>
  <si>
    <t>Microcebus murinus</t>
  </si>
  <si>
    <t>Primata</t>
  </si>
  <si>
    <t>Gabi et al., 2010</t>
  </si>
  <si>
    <t>Proechimys_cayennensis</t>
  </si>
  <si>
    <t>Proechimys cayennensis</t>
  </si>
  <si>
    <t>Petrodromus_tetradactylus</t>
  </si>
  <si>
    <t>Petrodromus tetradactylus</t>
  </si>
  <si>
    <t>Tupaia_glis</t>
  </si>
  <si>
    <t>Tupaia glis</t>
  </si>
  <si>
    <t>Scandentia</t>
  </si>
  <si>
    <t>Herculano-Houzel et al., 2007</t>
  </si>
  <si>
    <t>Cavia_porcellus</t>
  </si>
  <si>
    <t>Cavia porcellus</t>
  </si>
  <si>
    <t>Cynomys_sp.</t>
  </si>
  <si>
    <t>Cynomys sp.</t>
  </si>
  <si>
    <t>Sciurus_carolinensis</t>
  </si>
  <si>
    <t>Sciurus carolinensis</t>
  </si>
  <si>
    <t>Oryctolagus_cuniculus</t>
  </si>
  <si>
    <t>Oryctolagus cuniculus</t>
  </si>
  <si>
    <t>Callithrix_jacchus</t>
  </si>
  <si>
    <t>Callithrix jacchus</t>
  </si>
  <si>
    <t>Otolemur_garnettii</t>
  </si>
  <si>
    <t>Otolemur garnettii</t>
  </si>
  <si>
    <t>Dendrohyrax_dorsalis</t>
  </si>
  <si>
    <t>Dendrohyrax dorsalis</t>
  </si>
  <si>
    <t>Dasyprocta_prymnolopha</t>
  </si>
  <si>
    <t>Dasyprocta prymnolopha</t>
  </si>
  <si>
    <t>Procavia_capensis</t>
  </si>
  <si>
    <t>Procavia capensis</t>
  </si>
  <si>
    <t>Aotus_trivirgatus</t>
  </si>
  <si>
    <t>Aotus trivirgatus</t>
  </si>
  <si>
    <t>Callimico_goeldii</t>
  </si>
  <si>
    <t>Callimico goeldii</t>
  </si>
  <si>
    <t>Saimiri_sciureus</t>
  </si>
  <si>
    <t>Saimiri sciureus</t>
  </si>
  <si>
    <t>Macaca_fascicularis</t>
  </si>
  <si>
    <t>Macaca fascicularis</t>
  </si>
  <si>
    <t>Cebus_apella</t>
  </si>
  <si>
    <t>Cebus apella</t>
  </si>
  <si>
    <t>Macaca_radiata</t>
  </si>
  <si>
    <t>Macaca radiata</t>
  </si>
  <si>
    <t>Sus_scrofa_domesticus</t>
  </si>
  <si>
    <t>Sus scrofa domesticus</t>
  </si>
  <si>
    <t>Artiodactyla</t>
  </si>
  <si>
    <t>Kazu et al., 2014</t>
  </si>
  <si>
    <t>Hydrochoerus_hydrochaeris</t>
  </si>
  <si>
    <t>Hydrochoerus hydrochaeris</t>
  </si>
  <si>
    <t>Antidorcas_marsupialis</t>
  </si>
  <si>
    <t>Antidorcas marsupialis</t>
  </si>
  <si>
    <t>Macaca_mulatta</t>
  </si>
  <si>
    <t>Macaca mulatta</t>
  </si>
  <si>
    <t>Damaliscus_dorcas_phillipsi</t>
  </si>
  <si>
    <t>Damaliscus dorcas phillipsi</t>
  </si>
  <si>
    <t>Papio_anubis_cynocephalus</t>
  </si>
  <si>
    <t>Papio anubis cynocephalus</t>
  </si>
  <si>
    <t>Tragelaphus_strepsiceros</t>
  </si>
  <si>
    <t>Tragelaphus strepsiceros</t>
  </si>
  <si>
    <t>Giraffa_camelopardalis</t>
  </si>
  <si>
    <t>Giraffa camelopardalis</t>
  </si>
  <si>
    <t>Homo_sapiens</t>
  </si>
  <si>
    <t>Homo sapiens</t>
  </si>
  <si>
    <t>Azevedo et al., 2009</t>
  </si>
  <si>
    <t>Loxodonta_africana</t>
  </si>
  <si>
    <t>Loxodonta africana</t>
  </si>
  <si>
    <t>Herculano-Houzel et al., 2014</t>
  </si>
  <si>
    <t>Order</t>
  </si>
  <si>
    <t>N/mg</t>
  </si>
  <si>
    <t>O/mg</t>
  </si>
  <si>
    <t>O/N</t>
  </si>
  <si>
    <t>Source</t>
  </si>
  <si>
    <t>Mass, g</t>
  </si>
  <si>
    <t>N, n</t>
  </si>
  <si>
    <t>O, n</t>
  </si>
  <si>
    <t>Herculano-Houzel and Kaas, 2011</t>
  </si>
  <si>
    <t>Gorilla gorilla</t>
  </si>
  <si>
    <t>Gorilla_gorilla</t>
  </si>
  <si>
    <t>Pongo pygmaeus</t>
  </si>
  <si>
    <t>Pongo_pygmaeus</t>
  </si>
  <si>
    <t>Cerebellum_Source</t>
  </si>
  <si>
    <t>Cerebellum_O/N_SD_</t>
  </si>
  <si>
    <t>Cerebellum_O/N</t>
  </si>
  <si>
    <t>Cerebellum_O/mg_SD_</t>
  </si>
  <si>
    <t>Cerebellum_O/mg</t>
  </si>
  <si>
    <t>Cerebellum_N/mg_SD_</t>
  </si>
  <si>
    <t>Cerebellum_N/mg</t>
  </si>
  <si>
    <t>Cerebellum_O,_n_SD_</t>
  </si>
  <si>
    <t>Cerebellum_O,_n</t>
  </si>
  <si>
    <t>Cerebellum_N,_n_SD_</t>
  </si>
  <si>
    <t>Cerebellum_N,_n</t>
  </si>
  <si>
    <t>Cerebellum_Mass,_g_SD_</t>
  </si>
  <si>
    <t>Cerebellum_Mass,_g</t>
  </si>
  <si>
    <t>Cerebellum_Order</t>
  </si>
  <si>
    <t>Cerebellum_Species</t>
  </si>
  <si>
    <t>RoB_Source</t>
  </si>
  <si>
    <t>RoB_O/N_SD_</t>
  </si>
  <si>
    <t>RoB_O/N</t>
  </si>
  <si>
    <t>RoB_O/mg_SD_</t>
  </si>
  <si>
    <t>RoB_O/mg</t>
  </si>
  <si>
    <t>RoB_N/mg_SD_</t>
  </si>
  <si>
    <t>RoB_N/mg</t>
  </si>
  <si>
    <t>RoB_O,_n_SD_</t>
  </si>
  <si>
    <t>RoB_O,_n</t>
  </si>
  <si>
    <t>RoB_N,_n_SD_</t>
  </si>
  <si>
    <t>RoB_N,_n</t>
  </si>
  <si>
    <t>RoB_Mass,_g_SD_</t>
  </si>
  <si>
    <t>RoB_Mass,_g</t>
  </si>
  <si>
    <t>RoB_Order</t>
  </si>
  <si>
    <t>RoB_Species</t>
  </si>
  <si>
    <t>Ribeiro et al., 2014</t>
  </si>
  <si>
    <t>n</t>
  </si>
  <si>
    <t>Olfactory_bulb_Source</t>
  </si>
  <si>
    <t>Olfactory_bulb_O/N_SD_</t>
  </si>
  <si>
    <t>Olfactory_bulb_O/N</t>
  </si>
  <si>
    <t>Olfactory_bulb_O/mg_SD_</t>
  </si>
  <si>
    <t>Olfactory_bulb_O/mg</t>
  </si>
  <si>
    <t>Olfactory_bulb_N/mg_SD_</t>
  </si>
  <si>
    <t>Olfactory_bulb_N/mg</t>
  </si>
  <si>
    <t>Olfactory_bulb_O,_n_SD_</t>
  </si>
  <si>
    <t>Olfactory_bulb_O,_n</t>
  </si>
  <si>
    <t>Olfactory_bulb_N,_n_SD_</t>
  </si>
  <si>
    <t>Olfactory_bulb_N,_n</t>
  </si>
  <si>
    <t>Olfactory_bulb_Mass,_g_SD_</t>
  </si>
  <si>
    <t>Olfactory_bulb_Mass,_g</t>
  </si>
  <si>
    <t>Olfactory_bulb_n</t>
  </si>
  <si>
    <t>Olfactory_bulb_Order</t>
  </si>
  <si>
    <t>Olfactory_bulb_Species</t>
  </si>
  <si>
    <t>% Neurons</t>
  </si>
  <si>
    <t>Other cells</t>
  </si>
  <si>
    <t>Neurons</t>
  </si>
  <si>
    <t>Brain mass, g</t>
  </si>
  <si>
    <t>Body mass, g</t>
  </si>
  <si>
    <t>whole_brain_Source</t>
  </si>
  <si>
    <t>whole_brain_%_Neurons_SD_</t>
  </si>
  <si>
    <t>whole_brain_%_Neurons</t>
  </si>
  <si>
    <t>whole_brain_Other_cells_SD_</t>
  </si>
  <si>
    <t>whole_brain_Other_cells</t>
  </si>
  <si>
    <t>whole_brain_Neurons_SD_</t>
  </si>
  <si>
    <t>whole_brain_Neurons</t>
  </si>
  <si>
    <t>whole_brain_Brain_mass,_g_SD_</t>
  </si>
  <si>
    <t>whole_brain_Brain_mass,_g</t>
  </si>
  <si>
    <t>whole_brain_Body_mass,_g_SD_</t>
  </si>
  <si>
    <t>whole_brain_Body_mass,_g</t>
  </si>
  <si>
    <t>whole_brain_n</t>
  </si>
  <si>
    <t>whole_brain_Order</t>
  </si>
  <si>
    <t>+-</t>
  </si>
  <si>
    <r>
      <rPr>
        <sz val="7"/>
        <color rgb="FF231F20"/>
        <rFont val="Minion Pro"/>
        <family val="1"/>
      </rPr>
      <t>Species</t>
    </r>
  </si>
  <si>
    <r>
      <rPr>
        <sz val="7"/>
        <color rgb="FF231F20"/>
        <rFont val="Minion Pro"/>
        <family val="1"/>
      </rPr>
      <t>Order</t>
    </r>
  </si>
  <si>
    <r>
      <rPr>
        <sz val="7"/>
        <color rgb="FF231F20"/>
        <rFont val="Minion Pro"/>
        <family val="1"/>
      </rPr>
      <t>Mass, g</t>
    </r>
  </si>
  <si>
    <r>
      <rPr>
        <sz val="7"/>
        <color rgb="FF231F20"/>
        <rFont val="Minion Pro"/>
        <family val="1"/>
      </rPr>
      <t>N, n</t>
    </r>
  </si>
  <si>
    <r>
      <rPr>
        <sz val="7"/>
        <color rgb="FF231F20"/>
        <rFont val="Minion Pro"/>
        <family val="1"/>
      </rPr>
      <t>O, n</t>
    </r>
  </si>
  <si>
    <r>
      <rPr>
        <sz val="7"/>
        <color rgb="FF231F20"/>
        <rFont val="Minion Pro"/>
        <family val="1"/>
      </rPr>
      <t>N/mg</t>
    </r>
  </si>
  <si>
    <r>
      <rPr>
        <sz val="7"/>
        <color rgb="FF231F20"/>
        <rFont val="Minion Pro"/>
        <family val="1"/>
      </rPr>
      <t>O/mg</t>
    </r>
  </si>
  <si>
    <r>
      <rPr>
        <sz val="7"/>
        <color rgb="FF231F20"/>
        <rFont val="Minion Pro"/>
        <family val="1"/>
      </rPr>
      <t>O/N</t>
    </r>
  </si>
  <si>
    <r>
      <rPr>
        <sz val="7"/>
        <color rgb="FF231F20"/>
        <rFont val="Minion Pro"/>
        <family val="1"/>
      </rPr>
      <t>Source</t>
    </r>
  </si>
  <si>
    <r>
      <rPr>
        <i/>
        <sz val="7"/>
        <color rgb="FF231F20"/>
        <rFont val="Minion Pro"/>
        <family val="1"/>
      </rPr>
      <t>Sorex fumeus</t>
    </r>
  </si>
  <si>
    <r>
      <rPr>
        <sz val="7"/>
        <color rgb="FF231F20"/>
        <rFont val="Minion Pro"/>
        <family val="1"/>
      </rPr>
      <t>Eulipotyphla</t>
    </r>
  </si>
  <si>
    <r>
      <rPr>
        <sz val="7"/>
        <color rgb="FF231F20"/>
        <rFont val="Minion Pro"/>
        <family val="1"/>
      </rPr>
      <t>0.084 ± 0.009</t>
    </r>
  </si>
  <si>
    <r>
      <rPr>
        <sz val="7"/>
        <color rgb="FF231F20"/>
        <rFont val="Minion Pro"/>
        <family val="1"/>
      </rPr>
      <t>9,730,000 ± 352,000</t>
    </r>
  </si>
  <si>
    <r>
      <rPr>
        <sz val="7"/>
        <color rgb="FF231F20"/>
        <rFont val="Minion Pro"/>
        <family val="1"/>
      </rPr>
      <t>9,290,000 ± 1,112,000</t>
    </r>
  </si>
  <si>
    <r>
      <rPr>
        <sz val="7"/>
        <color rgb="FF231F20"/>
        <rFont val="Minion Pro"/>
        <family val="1"/>
      </rPr>
      <t>116,727 ± 9,387</t>
    </r>
  </si>
  <si>
    <r>
      <rPr>
        <sz val="7"/>
        <color rgb="FF231F20"/>
        <rFont val="Minion Pro"/>
        <family val="1"/>
      </rPr>
      <t>111,754 ± 18,566</t>
    </r>
  </si>
  <si>
    <r>
      <rPr>
        <sz val="7"/>
        <color rgb="FF231F20"/>
        <rFont val="Minion Pro"/>
        <family val="1"/>
      </rPr>
      <t>0.958 ± 0.135</t>
    </r>
  </si>
  <si>
    <r>
      <rPr>
        <sz val="7"/>
        <color rgb="FF231F20"/>
        <rFont val="Minion Pro"/>
        <family val="1"/>
      </rPr>
      <t>Sarko et al., 2009</t>
    </r>
  </si>
  <si>
    <r>
      <rPr>
        <i/>
        <sz val="7"/>
        <color rgb="FF231F20"/>
        <rFont val="Minion Pro"/>
        <family val="1"/>
      </rPr>
      <t>Mus musculus</t>
    </r>
  </si>
  <si>
    <r>
      <rPr>
        <sz val="7"/>
        <color rgb="FF231F20"/>
        <rFont val="Minion Pro"/>
        <family val="1"/>
      </rPr>
      <t>Glires</t>
    </r>
  </si>
  <si>
    <r>
      <rPr>
        <sz val="7"/>
        <color rgb="FF231F20"/>
        <rFont val="Minion Pro"/>
        <family val="1"/>
      </rPr>
      <t>0.173 ± 0.015</t>
    </r>
  </si>
  <si>
    <r>
      <rPr>
        <sz val="7"/>
        <color rgb="FF231F20"/>
        <rFont val="Minion Pro"/>
        <family val="1"/>
      </rPr>
      <t>13,688,162 ± 2,242,257</t>
    </r>
  </si>
  <si>
    <r>
      <rPr>
        <sz val="7"/>
        <color rgb="FF231F20"/>
        <rFont val="Minion Pro"/>
        <family val="1"/>
      </rPr>
      <t>12,061,838 ± 3,668,594</t>
    </r>
  </si>
  <si>
    <r>
      <rPr>
        <sz val="7"/>
        <color rgb="FF231F20"/>
        <rFont val="Minion Pro"/>
        <family val="1"/>
      </rPr>
      <t>78,672 ± 7,683</t>
    </r>
  </si>
  <si>
    <r>
      <rPr>
        <sz val="7"/>
        <color rgb="FF231F20"/>
        <rFont val="Minion Pro"/>
        <family val="1"/>
      </rPr>
      <t>68,643 ± 15,807</t>
    </r>
  </si>
  <si>
    <r>
      <rPr>
        <sz val="7"/>
        <color rgb="FF231F20"/>
        <rFont val="Minion Pro"/>
        <family val="1"/>
      </rPr>
      <t>0.870 ± 0.177</t>
    </r>
  </si>
  <si>
    <r>
      <rPr>
        <sz val="7"/>
        <color rgb="FF231F20"/>
        <rFont val="Minion Pro"/>
        <family val="1"/>
      </rPr>
      <t>Herculano-Houzel et al., 2006</t>
    </r>
  </si>
  <si>
    <r>
      <rPr>
        <i/>
        <sz val="7"/>
        <color rgb="FF231F20"/>
        <rFont val="Minion Pro"/>
        <family val="1"/>
      </rPr>
      <t>Blarina brevicauda</t>
    </r>
  </si>
  <si>
    <r>
      <rPr>
        <sz val="7"/>
        <color rgb="FF231F20"/>
        <rFont val="Minion Pro"/>
        <family val="1"/>
      </rPr>
      <t>0.197 ± 0.012</t>
    </r>
  </si>
  <si>
    <r>
      <rPr>
        <sz val="7"/>
        <color rgb="FF231F20"/>
        <rFont val="Minion Pro"/>
        <family val="1"/>
      </rPr>
      <t>11,876,000 ± 1,569,000</t>
    </r>
  </si>
  <si>
    <r>
      <rPr>
        <sz val="7"/>
        <color rgb="FF231F20"/>
        <rFont val="Minion Pro"/>
        <family val="1"/>
      </rPr>
      <t>15,820,000 ± 1,158,000</t>
    </r>
  </si>
  <si>
    <r>
      <rPr>
        <sz val="7"/>
        <color rgb="FF231F20"/>
        <rFont val="Minion Pro"/>
        <family val="1"/>
      </rPr>
      <t>60,214 ± 4,935</t>
    </r>
  </si>
  <si>
    <r>
      <rPr>
        <sz val="7"/>
        <color rgb="FF231F20"/>
        <rFont val="Minion Pro"/>
        <family val="1"/>
      </rPr>
      <t>80,729 ± 8,731</t>
    </r>
  </si>
  <si>
    <r>
      <rPr>
        <sz val="7"/>
        <color rgb="FF231F20"/>
        <rFont val="Minion Pro"/>
        <family val="1"/>
      </rPr>
      <t>1.357 ± 0.250</t>
    </r>
  </si>
  <si>
    <r>
      <rPr>
        <i/>
        <sz val="7"/>
        <color rgb="FF231F20"/>
        <rFont val="Minion Pro"/>
        <family val="1"/>
      </rPr>
      <t>Heterocephalus glaber</t>
    </r>
  </si>
  <si>
    <r>
      <rPr>
        <sz val="7"/>
        <color rgb="FF231F20"/>
        <rFont val="Minion Pro"/>
        <family val="1"/>
      </rPr>
      <t>0.184 ± 0.026</t>
    </r>
  </si>
  <si>
    <r>
      <rPr>
        <sz val="7"/>
        <color rgb="FF231F20"/>
        <rFont val="Minion Pro"/>
        <family val="1"/>
      </rPr>
      <t>6,151,875 ± 1,065,587</t>
    </r>
  </si>
  <si>
    <r>
      <rPr>
        <sz val="7"/>
        <color rgb="FF231F20"/>
        <rFont val="Minion Pro"/>
        <family val="1"/>
      </rPr>
      <t>8,398,125 ± 1,197,056</t>
    </r>
  </si>
  <si>
    <r>
      <rPr>
        <sz val="7"/>
        <color rgb="FF231F20"/>
        <rFont val="Minion Pro"/>
        <family val="1"/>
      </rPr>
      <t>33,374 ± 2,063</t>
    </r>
  </si>
  <si>
    <r>
      <rPr>
        <sz val="7"/>
        <color rgb="FF231F20"/>
        <rFont val="Minion Pro"/>
        <family val="1"/>
      </rPr>
      <t>45,894 ± 11,497</t>
    </r>
  </si>
  <si>
    <r>
      <rPr>
        <sz val="7"/>
        <color rgb="FF231F20"/>
        <rFont val="Minion Pro"/>
        <family val="1"/>
      </rPr>
      <t>1.365 ± 0.125</t>
    </r>
  </si>
  <si>
    <r>
      <rPr>
        <sz val="7"/>
        <color rgb="FF231F20"/>
        <rFont val="Minion Pro"/>
        <family val="1"/>
      </rPr>
      <t>Herculano-Houzel et al., 2011</t>
    </r>
  </si>
  <si>
    <r>
      <rPr>
        <i/>
        <sz val="7"/>
        <color rgb="FF231F20"/>
        <rFont val="Minion Pro"/>
        <family val="1"/>
      </rPr>
      <t>Condylura cristata</t>
    </r>
  </si>
  <si>
    <r>
      <rPr>
        <sz val="7"/>
        <color rgb="FF231F20"/>
        <rFont val="Minion Pro"/>
        <family val="1"/>
      </rPr>
      <t>0.420± 0.024</t>
    </r>
  </si>
  <si>
    <r>
      <rPr>
        <sz val="7"/>
        <color rgb="FF231F20"/>
        <rFont val="Minion Pro"/>
        <family val="1"/>
      </rPr>
      <t>17,250,000± 3,105,000</t>
    </r>
  </si>
  <si>
    <r>
      <rPr>
        <sz val="7"/>
        <color rgb="FF231F20"/>
        <rFont val="Minion Pro"/>
        <family val="1"/>
      </rPr>
      <t>32,010,000± 8,822,000</t>
    </r>
  </si>
  <si>
    <r>
      <rPr>
        <sz val="7"/>
        <color rgb="FF231F20"/>
        <rFont val="Minion Pro"/>
        <family val="1"/>
      </rPr>
      <t>40,777 ± 5,145</t>
    </r>
  </si>
  <si>
    <r>
      <rPr>
        <sz val="7"/>
        <color rgb="FF231F20"/>
        <rFont val="Minion Pro"/>
        <family val="1"/>
      </rPr>
      <t>76,995 ± 25,019</t>
    </r>
  </si>
  <si>
    <r>
      <rPr>
        <sz val="7"/>
        <color rgb="FF231F20"/>
        <rFont val="Minion Pro"/>
        <family val="1"/>
      </rPr>
      <t>1.966 ± 0.924</t>
    </r>
  </si>
  <si>
    <r>
      <rPr>
        <i/>
        <sz val="7"/>
        <color rgb="FF231F20"/>
        <rFont val="Minion Pro"/>
        <family val="1"/>
      </rPr>
      <t>Parascalops breweri</t>
    </r>
  </si>
  <si>
    <r>
      <rPr>
        <sz val="7"/>
        <color rgb="FF231F20"/>
        <rFont val="Minion Pro"/>
        <family val="1"/>
      </rPr>
      <t>0.429± 0.019</t>
    </r>
  </si>
  <si>
    <r>
      <rPr>
        <sz val="7"/>
        <color rgb="FF231F20"/>
        <rFont val="Minion Pro"/>
        <family val="1"/>
      </rPr>
      <t>15,690,000± 2,611,000</t>
    </r>
  </si>
  <si>
    <r>
      <rPr>
        <sz val="7"/>
        <color rgb="FF231F20"/>
        <rFont val="Minion Pro"/>
        <family val="1"/>
      </rPr>
      <t>39,870,000± 4,884,000</t>
    </r>
  </si>
  <si>
    <r>
      <rPr>
        <sz val="7"/>
        <color rgb="FF231F20"/>
        <rFont val="Minion Pro"/>
        <family val="1"/>
      </rPr>
      <t>36,727 ± 7,359</t>
    </r>
  </si>
  <si>
    <r>
      <rPr>
        <sz val="7"/>
        <color rgb="FF231F20"/>
        <rFont val="Minion Pro"/>
        <family val="1"/>
      </rPr>
      <t>93,185 ± 14,583</t>
    </r>
  </si>
  <si>
    <r>
      <rPr>
        <sz val="7"/>
        <color rgb="FF231F20"/>
        <rFont val="Minion Pro"/>
        <family val="1"/>
      </rPr>
      <t>2.581 ± 0.109</t>
    </r>
  </si>
  <si>
    <r>
      <rPr>
        <i/>
        <sz val="7"/>
        <color rgb="FF231F20"/>
        <rFont val="Minion Pro"/>
        <family val="1"/>
      </rPr>
      <t>Amblysomus hottentotus</t>
    </r>
  </si>
  <si>
    <r>
      <rPr>
        <sz val="7"/>
        <color rgb="FF231F20"/>
        <rFont val="Minion Pro"/>
        <family val="1"/>
      </rPr>
      <t>Afrotheria</t>
    </r>
  </si>
  <si>
    <r>
      <rPr>
        <sz val="7"/>
        <color rgb="FF231F20"/>
        <rFont val="Minion Pro"/>
        <family val="1"/>
      </rPr>
      <t>0.439 ± 0.035</t>
    </r>
  </si>
  <si>
    <r>
      <rPr>
        <sz val="7"/>
        <color rgb="FF231F20"/>
        <rFont val="Minion Pro"/>
        <family val="1"/>
      </rPr>
      <t>21,516,000 ± 2,154,000</t>
    </r>
  </si>
  <si>
    <r>
      <rPr>
        <sz val="7"/>
        <color rgb="FF231F20"/>
        <rFont val="Minion Pro"/>
        <family val="1"/>
      </rPr>
      <t>21,370,000 ± 4,614,000</t>
    </r>
  </si>
  <si>
    <r>
      <rPr>
        <sz val="7"/>
        <color rgb="FF231F20"/>
        <rFont val="Minion Pro"/>
        <family val="1"/>
      </rPr>
      <t>48,932 ± 1,004</t>
    </r>
  </si>
  <si>
    <r>
      <rPr>
        <sz val="7"/>
        <color rgb="FF231F20"/>
        <rFont val="Minion Pro"/>
        <family val="1"/>
      </rPr>
      <t>48,146 ± 6,674</t>
    </r>
  </si>
  <si>
    <r>
      <rPr>
        <sz val="7"/>
        <color rgb="FF231F20"/>
        <rFont val="Minion Pro"/>
        <family val="1"/>
      </rPr>
      <t>0.982 ± 0.116</t>
    </r>
  </si>
  <si>
    <r>
      <rPr>
        <sz val="7"/>
        <color rgb="FF231F20"/>
        <rFont val="Minion Pro"/>
        <family val="1"/>
      </rPr>
      <t>Neves et al., 2014</t>
    </r>
  </si>
  <si>
    <r>
      <rPr>
        <i/>
        <sz val="7"/>
        <color rgb="FF231F20"/>
        <rFont val="Minion Pro"/>
        <family val="1"/>
      </rPr>
      <t>Scalopus aquaticus</t>
    </r>
  </si>
  <si>
    <r>
      <rPr>
        <sz val="7"/>
        <color rgb="FF231F20"/>
        <rFont val="Minion Pro"/>
        <family val="1"/>
      </rPr>
      <t>0.476± 0.032</t>
    </r>
  </si>
  <si>
    <r>
      <rPr>
        <sz val="7"/>
        <color rgb="FF231F20"/>
        <rFont val="Minion Pro"/>
        <family val="1"/>
      </rPr>
      <t>26,680,000± 5,113,000</t>
    </r>
  </si>
  <si>
    <r>
      <rPr>
        <sz val="7"/>
        <color rgb="FF231F20"/>
        <rFont val="Minion Pro"/>
        <family val="1"/>
      </rPr>
      <t>38,540,000 ± 5,567,000</t>
    </r>
  </si>
  <si>
    <r>
      <rPr>
        <sz val="7"/>
        <color rgb="FF231F20"/>
        <rFont val="Minion Pro"/>
        <family val="1"/>
      </rPr>
      <t>60,461± 12,249</t>
    </r>
  </si>
  <si>
    <r>
      <rPr>
        <sz val="7"/>
        <color rgb="FF231F20"/>
        <rFont val="Minion Pro"/>
        <family val="1"/>
      </rPr>
      <t>80,745± 6,407</t>
    </r>
  </si>
  <si>
    <r>
      <rPr>
        <sz val="7"/>
        <color rgb="FF231F20"/>
        <rFont val="Minion Pro"/>
        <family val="1"/>
      </rPr>
      <t>1.383± 0.368</t>
    </r>
  </si>
  <si>
    <r>
      <rPr>
        <i/>
        <sz val="7"/>
        <color rgb="FF231F20"/>
        <rFont val="Minion Pro"/>
        <family val="1"/>
      </rPr>
      <t>Elephantulus myurus</t>
    </r>
  </si>
  <si>
    <r>
      <rPr>
        <sz val="7"/>
        <color rgb="FF231F20"/>
        <rFont val="Minion Pro"/>
        <family val="1"/>
      </rPr>
      <t>0.471 ± 0.021</t>
    </r>
  </si>
  <si>
    <r>
      <rPr>
        <sz val="7"/>
        <color rgb="FF231F20"/>
        <rFont val="Minion Pro"/>
        <family val="1"/>
      </rPr>
      <t>25,865,000 ± 4,020,000</t>
    </r>
  </si>
  <si>
    <r>
      <rPr>
        <sz val="7"/>
        <color rgb="FF231F20"/>
        <rFont val="Minion Pro"/>
        <family val="1"/>
      </rPr>
      <t>26,229,000 ± 1,104,000</t>
    </r>
  </si>
  <si>
    <r>
      <rPr>
        <sz val="7"/>
        <color rgb="FF231F20"/>
        <rFont val="Minion Pro"/>
        <family val="1"/>
      </rPr>
      <t>54,644 ± 6,098</t>
    </r>
  </si>
  <si>
    <r>
      <rPr>
        <sz val="7"/>
        <color rgb="FF231F20"/>
        <rFont val="Minion Pro"/>
        <family val="1"/>
      </rPr>
      <t>55,693 ± 138</t>
    </r>
  </si>
  <si>
    <r>
      <rPr>
        <sz val="7"/>
        <color rgb="FF231F20"/>
        <rFont val="Minion Pro"/>
        <family val="1"/>
      </rPr>
      <t>1.032 ± 0.119</t>
    </r>
  </si>
  <si>
    <r>
      <rPr>
        <i/>
        <sz val="7"/>
        <color rgb="FF231F20"/>
        <rFont val="Minion Pro"/>
        <family val="1"/>
      </rPr>
      <t>Mesocricetus auratus</t>
    </r>
  </si>
  <si>
    <r>
      <rPr>
        <sz val="7"/>
        <color rgb="FF231F20"/>
        <rFont val="Minion Pro"/>
        <family val="1"/>
      </rPr>
      <t>0.446 ± 0.048</t>
    </r>
  </si>
  <si>
    <r>
      <rPr>
        <sz val="7"/>
        <color rgb="FF231F20"/>
        <rFont val="Minion Pro"/>
        <family val="1"/>
      </rPr>
      <t>17,140,000 ± 3,619,934</t>
    </r>
  </si>
  <si>
    <r>
      <rPr>
        <sz val="7"/>
        <color rgb="FF231F20"/>
        <rFont val="Minion Pro"/>
        <family val="1"/>
      </rPr>
      <t>41,870,000 ± 1,350,121</t>
    </r>
  </si>
  <si>
    <r>
      <rPr>
        <sz val="7"/>
        <color rgb="FF231F20"/>
        <rFont val="Minion Pro"/>
        <family val="1"/>
      </rPr>
      <t>39,099 ± 12,332</t>
    </r>
  </si>
  <si>
    <r>
      <rPr>
        <sz val="7"/>
        <color rgb="FF231F20"/>
        <rFont val="Minion Pro"/>
        <family val="1"/>
      </rPr>
      <t>94,271 ± 7,136</t>
    </r>
  </si>
  <si>
    <r>
      <rPr>
        <sz val="7"/>
        <color rgb="FF231F20"/>
        <rFont val="Minion Pro"/>
        <family val="1"/>
      </rPr>
      <t>2.507 ± 0.608</t>
    </r>
  </si>
  <si>
    <r>
      <rPr>
        <i/>
        <sz val="7"/>
        <color rgb="FF231F20"/>
        <rFont val="Minion Pro"/>
        <family val="1"/>
      </rPr>
      <t>Rattus norvegicus</t>
    </r>
  </si>
  <si>
    <r>
      <rPr>
        <sz val="7"/>
        <color rgb="FF231F20"/>
        <rFont val="Minion Pro"/>
        <family val="1"/>
      </rPr>
      <t>0.769 ± 0.113</t>
    </r>
  </si>
  <si>
    <r>
      <rPr>
        <sz val="7"/>
        <color rgb="FF231F20"/>
        <rFont val="Minion Pro"/>
        <family val="1"/>
      </rPr>
      <t>31,017,192 + 3,034,654</t>
    </r>
  </si>
  <si>
    <r>
      <rPr>
        <sz val="7"/>
        <color rgb="FF231F20"/>
        <rFont val="Minion Pro"/>
        <family val="1"/>
      </rPr>
      <t>45,687,808 ± 5,678,958</t>
    </r>
  </si>
  <si>
    <r>
      <rPr>
        <sz val="7"/>
        <color rgb="FF231F20"/>
        <rFont val="Minion Pro"/>
        <family val="1"/>
      </rPr>
      <t>41,092 ± 7,999</t>
    </r>
  </si>
  <si>
    <r>
      <rPr>
        <sz val="7"/>
        <color rgb="FF231F20"/>
        <rFont val="Minion Pro"/>
        <family val="1"/>
      </rPr>
      <t>60,426 ± 12,477</t>
    </r>
  </si>
  <si>
    <r>
      <rPr>
        <sz val="7"/>
        <color rgb="FF231F20"/>
        <rFont val="Minion Pro"/>
        <family val="1"/>
      </rPr>
      <t>1.497 ± 0.328</t>
    </r>
  </si>
  <si>
    <r>
      <rPr>
        <i/>
        <sz val="7"/>
        <color rgb="FF231F20"/>
        <rFont val="Minion Pro"/>
        <family val="1"/>
      </rPr>
      <t>Microcebus murinus</t>
    </r>
  </si>
  <si>
    <r>
      <rPr>
        <sz val="7"/>
        <color rgb="FF231F20"/>
        <rFont val="Minion Pro"/>
        <family val="1"/>
      </rPr>
      <t>Primata</t>
    </r>
  </si>
  <si>
    <r>
      <rPr>
        <sz val="7"/>
        <color rgb="FF231F20"/>
        <rFont val="Minion Pro"/>
        <family val="1"/>
      </rPr>
      <t>Gabi et al., 2010</t>
    </r>
  </si>
  <si>
    <r>
      <rPr>
        <i/>
        <sz val="7"/>
        <color rgb="FF231F20"/>
        <rFont val="Minion Pro"/>
        <family val="1"/>
      </rPr>
      <t>Proechimys cayennensis</t>
    </r>
  </si>
  <si>
    <r>
      <rPr>
        <sz val="7"/>
        <color rgb="FF231F20"/>
        <rFont val="Minion Pro"/>
        <family val="1"/>
      </rPr>
      <t>0.924 ± 0.050</t>
    </r>
  </si>
  <si>
    <r>
      <rPr>
        <sz val="7"/>
        <color rgb="FF231F20"/>
        <rFont val="Minion Pro"/>
        <family val="1"/>
      </rPr>
      <t>26,086,024 ± 2,155,723</t>
    </r>
  </si>
  <si>
    <r>
      <rPr>
        <sz val="7"/>
        <color rgb="FF231F20"/>
        <rFont val="Minion Pro"/>
        <family val="1"/>
      </rPr>
      <t>71,833,039 ± 6,712,722</t>
    </r>
  </si>
  <si>
    <r>
      <rPr>
        <sz val="7"/>
        <color rgb="FF231F20"/>
        <rFont val="Minion Pro"/>
        <family val="1"/>
      </rPr>
      <t>28,321 ± 3,870</t>
    </r>
  </si>
  <si>
    <r>
      <rPr>
        <sz val="7"/>
        <color rgb="FF231F20"/>
        <rFont val="Minion Pro"/>
        <family val="1"/>
      </rPr>
      <t>78,011 ± 11,497</t>
    </r>
  </si>
  <si>
    <r>
      <rPr>
        <sz val="7"/>
        <color rgb="FF231F20"/>
        <rFont val="Minion Pro"/>
        <family val="1"/>
      </rPr>
      <t>2.752 ± 0.030</t>
    </r>
  </si>
  <si>
    <r>
      <rPr>
        <i/>
        <sz val="7"/>
        <color rgb="FF231F20"/>
        <rFont val="Minion Pro"/>
        <family val="1"/>
      </rPr>
      <t>Petrodromus tetradactylus</t>
    </r>
  </si>
  <si>
    <r>
      <rPr>
        <sz val="7"/>
        <color rgb="FF231F20"/>
        <rFont val="Minion Pro"/>
        <family val="1"/>
      </rPr>
      <t>1.239 ± 0.059</t>
    </r>
  </si>
  <si>
    <r>
      <rPr>
        <sz val="7"/>
        <color rgb="FF231F20"/>
        <rFont val="Minion Pro"/>
        <family val="1"/>
      </rPr>
      <t>33,947,000 ± 5,840,000</t>
    </r>
  </si>
  <si>
    <r>
      <rPr>
        <sz val="7"/>
        <color rgb="FF231F20"/>
        <rFont val="Minion Pro"/>
        <family val="1"/>
      </rPr>
      <t>40,486,000 ± 1,104,000</t>
    </r>
  </si>
  <si>
    <r>
      <rPr>
        <sz val="7"/>
        <color rgb="FF231F20"/>
        <rFont val="Minion Pro"/>
        <family val="1"/>
      </rPr>
      <t>27,236 ± 3,416</t>
    </r>
  </si>
  <si>
    <r>
      <rPr>
        <sz val="7"/>
        <color rgb="FF231F20"/>
        <rFont val="Minion Pro"/>
        <family val="1"/>
      </rPr>
      <t>32,550 ± 2,661</t>
    </r>
  </si>
  <si>
    <r>
      <rPr>
        <sz val="7"/>
        <color rgb="FF231F20"/>
        <rFont val="Minion Pro"/>
        <family val="1"/>
      </rPr>
      <t>1.202 ± 0.053</t>
    </r>
  </si>
  <si>
    <r>
      <rPr>
        <i/>
        <sz val="7"/>
        <color rgb="FF231F20"/>
        <rFont val="Minion Pro"/>
        <family val="1"/>
      </rPr>
      <t>Tupaia glis</t>
    </r>
  </si>
  <si>
    <r>
      <rPr>
        <sz val="7"/>
        <color rgb="FF231F20"/>
        <rFont val="Minion Pro"/>
        <family val="1"/>
      </rPr>
      <t>Scandentia</t>
    </r>
  </si>
  <si>
    <r>
      <rPr>
        <sz val="7"/>
        <color rgb="FF231F20"/>
        <rFont val="Minion Pro"/>
        <family val="1"/>
      </rPr>
      <t>1.455 ± 0.174</t>
    </r>
  </si>
  <si>
    <r>
      <rPr>
        <sz val="7"/>
        <color rgb="FF231F20"/>
        <rFont val="Minion Pro"/>
        <family val="1"/>
      </rPr>
      <t>60,390,000 ± 26,510,000</t>
    </r>
  </si>
  <si>
    <r>
      <rPr>
        <sz val="7"/>
        <color rgb="FF231F20"/>
        <rFont val="Minion Pro"/>
        <family val="1"/>
      </rPr>
      <t>85,580,000 ± 8,400,000</t>
    </r>
  </si>
  <si>
    <r>
      <rPr>
        <sz val="7"/>
        <color rgb="FF231F20"/>
        <rFont val="Minion Pro"/>
        <family val="1"/>
      </rPr>
      <t>42,900 ± 23,350</t>
    </r>
  </si>
  <si>
    <r>
      <rPr>
        <sz val="7"/>
        <color rgb="FF231F20"/>
        <rFont val="Minion Pro"/>
        <family val="1"/>
      </rPr>
      <t>58,900 ± 1,270</t>
    </r>
  </si>
  <si>
    <r>
      <rPr>
        <sz val="7"/>
        <color rgb="FF231F20"/>
        <rFont val="Minion Pro"/>
        <family val="1"/>
      </rPr>
      <t>Herculano-Houzel et al., 2007</t>
    </r>
  </si>
  <si>
    <r>
      <rPr>
        <i/>
        <sz val="7"/>
        <color rgb="FF231F20"/>
        <rFont val="Minion Pro"/>
        <family val="1"/>
      </rPr>
      <t>Cavia porcellus</t>
    </r>
  </si>
  <si>
    <r>
      <rPr>
        <sz val="7"/>
        <color rgb="FF231F20"/>
        <rFont val="Minion Pro"/>
        <family val="1"/>
      </rPr>
      <t>1.938 ± 0.231</t>
    </r>
  </si>
  <si>
    <r>
      <rPr>
        <sz val="7"/>
        <color rgb="FF231F20"/>
        <rFont val="Minion Pro"/>
        <family val="1"/>
      </rPr>
      <t>43,510,525 ± 3,169,924</t>
    </r>
  </si>
  <si>
    <r>
      <rPr>
        <sz val="7"/>
        <color rgb="FF231F20"/>
        <rFont val="Minion Pro"/>
        <family val="1"/>
      </rPr>
      <t>108,614,475 ± 12,775,334</t>
    </r>
  </si>
  <si>
    <r>
      <rPr>
        <sz val="7"/>
        <color rgb="FF231F20"/>
        <rFont val="Minion Pro"/>
        <family val="1"/>
      </rPr>
      <t>22,508 ± 1,050</t>
    </r>
  </si>
  <si>
    <r>
      <rPr>
        <sz val="7"/>
        <color rgb="FF231F20"/>
        <rFont val="Minion Pro"/>
        <family val="1"/>
      </rPr>
      <t>56,036 ± 93</t>
    </r>
  </si>
  <si>
    <r>
      <rPr>
        <sz val="7"/>
        <color rgb="FF231F20"/>
        <rFont val="Minion Pro"/>
        <family val="1"/>
      </rPr>
      <t>2.492 ± 0.112</t>
    </r>
  </si>
  <si>
    <r>
      <rPr>
        <i/>
        <sz val="7"/>
        <color rgb="FF231F20"/>
        <rFont val="Minion Pro"/>
        <family val="1"/>
      </rPr>
      <t xml:space="preserve">Cynomys </t>
    </r>
    <r>
      <rPr>
        <sz val="7"/>
        <color rgb="FF231F20"/>
        <rFont val="Minion Pro"/>
        <family val="1"/>
      </rPr>
      <t>sp.</t>
    </r>
  </si>
  <si>
    <r>
      <rPr>
        <sz val="7"/>
        <color rgb="FF231F20"/>
        <rFont val="Minion Pro"/>
        <family val="1"/>
      </rPr>
      <t>2.586 ± 0.109</t>
    </r>
  </si>
  <si>
    <r>
      <rPr>
        <sz val="7"/>
        <color rgb="FF231F20"/>
        <rFont val="Minion Pro"/>
        <family val="1"/>
      </rPr>
      <t>53,768,353 ± 6,044,322</t>
    </r>
  </si>
  <si>
    <r>
      <rPr>
        <sz val="7"/>
        <color rgb="FF231F20"/>
        <rFont val="Minion Pro"/>
        <family val="1"/>
      </rPr>
      <t>183,451,647 ± 17,959,104</t>
    </r>
  </si>
  <si>
    <r>
      <rPr>
        <sz val="7"/>
        <color rgb="FF231F20"/>
        <rFont val="Minion Pro"/>
        <family val="1"/>
      </rPr>
      <t>20,866 ± 3,113</t>
    </r>
  </si>
  <si>
    <r>
      <rPr>
        <sz val="7"/>
        <color rgb="FF231F20"/>
        <rFont val="Minion Pro"/>
        <family val="1"/>
      </rPr>
      <t>71,202 ± 9,677</t>
    </r>
  </si>
  <si>
    <r>
      <rPr>
        <sz val="7"/>
        <color rgb="FF231F20"/>
        <rFont val="Minion Pro"/>
        <family val="1"/>
      </rPr>
      <t>3.432 ± 0.433</t>
    </r>
  </si>
  <si>
    <r>
      <rPr>
        <i/>
        <sz val="7"/>
        <color rgb="FF231F20"/>
        <rFont val="Minion Pro"/>
        <family val="1"/>
      </rPr>
      <t>Sciurus carolinensis</t>
    </r>
  </si>
  <si>
    <r>
      <rPr>
        <sz val="7"/>
        <color rgb="FF231F20"/>
        <rFont val="Minion Pro"/>
        <family val="1"/>
      </rPr>
      <t>2.730 ± 0.178</t>
    </r>
  </si>
  <si>
    <r>
      <rPr>
        <sz val="7"/>
        <color rgb="FF231F20"/>
        <rFont val="Minion Pro"/>
        <family val="1"/>
      </rPr>
      <t>77,334,617 ± 2,634,444</t>
    </r>
  </si>
  <si>
    <r>
      <rPr>
        <sz val="7"/>
        <color rgb="FF231F20"/>
        <rFont val="Minion Pro"/>
        <family val="1"/>
      </rPr>
      <t>209,654,717 ± 13,003,170</t>
    </r>
  </si>
  <si>
    <r>
      <rPr>
        <sz val="7"/>
        <color rgb="FF231F20"/>
        <rFont val="Minion Pro"/>
        <family val="1"/>
      </rPr>
      <t>28,384 ± 1,487</t>
    </r>
  </si>
  <si>
    <r>
      <rPr>
        <sz val="7"/>
        <color rgb="FF231F20"/>
        <rFont val="Minion Pro"/>
        <family val="1"/>
      </rPr>
      <t>76,877 ± 3,859</t>
    </r>
  </si>
  <si>
    <r>
      <rPr>
        <sz val="7"/>
        <color rgb="FF231F20"/>
        <rFont val="Minion Pro"/>
        <family val="1"/>
      </rPr>
      <t>2.709 ± 0.076</t>
    </r>
  </si>
  <si>
    <r>
      <rPr>
        <i/>
        <sz val="7"/>
        <color rgb="FF231F20"/>
        <rFont val="Minion Pro"/>
        <family val="1"/>
      </rPr>
      <t>Oryctolagus cuniculus</t>
    </r>
  </si>
  <si>
    <r>
      <rPr>
        <i/>
        <sz val="7"/>
        <color rgb="FF231F20"/>
        <rFont val="Minion Pro"/>
        <family val="1"/>
      </rPr>
      <t>Callithrix jacchus</t>
    </r>
  </si>
  <si>
    <r>
      <rPr>
        <sz val="7"/>
        <color rgb="FF231F20"/>
        <rFont val="Minion Pro"/>
        <family val="1"/>
      </rPr>
      <t>5.561 ± 0.443</t>
    </r>
  </si>
  <si>
    <r>
      <rPr>
        <sz val="7"/>
        <color rgb="FF231F20"/>
        <rFont val="Minion Pro"/>
        <family val="1"/>
      </rPr>
      <t>244,720,000 ± 81,180,000</t>
    </r>
  </si>
  <si>
    <r>
      <rPr>
        <sz val="7"/>
        <color rgb="FF231F20"/>
        <rFont val="Minion Pro"/>
        <family val="1"/>
      </rPr>
      <t>395,340,000 ± 58,790,000</t>
    </r>
  </si>
  <si>
    <r>
      <rPr>
        <sz val="7"/>
        <color rgb="FF231F20"/>
        <rFont val="Minion Pro"/>
        <family val="1"/>
      </rPr>
      <t>44,280 ± 15,900</t>
    </r>
  </si>
  <si>
    <r>
      <rPr>
        <sz val="7"/>
        <color rgb="FF231F20"/>
        <rFont val="Minion Pro"/>
        <family val="1"/>
      </rPr>
      <t>71,800 ± 14,880</t>
    </r>
  </si>
  <si>
    <r>
      <rPr>
        <i/>
        <sz val="7"/>
        <color rgb="FF231F20"/>
        <rFont val="Minion Pro"/>
        <family val="1"/>
      </rPr>
      <t>Otolemur garnettii</t>
    </r>
  </si>
  <si>
    <r>
      <rPr>
        <sz val="7"/>
        <color rgb="FF231F20"/>
        <rFont val="Minion Pro"/>
        <family val="1"/>
      </rPr>
      <t>6.290 ± 0.863</t>
    </r>
  </si>
  <si>
    <r>
      <rPr>
        <sz val="7"/>
        <color rgb="FF231F20"/>
        <rFont val="Minion Pro"/>
        <family val="1"/>
      </rPr>
      <t>226,090,000 ± 87,570,000</t>
    </r>
  </si>
  <si>
    <r>
      <rPr>
        <sz val="7"/>
        <color rgb="FF231F20"/>
        <rFont val="Minion Pro"/>
        <family val="1"/>
      </rPr>
      <t>402,070,000 ± 74,790,000</t>
    </r>
  </si>
  <si>
    <r>
      <rPr>
        <sz val="7"/>
        <color rgb="FF231F20"/>
        <rFont val="Minion Pro"/>
        <family val="1"/>
      </rPr>
      <t>37,820 ± 20,500</t>
    </r>
  </si>
  <si>
    <r>
      <rPr>
        <sz val="7"/>
        <color rgb="FF231F20"/>
        <rFont val="Minion Pro"/>
        <family val="1"/>
      </rPr>
      <t>63,610 ± 3,400</t>
    </r>
  </si>
  <si>
    <r>
      <rPr>
        <i/>
        <sz val="7"/>
        <color rgb="FF231F20"/>
        <rFont val="Minion Pro"/>
        <family val="1"/>
      </rPr>
      <t>Dendrohyrax dorsalis</t>
    </r>
  </si>
  <si>
    <r>
      <rPr>
        <i/>
        <sz val="7"/>
        <color rgb="FF231F20"/>
        <rFont val="Minion Pro"/>
        <family val="1"/>
      </rPr>
      <t>Dasyprocta prymnolopha</t>
    </r>
  </si>
  <si>
    <r>
      <rPr>
        <sz val="7"/>
        <color rgb="FF231F20"/>
        <rFont val="Minion Pro"/>
        <family val="1"/>
      </rPr>
      <t>8.913 ± 1.214</t>
    </r>
  </si>
  <si>
    <r>
      <rPr>
        <sz val="7"/>
        <color rgb="FF231F20"/>
        <rFont val="Minion Pro"/>
        <family val="1"/>
      </rPr>
      <t>110,641,950 ± 2,576,768</t>
    </r>
  </si>
  <si>
    <r>
      <rPr>
        <sz val="7"/>
        <color rgb="FF231F20"/>
        <rFont val="Minion Pro"/>
        <family val="1"/>
      </rPr>
      <t>416,208,050 ± 950,422</t>
    </r>
  </si>
  <si>
    <r>
      <rPr>
        <sz val="7"/>
        <color rgb="FF231F20"/>
        <rFont val="Minion Pro"/>
        <family val="1"/>
      </rPr>
      <t>13,250 ± 1,633</t>
    </r>
  </si>
  <si>
    <r>
      <rPr>
        <sz val="7"/>
        <color rgb="FF231F20"/>
        <rFont val="Minion Pro"/>
        <family val="1"/>
      </rPr>
      <t>49,939 ± 7,422</t>
    </r>
  </si>
  <si>
    <r>
      <rPr>
        <sz val="7"/>
        <color rgb="FF231F20"/>
        <rFont val="Minion Pro"/>
        <family val="1"/>
      </rPr>
      <t>3.763 ± 0.096</t>
    </r>
  </si>
  <si>
    <r>
      <rPr>
        <i/>
        <sz val="7"/>
        <color rgb="FF231F20"/>
        <rFont val="Minion Pro"/>
        <family val="1"/>
      </rPr>
      <t>Procavia capensis</t>
    </r>
  </si>
  <si>
    <r>
      <rPr>
        <sz val="7"/>
        <color rgb="FF231F20"/>
        <rFont val="Minion Pro"/>
        <family val="1"/>
      </rPr>
      <t>10.478 ± 0.646</t>
    </r>
  </si>
  <si>
    <r>
      <rPr>
        <sz val="7"/>
        <color rgb="FF231F20"/>
        <rFont val="Minion Pro"/>
        <family val="1"/>
      </rPr>
      <t>197,933,000 ± 29,082,000</t>
    </r>
  </si>
  <si>
    <r>
      <rPr>
        <sz val="7"/>
        <color rgb="FF231F20"/>
        <rFont val="Minion Pro"/>
        <family val="1"/>
      </rPr>
      <t>366,620,000 ± 13,520,000</t>
    </r>
  </si>
  <si>
    <r>
      <rPr>
        <sz val="7"/>
        <color rgb="FF231F20"/>
        <rFont val="Minion Pro"/>
        <family val="1"/>
      </rPr>
      <t>19,134 ± 3,955</t>
    </r>
  </si>
  <si>
    <r>
      <rPr>
        <sz val="7"/>
        <color rgb="FF231F20"/>
        <rFont val="Minion Pro"/>
        <family val="1"/>
      </rPr>
      <t>35,203 ± 3,461</t>
    </r>
  </si>
  <si>
    <r>
      <rPr>
        <sz val="7"/>
        <color rgb="FF231F20"/>
        <rFont val="Minion Pro"/>
        <family val="1"/>
      </rPr>
      <t>1.883 ± 0.208</t>
    </r>
  </si>
  <si>
    <r>
      <rPr>
        <i/>
        <sz val="7"/>
        <color rgb="FF231F20"/>
        <rFont val="Minion Pro"/>
        <family val="1"/>
      </rPr>
      <t>Aotus trivirgatus</t>
    </r>
  </si>
  <si>
    <r>
      <rPr>
        <sz val="7"/>
        <color rgb="FF231F20"/>
        <rFont val="Minion Pro"/>
        <family val="1"/>
      </rPr>
      <t>10.617 ± 0.610</t>
    </r>
  </si>
  <si>
    <r>
      <rPr>
        <sz val="7"/>
        <color rgb="FF231F20"/>
        <rFont val="Minion Pro"/>
        <family val="1"/>
      </rPr>
      <t>441,900,000 ± 111,310,000</t>
    </r>
  </si>
  <si>
    <r>
      <rPr>
        <sz val="7"/>
        <color rgb="FF231F20"/>
        <rFont val="Minion Pro"/>
        <family val="1"/>
      </rPr>
      <t>695,420,000 ± 130,000,000</t>
    </r>
  </si>
  <si>
    <r>
      <rPr>
        <sz val="7"/>
        <color rgb="FF231F20"/>
        <rFont val="Minion Pro"/>
        <family val="1"/>
      </rPr>
      <t>41,990 ± 12,900</t>
    </r>
  </si>
  <si>
    <r>
      <rPr>
        <sz val="7"/>
        <color rgb="FF231F20"/>
        <rFont val="Minion Pro"/>
        <family val="1"/>
      </rPr>
      <t>65,330 ± 5,950</t>
    </r>
  </si>
  <si>
    <r>
      <rPr>
        <i/>
        <sz val="7"/>
        <color rgb="FF231F20"/>
        <rFont val="Minion Pro"/>
        <family val="1"/>
      </rPr>
      <t>Callimico goeldii</t>
    </r>
  </si>
  <si>
    <r>
      <rPr>
        <i/>
        <sz val="7"/>
        <color rgb="FF231F20"/>
        <rFont val="Minion Pro"/>
        <family val="1"/>
      </rPr>
      <t>Saimiri sciureus</t>
    </r>
  </si>
  <si>
    <r>
      <rPr>
        <sz val="7"/>
        <color rgb="FF231F20"/>
        <rFont val="Minion Pro"/>
        <family val="1"/>
      </rPr>
      <t>20.652 ± 0.368</t>
    </r>
  </si>
  <si>
    <r>
      <rPr>
        <sz val="7"/>
        <color rgb="FF231F20"/>
        <rFont val="Minion Pro"/>
        <family val="1"/>
      </rPr>
      <t>1,340,000,000 ± 20,000,000</t>
    </r>
  </si>
  <si>
    <r>
      <rPr>
        <sz val="7"/>
        <color rgb="FF231F20"/>
        <rFont val="Minion Pro"/>
        <family val="1"/>
      </rPr>
      <t>1,610,000,000 ± 40,000,000</t>
    </r>
  </si>
  <si>
    <r>
      <rPr>
        <sz val="7"/>
        <color rgb="FF231F20"/>
        <rFont val="Minion Pro"/>
        <family val="1"/>
      </rPr>
      <t>64,930 ± 7,420</t>
    </r>
  </si>
  <si>
    <r>
      <rPr>
        <sz val="7"/>
        <color rgb="FF231F20"/>
        <rFont val="Minion Pro"/>
        <family val="1"/>
      </rPr>
      <t>77,840 ± 790</t>
    </r>
  </si>
  <si>
    <r>
      <rPr>
        <i/>
        <sz val="7"/>
        <color rgb="FF231F20"/>
        <rFont val="Minion Pro"/>
        <family val="1"/>
      </rPr>
      <t>Macaca fascicularis</t>
    </r>
  </si>
  <si>
    <r>
      <rPr>
        <i/>
        <sz val="7"/>
        <color rgb="FF231F20"/>
        <rFont val="Minion Pro"/>
        <family val="1"/>
      </rPr>
      <t>Cebus apella</t>
    </r>
  </si>
  <si>
    <r>
      <rPr>
        <i/>
        <sz val="7"/>
        <color rgb="FF231F20"/>
        <rFont val="Minion Pro"/>
        <family val="1"/>
      </rPr>
      <t>Macaca radiata</t>
    </r>
  </si>
  <si>
    <r>
      <rPr>
        <i/>
        <sz val="7"/>
        <color rgb="FF231F20"/>
        <rFont val="Minion Pro"/>
        <family val="1"/>
      </rPr>
      <t>Sus scrofa domesticus</t>
    </r>
  </si>
  <si>
    <r>
      <rPr>
        <sz val="7"/>
        <color rgb="FF231F20"/>
        <rFont val="Minion Pro"/>
        <family val="1"/>
      </rPr>
      <t>Artiodactyla</t>
    </r>
  </si>
  <si>
    <r>
      <rPr>
        <sz val="7"/>
        <color rgb="FF231F20"/>
        <rFont val="Minion Pro"/>
        <family val="1"/>
      </rPr>
      <t>Kazu et al., 2014</t>
    </r>
  </si>
  <si>
    <r>
      <rPr>
        <i/>
        <sz val="7"/>
        <color rgb="FF231F20"/>
        <rFont val="Minion Pro"/>
        <family val="1"/>
      </rPr>
      <t>Hydrochoerus hydrochaeris</t>
    </r>
  </si>
  <si>
    <r>
      <rPr>
        <sz val="7"/>
        <color rgb="FF231F20"/>
        <rFont val="Minion Pro"/>
        <family val="1"/>
      </rPr>
      <t>48.175 ± 2.714</t>
    </r>
  </si>
  <si>
    <r>
      <rPr>
        <sz val="7"/>
        <color rgb="FF231F20"/>
        <rFont val="Minion Pro"/>
        <family val="1"/>
      </rPr>
      <t>306,501,565 ± 62,726,120</t>
    </r>
  </si>
  <si>
    <r>
      <rPr>
        <sz val="7"/>
        <color rgb="FF231F20"/>
        <rFont val="Minion Pro"/>
        <family val="1"/>
      </rPr>
      <t>1,847,818,435 ± 512,392,109</t>
    </r>
  </si>
  <si>
    <r>
      <rPr>
        <sz val="7"/>
        <color rgb="FF231F20"/>
        <rFont val="Minion Pro"/>
        <family val="1"/>
      </rPr>
      <t>6,336 ± 945</t>
    </r>
  </si>
  <si>
    <r>
      <rPr>
        <sz val="7"/>
        <color rgb="FF231F20"/>
        <rFont val="Minion Pro"/>
        <family val="1"/>
      </rPr>
      <t>38,117 ± 8,489</t>
    </r>
  </si>
  <si>
    <r>
      <rPr>
        <sz val="7"/>
        <color rgb="FF231F20"/>
        <rFont val="Minion Pro"/>
        <family val="1"/>
      </rPr>
      <t>5.983 ± 0.447</t>
    </r>
  </si>
  <si>
    <r>
      <rPr>
        <i/>
        <sz val="7"/>
        <color rgb="FF231F20"/>
        <rFont val="Minion Pro"/>
        <family val="1"/>
      </rPr>
      <t>Antidorcas marsupialis</t>
    </r>
  </si>
  <si>
    <r>
      <rPr>
        <i/>
        <sz val="7"/>
        <color rgb="FF231F20"/>
        <rFont val="Minion Pro"/>
        <family val="1"/>
      </rPr>
      <t>Macaca mulatta</t>
    </r>
  </si>
  <si>
    <r>
      <rPr>
        <i/>
        <sz val="7"/>
        <color rgb="FF231F20"/>
        <rFont val="Minion Pro"/>
        <family val="1"/>
      </rPr>
      <t>Damaliscus dorcas phillipsi</t>
    </r>
  </si>
  <si>
    <r>
      <rPr>
        <i/>
        <sz val="7"/>
        <color rgb="FF231F20"/>
        <rFont val="Minion Pro"/>
        <family val="1"/>
      </rPr>
      <t>Papio anubis cynocephalus</t>
    </r>
  </si>
  <si>
    <r>
      <rPr>
        <i/>
        <sz val="7"/>
        <color rgb="FF231F20"/>
        <rFont val="Minion Pro"/>
        <family val="1"/>
      </rPr>
      <t>Tragelaphus strepsiceros</t>
    </r>
  </si>
  <si>
    <r>
      <rPr>
        <i/>
        <sz val="7"/>
        <color rgb="FF231F20"/>
        <rFont val="Minion Pro"/>
        <family val="1"/>
      </rPr>
      <t>Giraffa camelopardalis</t>
    </r>
  </si>
  <si>
    <r>
      <rPr>
        <i/>
        <sz val="7"/>
        <color rgb="FF231F20"/>
        <rFont val="Minion Pro"/>
        <family val="1"/>
      </rPr>
      <t>Homo sapiens</t>
    </r>
  </si>
  <si>
    <r>
      <rPr>
        <sz val="7"/>
        <color rgb="FF231F20"/>
        <rFont val="Minion Pro"/>
        <family val="1"/>
      </rPr>
      <t>1,232.93 ± 233.68</t>
    </r>
  </si>
  <si>
    <r>
      <rPr>
        <sz val="7"/>
        <color rgb="FF231F20"/>
        <rFont val="Minion Pro"/>
        <family val="1"/>
      </rPr>
      <t>16,340,000,000 ± 2,170,000,000</t>
    </r>
  </si>
  <si>
    <r>
      <rPr>
        <sz val="7"/>
        <color rgb="FF231F20"/>
        <rFont val="Minion Pro"/>
        <family val="1"/>
      </rPr>
      <t>60,840,000,000 ± 7,020,000,000</t>
    </r>
  </si>
  <si>
    <r>
      <rPr>
        <sz val="7"/>
        <color rgb="FF231F20"/>
        <rFont val="Minion Pro"/>
        <family val="1"/>
      </rPr>
      <t>13,520 ± 3,636</t>
    </r>
  </si>
  <si>
    <r>
      <rPr>
        <sz val="7"/>
        <color rgb="FF231F20"/>
        <rFont val="Minion Pro"/>
        <family val="1"/>
      </rPr>
      <t>49,230 ± 3,755</t>
    </r>
  </si>
  <si>
    <r>
      <rPr>
        <sz val="7"/>
        <color rgb="FF231F20"/>
        <rFont val="Minion Pro"/>
        <family val="1"/>
      </rPr>
      <t>3.723± 0.675</t>
    </r>
  </si>
  <si>
    <r>
      <rPr>
        <sz val="7"/>
        <color rgb="FF231F20"/>
        <rFont val="Minion Pro"/>
        <family val="1"/>
      </rPr>
      <t>Azevedo et al., 2009</t>
    </r>
  </si>
  <si>
    <r>
      <rPr>
        <i/>
        <sz val="7"/>
        <color rgb="FF231F20"/>
        <rFont val="Minion Pro"/>
        <family val="1"/>
      </rPr>
      <t>Loxodonta africana</t>
    </r>
  </si>
  <si>
    <r>
      <rPr>
        <sz val="7"/>
        <color rgb="FF231F20"/>
        <rFont val="Minion Pro"/>
        <family val="1"/>
      </rPr>
      <t>Herculano-Houzel et al., 2014</t>
    </r>
  </si>
  <si>
    <r>
      <rPr>
        <sz val="7"/>
        <color rgb="FF231F20"/>
        <rFont val="Minion Pro"/>
        <family val="1"/>
      </rPr>
      <t>0.020 ± 0.002</t>
    </r>
  </si>
  <si>
    <r>
      <rPr>
        <sz val="7"/>
        <color rgb="FF231F20"/>
        <rFont val="Minion Pro"/>
        <family val="1"/>
      </rPr>
      <t>20,870,000 ± 4,660,000</t>
    </r>
  </si>
  <si>
    <r>
      <rPr>
        <sz val="7"/>
        <color rgb="FF231F20"/>
        <rFont val="Minion Pro"/>
        <family val="1"/>
      </rPr>
      <t>5,290,000 ± 2,120,000</t>
    </r>
  </si>
  <si>
    <r>
      <rPr>
        <sz val="7"/>
        <color rgb="FF231F20"/>
        <rFont val="Minion Pro"/>
        <family val="1"/>
      </rPr>
      <t>1,038,666 ± 214,440</t>
    </r>
  </si>
  <si>
    <r>
      <rPr>
        <sz val="7"/>
        <color rgb="FF231F20"/>
        <rFont val="Minion Pro"/>
        <family val="1"/>
      </rPr>
      <t>258,073 ± 85,510</t>
    </r>
  </si>
  <si>
    <r>
      <rPr>
        <sz val="7"/>
        <color rgb="FF231F20"/>
        <rFont val="Minion Pro"/>
        <family val="1"/>
      </rPr>
      <t>0.037 ± 0.005</t>
    </r>
  </si>
  <si>
    <r>
      <rPr>
        <sz val="7"/>
        <color rgb="FF231F20"/>
        <rFont val="Minion Pro"/>
        <family val="1"/>
      </rPr>
      <t>33,430,000 ± 5,821,000</t>
    </r>
  </si>
  <si>
    <r>
      <rPr>
        <sz val="7"/>
        <color rgb="FF231F20"/>
        <rFont val="Minion Pro"/>
        <family val="1"/>
      </rPr>
      <t>4,410,000 ± 1,280,000</t>
    </r>
  </si>
  <si>
    <r>
      <rPr>
        <sz val="7"/>
        <color rgb="FF231F20"/>
        <rFont val="Minion Pro"/>
        <family val="1"/>
      </rPr>
      <t>919,942 ± 19,721</t>
    </r>
  </si>
  <si>
    <r>
      <rPr>
        <sz val="7"/>
        <color rgb="FF231F20"/>
        <rFont val="Minion Pro"/>
        <family val="1"/>
      </rPr>
      <t>118,736 ± 25,620</t>
    </r>
  </si>
  <si>
    <r>
      <rPr>
        <sz val="7"/>
        <color rgb="FF231F20"/>
        <rFont val="Minion Pro"/>
        <family val="1"/>
      </rPr>
      <t>0.048 ± 0.004</t>
    </r>
  </si>
  <si>
    <r>
      <rPr>
        <sz val="7"/>
        <color rgb="FF231F20"/>
        <rFont val="Minion Pro"/>
        <family val="1"/>
      </rPr>
      <t>15,742,270 ± 2,849,254</t>
    </r>
  </si>
  <si>
    <r>
      <rPr>
        <sz val="7"/>
        <color rgb="FF231F20"/>
        <rFont val="Minion Pro"/>
        <family val="1"/>
      </rPr>
      <t>5,482,730 ± 1,274,352</t>
    </r>
  </si>
  <si>
    <r>
      <rPr>
        <sz val="7"/>
        <color rgb="FF231F20"/>
        <rFont val="Minion Pro"/>
        <family val="1"/>
      </rPr>
      <t>327,280 ± 48,331</t>
    </r>
  </si>
  <si>
    <r>
      <rPr>
        <sz val="7"/>
        <color rgb="FF231F20"/>
        <rFont val="Minion Pro"/>
        <family val="1"/>
      </rPr>
      <t>115,748 ± 32,952</t>
    </r>
  </si>
  <si>
    <r>
      <rPr>
        <sz val="7"/>
        <color rgb="FF231F20"/>
        <rFont val="Minion Pro"/>
        <family val="1"/>
      </rPr>
      <t>0.356 ± 0.106</t>
    </r>
  </si>
  <si>
    <r>
      <rPr>
        <sz val="7"/>
        <color rgb="FF231F20"/>
        <rFont val="Minion Pro"/>
        <family val="1"/>
      </rPr>
      <t>0.056 ± 0.005</t>
    </r>
  </si>
  <si>
    <r>
      <rPr>
        <sz val="7"/>
        <color rgb="FF231F20"/>
        <rFont val="Minion Pro"/>
        <family val="1"/>
      </rPr>
      <t>42,219,708 ± 9,277,647</t>
    </r>
  </si>
  <si>
    <r>
      <rPr>
        <sz val="7"/>
        <color rgb="FF231F20"/>
        <rFont val="Minion Pro"/>
        <family val="1"/>
      </rPr>
      <t>6,947,791 ± 1,502,773</t>
    </r>
  </si>
  <si>
    <r>
      <rPr>
        <sz val="7"/>
        <color rgb="FF231F20"/>
        <rFont val="Minion Pro"/>
        <family val="1"/>
      </rPr>
      <t>746,691 ± 128,541</t>
    </r>
  </si>
  <si>
    <r>
      <rPr>
        <sz val="7"/>
        <color rgb="FF231F20"/>
        <rFont val="Minion Pro"/>
        <family val="1"/>
      </rPr>
      <t>123,493 ± 25,715</t>
    </r>
  </si>
  <si>
    <r>
      <rPr>
        <sz val="7"/>
        <color rgb="FF231F20"/>
        <rFont val="Minion Pro"/>
        <family val="1"/>
      </rPr>
      <t>0.165 ± 0.017</t>
    </r>
  </si>
  <si>
    <r>
      <rPr>
        <sz val="7"/>
        <color rgb="FF231F20"/>
        <rFont val="Minion Pro"/>
        <family val="1"/>
      </rPr>
      <t>34,488,379 ± 3,207,000</t>
    </r>
  </si>
  <si>
    <r>
      <rPr>
        <sz val="7"/>
        <color rgb="FF231F20"/>
        <rFont val="Minion Pro"/>
        <family val="1"/>
      </rPr>
      <t>8,155,621 ± 813,000</t>
    </r>
  </si>
  <si>
    <r>
      <rPr>
        <sz val="7"/>
        <color rgb="FF231F20"/>
        <rFont val="Minion Pro"/>
        <family val="1"/>
      </rPr>
      <t>409,687 ± 18,667</t>
    </r>
  </si>
  <si>
    <r>
      <rPr>
        <sz val="7"/>
        <color rgb="FF231F20"/>
        <rFont val="Minion Pro"/>
        <family val="1"/>
      </rPr>
      <t>96,849 ± 5,069</t>
    </r>
  </si>
  <si>
    <r>
      <rPr>
        <sz val="7"/>
        <color rgb="FF231F20"/>
        <rFont val="Minion Pro"/>
        <family val="1"/>
      </rPr>
      <t>0.236 ± 0.002</t>
    </r>
  </si>
  <si>
    <r>
      <rPr>
        <sz val="7"/>
        <color rgb="FF231F20"/>
        <rFont val="Minion Pro"/>
        <family val="1"/>
      </rPr>
      <t>0.102 ± 0.005</t>
    </r>
  </si>
  <si>
    <r>
      <rPr>
        <sz val="7"/>
        <color rgb="FF231F20"/>
        <rFont val="Minion Pro"/>
        <family val="1"/>
      </rPr>
      <t>100,780,000 ± 13,850,000</t>
    </r>
  </si>
  <si>
    <r>
      <rPr>
        <sz val="7"/>
        <color rgb="FF231F20"/>
        <rFont val="Minion Pro"/>
        <family val="1"/>
      </rPr>
      <t>7,010,000 ± 1,100,000</t>
    </r>
  </si>
  <si>
    <r>
      <rPr>
        <sz val="7"/>
        <color rgb="FF231F20"/>
        <rFont val="Minion Pro"/>
        <family val="1"/>
      </rPr>
      <t>997,370 ± 173,030</t>
    </r>
  </si>
  <si>
    <r>
      <rPr>
        <sz val="7"/>
        <color rgb="FF231F20"/>
        <rFont val="Minion Pro"/>
        <family val="1"/>
      </rPr>
      <t>68,795 ± 7,910</t>
    </r>
  </si>
  <si>
    <r>
      <rPr>
        <sz val="7"/>
        <color rgb="FF231F20"/>
        <rFont val="Minion Pro"/>
        <family val="1"/>
      </rPr>
      <t>0.138 ± 0.012</t>
    </r>
  </si>
  <si>
    <r>
      <rPr>
        <sz val="7"/>
        <color rgb="FF231F20"/>
        <rFont val="Minion Pro"/>
        <family val="1"/>
      </rPr>
      <t>105,920,000 ± 22,100,000</t>
    </r>
  </si>
  <si>
    <r>
      <rPr>
        <sz val="7"/>
        <color rgb="FF231F20"/>
        <rFont val="Minion Pro"/>
        <family val="1"/>
      </rPr>
      <t>19,480,000 ± 6,420,000</t>
    </r>
  </si>
  <si>
    <r>
      <rPr>
        <sz val="7"/>
        <color rgb="FF231F20"/>
        <rFont val="Minion Pro"/>
        <family val="1"/>
      </rPr>
      <t>776,460 ± 181,530</t>
    </r>
  </si>
  <si>
    <r>
      <rPr>
        <sz val="7"/>
        <color rgb="FF231F20"/>
        <rFont val="Minion Pro"/>
        <family val="1"/>
      </rPr>
      <t>139,912 ± 39,720</t>
    </r>
  </si>
  <si>
    <r>
      <rPr>
        <sz val="7"/>
        <color rgb="FF231F20"/>
        <rFont val="Minion Pro"/>
        <family val="1"/>
      </rPr>
      <t>0.145 ± 0.030</t>
    </r>
  </si>
  <si>
    <r>
      <rPr>
        <sz val="7"/>
        <color rgb="FF231F20"/>
        <rFont val="Minion Pro"/>
        <family val="1"/>
      </rPr>
      <t>61,210,000 ± 12,351,246</t>
    </r>
  </si>
  <si>
    <r>
      <rPr>
        <sz val="7"/>
        <color rgb="FF231F20"/>
        <rFont val="Minion Pro"/>
        <family val="1"/>
      </rPr>
      <t>7,430,000 ± 1,713,108</t>
    </r>
  </si>
  <si>
    <r>
      <rPr>
        <sz val="7"/>
        <color rgb="FF231F20"/>
        <rFont val="Minion Pro"/>
        <family val="1"/>
      </rPr>
      <t>424,002 ± 3,743</t>
    </r>
  </si>
  <si>
    <r>
      <rPr>
        <sz val="7"/>
        <color rgb="FF231F20"/>
        <rFont val="Minion Pro"/>
        <family val="1"/>
      </rPr>
      <t>51,332 ± 1,054</t>
    </r>
  </si>
  <si>
    <r>
      <rPr>
        <sz val="7"/>
        <color rgb="FF231F20"/>
        <rFont val="Minion Pro"/>
        <family val="1"/>
      </rPr>
      <t>0.121 ± 0.004</t>
    </r>
  </si>
  <si>
    <r>
      <rPr>
        <sz val="7"/>
        <color rgb="FF231F20"/>
        <rFont val="Minion Pro"/>
        <family val="1"/>
      </rPr>
      <t>0.153 ± 0.008</t>
    </r>
  </si>
  <si>
    <r>
      <rPr>
        <sz val="7"/>
        <color rgb="FF231F20"/>
        <rFont val="Minion Pro"/>
        <family val="1"/>
      </rPr>
      <t>158,550,000 ± 13,630,000</t>
    </r>
  </si>
  <si>
    <r>
      <rPr>
        <sz val="7"/>
        <color rgb="FF231F20"/>
        <rFont val="Minion Pro"/>
        <family val="1"/>
      </rPr>
      <t>17,510,000 ± 3,160,000</t>
    </r>
  </si>
  <si>
    <r>
      <rPr>
        <sz val="7"/>
        <color rgb="FF231F20"/>
        <rFont val="Minion Pro"/>
        <family val="1"/>
      </rPr>
      <t>1,037,390 ± 63,570</t>
    </r>
  </si>
  <si>
    <r>
      <rPr>
        <sz val="7"/>
        <color rgb="FF231F20"/>
        <rFont val="Minion Pro"/>
        <family val="1"/>
      </rPr>
      <t>114,660 ± 20,790</t>
    </r>
  </si>
  <si>
    <r>
      <rPr>
        <sz val="7"/>
        <color rgb="FF231F20"/>
        <rFont val="Minion Pro"/>
        <family val="1"/>
      </rPr>
      <t>89,312,372 ± 2,852,000</t>
    </r>
  </si>
  <si>
    <r>
      <rPr>
        <sz val="7"/>
        <color rgb="FF231F20"/>
        <rFont val="Minion Pro"/>
        <family val="1"/>
      </rPr>
      <t>23,368,628 ± 1,279,000</t>
    </r>
  </si>
  <si>
    <r>
      <rPr>
        <sz val="7"/>
        <color rgb="FF231F20"/>
        <rFont val="Minion Pro"/>
        <family val="1"/>
      </rPr>
      <t>531,494 ± 10,651</t>
    </r>
  </si>
  <si>
    <r>
      <rPr>
        <sz val="7"/>
        <color rgb="FF231F20"/>
        <rFont val="Minion Pro"/>
        <family val="1"/>
      </rPr>
      <t>139,028 ± 5,956</t>
    </r>
  </si>
  <si>
    <r>
      <rPr>
        <sz val="7"/>
        <color rgb="FF231F20"/>
        <rFont val="Minion Pro"/>
        <family val="1"/>
      </rPr>
      <t>0.261 ± 0.005</t>
    </r>
  </si>
  <si>
    <r>
      <rPr>
        <sz val="7"/>
        <color rgb="FF231F20"/>
        <rFont val="Minion Pro"/>
        <family val="1"/>
      </rPr>
      <t>0.272 ± 0.038</t>
    </r>
  </si>
  <si>
    <r>
      <rPr>
        <sz val="7"/>
        <color rgb="FF231F20"/>
        <rFont val="Minion Pro"/>
        <family val="1"/>
      </rPr>
      <t>139,171,882 ± 11,185,675</t>
    </r>
  </si>
  <si>
    <r>
      <rPr>
        <sz val="7"/>
        <color rgb="FF231F20"/>
        <rFont val="Minion Pro"/>
        <family val="1"/>
      </rPr>
      <t>29,005,617 ± 6,282,204</t>
    </r>
  </si>
  <si>
    <r>
      <rPr>
        <sz val="7"/>
        <color rgb="FF231F20"/>
        <rFont val="Minion Pro"/>
        <family val="1"/>
      </rPr>
      <t>522,688 ± 108,847</t>
    </r>
  </si>
  <si>
    <r>
      <rPr>
        <sz val="7"/>
        <color rgb="FF231F20"/>
        <rFont val="Minion Pro"/>
        <family val="1"/>
      </rPr>
      <t>108,555 ± 29,355</t>
    </r>
  </si>
  <si>
    <r>
      <rPr>
        <sz val="7"/>
        <color rgb="FF231F20"/>
        <rFont val="Minion Pro"/>
        <family val="1"/>
      </rPr>
      <t>0.209 ± 0.047</t>
    </r>
  </si>
  <si>
    <r>
      <rPr>
        <sz val="7"/>
        <color rgb="FF231F20"/>
        <rFont val="Minion Pro"/>
        <family val="1"/>
      </rPr>
      <t>110,653,150 ±14,948,000</t>
    </r>
  </si>
  <si>
    <r>
      <rPr>
        <sz val="7"/>
        <color rgb="FF231F20"/>
        <rFont val="Minion Pro"/>
        <family val="1"/>
      </rPr>
      <t>34,657,851 ± 15,801,000</t>
    </r>
  </si>
  <si>
    <r>
      <rPr>
        <sz val="7"/>
        <color rgb="FF231F20"/>
        <rFont val="Minion Pro"/>
        <family val="1"/>
      </rPr>
      <t>362,537 ± 15,780</t>
    </r>
  </si>
  <si>
    <r>
      <rPr>
        <sz val="7"/>
        <color rgb="FF231F20"/>
        <rFont val="Minion Pro"/>
        <family val="1"/>
      </rPr>
      <t>110,153 ± 41,831</t>
    </r>
  </si>
  <si>
    <r>
      <rPr>
        <sz val="7"/>
        <color rgb="FF231F20"/>
        <rFont val="Minion Pro"/>
        <family val="1"/>
      </rPr>
      <t>0.299 ± 0.102</t>
    </r>
  </si>
  <si>
    <r>
      <rPr>
        <sz val="7"/>
        <color rgb="FF231F20"/>
        <rFont val="Minion Pro"/>
        <family val="1"/>
      </rPr>
      <t>0.326 ± 0.018</t>
    </r>
  </si>
  <si>
    <r>
      <rPr>
        <sz val="7"/>
        <color rgb="FF231F20"/>
        <rFont val="Minion Pro"/>
        <family val="1"/>
      </rPr>
      <t>185,280,000 ± 16,980,000</t>
    </r>
  </si>
  <si>
    <r>
      <rPr>
        <sz val="7"/>
        <color rgb="FF231F20"/>
        <rFont val="Minion Pro"/>
        <family val="1"/>
      </rPr>
      <t>19,980,000 ± 1,510,000</t>
    </r>
  </si>
  <si>
    <r>
      <rPr>
        <sz val="7"/>
        <color rgb="FF231F20"/>
        <rFont val="Minion Pro"/>
        <family val="1"/>
      </rPr>
      <t>571,460 ± 83,200</t>
    </r>
  </si>
  <si>
    <r>
      <rPr>
        <sz val="7"/>
        <color rgb="FF231F20"/>
        <rFont val="Minion Pro"/>
        <family val="1"/>
      </rPr>
      <t>61,600 ± 7,990</t>
    </r>
  </si>
  <si>
    <r>
      <rPr>
        <sz val="7"/>
        <color rgb="FF231F20"/>
        <rFont val="Minion Pro"/>
        <family val="1"/>
      </rPr>
      <t>0.330 ± 0.026</t>
    </r>
  </si>
  <si>
    <r>
      <rPr>
        <sz val="7"/>
        <color rgb="FF231F20"/>
        <rFont val="Minion Pro"/>
        <family val="1"/>
      </rPr>
      <t>162,512,050 ± 3,553,848</t>
    </r>
  </si>
  <si>
    <r>
      <rPr>
        <sz val="7"/>
        <color rgb="FF231F20"/>
        <rFont val="Minion Pro"/>
        <family val="1"/>
      </rPr>
      <t>36,372,950 ± 5,094,068</t>
    </r>
  </si>
  <si>
    <r>
      <rPr>
        <sz val="7"/>
        <color rgb="FF231F20"/>
        <rFont val="Minion Pro"/>
        <family val="1"/>
      </rPr>
      <t>494,338 ± 28,466</t>
    </r>
  </si>
  <si>
    <r>
      <rPr>
        <sz val="7"/>
        <color rgb="FF231F20"/>
        <rFont val="Minion Pro"/>
        <family val="1"/>
      </rPr>
      <t>110,122 ± 6,716</t>
    </r>
  </si>
  <si>
    <r>
      <rPr>
        <sz val="7"/>
        <color rgb="FF231F20"/>
        <rFont val="Minion Pro"/>
        <family val="1"/>
      </rPr>
      <t>0.224 ± 0.026</t>
    </r>
  </si>
  <si>
    <r>
      <rPr>
        <sz val="7"/>
        <color rgb="FF231F20"/>
        <rFont val="Minion Pro"/>
        <family val="1"/>
      </rPr>
      <t>0.500 ± 0.077</t>
    </r>
  </si>
  <si>
    <r>
      <rPr>
        <sz val="7"/>
        <color rgb="FF231F20"/>
        <rFont val="Minion Pro"/>
        <family val="1"/>
      </rPr>
      <t>167,854,925 ± 2,175,973</t>
    </r>
  </si>
  <si>
    <r>
      <rPr>
        <sz val="7"/>
        <color rgb="FF231F20"/>
        <rFont val="Minion Pro"/>
        <family val="1"/>
      </rPr>
      <t>36,290,075 ± 4,506,186</t>
    </r>
  </si>
  <si>
    <r>
      <rPr>
        <sz val="7"/>
        <color rgb="FF231F20"/>
        <rFont val="Minion Pro"/>
        <family val="1"/>
      </rPr>
      <t>339,755 ± 48,069</t>
    </r>
  </si>
  <si>
    <r>
      <rPr>
        <sz val="7"/>
        <color rgb="FF231F20"/>
        <rFont val="Minion Pro"/>
        <family val="1"/>
      </rPr>
      <t>72,824 ± 2,216</t>
    </r>
  </si>
  <si>
    <r>
      <rPr>
        <sz val="7"/>
        <color rgb="FF231F20"/>
        <rFont val="Minion Pro"/>
        <family val="1"/>
      </rPr>
      <t>0.216 ± 0.024</t>
    </r>
  </si>
  <si>
    <r>
      <rPr>
        <sz val="7"/>
        <color rgb="FF231F20"/>
        <rFont val="Minion Pro"/>
        <family val="1"/>
      </rPr>
      <t>0.730 ± 0.039</t>
    </r>
  </si>
  <si>
    <r>
      <rPr>
        <sz val="7"/>
        <color rgb="FF231F20"/>
        <rFont val="Minion Pro"/>
        <family val="1"/>
      </rPr>
      <t>361,370,000 ± 28,530,000</t>
    </r>
  </si>
  <si>
    <r>
      <rPr>
        <sz val="7"/>
        <color rgb="FF231F20"/>
        <rFont val="Minion Pro"/>
        <family val="1"/>
      </rPr>
      <t>49,490,000 ± 6,770,000</t>
    </r>
  </si>
  <si>
    <r>
      <rPr>
        <sz val="7"/>
        <color rgb="FF231F20"/>
        <rFont val="Minion Pro"/>
        <family val="1"/>
      </rPr>
      <t>494,970 ± 25,740</t>
    </r>
  </si>
  <si>
    <r>
      <rPr>
        <sz val="7"/>
        <color rgb="FF231F20"/>
        <rFont val="Minion Pro"/>
        <family val="1"/>
      </rPr>
      <t>68,170 ± 12,210</t>
    </r>
  </si>
  <si>
    <r>
      <rPr>
        <sz val="7"/>
        <color rgb="FF231F20"/>
        <rFont val="Minion Pro"/>
        <family val="1"/>
      </rPr>
      <t>0.789 ± 0.093</t>
    </r>
  </si>
  <si>
    <r>
      <rPr>
        <sz val="7"/>
        <color rgb="FF231F20"/>
        <rFont val="Minion Pro"/>
        <family val="1"/>
      </rPr>
      <t>350,084,813 ± 72,177,851</t>
    </r>
  </si>
  <si>
    <r>
      <rPr>
        <sz val="7"/>
        <color rgb="FF231F20"/>
        <rFont val="Minion Pro"/>
        <family val="1"/>
      </rPr>
      <t>66,155,187 ± 39,268,821</t>
    </r>
  </si>
  <si>
    <r>
      <rPr>
        <sz val="7"/>
        <color rgb="FF231F20"/>
        <rFont val="Minion Pro"/>
        <family val="1"/>
      </rPr>
      <t>440,658 ± 39,554</t>
    </r>
  </si>
  <si>
    <r>
      <rPr>
        <sz val="7"/>
        <color rgb="FF231F20"/>
        <rFont val="Minion Pro"/>
        <family val="1"/>
      </rPr>
      <t>84,802 ± 54,286</t>
    </r>
  </si>
  <si>
    <r>
      <rPr>
        <sz val="7"/>
        <color rgb="FF231F20"/>
        <rFont val="Minion Pro"/>
        <family val="1"/>
      </rPr>
      <t>0.192 ± 0.123</t>
    </r>
  </si>
  <si>
    <r>
      <rPr>
        <sz val="7"/>
        <color rgb="FF231F20"/>
        <rFont val="Minion Pro"/>
        <family val="1"/>
      </rPr>
      <t>0.874 ± 0.069</t>
    </r>
  </si>
  <si>
    <r>
      <rPr>
        <sz val="7"/>
        <color rgb="FF231F20"/>
        <rFont val="Minion Pro"/>
        <family val="1"/>
      </rPr>
      <t>342,832,180 ± 71,181,798</t>
    </r>
  </si>
  <si>
    <r>
      <rPr>
        <sz val="7"/>
        <color rgb="FF231F20"/>
        <rFont val="Minion Pro"/>
        <family val="1"/>
      </rPr>
      <t>110,797,820 ± 9,070,639</t>
    </r>
  </si>
  <si>
    <r>
      <rPr>
        <sz val="7"/>
        <color rgb="FF231F20"/>
        <rFont val="Minion Pro"/>
        <family val="1"/>
      </rPr>
      <t>392,363 ± 74,294</t>
    </r>
  </si>
  <si>
    <r>
      <rPr>
        <sz val="7"/>
        <color rgb="FF231F20"/>
        <rFont val="Minion Pro"/>
        <family val="1"/>
      </rPr>
      <t>127,682 ± 19,212</t>
    </r>
  </si>
  <si>
    <r>
      <rPr>
        <sz val="7"/>
        <color rgb="FF231F20"/>
        <rFont val="Minion Pro"/>
        <family val="1"/>
      </rPr>
      <t>0.336 ± 0.090</t>
    </r>
  </si>
  <si>
    <r>
      <rPr>
        <sz val="7"/>
        <color rgb="FF231F20"/>
        <rFont val="Minion Pro"/>
        <family val="1"/>
      </rPr>
      <t>1.196 ± 0.105</t>
    </r>
  </si>
  <si>
    <r>
      <rPr>
        <sz val="7"/>
        <color rgb="FF231F20"/>
        <rFont val="Minion Pro"/>
        <family val="1"/>
      </rPr>
      <t>743,500,000 ± 52,450,000</t>
    </r>
  </si>
  <si>
    <r>
      <rPr>
        <sz val="7"/>
        <color rgb="FF231F20"/>
        <rFont val="Minion Pro"/>
        <family val="1"/>
      </rPr>
      <t>65,960,000 ± 20,290,000</t>
    </r>
  </si>
  <si>
    <r>
      <rPr>
        <sz val="7"/>
        <color rgb="FF231F20"/>
        <rFont val="Minion Pro"/>
        <family val="1"/>
      </rPr>
      <t>623,080 ± 45,720</t>
    </r>
  </si>
  <si>
    <r>
      <rPr>
        <sz val="7"/>
        <color rgb="FF231F20"/>
        <rFont val="Minion Pro"/>
        <family val="1"/>
      </rPr>
      <t>54,460 ± 11,890</t>
    </r>
  </si>
  <si>
    <r>
      <rPr>
        <sz val="7"/>
        <color rgb="FF231F20"/>
        <rFont val="Minion Pro"/>
        <family val="1"/>
      </rPr>
      <t>1.732 ± 0.218</t>
    </r>
  </si>
  <si>
    <r>
      <rPr>
        <sz val="7"/>
        <color rgb="FF231F20"/>
        <rFont val="Minion Pro"/>
        <family val="1"/>
      </rPr>
      <t>1,040,000,000 ± 20,000,000</t>
    </r>
  </si>
  <si>
    <r>
      <rPr>
        <sz val="7"/>
        <color rgb="FF231F20"/>
        <rFont val="Minion Pro"/>
        <family val="1"/>
      </rPr>
      <t>145,270,000 ± 45,030,000</t>
    </r>
  </si>
  <si>
    <r>
      <rPr>
        <sz val="7"/>
        <color rgb="FF231F20"/>
        <rFont val="Minion Pro"/>
        <family val="1"/>
      </rPr>
      <t>605,080 ± 90,570</t>
    </r>
  </si>
  <si>
    <r>
      <rPr>
        <sz val="7"/>
        <color rgb="FF231F20"/>
        <rFont val="Minion Pro"/>
        <family val="1"/>
      </rPr>
      <t>82,890 ± 15,580</t>
    </r>
  </si>
  <si>
    <r>
      <rPr>
        <sz val="7"/>
        <color rgb="FF231F20"/>
        <rFont val="Minion Pro"/>
        <family val="1"/>
      </rPr>
      <t>488,373,000 ± 42,322,000</t>
    </r>
  </si>
  <si>
    <r>
      <rPr>
        <sz val="7"/>
        <color rgb="FF231F20"/>
        <rFont val="Minion Pro"/>
        <family val="1"/>
      </rPr>
      <t>91,005,000 ± 30,180,000</t>
    </r>
  </si>
  <si>
    <r>
      <rPr>
        <sz val="7"/>
        <color rgb="FF231F20"/>
        <rFont val="Minion Pro"/>
        <family val="1"/>
      </rPr>
      <t>242,415 ± 46,950</t>
    </r>
  </si>
  <si>
    <r>
      <rPr>
        <sz val="7"/>
        <color rgb="FF231F20"/>
        <rFont val="Minion Pro"/>
        <family val="1"/>
      </rPr>
      <t>46,365 ± 19,711</t>
    </r>
  </si>
  <si>
    <r>
      <rPr>
        <sz val="7"/>
        <color rgb="FF231F20"/>
        <rFont val="Minion Pro"/>
        <family val="1"/>
      </rPr>
      <t>0.182 ± 0.046</t>
    </r>
  </si>
  <si>
    <r>
      <rPr>
        <sz val="7"/>
        <color rgb="FF231F20"/>
        <rFont val="Minion Pro"/>
        <family val="1"/>
      </rPr>
      <t>673,488,085 ± 48,145,960</t>
    </r>
  </si>
  <si>
    <r>
      <rPr>
        <sz val="7"/>
        <color rgb="FF231F20"/>
        <rFont val="Minion Pro"/>
        <family val="1"/>
      </rPr>
      <t>155,986,915 ± 32,978,520</t>
    </r>
  </si>
  <si>
    <r>
      <rPr>
        <sz val="7"/>
        <color rgb="FF231F20"/>
        <rFont val="Minion Pro"/>
        <family val="1"/>
      </rPr>
      <t>253,208 ± 39,447</t>
    </r>
  </si>
  <si>
    <r>
      <rPr>
        <sz val="7"/>
        <color rgb="FF231F20"/>
        <rFont val="Minion Pro"/>
        <family val="1"/>
      </rPr>
      <t>57,945 ± 7,405</t>
    </r>
  </si>
  <si>
    <r>
      <rPr>
        <sz val="7"/>
        <color rgb="FF231F20"/>
        <rFont val="Minion Pro"/>
        <family val="1"/>
      </rPr>
      <t>0.234 ± 0.066</t>
    </r>
  </si>
  <si>
    <r>
      <rPr>
        <sz val="7"/>
        <color rgb="FF231F20"/>
        <rFont val="Minion Pro"/>
        <family val="1"/>
      </rPr>
      <t>6.632 ± 1.312</t>
    </r>
  </si>
  <si>
    <r>
      <rPr>
        <sz val="7"/>
        <color rgb="FF231F20"/>
        <rFont val="Minion Pro"/>
        <family val="1"/>
      </rPr>
      <t>1,157,810,000 ± 5,515,433</t>
    </r>
  </si>
  <si>
    <r>
      <rPr>
        <sz val="7"/>
        <color rgb="FF231F20"/>
        <rFont val="Minion Pro"/>
        <family val="1"/>
      </rPr>
      <t>570,940,000 ± 81,105,148</t>
    </r>
  </si>
  <si>
    <r>
      <rPr>
        <sz val="7"/>
        <color rgb="FF231F20"/>
        <rFont val="Minion Pro"/>
        <family val="1"/>
      </rPr>
      <t>177,982 ± 34,889</t>
    </r>
  </si>
  <si>
    <r>
      <rPr>
        <sz val="7"/>
        <color rgb="FF231F20"/>
        <rFont val="Minion Pro"/>
        <family val="1"/>
      </rPr>
      <t>86,574 ± 4,902</t>
    </r>
  </si>
  <si>
    <r>
      <rPr>
        <sz val="7"/>
        <color rgb="FF231F20"/>
        <rFont val="Minion Pro"/>
        <family val="1"/>
      </rPr>
      <t>0.493 ± 0.068</t>
    </r>
  </si>
  <si>
    <r>
      <rPr>
        <i/>
        <sz val="7"/>
        <color rgb="FF231F20"/>
        <rFont val="Minion Pro"/>
        <family val="1"/>
      </rPr>
      <t>Pongo pygmaeus</t>
    </r>
  </si>
  <si>
    <r>
      <rPr>
        <sz val="7"/>
        <color rgb="FF231F20"/>
        <rFont val="Minion Pro"/>
        <family val="1"/>
      </rPr>
      <t>35.06 ± 4.34</t>
    </r>
  </si>
  <si>
    <r>
      <rPr>
        <sz val="7"/>
        <color rgb="FF231F20"/>
        <rFont val="Minion Pro"/>
        <family val="1"/>
      </rPr>
      <t>26,300,000,000 ± 2,470,000,000</t>
    </r>
  </si>
  <si>
    <r>
      <rPr>
        <sz val="7"/>
        <color rgb="FF231F20"/>
        <rFont val="Minion Pro"/>
        <family val="1"/>
      </rPr>
      <t>Herculano-Houzel and Kaas, 2011</t>
    </r>
  </si>
  <si>
    <r>
      <rPr>
        <i/>
        <sz val="7"/>
        <color rgb="FF231F20"/>
        <rFont val="Minion Pro"/>
        <family val="1"/>
      </rPr>
      <t>Gorilla gorilla</t>
    </r>
  </si>
  <si>
    <r>
      <rPr>
        <sz val="7"/>
        <color rgb="FF231F20"/>
        <rFont val="Minion Pro"/>
        <family val="1"/>
      </rPr>
      <t>154.02 ± 19.29</t>
    </r>
  </si>
  <si>
    <r>
      <rPr>
        <sz val="7"/>
        <color rgb="FF231F20"/>
        <rFont val="Minion Pro"/>
        <family val="1"/>
      </rPr>
      <t>69,030,000,000 ± 6,650,000,000</t>
    </r>
  </si>
  <si>
    <r>
      <rPr>
        <sz val="7"/>
        <color rgb="FF231F20"/>
        <rFont val="Minion Pro"/>
        <family val="1"/>
      </rPr>
      <t>16,040,000,000 ± 2,170,000</t>
    </r>
  </si>
  <si>
    <r>
      <rPr>
        <sz val="7"/>
        <color rgb="FF231F20"/>
        <rFont val="Minion Pro"/>
        <family val="1"/>
      </rPr>
      <t>471,660 ± 90,393</t>
    </r>
  </si>
  <si>
    <r>
      <rPr>
        <sz val="7"/>
        <color rgb="FF231F20"/>
        <rFont val="Minion Pro"/>
        <family val="1"/>
      </rPr>
      <t>101,020 ± 19,800</t>
    </r>
  </si>
  <si>
    <r>
      <rPr>
        <sz val="7"/>
        <color rgb="FF231F20"/>
        <rFont val="Minion Pro"/>
        <family val="1"/>
      </rPr>
      <t>0.232 ± 0.019</t>
    </r>
  </si>
  <si>
    <r>
      <rPr>
        <sz val="7"/>
        <color rgb="FF231F20"/>
        <rFont val="Minion Pro"/>
        <family val="1"/>
      </rPr>
      <t>0.072 ± 0.010</t>
    </r>
  </si>
  <si>
    <r>
      <rPr>
        <sz val="7"/>
        <color rgb="FF231F20"/>
        <rFont val="Minion Pro"/>
        <family val="1"/>
      </rPr>
      <t>5,560,000 ± 1,490,000</t>
    </r>
  </si>
  <si>
    <r>
      <rPr>
        <sz val="7"/>
        <color rgb="FF231F20"/>
        <rFont val="Minion Pro"/>
        <family val="1"/>
      </rPr>
      <t>8,280,000 ± 1,440,000</t>
    </r>
  </si>
  <si>
    <r>
      <rPr>
        <sz val="7"/>
        <color rgb="FF231F20"/>
        <rFont val="Minion Pro"/>
        <family val="1"/>
      </rPr>
      <t>75,941 ± 11,870</t>
    </r>
  </si>
  <si>
    <r>
      <rPr>
        <sz val="7"/>
        <color rgb="FF231F20"/>
        <rFont val="Minion Pro"/>
        <family val="1"/>
      </rPr>
      <t>114,880 ± 17,860</t>
    </r>
  </si>
  <si>
    <r>
      <rPr>
        <sz val="7"/>
        <color rgb="FF231F20"/>
        <rFont val="Minion Pro"/>
        <family val="1"/>
      </rPr>
      <t>1.489 ± 0.294</t>
    </r>
  </si>
  <si>
    <r>
      <rPr>
        <sz val="7"/>
        <color rgb="FF231F20"/>
        <rFont val="Minion Pro"/>
        <family val="1"/>
      </rPr>
      <t>0.113 ± 0.009</t>
    </r>
  </si>
  <si>
    <r>
      <rPr>
        <sz val="7"/>
        <color rgb="FF231F20"/>
        <rFont val="Minion Pro"/>
        <family val="1"/>
      </rPr>
      <t>6,340,000 ± 636,200</t>
    </r>
  </si>
  <si>
    <r>
      <rPr>
        <sz val="7"/>
        <color rgb="FF231F20"/>
        <rFont val="Minion Pro"/>
        <family val="1"/>
      </rPr>
      <t>13,320,000 ± 1,120,000</t>
    </r>
  </si>
  <si>
    <r>
      <rPr>
        <sz val="7"/>
        <color rgb="FF231F20"/>
        <rFont val="Minion Pro"/>
        <family val="1"/>
      </rPr>
      <t>55,924 ± 2,130</t>
    </r>
  </si>
  <si>
    <r>
      <rPr>
        <sz val="7"/>
        <color rgb="FF231F20"/>
        <rFont val="Minion Pro"/>
        <family val="1"/>
      </rPr>
      <t>117,736 ± 5,840</t>
    </r>
  </si>
  <si>
    <r>
      <rPr>
        <sz val="7"/>
        <color rgb="FF231F20"/>
        <rFont val="Minion Pro"/>
        <family val="1"/>
      </rPr>
      <t>2.102 ± 0.096</t>
    </r>
  </si>
  <si>
    <r>
      <rPr>
        <sz val="7"/>
        <color rgb="FF231F20"/>
        <rFont val="Minion Pro"/>
        <family val="1"/>
      </rPr>
      <t>0.160 ± 0.019</t>
    </r>
  </si>
  <si>
    <r>
      <rPr>
        <sz val="7"/>
        <color rgb="FF231F20"/>
        <rFont val="Minion Pro"/>
        <family val="1"/>
      </rPr>
      <t>4,981,317 ± 853,026</t>
    </r>
  </si>
  <si>
    <r>
      <rPr>
        <sz val="7"/>
        <color rgb="FF231F20"/>
        <rFont val="Minion Pro"/>
        <family val="1"/>
      </rPr>
      <t>10,310,350 ± 1,843,572</t>
    </r>
  </si>
  <si>
    <r>
      <rPr>
        <sz val="7"/>
        <color rgb="FF231F20"/>
        <rFont val="Minion Pro"/>
        <family val="1"/>
      </rPr>
      <t>31,674 ± 8,484</t>
    </r>
  </si>
  <si>
    <r>
      <rPr>
        <sz val="7"/>
        <color rgb="FF231F20"/>
        <rFont val="Minion Pro"/>
        <family val="1"/>
      </rPr>
      <t>64,145 ± 3,790</t>
    </r>
  </si>
  <si>
    <r>
      <rPr>
        <sz val="7"/>
        <color rgb="FF231F20"/>
        <rFont val="Minion Pro"/>
        <family val="1"/>
      </rPr>
      <t>0.172 ± 0.019</t>
    </r>
  </si>
  <si>
    <r>
      <rPr>
        <sz val="7"/>
        <color rgb="FF231F20"/>
        <rFont val="Minion Pro"/>
        <family val="1"/>
      </rPr>
      <t>11,960,000 ± 1,577,022</t>
    </r>
  </si>
  <si>
    <r>
      <rPr>
        <sz val="7"/>
        <color rgb="FF231F20"/>
        <rFont val="Minion Pro"/>
        <family val="1"/>
      </rPr>
      <t>14,850,000 ± 3,590,591</t>
    </r>
  </si>
  <si>
    <r>
      <rPr>
        <sz val="7"/>
        <color rgb="FF231F20"/>
        <rFont val="Minion Pro"/>
        <family val="1"/>
      </rPr>
      <t>64,301 ± 6,623</t>
    </r>
  </si>
  <si>
    <r>
      <rPr>
        <sz val="7"/>
        <color rgb="FF231F20"/>
        <rFont val="Minion Pro"/>
        <family val="1"/>
      </rPr>
      <t>79,839 ± 11,249</t>
    </r>
  </si>
  <si>
    <r>
      <rPr>
        <sz val="7"/>
        <color rgb="FF231F20"/>
        <rFont val="Minion Pro"/>
        <family val="1"/>
      </rPr>
      <t>0.228 ± 0.009</t>
    </r>
  </si>
  <si>
    <r>
      <rPr>
        <sz val="7"/>
        <color rgb="FF231F20"/>
        <rFont val="Minion Pro"/>
        <family val="1"/>
      </rPr>
      <t>7,130,000 ± 920,000</t>
    </r>
  </si>
  <si>
    <r>
      <rPr>
        <sz val="7"/>
        <color rgb="FF231F20"/>
        <rFont val="Minion Pro"/>
        <family val="1"/>
      </rPr>
      <t>31,380,000 ± 1,500,000</t>
    </r>
  </si>
  <si>
    <r>
      <rPr>
        <sz val="7"/>
        <color rgb="FF231F20"/>
        <rFont val="Minion Pro"/>
        <family val="1"/>
      </rPr>
      <t>31,276 ± 3,180</t>
    </r>
  </si>
  <si>
    <r>
      <rPr>
        <sz val="7"/>
        <color rgb="FF231F20"/>
        <rFont val="Minion Pro"/>
        <family val="1"/>
      </rPr>
      <t>137,960 ± 7,180</t>
    </r>
  </si>
  <si>
    <r>
      <rPr>
        <sz val="7"/>
        <color rgb="FF231F20"/>
        <rFont val="Minion Pro"/>
        <family val="1"/>
      </rPr>
      <t>4.401 ± 0.375</t>
    </r>
  </si>
  <si>
    <r>
      <rPr>
        <sz val="7"/>
        <color rgb="FF231F20"/>
        <rFont val="Minion Pro"/>
        <family val="1"/>
      </rPr>
      <t>0.244 ± 0.026</t>
    </r>
  </si>
  <si>
    <r>
      <rPr>
        <sz val="7"/>
        <color rgb="FF231F20"/>
        <rFont val="Minion Pro"/>
        <family val="1"/>
      </rPr>
      <t>8,160,000 ± 2,180,000</t>
    </r>
  </si>
  <si>
    <r>
      <rPr>
        <sz val="7"/>
        <color rgb="FF231F20"/>
        <rFont val="Minion Pro"/>
        <family val="1"/>
      </rPr>
      <t>31,550,000 ± 5,950,000</t>
    </r>
  </si>
  <si>
    <r>
      <rPr>
        <sz val="7"/>
        <color rgb="FF231F20"/>
        <rFont val="Minion Pro"/>
        <family val="1"/>
      </rPr>
      <t>33,475 ± 8,560</t>
    </r>
  </si>
  <si>
    <r>
      <rPr>
        <sz val="7"/>
        <color rgb="FF231F20"/>
        <rFont val="Minion Pro"/>
        <family val="1"/>
      </rPr>
      <t>128,990 ± 17,820</t>
    </r>
  </si>
  <si>
    <r>
      <rPr>
        <sz val="7"/>
        <color rgb="FF231F20"/>
        <rFont val="Minion Pro"/>
        <family val="1"/>
      </rPr>
      <t>3.866 ± 1.692</t>
    </r>
  </si>
  <si>
    <r>
      <rPr>
        <sz val="7"/>
        <color rgb="FF231F20"/>
        <rFont val="Minion Pro"/>
        <family val="1"/>
      </rPr>
      <t>0.289 ± 0.013</t>
    </r>
  </si>
  <si>
    <r>
      <rPr>
        <sz val="7"/>
        <color rgb="FF231F20"/>
        <rFont val="Minion Pro"/>
        <family val="1"/>
      </rPr>
      <t>9,070,358 ± 1,069,000</t>
    </r>
  </si>
  <si>
    <r>
      <rPr>
        <sz val="7"/>
        <color rgb="FF231F20"/>
        <rFont val="Minion Pro"/>
        <family val="1"/>
      </rPr>
      <t>16,834,642 ± 3,276,000</t>
    </r>
  </si>
  <si>
    <r>
      <rPr>
        <sz val="7"/>
        <color rgb="FF231F20"/>
        <rFont val="Minion Pro"/>
        <family val="1"/>
      </rPr>
      <t>31,616 ± 5,124</t>
    </r>
  </si>
  <si>
    <r>
      <rPr>
        <sz val="7"/>
        <color rgb="FF231F20"/>
        <rFont val="Minion Pro"/>
        <family val="1"/>
      </rPr>
      <t>58,880 ± 13,983</t>
    </r>
  </si>
  <si>
    <r>
      <rPr>
        <sz val="7"/>
        <color rgb="FF231F20"/>
        <rFont val="Minion Pro"/>
        <family val="1"/>
      </rPr>
      <t>1.839 ± 0.144</t>
    </r>
  </si>
  <si>
    <r>
      <rPr>
        <sz val="7"/>
        <color rgb="FF231F20"/>
        <rFont val="Minion Pro"/>
        <family val="1"/>
      </rPr>
      <t>0.370 ± 0.042</t>
    </r>
  </si>
  <si>
    <r>
      <rPr>
        <sz val="7"/>
        <color rgb="FF231F20"/>
        <rFont val="Minion Pro"/>
        <family val="1"/>
      </rPr>
      <t>16,560,000 ± 2,990,000</t>
    </r>
  </si>
  <si>
    <r>
      <rPr>
        <sz val="7"/>
        <color rgb="FF231F20"/>
        <rFont val="Minion Pro"/>
        <family val="1"/>
      </rPr>
      <t>45,690,000 ± 4,820,000</t>
    </r>
  </si>
  <si>
    <r>
      <rPr>
        <sz val="7"/>
        <color rgb="FF231F20"/>
        <rFont val="Minion Pro"/>
        <family val="1"/>
      </rPr>
      <t>44,620 ± 4,900</t>
    </r>
  </si>
  <si>
    <r>
      <rPr>
        <sz val="7"/>
        <color rgb="FF231F20"/>
        <rFont val="Minion Pro"/>
        <family val="1"/>
      </rPr>
      <t>123,600 ± 2,550</t>
    </r>
  </si>
  <si>
    <r>
      <rPr>
        <sz val="7"/>
        <color rgb="FF231F20"/>
        <rFont val="Minion Pro"/>
        <family val="1"/>
      </rPr>
      <t>2.759 ± 0.379</t>
    </r>
  </si>
  <si>
    <r>
      <rPr>
        <sz val="7"/>
        <color rgb="FF231F20"/>
        <rFont val="Minion Pro"/>
        <family val="1"/>
      </rPr>
      <t>0.375 ± 0.057</t>
    </r>
  </si>
  <si>
    <r>
      <rPr>
        <sz val="7"/>
        <color rgb="FF231F20"/>
        <rFont val="Minion Pro"/>
        <family val="1"/>
      </rPr>
      <t>5,870,000 ± 1,162,059</t>
    </r>
  </si>
  <si>
    <r>
      <rPr>
        <sz val="7"/>
        <color rgb="FF231F20"/>
        <rFont val="Minion Pro"/>
        <family val="1"/>
      </rPr>
      <t>21,330,000 ± 8,878,857</t>
    </r>
  </si>
  <si>
    <r>
      <rPr>
        <sz val="7"/>
        <color rgb="FF231F20"/>
        <rFont val="Minion Pro"/>
        <family val="1"/>
      </rPr>
      <t>15,611 ± 715</t>
    </r>
  </si>
  <si>
    <r>
      <rPr>
        <sz val="7"/>
        <color rgb="FF231F20"/>
        <rFont val="Minion Pro"/>
        <family val="1"/>
      </rPr>
      <t>55,804 ± 15,174</t>
    </r>
  </si>
  <si>
    <r>
      <rPr>
        <sz val="7"/>
        <color rgb="FF231F20"/>
        <rFont val="Minion Pro"/>
        <family val="1"/>
      </rPr>
      <t>0.401 ± 0.063</t>
    </r>
  </si>
  <si>
    <r>
      <rPr>
        <sz val="7"/>
        <color rgb="FF231F20"/>
        <rFont val="Minion Pro"/>
        <family val="1"/>
      </rPr>
      <t>14,012,533 ± 3,258,000</t>
    </r>
  </si>
  <si>
    <r>
      <rPr>
        <sz val="7"/>
        <color rgb="FF231F20"/>
        <rFont val="Minion Pro"/>
        <family val="1"/>
      </rPr>
      <t>28,997,467 ± 7,906,000</t>
    </r>
  </si>
  <si>
    <r>
      <rPr>
        <sz val="7"/>
        <color rgb="FF231F20"/>
        <rFont val="Minion Pro"/>
        <family val="1"/>
      </rPr>
      <t>34,520 ± 2,702</t>
    </r>
  </si>
  <si>
    <r>
      <rPr>
        <sz val="7"/>
        <color rgb="FF231F20"/>
        <rFont val="Minion Pro"/>
        <family val="1"/>
      </rPr>
      <t>70,967 ± 8,566</t>
    </r>
  </si>
  <si>
    <r>
      <rPr>
        <sz val="7"/>
        <color rgb="FF231F20"/>
        <rFont val="Minion Pro"/>
        <family val="1"/>
      </rPr>
      <t>2.048 ± 0.088</t>
    </r>
  </si>
  <si>
    <r>
      <rPr>
        <sz val="7"/>
        <color rgb="FF231F20"/>
        <rFont val="Minion Pro"/>
        <family val="1"/>
      </rPr>
      <t>0.683 ± 0.153</t>
    </r>
  </si>
  <si>
    <r>
      <rPr>
        <sz val="7"/>
        <color rgb="FF231F20"/>
        <rFont val="Minion Pro"/>
        <family val="1"/>
      </rPr>
      <t>18,678,758 ± 4,243,909</t>
    </r>
  </si>
  <si>
    <r>
      <rPr>
        <sz val="7"/>
        <color rgb="FF231F20"/>
        <rFont val="Minion Pro"/>
        <family val="1"/>
      </rPr>
      <t>47,221,243 ± 5,979,982</t>
    </r>
  </si>
  <si>
    <r>
      <rPr>
        <sz val="7"/>
        <color rgb="FF231F20"/>
        <rFont val="Minion Pro"/>
        <family val="1"/>
      </rPr>
      <t>27,813 ± 6,171</t>
    </r>
  </si>
  <si>
    <r>
      <rPr>
        <sz val="7"/>
        <color rgb="FF231F20"/>
        <rFont val="Minion Pro"/>
        <family val="1"/>
      </rPr>
      <t>71,760 ± 18,475</t>
    </r>
  </si>
  <si>
    <r>
      <rPr>
        <sz val="7"/>
        <color rgb="FF231F20"/>
        <rFont val="Minion Pro"/>
        <family val="1"/>
      </rPr>
      <t>0.824 ± 0.006</t>
    </r>
  </si>
  <si>
    <r>
      <rPr>
        <sz val="7"/>
        <color rgb="FF231F20"/>
        <rFont val="Minion Pro"/>
        <family val="1"/>
      </rPr>
      <t>13,492,039 ± 1,533,120</t>
    </r>
  </si>
  <si>
    <r>
      <rPr>
        <sz val="7"/>
        <color rgb="FF231F20"/>
        <rFont val="Minion Pro"/>
        <family val="1"/>
      </rPr>
      <t>73,068,898 ± 2,691,449</t>
    </r>
  </si>
  <si>
    <r>
      <rPr>
        <sz val="7"/>
        <color rgb="FF231F20"/>
        <rFont val="Minion Pro"/>
        <family val="1"/>
      </rPr>
      <t>16,381 ± 1,973</t>
    </r>
  </si>
  <si>
    <r>
      <rPr>
        <sz val="7"/>
        <color rgb="FF231F20"/>
        <rFont val="Minion Pro"/>
        <family val="1"/>
      </rPr>
      <t>88,667 ± 2,658</t>
    </r>
  </si>
  <si>
    <r>
      <rPr>
        <sz val="7"/>
        <color rgb="FF231F20"/>
        <rFont val="Minion Pro"/>
        <family val="1"/>
      </rPr>
      <t>0.894 ± 0.022</t>
    </r>
  </si>
  <si>
    <r>
      <rPr>
        <sz val="7"/>
        <color rgb="FF231F20"/>
        <rFont val="Minion Pro"/>
        <family val="1"/>
      </rPr>
      <t>12,231,811 ± 188,000</t>
    </r>
  </si>
  <si>
    <r>
      <rPr>
        <sz val="7"/>
        <color rgb="FF231F20"/>
        <rFont val="Minion Pro"/>
        <family val="1"/>
      </rPr>
      <t>28,204,189 ± 5,408,000</t>
    </r>
  </si>
  <si>
    <r>
      <rPr>
        <sz val="7"/>
        <color rgb="FF231F20"/>
        <rFont val="Minion Pro"/>
        <family val="1"/>
      </rPr>
      <t>13,696 ± 547</t>
    </r>
  </si>
  <si>
    <r>
      <rPr>
        <sz val="7"/>
        <color rgb="FF231F20"/>
        <rFont val="Minion Pro"/>
        <family val="1"/>
      </rPr>
      <t>31,716 ± 6,830</t>
    </r>
  </si>
  <si>
    <r>
      <rPr>
        <sz val="7"/>
        <color rgb="FF231F20"/>
        <rFont val="Minion Pro"/>
        <family val="1"/>
      </rPr>
      <t>2.300 ± 0.407</t>
    </r>
  </si>
  <si>
    <r>
      <rPr>
        <sz val="7"/>
        <color rgb="FF231F20"/>
        <rFont val="Minion Pro"/>
        <family val="1"/>
      </rPr>
      <t>0.919 ± 0.072</t>
    </r>
  </si>
  <si>
    <r>
      <rPr>
        <sz val="7"/>
        <color rgb="FF231F20"/>
        <rFont val="Minion Pro"/>
        <family val="1"/>
      </rPr>
      <t>1.218 ± 0.178</t>
    </r>
  </si>
  <si>
    <r>
      <rPr>
        <sz val="7"/>
        <color rgb="FF231F20"/>
        <rFont val="Minion Pro"/>
        <family val="1"/>
      </rPr>
      <t>22,191,825 ± 9,431,638</t>
    </r>
  </si>
  <si>
    <r>
      <rPr>
        <sz val="7"/>
        <color rgb="FF231F20"/>
        <rFont val="Minion Pro"/>
        <family val="1"/>
      </rPr>
      <t>83,183,175 ± 8,139,966</t>
    </r>
  </si>
  <si>
    <r>
      <rPr>
        <sz val="7"/>
        <color rgb="FF231F20"/>
        <rFont val="Minion Pro"/>
        <family val="1"/>
      </rPr>
      <t>18,990 ± 10,522</t>
    </r>
  </si>
  <si>
    <r>
      <rPr>
        <sz val="7"/>
        <color rgb="FF231F20"/>
        <rFont val="Minion Pro"/>
        <family val="1"/>
      </rPr>
      <t>69,528 ± 16,855</t>
    </r>
  </si>
  <si>
    <r>
      <rPr>
        <sz val="7"/>
        <color rgb="FF231F20"/>
        <rFont val="Minion Pro"/>
        <family val="1"/>
      </rPr>
      <t>1.489 ± 0.317</t>
    </r>
  </si>
  <si>
    <r>
      <rPr>
        <sz val="7"/>
        <color rgb="FF231F20"/>
        <rFont val="Minion Pro"/>
        <family val="1"/>
      </rPr>
      <t>29,720,000 ± 9,350,000</t>
    </r>
  </si>
  <si>
    <r>
      <rPr>
        <sz val="7"/>
        <color rgb="FF231F20"/>
        <rFont val="Minion Pro"/>
        <family val="1"/>
      </rPr>
      <t>145,910,000 ± 27,830,000</t>
    </r>
  </si>
  <si>
    <r>
      <rPr>
        <sz val="7"/>
        <color rgb="FF231F20"/>
        <rFont val="Minion Pro"/>
        <family val="1"/>
      </rPr>
      <t>19,650 ± 2,840</t>
    </r>
  </si>
  <si>
    <r>
      <rPr>
        <sz val="7"/>
        <color rgb="FF231F20"/>
        <rFont val="Minion Pro"/>
        <family val="1"/>
      </rPr>
      <t>1.943 ± 0.156</t>
    </r>
  </si>
  <si>
    <r>
      <rPr>
        <sz val="7"/>
        <color rgb="FF231F20"/>
        <rFont val="Minion Pro"/>
        <family val="1"/>
      </rPr>
      <t>33,493,401 ± 17,128,790</t>
    </r>
  </si>
  <si>
    <r>
      <rPr>
        <sz val="7"/>
        <color rgb="FF231F20"/>
        <rFont val="Minion Pro"/>
        <family val="1"/>
      </rPr>
      <t>210,023,933 ± 3,415,060</t>
    </r>
  </si>
  <si>
    <r>
      <rPr>
        <sz val="7"/>
        <color rgb="FF231F20"/>
        <rFont val="Minion Pro"/>
        <family val="1"/>
      </rPr>
      <t>17,616 ± 9,989</t>
    </r>
  </si>
  <si>
    <r>
      <rPr>
        <sz val="7"/>
        <color rgb="FF231F20"/>
        <rFont val="Minion Pro"/>
        <family val="1"/>
      </rPr>
      <t>108,482 ± 7,808</t>
    </r>
  </si>
  <si>
    <r>
      <rPr>
        <sz val="7"/>
        <color rgb="FF231F20"/>
        <rFont val="Minion Pro"/>
        <family val="1"/>
      </rPr>
      <t>1.945 ± 0.146</t>
    </r>
  </si>
  <si>
    <r>
      <rPr>
        <sz val="7"/>
        <color rgb="FF231F20"/>
        <rFont val="Minion Pro"/>
        <family val="1"/>
      </rPr>
      <t>34,090,600 ± 589,361</t>
    </r>
  </si>
  <si>
    <r>
      <rPr>
        <sz val="7"/>
        <color rgb="FF231F20"/>
        <rFont val="Minion Pro"/>
        <family val="1"/>
      </rPr>
      <t>167,742,733 ± 5,025,290</t>
    </r>
  </si>
  <si>
    <r>
      <rPr>
        <sz val="7"/>
        <color rgb="FF231F20"/>
        <rFont val="Minion Pro"/>
        <family val="1"/>
      </rPr>
      <t>17,590 ± 1,335</t>
    </r>
  </si>
  <si>
    <r>
      <rPr>
        <sz val="7"/>
        <color rgb="FF231F20"/>
        <rFont val="Minion Pro"/>
        <family val="1"/>
      </rPr>
      <t>86,542 ± 6,793</t>
    </r>
  </si>
  <si>
    <r>
      <rPr>
        <sz val="7"/>
        <color rgb="FF231F20"/>
        <rFont val="Minion Pro"/>
        <family val="1"/>
      </rPr>
      <t>2.131 ± 0.021</t>
    </r>
  </si>
  <si>
    <r>
      <rPr>
        <sz val="7"/>
        <color rgb="FF231F20"/>
        <rFont val="Minion Pro"/>
        <family val="1"/>
      </rPr>
      <t>20,800,000 ± 12,280,000</t>
    </r>
  </si>
  <si>
    <r>
      <rPr>
        <sz val="7"/>
        <color rgb="FF231F20"/>
        <rFont val="Minion Pro"/>
        <family val="1"/>
      </rPr>
      <t>147,440,000 ± 64,500,000</t>
    </r>
  </si>
  <si>
    <r>
      <rPr>
        <sz val="7"/>
        <color rgb="FF231F20"/>
        <rFont val="Minion Pro"/>
        <family val="1"/>
      </rPr>
      <t>9,730 ± 5,920</t>
    </r>
  </si>
  <si>
    <r>
      <rPr>
        <sz val="7"/>
        <color rgb="FF231F20"/>
        <rFont val="Minion Pro"/>
        <family val="1"/>
      </rPr>
      <t>4.317 ± 0.625</t>
    </r>
  </si>
  <si>
    <r>
      <rPr>
        <sz val="7"/>
        <color rgb="FF231F20"/>
        <rFont val="Minion Pro"/>
        <family val="1"/>
      </rPr>
      <t>69,358,240 ± 762,000</t>
    </r>
  </si>
  <si>
    <r>
      <rPr>
        <sz val="7"/>
        <color rgb="FF231F20"/>
        <rFont val="Minion Pro"/>
        <family val="1"/>
      </rPr>
      <t>162,984,760 ± 6,105,000</t>
    </r>
  </si>
  <si>
    <r>
      <rPr>
        <sz val="7"/>
        <color rgb="FF231F20"/>
        <rFont val="Minion Pro"/>
        <family val="1"/>
      </rPr>
      <t>16,436 ± 2,556</t>
    </r>
  </si>
  <si>
    <r>
      <rPr>
        <sz val="7"/>
        <color rgb="FF231F20"/>
        <rFont val="Minion Pro"/>
        <family val="1"/>
      </rPr>
      <t>38,353 ± 4,138</t>
    </r>
  </si>
  <si>
    <r>
      <rPr>
        <sz val="7"/>
        <color rgb="FF231F20"/>
        <rFont val="Minion Pro"/>
        <family val="1"/>
      </rPr>
      <t>2.351 ± 0.114</t>
    </r>
  </si>
  <si>
    <r>
      <rPr>
        <sz val="7"/>
        <color rgb="FF231F20"/>
        <rFont val="Minion Pro"/>
        <family val="1"/>
      </rPr>
      <t>5.972 ± 0.514</t>
    </r>
  </si>
  <si>
    <r>
      <rPr>
        <sz val="7"/>
        <color rgb="FF231F20"/>
        <rFont val="Minion Pro"/>
        <family val="1"/>
      </rPr>
      <t>9.204 ± 0.871</t>
    </r>
  </si>
  <si>
    <r>
      <rPr>
        <sz val="7"/>
        <color rgb="FF231F20"/>
        <rFont val="Minion Pro"/>
        <family val="1"/>
      </rPr>
      <t>19.927 ± 0.270</t>
    </r>
  </si>
  <si>
    <r>
      <rPr>
        <sz val="7"/>
        <color rgb="FF231F20"/>
        <rFont val="Minion Pro"/>
        <family val="1"/>
      </rPr>
      <t>108,250,000 ± 4,400,000</t>
    </r>
  </si>
  <si>
    <r>
      <rPr>
        <sz val="7"/>
        <color rgb="FF231F20"/>
        <rFont val="Minion Pro"/>
        <family val="1"/>
      </rPr>
      <t>779,170,000 ± 381,900,000</t>
    </r>
  </si>
  <si>
    <r>
      <rPr>
        <sz val="7"/>
        <color rgb="FF231F20"/>
        <rFont val="Minion Pro"/>
        <family val="1"/>
      </rPr>
      <t>117.660 ± 45.42</t>
    </r>
  </si>
  <si>
    <r>
      <rPr>
        <sz val="7"/>
        <color rgb="FF231F20"/>
        <rFont val="Minion Pro"/>
        <family val="1"/>
      </rPr>
      <t>690,000,000 ± 120,000,000</t>
    </r>
  </si>
  <si>
    <r>
      <rPr>
        <sz val="7"/>
        <color rgb="FF231F20"/>
        <rFont val="Minion Pro"/>
        <family val="1"/>
      </rPr>
      <t>7,730,000,000 ± 1,450,000,000</t>
    </r>
  </si>
  <si>
    <r>
      <rPr>
        <sz val="7"/>
        <color rgb="FF231F20"/>
        <rFont val="Minion Pro"/>
        <family val="1"/>
      </rPr>
      <t>6,560 ± 2,115</t>
    </r>
  </si>
  <si>
    <r>
      <rPr>
        <sz val="7"/>
        <color rgb="FF231F20"/>
        <rFont val="Minion Pro"/>
        <family val="1"/>
      </rPr>
      <t>69,850 ± 20,026</t>
    </r>
  </si>
  <si>
    <r>
      <rPr>
        <sz val="7"/>
        <color rgb="FF231F20"/>
        <rFont val="Minion Pro"/>
        <family val="1"/>
      </rPr>
      <t>11.203 ± 2.352</t>
    </r>
  </si>
  <si>
    <t>0.008 ± 0.014</t>
  </si>
  <si>
    <t>2,108,078 ± 983,420</t>
  </si>
  <si>
    <t>2,547,922 ± 960,104</t>
  </si>
  <si>
    <t>232,309 ± 137,605</t>
  </si>
  <si>
    <t>269,383 ± 105,563</t>
  </si>
  <si>
    <t>0.012 ± 0.002</t>
  </si>
  <si>
    <t>3,330,000 ± 1,050,000</t>
  </si>
  <si>
    <t>2,760,000 ± 130,000</t>
  </si>
  <si>
    <t>289,806 ± 124,350</t>
  </si>
  <si>
    <t>235,249 ± 44,620</t>
  </si>
  <si>
    <t>0.829 ± 214</t>
  </si>
  <si>
    <t>0.014 ± 0.004</t>
  </si>
  <si>
    <t>3,893,300 ± 1,246,396</t>
  </si>
  <si>
    <t>5,456,700 ± 1,154,502</t>
  </si>
  <si>
    <t>257,475 ± 34,036</t>
  </si>
  <si>
    <t>371,204 ± 75,573</t>
  </si>
  <si>
    <t>1.454 ± 0.260</t>
  </si>
  <si>
    <t>0.021 ± 0.001</t>
  </si>
  <si>
    <t>2,303,030 ± 636,099</t>
  </si>
  <si>
    <t>3,571,970 ± 1,548,861</t>
  </si>
  <si>
    <t>108,895 ± 22,957</t>
  </si>
  <si>
    <t>167,991 ± 62,442</t>
  </si>
  <si>
    <t>1.516 ± 0.254</t>
  </si>
  <si>
    <t>0.026 ± 0.003</t>
  </si>
  <si>
    <t>8,090,000 ± 935,900</t>
  </si>
  <si>
    <t>4,910,000 ± 730,000</t>
  </si>
  <si>
    <t>318,164 ± 34,950</t>
  </si>
  <si>
    <t>193,631 ± 31,450</t>
  </si>
  <si>
    <t>0.607 ± 0.125</t>
  </si>
  <si>
    <t>0.030 ± 0.008</t>
  </si>
  <si>
    <t>7,636,912 ± 119,088</t>
  </si>
  <si>
    <t>9,723,088 ± 842,576</t>
  </si>
  <si>
    <t>270,894 ± 61,946</t>
  </si>
  <si>
    <t>341,900 ± 54,311</t>
  </si>
  <si>
    <t>0.040 ± 0.005</t>
  </si>
  <si>
    <t>10,550,000 ± 4,290,000</t>
  </si>
  <si>
    <t>7,470,000 ± 970,000</t>
  </si>
  <si>
    <t>254,720 ± 74,620</t>
  </si>
  <si>
    <t>185,124 ± 19,370</t>
  </si>
  <si>
    <t>0.708 ± 0.328</t>
  </si>
  <si>
    <t>0.049 ± 0.008</t>
  </si>
  <si>
    <t>16,750,000 ± 6,370,000</t>
  </si>
  <si>
    <t>10,910,000 ± 3,400,000</t>
  </si>
  <si>
    <t>333,590 ± 81,590</t>
  </si>
  <si>
    <t>217,440 ± 41,370</t>
  </si>
  <si>
    <t>0.651 ± 0.168</t>
  </si>
  <si>
    <t>0.050 ± 0.010</t>
  </si>
  <si>
    <t>9,693,534 ± 1,745,000</t>
  </si>
  <si>
    <t>194,678 ± 5,708</t>
  </si>
  <si>
    <t>0.050 ± 0.012</t>
  </si>
  <si>
    <t>7,925,468 ± 3,114,924</t>
  </si>
  <si>
    <t>8,360,532 ± 3,213,106</t>
  </si>
  <si>
    <t>155,879 ± 62,241</t>
  </si>
  <si>
    <t>162,922 ± 44,209</t>
  </si>
  <si>
    <t>0.055 ± 0.011</t>
  </si>
  <si>
    <t>5,747,930 ± 347,203</t>
  </si>
  <si>
    <t>5,507,170 ± 2,277,605</t>
  </si>
  <si>
    <t>105,418 ± 27,498</t>
  </si>
  <si>
    <t>96,197 ± 21,237</t>
  </si>
  <si>
    <t>0.972 ± 0.455</t>
  </si>
  <si>
    <t>0.074 ± 0.022</t>
  </si>
  <si>
    <t>11,103,272 ± 3,202,766</t>
  </si>
  <si>
    <t>9,238,728 ± 2,250,728</t>
  </si>
  <si>
    <t>152,373 ± 26,913</t>
  </si>
  <si>
    <t>126,210 ± 8,033</t>
  </si>
  <si>
    <t>0.848 ± 0.145</t>
  </si>
  <si>
    <t>0.082 ± 0.005</t>
  </si>
  <si>
    <t>34,610,000 ± 5,960,000</t>
  </si>
  <si>
    <t>17,780,000 ± 2,060,000</t>
  </si>
  <si>
    <t>423,520 ± 94,950</t>
  </si>
  <si>
    <t>215,230 ± 14,600</t>
  </si>
  <si>
    <t>0.514 ± 0.154</t>
  </si>
  <si>
    <t>0.100 ± 0.032</t>
  </si>
  <si>
    <t>12,700,000 ± 3,584,952</t>
  </si>
  <si>
    <t>20,068,000 ± 6,541,838</t>
  </si>
  <si>
    <t>130,173 ± 17,451</t>
  </si>
  <si>
    <t>205,876 ± 51,596</t>
  </si>
  <si>
    <t>0.103 ± 0.013</t>
  </si>
  <si>
    <t>6,065,700 ± 1,295,335</t>
  </si>
  <si>
    <t>10,154,300 ± 4,220,098</t>
  </si>
  <si>
    <t>58,560 ± 5,340</t>
  </si>
  <si>
    <t>96,793 ± 29,011</t>
  </si>
  <si>
    <t>1.637 ± 0.346</t>
  </si>
  <si>
    <t>0.159 ± 0.009</t>
  </si>
  <si>
    <t>12,828,365 ± 380,000</t>
  </si>
  <si>
    <t>80,805 ± 3,084</t>
  </si>
  <si>
    <t>0.200 ± 0.016</t>
  </si>
  <si>
    <t>30,237,060 ± 9,645,480</t>
  </si>
  <si>
    <t>34,244,000 ± 7,155,556</t>
  </si>
  <si>
    <t>149,219 ± 47,590</t>
  </si>
  <si>
    <t>170,505 ± 39,463</t>
  </si>
  <si>
    <t>0.212 ± 0.022</t>
  </si>
  <si>
    <t>28,845,724 ± 7,903,412</t>
  </si>
  <si>
    <t>39,015,942 ± 12,812,316</t>
  </si>
  <si>
    <t>137,532 ± 38,236</t>
  </si>
  <si>
    <t>185,359 ± 58,050</t>
  </si>
  <si>
    <t>1.478 ± 0.776</t>
  </si>
  <si>
    <t>0.737 ± 0.162</t>
  </si>
  <si>
    <t>58,124,085 ± 4,952,795</t>
  </si>
  <si>
    <t>72,595,915 ± 19,682,805</t>
  </si>
  <si>
    <t>88,008 ± 14,973</t>
  </si>
  <si>
    <t>107,301 ± 1,958</t>
  </si>
  <si>
    <t>1.239 ± 0.233</t>
  </si>
  <si>
    <t>1.302 ± 0.031</t>
  </si>
  <si>
    <t>28,560,310 ± 8,515,588</t>
  </si>
  <si>
    <t>67,389,690 ± 21,015,416</t>
  </si>
  <si>
    <t>21,864 ± 6,018</t>
  </si>
  <si>
    <t>51,544 ± 17,981</t>
  </si>
  <si>
    <t>2.333 ± 0.180</t>
  </si>
  <si>
    <r>
      <rPr>
        <sz val="7"/>
        <color rgb="FF231F20"/>
        <rFont val="Minion Pro"/>
        <family val="1"/>
      </rPr>
      <t>7.8 ± 0.1</t>
    </r>
  </si>
  <si>
    <r>
      <rPr>
        <sz val="7"/>
        <color rgb="FF231F20"/>
        <rFont val="Minion Pro"/>
        <family val="1"/>
      </rPr>
      <t>0.176 ± 0.007</t>
    </r>
  </si>
  <si>
    <r>
      <rPr>
        <sz val="7"/>
        <color rgb="FF231F20"/>
        <rFont val="Minion Pro"/>
        <family val="1"/>
      </rPr>
      <t>36,460,000 ± 4,567,000</t>
    </r>
  </si>
  <si>
    <r>
      <rPr>
        <sz val="7"/>
        <color rgb="FF231F20"/>
        <rFont val="Minion Pro"/>
        <family val="1"/>
      </rPr>
      <t>22,860,000 ± 3,956,000</t>
    </r>
  </si>
  <si>
    <r>
      <rPr>
        <sz val="7"/>
        <color rgb="FF231F20"/>
        <rFont val="Minion Pro"/>
        <family val="1"/>
      </rPr>
      <t>61.3 ± 1.4</t>
    </r>
  </si>
  <si>
    <r>
      <rPr>
        <sz val="7"/>
        <color rgb="FF231F20"/>
        <rFont val="Minion Pro"/>
        <family val="1"/>
      </rPr>
      <t>16.2 ± 1.6</t>
    </r>
  </si>
  <si>
    <r>
      <rPr>
        <sz val="7"/>
        <color rgb="FF231F20"/>
        <rFont val="Minion Pro"/>
        <family val="1"/>
      </rPr>
      <t>0.347±.0.018</t>
    </r>
  </si>
  <si>
    <r>
      <rPr>
        <sz val="7"/>
        <color rgb="FF231F20"/>
        <rFont val="Minion Pro"/>
        <family val="1"/>
      </rPr>
      <t>55,190,000 ± 6,126,000</t>
    </r>
  </si>
  <si>
    <r>
      <rPr>
        <sz val="7"/>
        <color rgb="FF231F20"/>
        <rFont val="Minion Pro"/>
        <family val="1"/>
      </rPr>
      <t>33,550,000 ± 1,222,000</t>
    </r>
  </si>
  <si>
    <r>
      <rPr>
        <sz val="7"/>
        <color rgb="FF231F20"/>
        <rFont val="Minion Pro"/>
        <family val="1"/>
      </rPr>
      <t>64.8 ± 2.3</t>
    </r>
  </si>
  <si>
    <r>
      <rPr>
        <sz val="7"/>
        <color rgb="FF231F20"/>
        <rFont val="Minion Pro"/>
        <family val="1"/>
      </rPr>
      <t>23.3 ± 5.9</t>
    </r>
  </si>
  <si>
    <r>
      <rPr>
        <sz val="7"/>
        <color rgb="FF231F20"/>
        <rFont val="Minion Pro"/>
        <family val="1"/>
      </rPr>
      <t>0.392 ± 0.045</t>
    </r>
  </si>
  <si>
    <r>
      <rPr>
        <sz val="7"/>
        <color rgb="FF231F20"/>
        <rFont val="Minion Pro"/>
        <family val="1"/>
      </rPr>
      <t>26,875,462 ± 3,340,087</t>
    </r>
  </si>
  <si>
    <r>
      <rPr>
        <sz val="7"/>
        <color rgb="FF231F20"/>
        <rFont val="Minion Pro"/>
        <family val="1"/>
      </rPr>
      <t>24,191,205 ± 1,739,102</t>
    </r>
  </si>
  <si>
    <r>
      <rPr>
        <sz val="7"/>
        <color rgb="FF231F20"/>
        <rFont val="Minion Pro"/>
        <family val="1"/>
      </rPr>
      <t>52.5 ± 3.3</t>
    </r>
  </si>
  <si>
    <r>
      <rPr>
        <sz val="7"/>
        <color rgb="FF231F20"/>
        <rFont val="Minion Pro"/>
        <family val="1"/>
      </rPr>
      <t>40.4 ± 11.6</t>
    </r>
  </si>
  <si>
    <r>
      <rPr>
        <sz val="7"/>
        <color rgb="FF231F20"/>
        <rFont val="Minion Pro"/>
        <family val="1"/>
      </rPr>
      <t>0.402 ± 0.028</t>
    </r>
  </si>
  <si>
    <r>
      <rPr>
        <sz val="7"/>
        <color rgb="FF231F20"/>
        <rFont val="Minion Pro"/>
        <family val="1"/>
      </rPr>
      <t>67,873,741 ± 10,406,194</t>
    </r>
  </si>
  <si>
    <r>
      <rPr>
        <sz val="7"/>
        <color rgb="FF231F20"/>
        <rFont val="Minion Pro"/>
        <family val="1"/>
      </rPr>
      <t>33,858,759 ± 6,657,119</t>
    </r>
  </si>
  <si>
    <r>
      <rPr>
        <sz val="7"/>
        <color rgb="FF231F20"/>
        <rFont val="Minion Pro"/>
        <family val="1"/>
      </rPr>
      <t>65.3 ± 2.3</t>
    </r>
  </si>
  <si>
    <r>
      <rPr>
        <sz val="7"/>
        <color rgb="FF231F20"/>
        <rFont val="Minion Pro"/>
        <family val="1"/>
      </rPr>
      <t>42.7 ± 9.1</t>
    </r>
  </si>
  <si>
    <r>
      <rPr>
        <sz val="7"/>
        <color rgb="FF231F20"/>
        <rFont val="Minion Pro"/>
        <family val="1"/>
      </rPr>
      <t>0.759 ± 0.024</t>
    </r>
  </si>
  <si>
    <r>
      <rPr>
        <sz val="7"/>
        <color rgb="FF231F20"/>
        <rFont val="Minion Pro"/>
        <family val="1"/>
      </rPr>
      <t>123,600,000 ± 12,470,000</t>
    </r>
  </si>
  <si>
    <r>
      <rPr>
        <sz val="7"/>
        <color rgb="FF231F20"/>
        <rFont val="Minion Pro"/>
        <family val="1"/>
      </rPr>
      <t>78,260,000 ± 6,095,000</t>
    </r>
  </si>
  <si>
    <r>
      <rPr>
        <sz val="7"/>
        <color rgb="FF231F20"/>
        <rFont val="Minion Pro"/>
        <family val="1"/>
      </rPr>
      <t>61.2 ± 4.1</t>
    </r>
  </si>
  <si>
    <r>
      <rPr>
        <sz val="7"/>
        <color rgb="FF231F20"/>
        <rFont val="Minion Pro"/>
        <family val="1"/>
      </rPr>
      <t>41.1 ± 4.7</t>
    </r>
  </si>
  <si>
    <r>
      <rPr>
        <sz val="7"/>
        <color rgb="FF231F20"/>
        <rFont val="Minion Pro"/>
        <family val="1"/>
      </rPr>
      <t>0.802 ± 0.046</t>
    </r>
  </si>
  <si>
    <r>
      <rPr>
        <sz val="7"/>
        <color rgb="FF231F20"/>
        <rFont val="Minion Pro"/>
        <family val="1"/>
      </rPr>
      <t>131,330,000 ± 21,229,000</t>
    </r>
  </si>
  <si>
    <r>
      <rPr>
        <sz val="7"/>
        <color rgb="FF231F20"/>
        <rFont val="Minion Pro"/>
        <family val="1"/>
      </rPr>
      <t>83,040,000 ± 19,046,000</t>
    </r>
  </si>
  <si>
    <r>
      <rPr>
        <sz val="7"/>
        <color rgb="FF231F20"/>
        <rFont val="Minion Pro"/>
        <family val="1"/>
      </rPr>
      <t>61.3 ± 6.3</t>
    </r>
  </si>
  <si>
    <r>
      <rPr>
        <sz val="7"/>
        <color rgb="FF231F20"/>
        <rFont val="Minion Pro"/>
        <family val="1"/>
      </rPr>
      <t>0.812 ± 0.044</t>
    </r>
  </si>
  <si>
    <r>
      <rPr>
        <sz val="7"/>
        <color rgb="FF231F20"/>
        <rFont val="Minion Pro"/>
        <family val="1"/>
      </rPr>
      <t>65,074,000 ± 2,124,000</t>
    </r>
  </si>
  <si>
    <r>
      <rPr>
        <sz val="7"/>
        <color rgb="FF231F20"/>
        <rFont val="Minion Pro"/>
        <family val="1"/>
      </rPr>
      <t>46,631,000 ± 527,000</t>
    </r>
  </si>
  <si>
    <r>
      <rPr>
        <sz val="7"/>
        <color rgb="FF231F20"/>
        <rFont val="Minion Pro"/>
        <family val="1"/>
      </rPr>
      <t>168.1 ± 13.6</t>
    </r>
  </si>
  <si>
    <r>
      <rPr>
        <sz val="7"/>
        <color rgb="FF231F20"/>
        <rFont val="Minion Pro"/>
        <family val="1"/>
      </rPr>
      <t>0.965 ± 0.136</t>
    </r>
  </si>
  <si>
    <r>
      <rPr>
        <sz val="7"/>
        <color rgb="FF231F20"/>
        <rFont val="Minion Pro"/>
        <family val="1"/>
      </rPr>
      <t>84,220,000 ± 9,893,371</t>
    </r>
  </si>
  <si>
    <r>
      <rPr>
        <sz val="7"/>
        <color rgb="FF231F20"/>
        <rFont val="Minion Pro"/>
        <family val="1"/>
      </rPr>
      <t>70,640,000 ± 11,942,086</t>
    </r>
  </si>
  <si>
    <r>
      <rPr>
        <sz val="7"/>
        <color rgb="FF231F20"/>
        <rFont val="Minion Pro"/>
        <family val="1"/>
      </rPr>
      <t>54.3 ± 1.3</t>
    </r>
  </si>
  <si>
    <r>
      <rPr>
        <sz val="7"/>
        <color rgb="FF231F20"/>
        <rFont val="Minion Pro"/>
        <family val="1"/>
      </rPr>
      <t>95.3 ± 9.8</t>
    </r>
  </si>
  <si>
    <r>
      <rPr>
        <sz val="7"/>
        <color rgb="FF231F20"/>
        <rFont val="Minion Pro"/>
        <family val="1"/>
      </rPr>
      <t>0.999 ± 0.080</t>
    </r>
  </si>
  <si>
    <r>
      <rPr>
        <sz val="7"/>
        <color rgb="FF231F20"/>
        <rFont val="Minion Pro"/>
        <family val="1"/>
      </rPr>
      <t>203,520,000 ± 14,587,000</t>
    </r>
  </si>
  <si>
    <r>
      <rPr>
        <sz val="7"/>
        <color rgb="FF231F20"/>
        <rFont val="Minion Pro"/>
        <family val="1"/>
      </rPr>
      <t>101,740,000 ± 11,823,000</t>
    </r>
  </si>
  <si>
    <r>
      <rPr>
        <sz val="7"/>
        <color rgb="FF231F20"/>
        <rFont val="Minion Pro"/>
        <family val="1"/>
      </rPr>
      <t>66.7 ± 1.4</t>
    </r>
  </si>
  <si>
    <r>
      <rPr>
        <sz val="7"/>
        <color rgb="FF231F20"/>
        <rFont val="Minion Pro"/>
        <family val="1"/>
      </rPr>
      <t>1.040 ± 0.082</t>
    </r>
  </si>
  <si>
    <r>
      <rPr>
        <sz val="7"/>
        <color rgb="FF231F20"/>
        <rFont val="Minion Pro"/>
        <family val="1"/>
      </rPr>
      <t>129,190,603 ± 4,424,000</t>
    </r>
  </si>
  <si>
    <r>
      <rPr>
        <sz val="7"/>
        <color rgb="FF231F20"/>
        <rFont val="Minion Pro"/>
        <family val="1"/>
      </rPr>
      <t>78,594,397 ± 7,733,000</t>
    </r>
  </si>
  <si>
    <r>
      <rPr>
        <sz val="7"/>
        <color rgb="FF231F20"/>
        <rFont val="Minion Pro"/>
        <family val="1"/>
      </rPr>
      <t>315.1 ± 102.9</t>
    </r>
  </si>
  <si>
    <r>
      <rPr>
        <sz val="7"/>
        <color rgb="FF231F20"/>
        <rFont val="Minion Pro"/>
        <family val="1"/>
      </rPr>
      <t>1.724 ± 0.292</t>
    </r>
  </si>
  <si>
    <r>
      <rPr>
        <sz val="7"/>
        <color rgb="FF231F20"/>
        <rFont val="Minion Pro"/>
        <family val="1"/>
      </rPr>
      <t>188,867,832 ± 12,622,383</t>
    </r>
  </si>
  <si>
    <r>
      <rPr>
        <sz val="7"/>
        <color rgb="FF231F20"/>
        <rFont val="Minion Pro"/>
        <family val="1"/>
      </rPr>
      <t>121,914,668 ± 7,106,729</t>
    </r>
  </si>
  <si>
    <r>
      <rPr>
        <sz val="7"/>
        <color rgb="FF231F20"/>
        <rFont val="Minion Pro"/>
        <family val="1"/>
      </rPr>
      <t>60.7 ± 2.4</t>
    </r>
  </si>
  <si>
    <r>
      <rPr>
        <sz val="7"/>
        <color rgb="FF231F20"/>
        <rFont val="Minion Pro"/>
        <family val="1"/>
      </rPr>
      <t>223.485 ± 16.6</t>
    </r>
  </si>
  <si>
    <r>
      <rPr>
        <sz val="7"/>
        <color rgb="FF231F20"/>
        <rFont val="Minion Pro"/>
        <family val="1"/>
      </rPr>
      <t>2.078 ± 0.071</t>
    </r>
  </si>
  <si>
    <r>
      <rPr>
        <sz val="7"/>
        <color rgb="FF231F20"/>
        <rFont val="Minion Pro"/>
        <family val="1"/>
      </rPr>
      <t>202,090,113 ± 2,931,245</t>
    </r>
  </si>
  <si>
    <r>
      <rPr>
        <sz val="7"/>
        <color rgb="FF231F20"/>
        <rFont val="Minion Pro"/>
        <family val="1"/>
      </rPr>
      <t>181,274,887 ± 4,310,103</t>
    </r>
  </si>
  <si>
    <r>
      <rPr>
        <sz val="7"/>
        <color rgb="FF231F20"/>
        <rFont val="Minion Pro"/>
        <family val="1"/>
      </rPr>
      <t>52.7 ± 1.0</t>
    </r>
  </si>
  <si>
    <r>
      <rPr>
        <sz val="7"/>
        <color rgb="FF231F20"/>
        <rFont val="Minion Pro"/>
        <family val="1"/>
      </rPr>
      <t>2.440 ± 0.109</t>
    </r>
  </si>
  <si>
    <r>
      <rPr>
        <sz val="7"/>
        <color rgb="FF231F20"/>
        <rFont val="Minion Pro"/>
        <family val="1"/>
      </rPr>
      <t>156,830,795 ± 20,600,000</t>
    </r>
  </si>
  <si>
    <r>
      <rPr>
        <sz val="7"/>
        <color rgb="FF231F20"/>
        <rFont val="Minion Pro"/>
        <family val="1"/>
      </rPr>
      <t>103,349,000 ± 15,610,000</t>
    </r>
  </si>
  <si>
    <r>
      <rPr>
        <sz val="7"/>
        <color rgb="FF231F20"/>
        <rFont val="Minion Pro"/>
        <family val="1"/>
      </rPr>
      <t>172.5 ± 3.5</t>
    </r>
  </si>
  <si>
    <r>
      <rPr>
        <sz val="7"/>
        <color rgb="FF231F20"/>
        <rFont val="Minion Pro"/>
        <family val="1"/>
      </rPr>
      <t>2.752 ± 0.011</t>
    </r>
  </si>
  <si>
    <r>
      <rPr>
        <sz val="7"/>
        <color rgb="FF231F20"/>
        <rFont val="Minion Pro"/>
        <family val="1"/>
      </rPr>
      <t>311.0 ± 49.1</t>
    </r>
  </si>
  <si>
    <r>
      <rPr>
        <sz val="7"/>
        <color rgb="FF231F20"/>
        <rFont val="Minion Pro"/>
        <family val="1"/>
      </rPr>
      <t>3.656 ± 0.486</t>
    </r>
  </si>
  <si>
    <r>
      <rPr>
        <sz val="7"/>
        <color rgb="FF231F20"/>
        <rFont val="Minion Pro"/>
        <family val="1"/>
      </rPr>
      <t>233,557,275 ± 4,085,741</t>
    </r>
  </si>
  <si>
    <r>
      <rPr>
        <sz val="7"/>
        <color rgb="FF231F20"/>
        <rFont val="Minion Pro"/>
        <family val="1"/>
      </rPr>
      <t>228,087,725 ± 9,141,554</t>
    </r>
  </si>
  <si>
    <r>
      <rPr>
        <sz val="7"/>
        <color rgb="FF231F20"/>
        <rFont val="Minion Pro"/>
        <family val="1"/>
      </rPr>
      <t>50.6 ± 1.4</t>
    </r>
  </si>
  <si>
    <r>
      <rPr>
        <sz val="7"/>
        <color rgb="FF231F20"/>
        <rFont val="Minion Pro"/>
        <family val="1"/>
      </rPr>
      <t>1,515 ± 230.6</t>
    </r>
  </si>
  <si>
    <r>
      <rPr>
        <sz val="7"/>
        <color rgb="FF231F20"/>
        <rFont val="Minion Pro"/>
        <family val="1"/>
      </rPr>
      <t>5.321 ± 0.197</t>
    </r>
  </si>
  <si>
    <r>
      <rPr>
        <sz val="7"/>
        <color rgb="FF231F20"/>
        <rFont val="Minion Pro"/>
        <family val="1"/>
      </rPr>
      <t>437,943,767 ± 78,742,230</t>
    </r>
  </si>
  <si>
    <r>
      <rPr>
        <sz val="7"/>
        <color rgb="FF231F20"/>
        <rFont val="Minion Pro"/>
        <family val="1"/>
      </rPr>
      <t>417,349,567 ± 27,350,023</t>
    </r>
  </si>
  <si>
    <r>
      <rPr>
        <sz val="7"/>
        <color rgb="FF231F20"/>
        <rFont val="Minion Pro"/>
        <family val="1"/>
      </rPr>
      <t>51.0 ± 4.2</t>
    </r>
  </si>
  <si>
    <r>
      <rPr>
        <sz val="7"/>
        <color rgb="FF231F20"/>
        <rFont val="Minion Pro"/>
        <family val="1"/>
      </rPr>
      <t>5.548 ± 0.306</t>
    </r>
  </si>
  <si>
    <r>
      <rPr>
        <sz val="7"/>
        <color rgb="FF231F20"/>
        <rFont val="Minion Pro"/>
        <family val="1"/>
      </rPr>
      <t>453,660,197 ± 59,752,698</t>
    </r>
  </si>
  <si>
    <r>
      <rPr>
        <sz val="7"/>
        <color rgb="FF231F20"/>
        <rFont val="Minion Pro"/>
        <family val="1"/>
      </rPr>
      <t>530,476,469 ± 5,605,837</t>
    </r>
  </si>
  <si>
    <r>
      <rPr>
        <sz val="7"/>
        <color rgb="FF231F20"/>
        <rFont val="Minion Pro"/>
        <family val="1"/>
      </rPr>
      <t>46.0 ± 3.0</t>
    </r>
  </si>
  <si>
    <r>
      <rPr>
        <sz val="7"/>
        <color rgb="FF231F20"/>
        <rFont val="Minion Pro"/>
        <family val="1"/>
      </rPr>
      <t>361.0 ± 1.4</t>
    </r>
  </si>
  <si>
    <r>
      <rPr>
        <sz val="7"/>
        <color rgb="FF231F20"/>
        <rFont val="Minion Pro"/>
        <family val="1"/>
      </rPr>
      <t>7.780 ± 0.654</t>
    </r>
  </si>
  <si>
    <r>
      <rPr>
        <sz val="7"/>
        <color rgb="FF231F20"/>
        <rFont val="Minion Pro"/>
        <family val="1"/>
      </rPr>
      <t>635,800,000 ± 115,730,000</t>
    </r>
  </si>
  <si>
    <r>
      <rPr>
        <sz val="7"/>
        <color rgb="FF231F20"/>
        <rFont val="Minion Pro"/>
        <family val="1"/>
      </rPr>
      <t>590,740,000 ± 70,810,000</t>
    </r>
  </si>
  <si>
    <r>
      <rPr>
        <sz val="7"/>
        <color rgb="FF231F20"/>
        <rFont val="Minion Pro"/>
        <family val="1"/>
      </rPr>
      <t>946.7 ± 102.6</t>
    </r>
  </si>
  <si>
    <r>
      <rPr>
        <sz val="7"/>
        <color rgb="FF231F20"/>
        <rFont val="Minion Pro"/>
        <family val="1"/>
      </rPr>
      <t>10.150 ± 0.060</t>
    </r>
  </si>
  <si>
    <r>
      <rPr>
        <sz val="7"/>
        <color rgb="FF231F20"/>
        <rFont val="Minion Pro"/>
        <family val="1"/>
      </rPr>
      <t>936,000,000 ± 115,360,000</t>
    </r>
  </si>
  <si>
    <r>
      <rPr>
        <sz val="7"/>
        <color rgb="FF231F20"/>
        <rFont val="Minion Pro"/>
        <family val="1"/>
      </rPr>
      <t>666,590,000 ± 63,500,000</t>
    </r>
  </si>
  <si>
    <r>
      <rPr>
        <sz val="7"/>
        <color rgb="FF231F20"/>
        <rFont val="Minion Pro"/>
        <family val="1"/>
      </rPr>
      <t>925 ± 35</t>
    </r>
  </si>
  <si>
    <r>
      <rPr>
        <sz val="7"/>
        <color rgb="FF231F20"/>
        <rFont val="Minion Pro"/>
        <family val="1"/>
      </rPr>
      <t>16.853 ± 1.495</t>
    </r>
  </si>
  <si>
    <r>
      <rPr>
        <sz val="7"/>
        <color rgb="FF231F20"/>
        <rFont val="Minion Pro"/>
        <family val="1"/>
      </rPr>
      <t>755,653,000 ± 72,145,000</t>
    </r>
  </si>
  <si>
    <r>
      <rPr>
        <sz val="7"/>
        <color rgb="FF231F20"/>
        <rFont val="Minion Pro"/>
        <family val="1"/>
      </rPr>
      <t>620,622,000 ± 37,616,000</t>
    </r>
  </si>
  <si>
    <r>
      <rPr>
        <sz val="7"/>
        <color rgb="FF231F20"/>
        <rFont val="Minion Pro"/>
        <family val="1"/>
      </rPr>
      <t>2,843 ± 196</t>
    </r>
  </si>
  <si>
    <r>
      <rPr>
        <sz val="7"/>
        <color rgb="FF231F20"/>
        <rFont val="Minion Pro"/>
        <family val="1"/>
      </rPr>
      <t>17.628 ± 1.900</t>
    </r>
  </si>
  <si>
    <r>
      <rPr>
        <sz val="7"/>
        <color rgb="FF231F20"/>
        <rFont val="Minion Pro"/>
        <family val="1"/>
      </rPr>
      <t>47,500 ± 3,536</t>
    </r>
  </si>
  <si>
    <r>
      <rPr>
        <sz val="7"/>
        <color rgb="FF231F20"/>
        <rFont val="Minion Pro"/>
        <family val="1"/>
      </rPr>
      <t>74.734 ± 3.756</t>
    </r>
  </si>
  <si>
    <r>
      <rPr>
        <sz val="7"/>
        <color rgb="FF231F20"/>
        <rFont val="Minion Pro"/>
        <family val="1"/>
      </rPr>
      <t>1,572,560,385 ± 72,641,426</t>
    </r>
  </si>
  <si>
    <r>
      <rPr>
        <sz val="7"/>
        <color rgb="FF231F20"/>
        <rFont val="Minion Pro"/>
        <family val="1"/>
      </rPr>
      <t>3,197,929,615 ± 974,583,717</t>
    </r>
  </si>
  <si>
    <r>
      <rPr>
        <sz val="7"/>
        <color rgb="FF231F20"/>
        <rFont val="Minion Pro"/>
        <family val="1"/>
      </rPr>
      <t>33.6 ± 5.8</t>
    </r>
  </si>
  <si>
    <r>
      <rPr>
        <sz val="7"/>
        <color rgb="FF231F20"/>
        <rFont val="Minion Pro"/>
        <family val="1"/>
      </rPr>
      <t>1,508.910 ± 299.140</t>
    </r>
  </si>
  <si>
    <r>
      <rPr>
        <sz val="7"/>
        <color rgb="FF231F20"/>
        <rFont val="Minion Pro"/>
        <family val="1"/>
      </rPr>
      <t>86,060,000,000 ± 8,120,000,000</t>
    </r>
  </si>
  <si>
    <r>
      <rPr>
        <sz val="7"/>
        <color rgb="FF231F20"/>
        <rFont val="Minion Pro"/>
        <family val="1"/>
      </rPr>
      <t>84,610,000,000 ± 9,830,000,000</t>
    </r>
  </si>
  <si>
    <r>
      <rPr>
        <sz val="7"/>
        <color rgb="FF231F20"/>
        <rFont val="Minion Pro"/>
        <family val="1"/>
      </rPr>
      <t>50.5 ± 3.6</t>
    </r>
  </si>
  <si>
    <t>Table 1. Cerebral cortex</t>
  </si>
  <si>
    <t>Table 2. Cerebellum</t>
  </si>
  <si>
    <t>Table 3. RoB</t>
  </si>
  <si>
    <t>Table 4. Olfactory bulb</t>
  </si>
  <si>
    <t>Table 5. Whole brain</t>
  </si>
  <si>
    <t>All values refer to the sum of gray matter, subcortical white matter, and hippocampus in the two hemispheres. N = Neurons; O = other cells.</t>
  </si>
  <si>
    <t>All numbers refer to the whole cerebellum (both brain halves), including the deep nuclei. The cerebellum of Callimico goeldii was not available for analysis. N = Neurons; O = other cells.</t>
  </si>
  <si>
    <t>All values refer to the ensemble of brainstem, diencephalon and basal ganglia, for both sides of the brain. N = Neurons; O = other cells.</t>
  </si>
  <si>
    <t>All values refer to both olfactory bulbs. N = Neurons; O = other cells.</t>
  </si>
  <si>
    <t>All values refer to the whole brain (both sides), not including the olfactory bulbs. Not listed are Callimico goeldii, Gorilla gorilla and Pongo pygmaeus, for which not all brain structures were available.</t>
  </si>
  <si>
    <t>NA</t>
  </si>
  <si>
    <t xml:space="preserve"> .0.018</t>
  </si>
  <si>
    <t>Cerebral_Cortex_N,_n_SD_</t>
  </si>
  <si>
    <t>Cerebral_Cortex_Mass,_g_SD_</t>
  </si>
  <si>
    <t>Cerebral_Cortex_O,_n_SD_</t>
  </si>
  <si>
    <t>whole_brain_Species</t>
  </si>
  <si>
    <t>HerculanoHouzel2015_Order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</si>
</sst>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2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7"/>
      <color rgb="FF231F20"/>
      <name val="Minion Pro"/>
      <family val="1"/>
    </font>
    <font>
      <sz val="7"/>
      <name val="Minion Pro"/>
    </font>
    <font>
      <i/>
      <sz val="7"/>
      <name val="Minion Pro"/>
    </font>
    <font>
      <i/>
      <sz val="7"/>
      <color rgb="FF231F20"/>
      <name val="Minion Pro"/>
      <family val="1"/>
    </font>
    <font>
      <sz val="7"/>
      <color rgb="FF231F20"/>
      <name val="Minion Pro"/>
      <family val="2"/>
    </font>
    <font>
      <sz val="7"/>
      <color rgb="FF231F20"/>
      <name val="Minion Pro"/>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6E7E8"/>
      </patternFill>
    </fill>
    <fill>
      <patternFill patternType="solid">
        <fgColor rgb="FFE6E7E8"/>
        <bgColor rgb="FF000000"/>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231F20"/>
      </top>
      <bottom style="thin">
        <color rgb="FF231F20"/>
      </bottom>
      <diagonal/>
    </border>
    <border>
      <left/>
      <right/>
      <top/>
      <bottom style="thin">
        <color rgb="FF231F20"/>
      </bottom>
      <diagonal/>
    </border>
    <border>
      <left/>
      <right/>
      <top style="thin">
        <color rgb="FFE6E7E8"/>
      </top>
      <bottom style="thin">
        <color rgb="FF231F2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3" fontId="0" fillId="0" borderId="0" xfId="0" applyNumberFormat="1"/>
    <xf numFmtId="4" fontId="0" fillId="0" borderId="0" xfId="0" applyNumberFormat="1"/>
    <xf numFmtId="0" fontId="18" fillId="33" borderId="10" xfId="0" quotePrefix="1" applyFont="1" applyFill="1" applyBorder="1" applyAlignment="1">
      <alignment vertical="top" wrapText="1"/>
    </xf>
    <xf numFmtId="0" fontId="19" fillId="33" borderId="10" xfId="0" applyFont="1" applyFill="1" applyBorder="1" applyAlignment="1">
      <alignment vertical="top" wrapText="1"/>
    </xf>
    <xf numFmtId="0" fontId="20" fillId="0" borderId="10" xfId="0" applyFont="1" applyBorder="1" applyAlignment="1">
      <alignment vertical="top" wrapText="1"/>
    </xf>
    <xf numFmtId="0" fontId="19" fillId="0" borderId="10" xfId="0" applyFont="1" applyBorder="1" applyAlignment="1">
      <alignment vertical="top" wrapText="1"/>
    </xf>
    <xf numFmtId="164" fontId="22" fillId="0" borderId="10" xfId="0" applyNumberFormat="1" applyFont="1" applyBorder="1" applyAlignment="1">
      <alignment vertical="top" shrinkToFit="1"/>
    </xf>
    <xf numFmtId="3" fontId="22" fillId="0" borderId="10" xfId="0" applyNumberFormat="1" applyFont="1" applyBorder="1" applyAlignment="1">
      <alignment vertical="top" shrinkToFit="1"/>
    </xf>
    <xf numFmtId="0" fontId="0" fillId="0" borderId="10" xfId="0" applyBorder="1" applyAlignment="1">
      <alignment vertical="top" wrapText="1"/>
    </xf>
    <xf numFmtId="2" fontId="22" fillId="0" borderId="10" xfId="0" applyNumberFormat="1" applyFont="1" applyBorder="1" applyAlignment="1">
      <alignment vertical="top" shrinkToFit="1"/>
    </xf>
    <xf numFmtId="165" fontId="22" fillId="0" borderId="10" xfId="0" applyNumberFormat="1" applyFont="1" applyBorder="1" applyAlignment="1">
      <alignment vertical="top" shrinkToFit="1"/>
    </xf>
    <xf numFmtId="0" fontId="18" fillId="33" borderId="10" xfId="0" applyFont="1" applyFill="1" applyBorder="1" applyAlignment="1">
      <alignment vertical="top"/>
    </xf>
    <xf numFmtId="0" fontId="19" fillId="33" borderId="10" xfId="0" applyFont="1" applyFill="1" applyBorder="1" applyAlignment="1">
      <alignment vertical="top"/>
    </xf>
    <xf numFmtId="0" fontId="20" fillId="0" borderId="10" xfId="0" applyFont="1" applyBorder="1" applyAlignment="1">
      <alignment vertical="top"/>
    </xf>
    <xf numFmtId="0" fontId="19" fillId="0" borderId="10" xfId="0" applyFont="1" applyBorder="1" applyAlignment="1">
      <alignment vertical="top"/>
    </xf>
    <xf numFmtId="0" fontId="0" fillId="0" borderId="10" xfId="0" applyBorder="1" applyAlignment="1">
      <alignment vertical="top"/>
    </xf>
    <xf numFmtId="166" fontId="22" fillId="0" borderId="10" xfId="0" applyNumberFormat="1" applyFont="1" applyBorder="1" applyAlignment="1">
      <alignment vertical="top" shrinkToFit="1"/>
    </xf>
    <xf numFmtId="0" fontId="0" fillId="0" borderId="10" xfId="0" applyBorder="1"/>
    <xf numFmtId="0" fontId="18" fillId="34" borderId="10" xfId="0" applyFont="1" applyFill="1" applyBorder="1" applyAlignment="1">
      <alignment vertical="top"/>
    </xf>
    <xf numFmtId="0" fontId="18" fillId="34" borderId="10" xfId="0" applyFont="1" applyFill="1" applyBorder="1" applyAlignment="1">
      <alignment horizontal="right" vertical="top"/>
    </xf>
    <xf numFmtId="0" fontId="21" fillId="0" borderId="10" xfId="0" applyFont="1" applyBorder="1" applyAlignment="1">
      <alignment vertical="top"/>
    </xf>
    <xf numFmtId="0" fontId="18" fillId="0" borderId="10" xfId="0" applyFont="1" applyBorder="1" applyAlignment="1">
      <alignment vertical="top"/>
    </xf>
    <xf numFmtId="1" fontId="22" fillId="0" borderId="11" xfId="0" applyNumberFormat="1" applyFont="1" applyBorder="1" applyAlignment="1">
      <alignment horizontal="right" vertical="top" shrinkToFit="1"/>
    </xf>
    <xf numFmtId="0" fontId="18" fillId="33" borderId="10" xfId="0" applyFont="1" applyFill="1" applyBorder="1" applyAlignment="1">
      <alignment horizontal="left" vertical="top"/>
    </xf>
    <xf numFmtId="0" fontId="20" fillId="0" borderId="12" xfId="0" applyFont="1" applyBorder="1" applyAlignment="1">
      <alignment vertical="top"/>
    </xf>
    <xf numFmtId="0" fontId="19" fillId="0" borderId="12" xfId="0" applyFont="1" applyBorder="1" applyAlignment="1">
      <alignment vertical="top"/>
    </xf>
    <xf numFmtId="1" fontId="22" fillId="0" borderId="12" xfId="0" applyNumberFormat="1" applyFont="1" applyBorder="1" applyAlignment="1">
      <alignment horizontal="right" vertical="top" shrinkToFit="1"/>
    </xf>
    <xf numFmtId="1" fontId="22" fillId="0" borderId="10" xfId="0" applyNumberFormat="1" applyFont="1" applyBorder="1" applyAlignment="1">
      <alignment horizontal="right" vertical="top" shrinkToFit="1"/>
    </xf>
    <xf numFmtId="1" fontId="22" fillId="0" borderId="10" xfId="0" applyNumberFormat="1" applyFont="1" applyBorder="1" applyAlignment="1">
      <alignment vertical="top" shrinkToFit="1"/>
    </xf>
    <xf numFmtId="0" fontId="0" fillId="0" borderId="10" xfId="0" applyBorder="1" applyAlignment="1">
      <alignment vertical="center"/>
    </xf>
    <xf numFmtId="0" fontId="18" fillId="0" borderId="10" xfId="0" quotePrefix="1" applyFont="1" applyBorder="1" applyAlignment="1">
      <alignment vertical="top"/>
    </xf>
    <xf numFmtId="0" fontId="18" fillId="0" borderId="10" xfId="0" quotePrefix="1" applyFont="1" applyBorder="1" applyAlignment="1">
      <alignment vertical="top" wrapText="1"/>
    </xf>
    <xf numFmtId="0" fontId="18" fillId="0" borderId="10" xfId="0" applyFont="1" applyBorder="1" applyAlignment="1">
      <alignment horizontal="right" vertical="top"/>
    </xf>
    <xf numFmtId="0" fontId="19" fillId="0" borderId="0" xfId="0" applyFont="1" applyAlignment="1">
      <alignment vertical="top"/>
    </xf>
    <xf numFmtId="0" fontId="23" fillId="0" borderId="0" xfId="0" applyFont="1" applyAlignment="1">
      <alignment vertical="top"/>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3175</xdr:colOff>
      <xdr:row>43</xdr:row>
      <xdr:rowOff>-1</xdr:rowOff>
    </xdr:from>
    <xdr:to>
      <xdr:col>0</xdr:col>
      <xdr:colOff>3175</xdr:colOff>
      <xdr:row>47</xdr:row>
      <xdr:rowOff>132713</xdr:rowOff>
    </xdr:to>
    <xdr:sp macro="" textlink="">
      <xdr:nvSpPr>
        <xdr:cNvPr id="2" name="Shape 27">
          <a:extLst>
            <a:ext uri="{FF2B5EF4-FFF2-40B4-BE49-F238E27FC236}">
              <a16:creationId xmlns:a16="http://schemas.microsoft.com/office/drawing/2014/main" id="{023D4B0A-6AE8-4344-90E0-7A3D05C34EA2}"/>
            </a:ext>
          </a:extLst>
        </xdr:cNvPr>
        <xdr:cNvSpPr/>
      </xdr:nvSpPr>
      <xdr:spPr>
        <a:xfrm>
          <a:off x="3175" y="8737599"/>
          <a:ext cx="0" cy="945514"/>
        </a:xfrm>
        <a:custGeom>
          <a:avLst/>
          <a:gdLst/>
          <a:ahLst/>
          <a:cxnLst/>
          <a:rect l="0" t="0" r="0" b="0"/>
          <a:pathLst>
            <a:path h="945515">
              <a:moveTo>
                <a:pt x="0" y="0"/>
              </a:moveTo>
              <a:lnTo>
                <a:pt x="0" y="945007"/>
              </a:lnTo>
            </a:path>
          </a:pathLst>
        </a:custGeom>
        <a:ln w="6350">
          <a:solidFill>
            <a:srgbClr val="231F20"/>
          </a:solidFill>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3175</xdr:colOff>
      <xdr:row>42</xdr:row>
      <xdr:rowOff>-2</xdr:rowOff>
    </xdr:from>
    <xdr:to>
      <xdr:col>0</xdr:col>
      <xdr:colOff>3175</xdr:colOff>
      <xdr:row>46</xdr:row>
      <xdr:rowOff>132712</xdr:rowOff>
    </xdr:to>
    <xdr:sp macro="" textlink="">
      <xdr:nvSpPr>
        <xdr:cNvPr id="2" name="Shape 31">
          <a:extLst>
            <a:ext uri="{FF2B5EF4-FFF2-40B4-BE49-F238E27FC236}">
              <a16:creationId xmlns:a16="http://schemas.microsoft.com/office/drawing/2014/main" id="{6144457D-8F57-344D-BA65-013C29CCCD80}"/>
            </a:ext>
          </a:extLst>
        </xdr:cNvPr>
        <xdr:cNvSpPr/>
      </xdr:nvSpPr>
      <xdr:spPr>
        <a:xfrm>
          <a:off x="3175" y="8534398"/>
          <a:ext cx="0" cy="945514"/>
        </a:xfrm>
        <a:custGeom>
          <a:avLst/>
          <a:gdLst/>
          <a:ahLst/>
          <a:cxnLst/>
          <a:rect l="0" t="0" r="0" b="0"/>
          <a:pathLst>
            <a:path h="945515">
              <a:moveTo>
                <a:pt x="0" y="0"/>
              </a:moveTo>
              <a:lnTo>
                <a:pt x="0" y="944994"/>
              </a:lnTo>
            </a:path>
          </a:pathLst>
        </a:custGeom>
        <a:ln w="6350">
          <a:solidFill>
            <a:srgbClr val="231F20"/>
          </a:solidFill>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44"/>
  <sheetViews>
    <sheetView topLeftCell="B1" workbookViewId="0">
      <selection activeCell="C46" sqref="C46"/>
    </sheetView>
  </sheetViews>
  <sheetFormatPr baseColWidth="10" defaultColWidth="6.33203125" defaultRowHeight="16"/>
  <cols>
    <col min="2" max="2" width="13.5" customWidth="1"/>
    <col min="3" max="4" width="13.33203125" customWidth="1"/>
    <col min="5" max="5" width="16.33203125" customWidth="1"/>
    <col min="6" max="6" width="13.33203125" customWidth="1"/>
    <col min="7" max="7" width="14.83203125" customWidth="1"/>
    <col min="8" max="10" width="13.33203125" customWidth="1"/>
    <col min="11" max="11" width="12.1640625" customWidth="1"/>
    <col min="12" max="12" width="13.33203125" customWidth="1"/>
    <col min="13" max="13" width="14.6640625" customWidth="1"/>
    <col min="14" max="14" width="13.33203125" customWidth="1"/>
    <col min="15" max="15" width="18.33203125" customWidth="1"/>
  </cols>
  <sheetData>
    <row r="1" spans="1:17" ht="20" customHeight="1">
      <c r="A1" s="22" t="s">
        <v>853</v>
      </c>
      <c r="B1" s="22"/>
      <c r="C1" s="22"/>
      <c r="D1" s="31"/>
      <c r="E1" s="22"/>
      <c r="F1" s="31"/>
      <c r="G1" s="22"/>
      <c r="H1" s="31"/>
      <c r="I1" s="22"/>
      <c r="J1" s="31"/>
      <c r="K1" s="22"/>
      <c r="L1" s="31"/>
      <c r="M1" s="22"/>
      <c r="N1" s="31"/>
      <c r="O1" s="22"/>
      <c r="P1" s="15"/>
      <c r="Q1" s="15"/>
    </row>
    <row r="2" spans="1:17">
      <c r="A2" s="4" t="s">
        <v>188</v>
      </c>
      <c r="B2" s="4" t="s">
        <v>189</v>
      </c>
      <c r="C2" s="4" t="s">
        <v>190</v>
      </c>
      <c r="D2" s="4"/>
      <c r="E2" s="4" t="s">
        <v>191</v>
      </c>
      <c r="F2" s="4"/>
      <c r="G2" s="4" t="s">
        <v>192</v>
      </c>
      <c r="H2" s="4"/>
      <c r="I2" s="4" t="s">
        <v>193</v>
      </c>
      <c r="J2" s="4"/>
      <c r="K2" s="4" t="s">
        <v>194</v>
      </c>
      <c r="L2" s="4"/>
      <c r="M2" s="4" t="s">
        <v>195</v>
      </c>
      <c r="N2" s="4"/>
      <c r="O2" s="4" t="s">
        <v>196</v>
      </c>
      <c r="P2" s="4"/>
      <c r="Q2" s="4"/>
    </row>
    <row r="3" spans="1:17" ht="16" customHeight="1">
      <c r="A3" s="5" t="s">
        <v>197</v>
      </c>
      <c r="B3" s="6" t="s">
        <v>198</v>
      </c>
      <c r="C3" s="6" t="s">
        <v>199</v>
      </c>
      <c r="D3" s="6"/>
      <c r="E3" s="6" t="s">
        <v>200</v>
      </c>
      <c r="F3" s="6"/>
      <c r="G3" s="6" t="s">
        <v>201</v>
      </c>
      <c r="H3" s="6"/>
      <c r="I3" s="6" t="s">
        <v>202</v>
      </c>
      <c r="J3" s="6"/>
      <c r="K3" s="6" t="s">
        <v>203</v>
      </c>
      <c r="L3" s="6"/>
      <c r="M3" s="6" t="s">
        <v>204</v>
      </c>
      <c r="N3" s="6"/>
      <c r="O3" s="6" t="s">
        <v>205</v>
      </c>
      <c r="P3" s="6"/>
      <c r="Q3" s="6"/>
    </row>
    <row r="4" spans="1:17" ht="16" customHeight="1">
      <c r="A4" s="5" t="s">
        <v>206</v>
      </c>
      <c r="B4" s="6" t="s">
        <v>207</v>
      </c>
      <c r="C4" s="6" t="s">
        <v>208</v>
      </c>
      <c r="D4" s="6"/>
      <c r="E4" s="6" t="s">
        <v>209</v>
      </c>
      <c r="F4" s="6"/>
      <c r="G4" s="6" t="s">
        <v>210</v>
      </c>
      <c r="H4" s="6"/>
      <c r="I4" s="6" t="s">
        <v>211</v>
      </c>
      <c r="J4" s="6"/>
      <c r="K4" s="6" t="s">
        <v>212</v>
      </c>
      <c r="L4" s="6"/>
      <c r="M4" s="6" t="s">
        <v>213</v>
      </c>
      <c r="N4" s="6"/>
      <c r="O4" s="6" t="s">
        <v>214</v>
      </c>
      <c r="P4" s="6"/>
      <c r="Q4" s="6"/>
    </row>
    <row r="5" spans="1:17" ht="16" customHeight="1">
      <c r="A5" s="5" t="s">
        <v>215</v>
      </c>
      <c r="B5" s="6" t="s">
        <v>198</v>
      </c>
      <c r="C5" s="6" t="s">
        <v>216</v>
      </c>
      <c r="D5" s="6"/>
      <c r="E5" s="6" t="s">
        <v>217</v>
      </c>
      <c r="F5" s="6"/>
      <c r="G5" s="6" t="s">
        <v>218</v>
      </c>
      <c r="H5" s="6"/>
      <c r="I5" s="6" t="s">
        <v>219</v>
      </c>
      <c r="J5" s="6"/>
      <c r="K5" s="6" t="s">
        <v>220</v>
      </c>
      <c r="L5" s="6"/>
      <c r="M5" s="6" t="s">
        <v>221</v>
      </c>
      <c r="N5" s="6"/>
      <c r="O5" s="6" t="s">
        <v>205</v>
      </c>
      <c r="P5" s="6"/>
      <c r="Q5" s="6"/>
    </row>
    <row r="6" spans="1:17" ht="16" customHeight="1">
      <c r="A6" s="5" t="s">
        <v>222</v>
      </c>
      <c r="B6" s="6" t="s">
        <v>207</v>
      </c>
      <c r="C6" s="6" t="s">
        <v>223</v>
      </c>
      <c r="D6" s="6"/>
      <c r="E6" s="6" t="s">
        <v>224</v>
      </c>
      <c r="F6" s="6"/>
      <c r="G6" s="6" t="s">
        <v>225</v>
      </c>
      <c r="H6" s="6"/>
      <c r="I6" s="6" t="s">
        <v>226</v>
      </c>
      <c r="J6" s="6"/>
      <c r="K6" s="6" t="s">
        <v>227</v>
      </c>
      <c r="L6" s="6"/>
      <c r="M6" s="6" t="s">
        <v>228</v>
      </c>
      <c r="N6" s="6"/>
      <c r="O6" s="6" t="s">
        <v>229</v>
      </c>
      <c r="P6" s="6"/>
      <c r="Q6" s="6"/>
    </row>
    <row r="7" spans="1:17" ht="16" customHeight="1">
      <c r="A7" s="5" t="s">
        <v>230</v>
      </c>
      <c r="B7" s="6" t="s">
        <v>198</v>
      </c>
      <c r="C7" s="6" t="s">
        <v>231</v>
      </c>
      <c r="D7" s="6"/>
      <c r="E7" s="6" t="s">
        <v>232</v>
      </c>
      <c r="F7" s="6"/>
      <c r="G7" s="6" t="s">
        <v>233</v>
      </c>
      <c r="H7" s="6"/>
      <c r="I7" s="6" t="s">
        <v>234</v>
      </c>
      <c r="J7" s="6"/>
      <c r="K7" s="6" t="s">
        <v>235</v>
      </c>
      <c r="L7" s="6"/>
      <c r="M7" s="6" t="s">
        <v>236</v>
      </c>
      <c r="N7" s="6"/>
      <c r="O7" s="6" t="s">
        <v>205</v>
      </c>
      <c r="P7" s="6"/>
      <c r="Q7" s="6"/>
    </row>
    <row r="8" spans="1:17" ht="16" customHeight="1">
      <c r="A8" s="5" t="s">
        <v>237</v>
      </c>
      <c r="B8" s="6" t="s">
        <v>198</v>
      </c>
      <c r="C8" s="6" t="s">
        <v>238</v>
      </c>
      <c r="D8" s="6"/>
      <c r="E8" s="6" t="s">
        <v>239</v>
      </c>
      <c r="F8" s="6"/>
      <c r="G8" s="6" t="s">
        <v>240</v>
      </c>
      <c r="H8" s="6"/>
      <c r="I8" s="6" t="s">
        <v>241</v>
      </c>
      <c r="J8" s="6"/>
      <c r="K8" s="6" t="s">
        <v>242</v>
      </c>
      <c r="L8" s="6"/>
      <c r="M8" s="6" t="s">
        <v>243</v>
      </c>
      <c r="N8" s="6"/>
      <c r="O8" s="6" t="s">
        <v>205</v>
      </c>
      <c r="P8" s="6"/>
      <c r="Q8" s="6"/>
    </row>
    <row r="9" spans="1:17" ht="16" customHeight="1">
      <c r="A9" s="5" t="s">
        <v>244</v>
      </c>
      <c r="B9" s="6" t="s">
        <v>245</v>
      </c>
      <c r="C9" s="6" t="s">
        <v>246</v>
      </c>
      <c r="D9" s="6"/>
      <c r="E9" s="6" t="s">
        <v>247</v>
      </c>
      <c r="F9" s="6"/>
      <c r="G9" s="6" t="s">
        <v>248</v>
      </c>
      <c r="H9" s="6"/>
      <c r="I9" s="6" t="s">
        <v>249</v>
      </c>
      <c r="J9" s="6"/>
      <c r="K9" s="6" t="s">
        <v>250</v>
      </c>
      <c r="L9" s="6"/>
      <c r="M9" s="6" t="s">
        <v>251</v>
      </c>
      <c r="N9" s="6"/>
      <c r="O9" s="6" t="s">
        <v>252</v>
      </c>
      <c r="P9" s="6"/>
      <c r="Q9" s="6"/>
    </row>
    <row r="10" spans="1:17" ht="16" customHeight="1">
      <c r="A10" s="5" t="s">
        <v>253</v>
      </c>
      <c r="B10" s="6" t="s">
        <v>198</v>
      </c>
      <c r="C10" s="6" t="s">
        <v>254</v>
      </c>
      <c r="D10" s="6"/>
      <c r="E10" s="6" t="s">
        <v>255</v>
      </c>
      <c r="F10" s="6"/>
      <c r="G10" s="6" t="s">
        <v>256</v>
      </c>
      <c r="H10" s="6"/>
      <c r="I10" s="6" t="s">
        <v>257</v>
      </c>
      <c r="J10" s="6"/>
      <c r="K10" s="6" t="s">
        <v>258</v>
      </c>
      <c r="L10" s="6"/>
      <c r="M10" s="6" t="s">
        <v>259</v>
      </c>
      <c r="N10" s="6"/>
      <c r="O10" s="6" t="s">
        <v>205</v>
      </c>
      <c r="P10" s="6"/>
      <c r="Q10" s="6"/>
    </row>
    <row r="11" spans="1:17" ht="16" customHeight="1">
      <c r="A11" s="5" t="s">
        <v>260</v>
      </c>
      <c r="B11" s="6" t="s">
        <v>245</v>
      </c>
      <c r="C11" s="6" t="s">
        <v>261</v>
      </c>
      <c r="D11" s="6"/>
      <c r="E11" s="6" t="s">
        <v>262</v>
      </c>
      <c r="F11" s="6"/>
      <c r="G11" s="6" t="s">
        <v>263</v>
      </c>
      <c r="H11" s="6"/>
      <c r="I11" s="6" t="s">
        <v>264</v>
      </c>
      <c r="J11" s="6"/>
      <c r="K11" s="6" t="s">
        <v>265</v>
      </c>
      <c r="L11" s="6"/>
      <c r="M11" s="6" t="s">
        <v>266</v>
      </c>
      <c r="N11" s="6"/>
      <c r="O11" s="6" t="s">
        <v>252</v>
      </c>
      <c r="P11" s="6"/>
      <c r="Q11" s="6"/>
    </row>
    <row r="12" spans="1:17" ht="16" customHeight="1">
      <c r="A12" s="5" t="s">
        <v>267</v>
      </c>
      <c r="B12" s="6" t="s">
        <v>207</v>
      </c>
      <c r="C12" s="6" t="s">
        <v>268</v>
      </c>
      <c r="D12" s="6"/>
      <c r="E12" s="6" t="s">
        <v>269</v>
      </c>
      <c r="F12" s="6"/>
      <c r="G12" s="6" t="s">
        <v>270</v>
      </c>
      <c r="H12" s="6"/>
      <c r="I12" s="6" t="s">
        <v>271</v>
      </c>
      <c r="J12" s="6"/>
      <c r="K12" s="6" t="s">
        <v>272</v>
      </c>
      <c r="L12" s="6"/>
      <c r="M12" s="6" t="s">
        <v>273</v>
      </c>
      <c r="N12" s="6"/>
      <c r="O12" s="6" t="s">
        <v>214</v>
      </c>
      <c r="P12" s="6"/>
      <c r="Q12" s="6"/>
    </row>
    <row r="13" spans="1:17" ht="16" customHeight="1">
      <c r="A13" s="5" t="s">
        <v>274</v>
      </c>
      <c r="B13" s="6" t="s">
        <v>207</v>
      </c>
      <c r="C13" s="6" t="s">
        <v>275</v>
      </c>
      <c r="D13" s="6"/>
      <c r="E13" s="6" t="s">
        <v>276</v>
      </c>
      <c r="F13" s="6"/>
      <c r="G13" s="6" t="s">
        <v>277</v>
      </c>
      <c r="H13" s="6"/>
      <c r="I13" s="6" t="s">
        <v>278</v>
      </c>
      <c r="J13" s="6"/>
      <c r="K13" s="6" t="s">
        <v>279</v>
      </c>
      <c r="L13" s="6"/>
      <c r="M13" s="6" t="s">
        <v>280</v>
      </c>
      <c r="N13" s="6"/>
      <c r="O13" s="6" t="s">
        <v>214</v>
      </c>
      <c r="P13" s="6"/>
      <c r="Q13" s="6"/>
    </row>
    <row r="14" spans="1:17" ht="16" customHeight="1">
      <c r="A14" s="5" t="s">
        <v>281</v>
      </c>
      <c r="B14" s="6" t="s">
        <v>282</v>
      </c>
      <c r="C14" s="7">
        <v>0.90800000000000003</v>
      </c>
      <c r="D14" s="7"/>
      <c r="E14" s="8">
        <v>22310400</v>
      </c>
      <c r="F14" s="7"/>
      <c r="G14" s="8">
        <v>70649600</v>
      </c>
      <c r="H14" s="7"/>
      <c r="I14" s="8">
        <v>24571</v>
      </c>
      <c r="J14" s="7"/>
      <c r="K14" s="8">
        <v>77808</v>
      </c>
      <c r="L14" s="7"/>
      <c r="M14" s="7">
        <v>3.1669999999999998</v>
      </c>
      <c r="N14" s="7"/>
      <c r="O14" s="6" t="s">
        <v>283</v>
      </c>
      <c r="P14" s="6"/>
      <c r="Q14" s="6"/>
    </row>
    <row r="15" spans="1:17" ht="16" customHeight="1">
      <c r="A15" s="5" t="s">
        <v>284</v>
      </c>
      <c r="B15" s="6" t="s">
        <v>207</v>
      </c>
      <c r="C15" s="6" t="s">
        <v>285</v>
      </c>
      <c r="D15" s="6"/>
      <c r="E15" s="6" t="s">
        <v>286</v>
      </c>
      <c r="F15" s="6"/>
      <c r="G15" s="6" t="s">
        <v>287</v>
      </c>
      <c r="H15" s="6"/>
      <c r="I15" s="6" t="s">
        <v>288</v>
      </c>
      <c r="J15" s="6"/>
      <c r="K15" s="6" t="s">
        <v>289</v>
      </c>
      <c r="L15" s="6"/>
      <c r="M15" s="6" t="s">
        <v>290</v>
      </c>
      <c r="N15" s="6"/>
      <c r="O15" s="6" t="s">
        <v>229</v>
      </c>
      <c r="P15" s="6"/>
      <c r="Q15" s="6"/>
    </row>
    <row r="16" spans="1:17" ht="16" customHeight="1">
      <c r="A16" s="5" t="s">
        <v>291</v>
      </c>
      <c r="B16" s="6" t="s">
        <v>245</v>
      </c>
      <c r="C16" s="6" t="s">
        <v>292</v>
      </c>
      <c r="D16" s="6"/>
      <c r="E16" s="6" t="s">
        <v>293</v>
      </c>
      <c r="F16" s="6"/>
      <c r="G16" s="6" t="s">
        <v>294</v>
      </c>
      <c r="H16" s="6"/>
      <c r="I16" s="6" t="s">
        <v>295</v>
      </c>
      <c r="J16" s="6"/>
      <c r="K16" s="6" t="s">
        <v>296</v>
      </c>
      <c r="L16" s="6"/>
      <c r="M16" s="6" t="s">
        <v>297</v>
      </c>
      <c r="N16" s="6"/>
      <c r="O16" s="6" t="s">
        <v>252</v>
      </c>
      <c r="P16" s="6"/>
      <c r="Q16" s="6"/>
    </row>
    <row r="17" spans="1:17" ht="16" customHeight="1">
      <c r="A17" s="5" t="s">
        <v>298</v>
      </c>
      <c r="B17" s="6" t="s">
        <v>299</v>
      </c>
      <c r="C17" s="6" t="s">
        <v>300</v>
      </c>
      <c r="D17" s="6"/>
      <c r="E17" s="6" t="s">
        <v>301</v>
      </c>
      <c r="F17" s="6"/>
      <c r="G17" s="6" t="s">
        <v>302</v>
      </c>
      <c r="H17" s="6"/>
      <c r="I17" s="6" t="s">
        <v>303</v>
      </c>
      <c r="J17" s="6"/>
      <c r="K17" s="6" t="s">
        <v>304</v>
      </c>
      <c r="L17" s="6"/>
      <c r="M17" s="7">
        <v>1.417</v>
      </c>
      <c r="N17" s="6"/>
      <c r="O17" s="6" t="s">
        <v>305</v>
      </c>
      <c r="P17" s="6"/>
      <c r="Q17" s="6"/>
    </row>
    <row r="18" spans="1:17" ht="16" customHeight="1">
      <c r="A18" s="5" t="s">
        <v>306</v>
      </c>
      <c r="B18" s="6" t="s">
        <v>207</v>
      </c>
      <c r="C18" s="6" t="s">
        <v>307</v>
      </c>
      <c r="D18" s="6"/>
      <c r="E18" s="6" t="s">
        <v>308</v>
      </c>
      <c r="F18" s="6"/>
      <c r="G18" s="6" t="s">
        <v>309</v>
      </c>
      <c r="H18" s="6"/>
      <c r="I18" s="6" t="s">
        <v>310</v>
      </c>
      <c r="J18" s="6"/>
      <c r="K18" s="6" t="s">
        <v>311</v>
      </c>
      <c r="L18" s="6"/>
      <c r="M18" s="6" t="s">
        <v>312</v>
      </c>
      <c r="N18" s="6"/>
      <c r="O18" s="6" t="s">
        <v>214</v>
      </c>
      <c r="P18" s="6"/>
      <c r="Q18" s="6"/>
    </row>
    <row r="19" spans="1:17" ht="16" customHeight="1">
      <c r="A19" s="9" t="s">
        <v>313</v>
      </c>
      <c r="B19" s="6" t="s">
        <v>207</v>
      </c>
      <c r="C19" s="6" t="s">
        <v>314</v>
      </c>
      <c r="D19" s="6"/>
      <c r="E19" s="6" t="s">
        <v>315</v>
      </c>
      <c r="F19" s="6"/>
      <c r="G19" s="6" t="s">
        <v>316</v>
      </c>
      <c r="H19" s="6"/>
      <c r="I19" s="6" t="s">
        <v>317</v>
      </c>
      <c r="J19" s="6"/>
      <c r="K19" s="6" t="s">
        <v>318</v>
      </c>
      <c r="L19" s="6"/>
      <c r="M19" s="6" t="s">
        <v>319</v>
      </c>
      <c r="N19" s="6"/>
      <c r="O19" s="6" t="s">
        <v>229</v>
      </c>
      <c r="P19" s="6"/>
      <c r="Q19" s="6"/>
    </row>
    <row r="20" spans="1:17" ht="16" customHeight="1">
      <c r="A20" s="5" t="s">
        <v>320</v>
      </c>
      <c r="B20" s="6" t="s">
        <v>207</v>
      </c>
      <c r="C20" s="6" t="s">
        <v>321</v>
      </c>
      <c r="D20" s="6"/>
      <c r="E20" s="6" t="s">
        <v>322</v>
      </c>
      <c r="F20" s="6"/>
      <c r="G20" s="6" t="s">
        <v>323</v>
      </c>
      <c r="H20" s="6"/>
      <c r="I20" s="6" t="s">
        <v>324</v>
      </c>
      <c r="J20" s="6"/>
      <c r="K20" s="6" t="s">
        <v>325</v>
      </c>
      <c r="L20" s="6"/>
      <c r="M20" s="6" t="s">
        <v>326</v>
      </c>
      <c r="N20" s="6"/>
      <c r="O20" s="6" t="s">
        <v>229</v>
      </c>
      <c r="P20" s="6"/>
      <c r="Q20" s="6"/>
    </row>
    <row r="21" spans="1:17" ht="16" customHeight="1">
      <c r="A21" s="5" t="s">
        <v>327</v>
      </c>
      <c r="B21" s="6" t="s">
        <v>207</v>
      </c>
      <c r="C21" s="7">
        <v>4.4480000000000004</v>
      </c>
      <c r="D21" s="7"/>
      <c r="E21" s="8">
        <v>71448750</v>
      </c>
      <c r="F21" s="7"/>
      <c r="G21" s="8">
        <v>254801250</v>
      </c>
      <c r="H21" s="7"/>
      <c r="I21" s="8">
        <v>16063</v>
      </c>
      <c r="J21" s="7"/>
      <c r="K21" s="8">
        <v>57284</v>
      </c>
      <c r="L21" s="7"/>
      <c r="M21" s="7">
        <v>3.5659999999999998</v>
      </c>
      <c r="N21" s="7"/>
      <c r="O21" s="6" t="s">
        <v>229</v>
      </c>
      <c r="P21" s="6"/>
      <c r="Q21" s="6"/>
    </row>
    <row r="22" spans="1:17" ht="16" customHeight="1">
      <c r="A22" s="5" t="s">
        <v>328</v>
      </c>
      <c r="B22" s="6" t="s">
        <v>282</v>
      </c>
      <c r="C22" s="6" t="s">
        <v>329</v>
      </c>
      <c r="D22" s="6"/>
      <c r="E22" s="6" t="s">
        <v>330</v>
      </c>
      <c r="F22" s="6"/>
      <c r="G22" s="6" t="s">
        <v>331</v>
      </c>
      <c r="H22" s="6"/>
      <c r="I22" s="6" t="s">
        <v>332</v>
      </c>
      <c r="J22" s="6"/>
      <c r="K22" s="6" t="s">
        <v>333</v>
      </c>
      <c r="L22" s="6"/>
      <c r="M22" s="7">
        <v>1.615</v>
      </c>
      <c r="N22" s="6"/>
      <c r="O22" s="6" t="s">
        <v>305</v>
      </c>
      <c r="P22" s="6"/>
      <c r="Q22" s="6"/>
    </row>
    <row r="23" spans="1:17" ht="16" customHeight="1">
      <c r="A23" s="5" t="s">
        <v>334</v>
      </c>
      <c r="B23" s="6" t="s">
        <v>282</v>
      </c>
      <c r="C23" s="6" t="s">
        <v>335</v>
      </c>
      <c r="D23" s="6"/>
      <c r="E23" s="6" t="s">
        <v>336</v>
      </c>
      <c r="F23" s="6"/>
      <c r="G23" s="6" t="s">
        <v>337</v>
      </c>
      <c r="H23" s="6"/>
      <c r="I23" s="6" t="s">
        <v>338</v>
      </c>
      <c r="J23" s="6"/>
      <c r="K23" s="6" t="s">
        <v>339</v>
      </c>
      <c r="L23" s="6"/>
      <c r="M23" s="7">
        <v>1.778</v>
      </c>
      <c r="N23" s="6"/>
      <c r="O23" s="6" t="s">
        <v>305</v>
      </c>
      <c r="P23" s="6"/>
      <c r="Q23" s="6"/>
    </row>
    <row r="24" spans="1:17" ht="16" customHeight="1">
      <c r="A24" s="5" t="s">
        <v>340</v>
      </c>
      <c r="B24" s="6" t="s">
        <v>245</v>
      </c>
      <c r="C24" s="10">
        <v>7.56</v>
      </c>
      <c r="D24" s="10"/>
      <c r="E24" s="8">
        <v>98960000</v>
      </c>
      <c r="F24" s="10"/>
      <c r="G24" s="8">
        <v>183540000</v>
      </c>
      <c r="H24" s="10"/>
      <c r="I24" s="8">
        <v>13098</v>
      </c>
      <c r="J24" s="10"/>
      <c r="K24" s="8">
        <v>24291</v>
      </c>
      <c r="L24" s="10"/>
      <c r="M24" s="7">
        <v>1.855</v>
      </c>
      <c r="N24" s="10"/>
      <c r="O24" s="6" t="s">
        <v>252</v>
      </c>
      <c r="P24" s="6"/>
      <c r="Q24" s="6"/>
    </row>
    <row r="25" spans="1:17" ht="16" customHeight="1">
      <c r="A25" s="5" t="s">
        <v>341</v>
      </c>
      <c r="B25" s="6" t="s">
        <v>207</v>
      </c>
      <c r="C25" s="6" t="s">
        <v>342</v>
      </c>
      <c r="D25" s="6"/>
      <c r="E25" s="6" t="s">
        <v>343</v>
      </c>
      <c r="F25" s="6"/>
      <c r="G25" s="6" t="s">
        <v>344</v>
      </c>
      <c r="H25" s="6"/>
      <c r="I25" s="6" t="s">
        <v>345</v>
      </c>
      <c r="J25" s="6"/>
      <c r="K25" s="6" t="s">
        <v>346</v>
      </c>
      <c r="L25" s="6"/>
      <c r="M25" s="6" t="s">
        <v>347</v>
      </c>
      <c r="N25" s="6"/>
      <c r="O25" s="6" t="s">
        <v>214</v>
      </c>
      <c r="P25" s="6"/>
      <c r="Q25" s="6"/>
    </row>
    <row r="26" spans="1:17" ht="16" customHeight="1">
      <c r="A26" s="5" t="s">
        <v>348</v>
      </c>
      <c r="B26" s="6" t="s">
        <v>245</v>
      </c>
      <c r="C26" s="6" t="s">
        <v>349</v>
      </c>
      <c r="D26" s="6"/>
      <c r="E26" s="6" t="s">
        <v>350</v>
      </c>
      <c r="F26" s="6"/>
      <c r="G26" s="6" t="s">
        <v>351</v>
      </c>
      <c r="H26" s="6"/>
      <c r="I26" s="6" t="s">
        <v>352</v>
      </c>
      <c r="J26" s="6"/>
      <c r="K26" s="6" t="s">
        <v>353</v>
      </c>
      <c r="L26" s="6"/>
      <c r="M26" s="6" t="s">
        <v>354</v>
      </c>
      <c r="N26" s="6"/>
      <c r="O26" s="6" t="s">
        <v>252</v>
      </c>
      <c r="P26" s="6"/>
      <c r="Q26" s="6"/>
    </row>
    <row r="27" spans="1:17" ht="16" customHeight="1">
      <c r="A27" s="5" t="s">
        <v>355</v>
      </c>
      <c r="B27" s="6" t="s">
        <v>282</v>
      </c>
      <c r="C27" s="6" t="s">
        <v>356</v>
      </c>
      <c r="D27" s="6"/>
      <c r="E27" s="6" t="s">
        <v>357</v>
      </c>
      <c r="F27" s="6"/>
      <c r="G27" s="6" t="s">
        <v>358</v>
      </c>
      <c r="H27" s="6"/>
      <c r="I27" s="6" t="s">
        <v>359</v>
      </c>
      <c r="J27" s="6"/>
      <c r="K27" s="6" t="s">
        <v>360</v>
      </c>
      <c r="L27" s="6"/>
      <c r="M27" s="7">
        <v>1.5740000000000001</v>
      </c>
      <c r="N27" s="6"/>
      <c r="O27" s="6" t="s">
        <v>305</v>
      </c>
      <c r="P27" s="6"/>
      <c r="Q27" s="6"/>
    </row>
    <row r="28" spans="1:17" ht="16" customHeight="1">
      <c r="A28" s="5" t="s">
        <v>361</v>
      </c>
      <c r="B28" s="6" t="s">
        <v>282</v>
      </c>
      <c r="C28" s="7">
        <v>12.984</v>
      </c>
      <c r="D28" s="7"/>
      <c r="E28" s="8">
        <v>357129180</v>
      </c>
      <c r="F28" s="7"/>
      <c r="G28" s="8">
        <v>715330820</v>
      </c>
      <c r="H28" s="7"/>
      <c r="I28" s="8">
        <v>27505</v>
      </c>
      <c r="J28" s="7"/>
      <c r="K28" s="8">
        <v>55093</v>
      </c>
      <c r="L28" s="7"/>
      <c r="M28" s="7">
        <v>2.0030000000000001</v>
      </c>
      <c r="N28" s="7"/>
      <c r="O28" s="6" t="s">
        <v>283</v>
      </c>
      <c r="P28" s="6"/>
      <c r="Q28" s="6"/>
    </row>
    <row r="29" spans="1:17" ht="16" customHeight="1">
      <c r="A29" s="5" t="s">
        <v>362</v>
      </c>
      <c r="B29" s="6" t="s">
        <v>282</v>
      </c>
      <c r="C29" s="6" t="s">
        <v>363</v>
      </c>
      <c r="D29" s="6"/>
      <c r="E29" s="6" t="s">
        <v>364</v>
      </c>
      <c r="F29" s="6"/>
      <c r="G29" s="6" t="s">
        <v>365</v>
      </c>
      <c r="H29" s="6"/>
      <c r="I29" s="6" t="s">
        <v>366</v>
      </c>
      <c r="J29" s="6"/>
      <c r="K29" s="6" t="s">
        <v>367</v>
      </c>
      <c r="L29" s="6"/>
      <c r="M29" s="7">
        <v>1.2010000000000001</v>
      </c>
      <c r="N29" s="6"/>
      <c r="O29" s="6" t="s">
        <v>305</v>
      </c>
      <c r="P29" s="6"/>
      <c r="Q29" s="6"/>
    </row>
    <row r="30" spans="1:17" ht="16" customHeight="1">
      <c r="A30" s="5" t="s">
        <v>368</v>
      </c>
      <c r="B30" s="6" t="s">
        <v>282</v>
      </c>
      <c r="C30" s="7">
        <v>36.225999999999999</v>
      </c>
      <c r="D30" s="7"/>
      <c r="E30" s="8">
        <v>800955000</v>
      </c>
      <c r="F30" s="7"/>
      <c r="G30" s="8">
        <v>2758845000</v>
      </c>
      <c r="H30" s="7"/>
      <c r="I30" s="8">
        <v>22110</v>
      </c>
      <c r="J30" s="7"/>
      <c r="K30" s="8">
        <v>76156</v>
      </c>
      <c r="L30" s="7"/>
      <c r="M30" s="7">
        <v>3.444</v>
      </c>
      <c r="N30" s="7"/>
      <c r="O30" s="6" t="s">
        <v>283</v>
      </c>
      <c r="P30" s="6"/>
      <c r="Q30" s="6"/>
    </row>
    <row r="31" spans="1:17" ht="16" customHeight="1">
      <c r="A31" s="5" t="s">
        <v>369</v>
      </c>
      <c r="B31" s="6" t="s">
        <v>282</v>
      </c>
      <c r="C31" s="7">
        <v>39.177999999999997</v>
      </c>
      <c r="D31" s="7"/>
      <c r="E31" s="8">
        <v>1140000000</v>
      </c>
      <c r="F31" s="7"/>
      <c r="G31" s="8">
        <v>2550000000</v>
      </c>
      <c r="H31" s="7"/>
      <c r="I31" s="8">
        <v>29180</v>
      </c>
      <c r="J31" s="7"/>
      <c r="K31" s="8">
        <v>64980</v>
      </c>
      <c r="L31" s="7"/>
      <c r="M31" s="7">
        <v>2.2370000000000001</v>
      </c>
      <c r="N31" s="7"/>
      <c r="O31" s="6" t="s">
        <v>305</v>
      </c>
      <c r="P31" s="6"/>
      <c r="Q31" s="6"/>
    </row>
    <row r="32" spans="1:17" ht="16" customHeight="1">
      <c r="A32" s="5" t="s">
        <v>370</v>
      </c>
      <c r="B32" s="6" t="s">
        <v>282</v>
      </c>
      <c r="C32" s="7">
        <v>48.274000000000001</v>
      </c>
      <c r="D32" s="7"/>
      <c r="E32" s="8">
        <v>1655707140</v>
      </c>
      <c r="F32" s="7"/>
      <c r="G32" s="8">
        <v>3808672860</v>
      </c>
      <c r="H32" s="7"/>
      <c r="I32" s="8">
        <v>34298</v>
      </c>
      <c r="J32" s="7"/>
      <c r="K32" s="8">
        <v>78897</v>
      </c>
      <c r="L32" s="7"/>
      <c r="M32" s="7">
        <v>2.2999999999999998</v>
      </c>
      <c r="N32" s="7"/>
      <c r="O32" s="6" t="s">
        <v>283</v>
      </c>
      <c r="P32" s="6"/>
      <c r="Q32" s="6"/>
    </row>
    <row r="33" spans="1:17" ht="16" customHeight="1">
      <c r="A33" s="5" t="s">
        <v>371</v>
      </c>
      <c r="B33" s="6" t="s">
        <v>372</v>
      </c>
      <c r="C33" s="7">
        <v>42.404000000000003</v>
      </c>
      <c r="D33" s="7"/>
      <c r="E33" s="8">
        <v>307082404</v>
      </c>
      <c r="F33" s="7"/>
      <c r="G33" s="8">
        <v>3250251354</v>
      </c>
      <c r="H33" s="7"/>
      <c r="I33" s="8">
        <v>7276</v>
      </c>
      <c r="J33" s="7"/>
      <c r="K33" s="8">
        <v>77016</v>
      </c>
      <c r="L33" s="7"/>
      <c r="M33" s="7">
        <v>10.585000000000001</v>
      </c>
      <c r="N33" s="7"/>
      <c r="O33" s="6" t="s">
        <v>373</v>
      </c>
      <c r="P33" s="6"/>
      <c r="Q33" s="6"/>
    </row>
    <row r="34" spans="1:17" ht="16" customHeight="1">
      <c r="A34" s="5" t="s">
        <v>374</v>
      </c>
      <c r="B34" s="6" t="s">
        <v>207</v>
      </c>
      <c r="C34" s="6" t="s">
        <v>375</v>
      </c>
      <c r="D34" s="6"/>
      <c r="E34" s="6" t="s">
        <v>376</v>
      </c>
      <c r="F34" s="6"/>
      <c r="G34" s="6" t="s">
        <v>377</v>
      </c>
      <c r="H34" s="6"/>
      <c r="I34" s="6" t="s">
        <v>378</v>
      </c>
      <c r="J34" s="6"/>
      <c r="K34" s="6" t="s">
        <v>379</v>
      </c>
      <c r="L34" s="6"/>
      <c r="M34" s="6" t="s">
        <v>380</v>
      </c>
      <c r="N34" s="6"/>
      <c r="O34" s="6" t="s">
        <v>214</v>
      </c>
      <c r="P34" s="6"/>
      <c r="Q34" s="6"/>
    </row>
    <row r="35" spans="1:17" ht="16" customHeight="1">
      <c r="A35" s="5" t="s">
        <v>381</v>
      </c>
      <c r="B35" s="6" t="s">
        <v>372</v>
      </c>
      <c r="C35" s="7">
        <v>68.805999999999997</v>
      </c>
      <c r="D35" s="7"/>
      <c r="E35" s="8">
        <v>396896159</v>
      </c>
      <c r="F35" s="7"/>
      <c r="G35" s="8">
        <v>4126259275</v>
      </c>
      <c r="H35" s="7"/>
      <c r="I35" s="8">
        <v>5768</v>
      </c>
      <c r="J35" s="7"/>
      <c r="K35" s="8">
        <v>59969</v>
      </c>
      <c r="L35" s="7"/>
      <c r="M35" s="7">
        <v>10.396000000000001</v>
      </c>
      <c r="N35" s="7"/>
      <c r="O35" s="6" t="s">
        <v>373</v>
      </c>
      <c r="P35" s="6"/>
      <c r="Q35" s="6"/>
    </row>
    <row r="36" spans="1:17" ht="16" customHeight="1">
      <c r="A36" s="5" t="s">
        <v>382</v>
      </c>
      <c r="B36" s="6" t="s">
        <v>282</v>
      </c>
      <c r="C36" s="7">
        <v>69.831999999999994</v>
      </c>
      <c r="D36" s="7"/>
      <c r="E36" s="8">
        <v>1710000000</v>
      </c>
      <c r="F36" s="7"/>
      <c r="G36" s="8">
        <v>5270000000</v>
      </c>
      <c r="H36" s="7"/>
      <c r="I36" s="8">
        <v>24470</v>
      </c>
      <c r="J36" s="7"/>
      <c r="K36" s="8">
        <v>75400</v>
      </c>
      <c r="L36" s="7"/>
      <c r="M36" s="7">
        <v>3.0819999999999999</v>
      </c>
      <c r="N36" s="7"/>
      <c r="O36" s="6" t="s">
        <v>305</v>
      </c>
      <c r="P36" s="6"/>
      <c r="Q36" s="6"/>
    </row>
    <row r="37" spans="1:17" ht="16" customHeight="1">
      <c r="A37" s="5" t="s">
        <v>383</v>
      </c>
      <c r="B37" s="6" t="s">
        <v>372</v>
      </c>
      <c r="C37" s="7">
        <v>111.31</v>
      </c>
      <c r="D37" s="7"/>
      <c r="E37" s="8">
        <v>570673431</v>
      </c>
      <c r="F37" s="7"/>
      <c r="G37" s="8">
        <v>6762256227</v>
      </c>
      <c r="H37" s="7"/>
      <c r="I37" s="8">
        <v>5127</v>
      </c>
      <c r="J37" s="7"/>
      <c r="K37" s="8">
        <v>60760</v>
      </c>
      <c r="L37" s="7"/>
      <c r="M37" s="7">
        <v>11.851000000000001</v>
      </c>
      <c r="N37" s="7"/>
      <c r="O37" s="6" t="s">
        <v>373</v>
      </c>
      <c r="P37" s="6"/>
      <c r="Q37" s="6"/>
    </row>
    <row r="38" spans="1:17" ht="16" customHeight="1">
      <c r="A38" s="5" t="s">
        <v>384</v>
      </c>
      <c r="B38" s="6" t="s">
        <v>282</v>
      </c>
      <c r="C38" s="7">
        <v>120.214</v>
      </c>
      <c r="D38" s="7"/>
      <c r="E38" s="8">
        <v>2875028372</v>
      </c>
      <c r="F38" s="7"/>
      <c r="G38" s="8">
        <v>7569751628</v>
      </c>
      <c r="H38" s="7"/>
      <c r="I38" s="8">
        <v>23916</v>
      </c>
      <c r="J38" s="7"/>
      <c r="K38" s="8">
        <v>62969</v>
      </c>
      <c r="L38" s="7"/>
      <c r="M38" s="7">
        <v>2.633</v>
      </c>
      <c r="N38" s="7"/>
      <c r="O38" s="6" t="s">
        <v>283</v>
      </c>
      <c r="P38" s="6"/>
      <c r="Q38" s="6"/>
    </row>
    <row r="39" spans="1:17" ht="16" customHeight="1">
      <c r="A39" s="5" t="s">
        <v>385</v>
      </c>
      <c r="B39" s="6" t="s">
        <v>372</v>
      </c>
      <c r="C39" s="7">
        <v>213.37</v>
      </c>
      <c r="D39" s="7"/>
      <c r="E39" s="8">
        <v>762567178</v>
      </c>
      <c r="F39" s="7"/>
      <c r="G39" s="8">
        <v>12302304448</v>
      </c>
      <c r="H39" s="7"/>
      <c r="I39" s="8">
        <v>3574</v>
      </c>
      <c r="J39" s="7"/>
      <c r="K39" s="8">
        <v>57657</v>
      </c>
      <c r="L39" s="7"/>
      <c r="M39" s="7">
        <v>16.132999999999999</v>
      </c>
      <c r="N39" s="7"/>
      <c r="O39" s="6" t="s">
        <v>373</v>
      </c>
      <c r="P39" s="6"/>
      <c r="Q39" s="6"/>
    </row>
    <row r="40" spans="1:17" ht="16" customHeight="1">
      <c r="A40" s="5" t="s">
        <v>386</v>
      </c>
      <c r="B40" s="6" t="s">
        <v>372</v>
      </c>
      <c r="C40" s="7">
        <v>398.80799999999999</v>
      </c>
      <c r="D40" s="7"/>
      <c r="E40" s="8">
        <v>1730513460</v>
      </c>
      <c r="F40" s="7"/>
      <c r="G40" s="8">
        <v>27513706540</v>
      </c>
      <c r="H40" s="7"/>
      <c r="I40" s="8">
        <v>4339</v>
      </c>
      <c r="J40" s="7"/>
      <c r="K40" s="8">
        <v>68990</v>
      </c>
      <c r="L40" s="7"/>
      <c r="M40" s="7">
        <v>15.9</v>
      </c>
      <c r="N40" s="7"/>
      <c r="O40" s="6" t="s">
        <v>373</v>
      </c>
      <c r="P40" s="6"/>
      <c r="Q40" s="6"/>
    </row>
    <row r="41" spans="1:17" ht="16" customHeight="1">
      <c r="A41" s="5" t="s">
        <v>387</v>
      </c>
      <c r="B41" s="6" t="s">
        <v>282</v>
      </c>
      <c r="C41" s="6" t="s">
        <v>388</v>
      </c>
      <c r="D41" s="6"/>
      <c r="E41" s="6" t="s">
        <v>389</v>
      </c>
      <c r="F41" s="6"/>
      <c r="G41" s="6" t="s">
        <v>390</v>
      </c>
      <c r="H41" s="6"/>
      <c r="I41" s="6" t="s">
        <v>391</v>
      </c>
      <c r="J41" s="6"/>
      <c r="K41" s="6" t="s">
        <v>392</v>
      </c>
      <c r="L41" s="6"/>
      <c r="M41" s="6" t="s">
        <v>393</v>
      </c>
      <c r="N41" s="6"/>
      <c r="O41" s="6" t="s">
        <v>394</v>
      </c>
      <c r="P41" s="6"/>
      <c r="Q41" s="6"/>
    </row>
    <row r="42" spans="1:17" ht="16" customHeight="1">
      <c r="A42" s="5" t="s">
        <v>395</v>
      </c>
      <c r="B42" s="6" t="s">
        <v>245</v>
      </c>
      <c r="C42" s="11">
        <v>2847.5940000000001</v>
      </c>
      <c r="D42" s="11"/>
      <c r="E42" s="8">
        <v>5593241033</v>
      </c>
      <c r="F42" s="11"/>
      <c r="G42" s="8">
        <v>55698998687</v>
      </c>
      <c r="H42" s="11"/>
      <c r="I42" s="8">
        <v>1964</v>
      </c>
      <c r="J42" s="11"/>
      <c r="K42" s="8">
        <v>52721</v>
      </c>
      <c r="L42" s="11"/>
      <c r="M42" s="7">
        <v>26.844000000000001</v>
      </c>
      <c r="N42" s="11"/>
      <c r="O42" s="6" t="s">
        <v>396</v>
      </c>
      <c r="P42" s="6"/>
      <c r="Q42" s="6"/>
    </row>
    <row r="44" spans="1:17">
      <c r="A44" s="34" t="s">
        <v>858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5"/>
  <sheetViews>
    <sheetView workbookViewId="0">
      <selection activeCell="A45" sqref="A45"/>
    </sheetView>
  </sheetViews>
  <sheetFormatPr baseColWidth="10" defaultRowHeight="16"/>
  <cols>
    <col min="4" max="4" width="13.33203125" customWidth="1"/>
    <col min="6" max="6" width="13.33203125" customWidth="1"/>
    <col min="8" max="8" width="13.33203125" customWidth="1"/>
    <col min="10" max="10" width="13.33203125" customWidth="1"/>
    <col min="12" max="12" width="13.33203125" customWidth="1"/>
    <col min="14" max="14" width="13.33203125" customWidth="1"/>
  </cols>
  <sheetData>
    <row r="1" spans="1:15" ht="16" customHeight="1">
      <c r="A1" s="22" t="s">
        <v>854</v>
      </c>
      <c r="B1" s="22"/>
      <c r="C1" s="22"/>
      <c r="D1" s="32"/>
      <c r="E1" s="22"/>
      <c r="F1" s="32"/>
      <c r="G1" s="22"/>
      <c r="H1" s="32"/>
      <c r="I1" s="22"/>
      <c r="J1" s="32"/>
      <c r="K1" s="22"/>
      <c r="L1" s="32"/>
      <c r="M1" s="22"/>
      <c r="N1" s="32"/>
      <c r="O1" s="22"/>
    </row>
    <row r="2" spans="1:15">
      <c r="A2" s="13" t="s">
        <v>188</v>
      </c>
      <c r="B2" s="13" t="s">
        <v>189</v>
      </c>
      <c r="C2" s="13" t="s">
        <v>190</v>
      </c>
      <c r="D2" s="3" t="s">
        <v>187</v>
      </c>
      <c r="E2" s="13" t="s">
        <v>191</v>
      </c>
      <c r="F2" s="3" t="s">
        <v>187</v>
      </c>
      <c r="G2" s="13" t="s">
        <v>192</v>
      </c>
      <c r="H2" s="3" t="s">
        <v>187</v>
      </c>
      <c r="I2" s="13" t="s">
        <v>193</v>
      </c>
      <c r="J2" s="3" t="s">
        <v>187</v>
      </c>
      <c r="K2" s="13" t="s">
        <v>194</v>
      </c>
      <c r="L2" s="3" t="s">
        <v>187</v>
      </c>
      <c r="M2" s="13" t="s">
        <v>195</v>
      </c>
      <c r="N2" s="3" t="s">
        <v>187</v>
      </c>
      <c r="O2" s="13" t="s">
        <v>196</v>
      </c>
    </row>
    <row r="3" spans="1:15" ht="16" customHeight="1">
      <c r="A3" s="14" t="s">
        <v>197</v>
      </c>
      <c r="B3" s="15" t="s">
        <v>198</v>
      </c>
      <c r="C3" s="15" t="s">
        <v>397</v>
      </c>
      <c r="E3" s="15" t="s">
        <v>398</v>
      </c>
      <c r="G3" s="15" t="s">
        <v>399</v>
      </c>
      <c r="I3" s="15" t="s">
        <v>400</v>
      </c>
      <c r="K3" s="15" t="s">
        <v>401</v>
      </c>
      <c r="M3" s="7">
        <v>0.253</v>
      </c>
      <c r="O3" s="15" t="s">
        <v>205</v>
      </c>
    </row>
    <row r="4" spans="1:15" ht="16" customHeight="1">
      <c r="A4" s="14" t="s">
        <v>215</v>
      </c>
      <c r="B4" s="15" t="s">
        <v>198</v>
      </c>
      <c r="C4" s="15" t="s">
        <v>402</v>
      </c>
      <c r="D4" s="6"/>
      <c r="E4" s="15" t="s">
        <v>403</v>
      </c>
      <c r="F4" s="6"/>
      <c r="G4" s="15" t="s">
        <v>404</v>
      </c>
      <c r="H4" s="6"/>
      <c r="I4" s="15" t="s">
        <v>405</v>
      </c>
      <c r="J4" s="6"/>
      <c r="K4" s="15" t="s">
        <v>406</v>
      </c>
      <c r="L4" s="6"/>
      <c r="M4" s="7">
        <v>0.13200000000000001</v>
      </c>
      <c r="N4" s="6"/>
      <c r="O4" s="15" t="s">
        <v>205</v>
      </c>
    </row>
    <row r="5" spans="1:15" ht="16" customHeight="1">
      <c r="A5" s="14" t="s">
        <v>222</v>
      </c>
      <c r="B5" s="15" t="s">
        <v>207</v>
      </c>
      <c r="C5" s="15" t="s">
        <v>407</v>
      </c>
      <c r="D5" s="6"/>
      <c r="E5" s="15" t="s">
        <v>408</v>
      </c>
      <c r="F5" s="6"/>
      <c r="G5" s="15" t="s">
        <v>409</v>
      </c>
      <c r="H5" s="6"/>
      <c r="I5" s="15" t="s">
        <v>410</v>
      </c>
      <c r="J5" s="6"/>
      <c r="K5" s="15" t="s">
        <v>411</v>
      </c>
      <c r="L5" s="6"/>
      <c r="M5" s="15" t="s">
        <v>412</v>
      </c>
      <c r="N5" s="6"/>
      <c r="O5" s="15" t="s">
        <v>229</v>
      </c>
    </row>
    <row r="6" spans="1:15" ht="16" customHeight="1">
      <c r="A6" s="14" t="s">
        <v>206</v>
      </c>
      <c r="B6" s="15" t="s">
        <v>207</v>
      </c>
      <c r="C6" s="15" t="s">
        <v>413</v>
      </c>
      <c r="D6" s="6"/>
      <c r="E6" s="15" t="s">
        <v>414</v>
      </c>
      <c r="F6" s="6"/>
      <c r="G6" s="15" t="s">
        <v>415</v>
      </c>
      <c r="H6" s="6"/>
      <c r="I6" s="15" t="s">
        <v>416</v>
      </c>
      <c r="J6" s="6"/>
      <c r="K6" s="15" t="s">
        <v>417</v>
      </c>
      <c r="L6" s="6"/>
      <c r="M6" s="15" t="s">
        <v>418</v>
      </c>
      <c r="N6" s="6"/>
      <c r="O6" s="15" t="s">
        <v>214</v>
      </c>
    </row>
    <row r="7" spans="1:15" ht="16" customHeight="1">
      <c r="A7" s="14" t="s">
        <v>244</v>
      </c>
      <c r="B7" s="15" t="s">
        <v>245</v>
      </c>
      <c r="C7" s="7">
        <v>8.4000000000000005E-2</v>
      </c>
      <c r="D7" s="6"/>
      <c r="E7" s="15" t="s">
        <v>419</v>
      </c>
      <c r="F7" s="6"/>
      <c r="G7" s="15" t="s">
        <v>420</v>
      </c>
      <c r="H7" s="6"/>
      <c r="I7" s="15" t="s">
        <v>421</v>
      </c>
      <c r="J7" s="6"/>
      <c r="K7" s="15" t="s">
        <v>422</v>
      </c>
      <c r="L7" s="6"/>
      <c r="M7" s="15" t="s">
        <v>423</v>
      </c>
      <c r="N7" s="6"/>
      <c r="O7" s="15" t="s">
        <v>252</v>
      </c>
    </row>
    <row r="8" spans="1:15" ht="16" customHeight="1">
      <c r="A8" s="14" t="s">
        <v>237</v>
      </c>
      <c r="B8" s="15" t="s">
        <v>198</v>
      </c>
      <c r="C8" s="15" t="s">
        <v>424</v>
      </c>
      <c r="D8" s="6"/>
      <c r="E8" s="15" t="s">
        <v>425</v>
      </c>
      <c r="F8" s="6"/>
      <c r="G8" s="15" t="s">
        <v>426</v>
      </c>
      <c r="H8" s="6"/>
      <c r="I8" s="15" t="s">
        <v>427</v>
      </c>
      <c r="J8" s="6"/>
      <c r="K8" s="15" t="s">
        <v>428</v>
      </c>
      <c r="L8" s="6"/>
      <c r="M8" s="7">
        <v>7.0000000000000007E-2</v>
      </c>
      <c r="N8" s="6"/>
      <c r="O8" s="15" t="s">
        <v>205</v>
      </c>
    </row>
    <row r="9" spans="1:15" ht="16" customHeight="1">
      <c r="A9" s="14" t="s">
        <v>230</v>
      </c>
      <c r="B9" s="15" t="s">
        <v>198</v>
      </c>
      <c r="C9" s="15" t="s">
        <v>429</v>
      </c>
      <c r="D9" s="6"/>
      <c r="E9" s="15" t="s">
        <v>430</v>
      </c>
      <c r="F9" s="6"/>
      <c r="G9" s="15" t="s">
        <v>431</v>
      </c>
      <c r="H9" s="6"/>
      <c r="I9" s="15" t="s">
        <v>432</v>
      </c>
      <c r="J9" s="6"/>
      <c r="K9" s="15" t="s">
        <v>433</v>
      </c>
      <c r="L9" s="6"/>
      <c r="M9" s="7">
        <v>0.184</v>
      </c>
      <c r="N9" s="6"/>
      <c r="O9" s="15" t="s">
        <v>205</v>
      </c>
    </row>
    <row r="10" spans="1:15" ht="16" customHeight="1">
      <c r="A10" s="14" t="s">
        <v>267</v>
      </c>
      <c r="B10" s="15" t="s">
        <v>207</v>
      </c>
      <c r="C10" s="15" t="s">
        <v>434</v>
      </c>
      <c r="D10" s="6"/>
      <c r="E10" s="15" t="s">
        <v>435</v>
      </c>
      <c r="F10" s="6"/>
      <c r="G10" s="15" t="s">
        <v>436</v>
      </c>
      <c r="H10" s="6"/>
      <c r="I10" s="15" t="s">
        <v>437</v>
      </c>
      <c r="J10" s="6"/>
      <c r="K10" s="15" t="s">
        <v>438</v>
      </c>
      <c r="L10" s="6"/>
      <c r="M10" s="15" t="s">
        <v>439</v>
      </c>
      <c r="N10" s="6"/>
      <c r="O10" s="15" t="s">
        <v>214</v>
      </c>
    </row>
    <row r="11" spans="1:15" ht="16" customHeight="1">
      <c r="A11" s="14" t="s">
        <v>253</v>
      </c>
      <c r="B11" s="15" t="s">
        <v>198</v>
      </c>
      <c r="C11" s="15" t="s">
        <v>440</v>
      </c>
      <c r="D11" s="6"/>
      <c r="E11" s="15" t="s">
        <v>441</v>
      </c>
      <c r="F11" s="6"/>
      <c r="G11" s="15" t="s">
        <v>442</v>
      </c>
      <c r="H11" s="6"/>
      <c r="I11" s="15" t="s">
        <v>443</v>
      </c>
      <c r="J11" s="6"/>
      <c r="K11" s="15" t="s">
        <v>444</v>
      </c>
      <c r="L11" s="6"/>
      <c r="M11" s="7">
        <v>0.11</v>
      </c>
      <c r="N11" s="6"/>
      <c r="O11" s="15" t="s">
        <v>205</v>
      </c>
    </row>
    <row r="12" spans="1:15" ht="16" customHeight="1">
      <c r="A12" s="14" t="s">
        <v>260</v>
      </c>
      <c r="B12" s="15" t="s">
        <v>245</v>
      </c>
      <c r="C12" s="7">
        <v>0.16800000000000001</v>
      </c>
      <c r="D12" s="6"/>
      <c r="E12" s="15" t="s">
        <v>445</v>
      </c>
      <c r="F12" s="6"/>
      <c r="G12" s="15" t="s">
        <v>446</v>
      </c>
      <c r="H12" s="6"/>
      <c r="I12" s="15" t="s">
        <v>447</v>
      </c>
      <c r="J12" s="6"/>
      <c r="K12" s="15" t="s">
        <v>448</v>
      </c>
      <c r="L12" s="6"/>
      <c r="M12" s="15" t="s">
        <v>449</v>
      </c>
      <c r="N12" s="6"/>
      <c r="O12" s="15" t="s">
        <v>252</v>
      </c>
    </row>
    <row r="13" spans="1:15" ht="16" customHeight="1">
      <c r="A13" s="14" t="s">
        <v>274</v>
      </c>
      <c r="B13" s="15" t="s">
        <v>207</v>
      </c>
      <c r="C13" s="15" t="s">
        <v>450</v>
      </c>
      <c r="D13" s="6"/>
      <c r="E13" s="15" t="s">
        <v>451</v>
      </c>
      <c r="F13" s="6"/>
      <c r="G13" s="15" t="s">
        <v>452</v>
      </c>
      <c r="H13" s="6"/>
      <c r="I13" s="15" t="s">
        <v>453</v>
      </c>
      <c r="J13" s="6"/>
      <c r="K13" s="15" t="s">
        <v>454</v>
      </c>
      <c r="L13" s="6"/>
      <c r="M13" s="15" t="s">
        <v>455</v>
      </c>
      <c r="N13" s="6"/>
      <c r="O13" s="15" t="s">
        <v>214</v>
      </c>
    </row>
    <row r="14" spans="1:15" ht="16" customHeight="1">
      <c r="A14" s="14" t="s">
        <v>291</v>
      </c>
      <c r="B14" s="15" t="s">
        <v>245</v>
      </c>
      <c r="C14" s="7">
        <v>0.30399999999999999</v>
      </c>
      <c r="D14" s="6"/>
      <c r="E14" s="15" t="s">
        <v>456</v>
      </c>
      <c r="F14" s="6"/>
      <c r="G14" s="15" t="s">
        <v>457</v>
      </c>
      <c r="H14" s="6"/>
      <c r="I14" s="15" t="s">
        <v>458</v>
      </c>
      <c r="J14" s="6"/>
      <c r="K14" s="15" t="s">
        <v>459</v>
      </c>
      <c r="L14" s="6"/>
      <c r="M14" s="15" t="s">
        <v>460</v>
      </c>
      <c r="N14" s="6"/>
      <c r="O14" s="15" t="s">
        <v>252</v>
      </c>
    </row>
    <row r="15" spans="1:15" ht="16" customHeight="1">
      <c r="A15" s="14" t="s">
        <v>298</v>
      </c>
      <c r="B15" s="15" t="s">
        <v>299</v>
      </c>
      <c r="C15" s="15" t="s">
        <v>461</v>
      </c>
      <c r="D15" s="7"/>
      <c r="E15" s="15" t="s">
        <v>462</v>
      </c>
      <c r="F15" s="7"/>
      <c r="G15" s="15" t="s">
        <v>463</v>
      </c>
      <c r="H15" s="7"/>
      <c r="I15" s="15" t="s">
        <v>464</v>
      </c>
      <c r="J15" s="7"/>
      <c r="K15" s="15" t="s">
        <v>465</v>
      </c>
      <c r="L15" s="7"/>
      <c r="M15" s="7">
        <v>0.108</v>
      </c>
      <c r="N15" s="7"/>
      <c r="O15" s="15" t="s">
        <v>305</v>
      </c>
    </row>
    <row r="16" spans="1:15" ht="16" customHeight="1">
      <c r="A16" s="14" t="s">
        <v>284</v>
      </c>
      <c r="B16" s="15" t="s">
        <v>207</v>
      </c>
      <c r="C16" s="15" t="s">
        <v>466</v>
      </c>
      <c r="D16" s="6"/>
      <c r="E16" s="15" t="s">
        <v>467</v>
      </c>
      <c r="F16" s="6"/>
      <c r="G16" s="15" t="s">
        <v>468</v>
      </c>
      <c r="H16" s="6"/>
      <c r="I16" s="15" t="s">
        <v>469</v>
      </c>
      <c r="J16" s="6"/>
      <c r="K16" s="15" t="s">
        <v>470</v>
      </c>
      <c r="L16" s="6"/>
      <c r="M16" s="15" t="s">
        <v>471</v>
      </c>
      <c r="N16" s="6"/>
      <c r="O16" s="15" t="s">
        <v>229</v>
      </c>
    </row>
    <row r="17" spans="1:15">
      <c r="A17" s="14" t="s">
        <v>281</v>
      </c>
      <c r="B17" s="15" t="s">
        <v>282</v>
      </c>
      <c r="C17" s="7">
        <v>0.39100000000000001</v>
      </c>
      <c r="D17" s="6"/>
      <c r="E17" s="8">
        <v>221386140</v>
      </c>
      <c r="F17" s="6"/>
      <c r="G17" s="8">
        <v>17433860</v>
      </c>
      <c r="H17" s="6"/>
      <c r="I17" s="8">
        <v>566205</v>
      </c>
      <c r="J17" s="6"/>
      <c r="K17" s="8">
        <v>44588</v>
      </c>
      <c r="L17" s="6"/>
      <c r="M17" s="7">
        <v>7.9000000000000001E-2</v>
      </c>
      <c r="N17" s="6"/>
      <c r="O17" s="15" t="s">
        <v>283</v>
      </c>
    </row>
    <row r="18" spans="1:15" ht="16" customHeight="1">
      <c r="A18" s="14" t="s">
        <v>306</v>
      </c>
      <c r="B18" s="15" t="s">
        <v>207</v>
      </c>
      <c r="C18" s="15" t="s">
        <v>472</v>
      </c>
      <c r="D18" s="6"/>
      <c r="E18" s="15" t="s">
        <v>473</v>
      </c>
      <c r="F18" s="6"/>
      <c r="G18" s="15" t="s">
        <v>474</v>
      </c>
      <c r="H18" s="6"/>
      <c r="I18" s="15" t="s">
        <v>475</v>
      </c>
      <c r="J18" s="6"/>
      <c r="K18" s="15" t="s">
        <v>476</v>
      </c>
      <c r="L18" s="6"/>
      <c r="M18" s="15" t="s">
        <v>477</v>
      </c>
      <c r="N18" s="6"/>
      <c r="O18" s="15" t="s">
        <v>214</v>
      </c>
    </row>
    <row r="19" spans="1:15" ht="16" customHeight="1">
      <c r="A19" s="14" t="s">
        <v>328</v>
      </c>
      <c r="B19" s="15" t="s">
        <v>282</v>
      </c>
      <c r="C19" s="15" t="s">
        <v>478</v>
      </c>
      <c r="D19" s="6"/>
      <c r="E19" s="15" t="s">
        <v>479</v>
      </c>
      <c r="F19" s="6"/>
      <c r="G19" s="15" t="s">
        <v>480</v>
      </c>
      <c r="H19" s="6"/>
      <c r="I19" s="15" t="s">
        <v>481</v>
      </c>
      <c r="J19" s="6"/>
      <c r="K19" s="15" t="s">
        <v>482</v>
      </c>
      <c r="L19" s="6"/>
      <c r="M19" s="7">
        <v>0.13700000000000001</v>
      </c>
      <c r="N19" s="6"/>
      <c r="O19" s="15" t="s">
        <v>305</v>
      </c>
    </row>
    <row r="20" spans="1:15" ht="16" customHeight="1">
      <c r="A20" s="16" t="s">
        <v>313</v>
      </c>
      <c r="B20" s="15" t="s">
        <v>207</v>
      </c>
      <c r="C20" s="15" t="s">
        <v>483</v>
      </c>
      <c r="D20" s="6"/>
      <c r="E20" s="15" t="s">
        <v>484</v>
      </c>
      <c r="F20" s="6"/>
      <c r="G20" s="15" t="s">
        <v>485</v>
      </c>
      <c r="H20" s="6"/>
      <c r="I20" s="15" t="s">
        <v>486</v>
      </c>
      <c r="J20" s="6"/>
      <c r="K20" s="15" t="s">
        <v>487</v>
      </c>
      <c r="L20" s="6"/>
      <c r="M20" s="15" t="s">
        <v>488</v>
      </c>
      <c r="N20" s="6"/>
      <c r="O20" s="15" t="s">
        <v>229</v>
      </c>
    </row>
    <row r="21" spans="1:15" ht="16" customHeight="1">
      <c r="A21" s="14" t="s">
        <v>320</v>
      </c>
      <c r="B21" s="15" t="s">
        <v>207</v>
      </c>
      <c r="C21" s="15" t="s">
        <v>489</v>
      </c>
      <c r="D21" s="6"/>
      <c r="E21" s="15" t="s">
        <v>490</v>
      </c>
      <c r="F21" s="6"/>
      <c r="G21" s="15" t="s">
        <v>491</v>
      </c>
      <c r="H21" s="6"/>
      <c r="I21" s="15" t="s">
        <v>492</v>
      </c>
      <c r="J21" s="6"/>
      <c r="K21" s="15" t="s">
        <v>493</v>
      </c>
      <c r="L21" s="6"/>
      <c r="M21" s="15" t="s">
        <v>494</v>
      </c>
      <c r="N21" s="6"/>
      <c r="O21" s="15" t="s">
        <v>229</v>
      </c>
    </row>
    <row r="22" spans="1:15" ht="16" customHeight="1">
      <c r="A22" s="14" t="s">
        <v>334</v>
      </c>
      <c r="B22" s="15" t="s">
        <v>282</v>
      </c>
      <c r="C22" s="15" t="s">
        <v>495</v>
      </c>
      <c r="D22" s="7"/>
      <c r="E22" s="15" t="s">
        <v>496</v>
      </c>
      <c r="F22" s="7"/>
      <c r="G22" s="15" t="s">
        <v>497</v>
      </c>
      <c r="H22" s="7"/>
      <c r="I22" s="15" t="s">
        <v>498</v>
      </c>
      <c r="J22" s="7"/>
      <c r="K22" s="15" t="s">
        <v>499</v>
      </c>
      <c r="L22" s="7"/>
      <c r="M22" s="7">
        <v>8.8999999999999996E-2</v>
      </c>
      <c r="N22" s="7"/>
      <c r="O22" s="15" t="s">
        <v>305</v>
      </c>
    </row>
    <row r="23" spans="1:15" ht="16" customHeight="1">
      <c r="A23" s="14" t="s">
        <v>327</v>
      </c>
      <c r="B23" s="15" t="s">
        <v>207</v>
      </c>
      <c r="C23" s="7">
        <v>1.4119999999999999</v>
      </c>
      <c r="D23" s="6"/>
      <c r="E23" s="8">
        <v>396671250</v>
      </c>
      <c r="F23" s="6"/>
      <c r="G23" s="8">
        <v>124578750</v>
      </c>
      <c r="H23" s="6"/>
      <c r="I23" s="8">
        <v>280929</v>
      </c>
      <c r="J23" s="6"/>
      <c r="K23" s="8">
        <v>88229</v>
      </c>
      <c r="L23" s="6"/>
      <c r="M23" s="7">
        <v>1.222</v>
      </c>
      <c r="N23" s="6"/>
      <c r="O23" s="15" t="s">
        <v>229</v>
      </c>
    </row>
    <row r="24" spans="1:15" ht="16" customHeight="1">
      <c r="A24" s="14" t="s">
        <v>355</v>
      </c>
      <c r="B24" s="15" t="s">
        <v>282</v>
      </c>
      <c r="C24" s="15" t="s">
        <v>500</v>
      </c>
      <c r="D24" s="6"/>
      <c r="E24" s="15" t="s">
        <v>501</v>
      </c>
      <c r="F24" s="6"/>
      <c r="G24" s="15" t="s">
        <v>502</v>
      </c>
      <c r="H24" s="6"/>
      <c r="I24" s="15" t="s">
        <v>503</v>
      </c>
      <c r="J24" s="6"/>
      <c r="K24" s="15" t="s">
        <v>504</v>
      </c>
      <c r="L24" s="6"/>
      <c r="M24" s="7">
        <v>0.14000000000000001</v>
      </c>
      <c r="N24" s="6"/>
      <c r="O24" s="15" t="s">
        <v>305</v>
      </c>
    </row>
    <row r="25" spans="1:15" ht="16" customHeight="1">
      <c r="A25" s="14" t="s">
        <v>340</v>
      </c>
      <c r="B25" s="15" t="s">
        <v>245</v>
      </c>
      <c r="C25" s="7">
        <v>1.9179999999999999</v>
      </c>
      <c r="D25" s="10"/>
      <c r="E25" s="8">
        <v>360929350</v>
      </c>
      <c r="F25" s="10"/>
      <c r="G25" s="8">
        <v>77570650</v>
      </c>
      <c r="H25" s="10"/>
      <c r="I25" s="8">
        <v>188180</v>
      </c>
      <c r="J25" s="10"/>
      <c r="K25" s="8">
        <v>40444</v>
      </c>
      <c r="L25" s="10"/>
      <c r="M25" s="7">
        <v>0.215</v>
      </c>
      <c r="N25" s="10"/>
      <c r="O25" s="15" t="s">
        <v>252</v>
      </c>
    </row>
    <row r="26" spans="1:15" ht="16" customHeight="1">
      <c r="A26" s="14" t="s">
        <v>348</v>
      </c>
      <c r="B26" s="15" t="s">
        <v>245</v>
      </c>
      <c r="C26" s="7">
        <v>2.0579999999999998</v>
      </c>
      <c r="D26" s="6"/>
      <c r="E26" s="15" t="s">
        <v>505</v>
      </c>
      <c r="F26" s="6"/>
      <c r="G26" s="15" t="s">
        <v>506</v>
      </c>
      <c r="H26" s="6"/>
      <c r="I26" s="15" t="s">
        <v>507</v>
      </c>
      <c r="J26" s="6"/>
      <c r="K26" s="15" t="s">
        <v>508</v>
      </c>
      <c r="L26" s="6"/>
      <c r="M26" s="15" t="s">
        <v>509</v>
      </c>
      <c r="N26" s="6"/>
      <c r="O26" s="15" t="s">
        <v>252</v>
      </c>
    </row>
    <row r="27" spans="1:15" ht="16" customHeight="1">
      <c r="A27" s="14" t="s">
        <v>341</v>
      </c>
      <c r="B27" s="15" t="s">
        <v>207</v>
      </c>
      <c r="C27" s="7">
        <v>2.742</v>
      </c>
      <c r="D27" s="6"/>
      <c r="E27" s="15" t="s">
        <v>510</v>
      </c>
      <c r="F27" s="6"/>
      <c r="G27" s="15" t="s">
        <v>511</v>
      </c>
      <c r="H27" s="6"/>
      <c r="I27" s="15" t="s">
        <v>512</v>
      </c>
      <c r="J27" s="6"/>
      <c r="K27" s="15" t="s">
        <v>513</v>
      </c>
      <c r="L27" s="6"/>
      <c r="M27" s="15" t="s">
        <v>514</v>
      </c>
      <c r="N27" s="6"/>
      <c r="O27" s="15" t="s">
        <v>214</v>
      </c>
    </row>
    <row r="28" spans="1:15" ht="16" customHeight="1">
      <c r="A28" s="14" t="s">
        <v>362</v>
      </c>
      <c r="B28" s="15" t="s">
        <v>282</v>
      </c>
      <c r="C28" s="7">
        <v>4.3</v>
      </c>
      <c r="D28" s="6"/>
      <c r="E28" s="8">
        <v>1820000000</v>
      </c>
      <c r="F28" s="6"/>
      <c r="G28" s="8">
        <v>133020000</v>
      </c>
      <c r="H28" s="6"/>
      <c r="I28" s="8">
        <v>424000</v>
      </c>
      <c r="J28" s="6"/>
      <c r="K28" s="8">
        <v>30940</v>
      </c>
      <c r="L28" s="6"/>
      <c r="M28" s="7">
        <v>7.2999999999999995E-2</v>
      </c>
      <c r="N28" s="6"/>
      <c r="O28" s="15" t="s">
        <v>305</v>
      </c>
    </row>
    <row r="29" spans="1:15" ht="16" customHeight="1">
      <c r="A29" s="14" t="s">
        <v>369</v>
      </c>
      <c r="B29" s="15" t="s">
        <v>282</v>
      </c>
      <c r="C29" s="17">
        <v>4.5999999999999996</v>
      </c>
      <c r="D29" s="7"/>
      <c r="E29" s="8">
        <v>2490000000</v>
      </c>
      <c r="F29" s="7"/>
      <c r="G29" s="8">
        <v>245810000</v>
      </c>
      <c r="H29" s="7"/>
      <c r="I29" s="8">
        <v>540310</v>
      </c>
      <c r="J29" s="7"/>
      <c r="K29" s="8">
        <v>53440</v>
      </c>
      <c r="L29" s="7"/>
      <c r="M29" s="7">
        <v>9.9000000000000005E-2</v>
      </c>
      <c r="N29" s="7"/>
      <c r="O29" s="15" t="s">
        <v>305</v>
      </c>
    </row>
    <row r="30" spans="1:15">
      <c r="A30" s="14" t="s">
        <v>368</v>
      </c>
      <c r="B30" s="15" t="s">
        <v>282</v>
      </c>
      <c r="C30" s="7">
        <v>5.6420000000000003</v>
      </c>
      <c r="D30" s="6"/>
      <c r="E30" s="8">
        <v>2572600000</v>
      </c>
      <c r="F30" s="6"/>
      <c r="G30" s="8">
        <v>135400000</v>
      </c>
      <c r="H30" s="6"/>
      <c r="I30" s="8">
        <v>455973</v>
      </c>
      <c r="J30" s="6"/>
      <c r="K30" s="8">
        <v>23999</v>
      </c>
      <c r="L30" s="6"/>
      <c r="M30" s="7">
        <v>5.2999999999999999E-2</v>
      </c>
      <c r="N30" s="6"/>
      <c r="O30" s="15" t="s">
        <v>283</v>
      </c>
    </row>
    <row r="31" spans="1:15">
      <c r="A31" s="14" t="s">
        <v>370</v>
      </c>
      <c r="B31" s="15" t="s">
        <v>282</v>
      </c>
      <c r="C31" s="7">
        <v>5.7480000000000002</v>
      </c>
      <c r="D31" s="7"/>
      <c r="E31" s="8">
        <v>2038554160</v>
      </c>
      <c r="F31" s="7"/>
      <c r="G31" s="8">
        <v>453565840</v>
      </c>
      <c r="H31" s="7"/>
      <c r="I31" s="8">
        <v>354655</v>
      </c>
      <c r="J31" s="7"/>
      <c r="K31" s="8">
        <v>78908</v>
      </c>
      <c r="L31" s="7"/>
      <c r="M31" s="7">
        <v>0.222</v>
      </c>
      <c r="N31" s="7"/>
      <c r="O31" s="15" t="s">
        <v>283</v>
      </c>
    </row>
    <row r="32" spans="1:15" ht="16" customHeight="1">
      <c r="A32" s="14" t="s">
        <v>374</v>
      </c>
      <c r="B32" s="15" t="s">
        <v>207</v>
      </c>
      <c r="C32" s="15" t="s">
        <v>515</v>
      </c>
      <c r="D32" s="7"/>
      <c r="E32" s="15" t="s">
        <v>516</v>
      </c>
      <c r="F32" s="7"/>
      <c r="G32" s="15" t="s">
        <v>517</v>
      </c>
      <c r="H32" s="7"/>
      <c r="I32" s="15" t="s">
        <v>518</v>
      </c>
      <c r="J32" s="7"/>
      <c r="K32" s="15" t="s">
        <v>519</v>
      </c>
      <c r="L32" s="7"/>
      <c r="M32" s="15" t="s">
        <v>520</v>
      </c>
      <c r="N32" s="7"/>
      <c r="O32" s="15" t="s">
        <v>214</v>
      </c>
    </row>
    <row r="33" spans="1:15" ht="16" customHeight="1">
      <c r="A33" s="14" t="s">
        <v>382</v>
      </c>
      <c r="B33" s="15" t="s">
        <v>282</v>
      </c>
      <c r="C33" s="7">
        <v>7.694</v>
      </c>
      <c r="D33" s="7"/>
      <c r="E33" s="8">
        <v>4550000000</v>
      </c>
      <c r="F33" s="7"/>
      <c r="G33" s="8">
        <v>931030000</v>
      </c>
      <c r="H33" s="7"/>
      <c r="I33" s="8">
        <v>590800</v>
      </c>
      <c r="J33" s="7"/>
      <c r="K33" s="8">
        <v>121010</v>
      </c>
      <c r="L33" s="7"/>
      <c r="M33" s="7">
        <v>0.20499999999999999</v>
      </c>
      <c r="N33" s="7"/>
      <c r="O33" s="15" t="s">
        <v>305</v>
      </c>
    </row>
    <row r="34" spans="1:15" ht="16" customHeight="1">
      <c r="A34" s="14" t="s">
        <v>371</v>
      </c>
      <c r="B34" s="15" t="s">
        <v>372</v>
      </c>
      <c r="C34" s="7">
        <v>8.1280000000000001</v>
      </c>
      <c r="D34" s="7"/>
      <c r="E34" s="8">
        <v>1858320313</v>
      </c>
      <c r="F34" s="7"/>
      <c r="G34" s="8">
        <v>348710938</v>
      </c>
      <c r="H34" s="7"/>
      <c r="I34" s="8">
        <v>228632</v>
      </c>
      <c r="J34" s="7"/>
      <c r="K34" s="8">
        <v>42902</v>
      </c>
      <c r="L34" s="7"/>
      <c r="M34" s="7">
        <v>0.188</v>
      </c>
      <c r="N34" s="7"/>
      <c r="O34" s="15" t="s">
        <v>373</v>
      </c>
    </row>
    <row r="35" spans="1:15" ht="16" customHeight="1">
      <c r="A35" s="14" t="s">
        <v>381</v>
      </c>
      <c r="B35" s="15" t="s">
        <v>372</v>
      </c>
      <c r="C35" s="7">
        <v>11.458</v>
      </c>
      <c r="D35" s="6"/>
      <c r="E35" s="8">
        <v>2257214074</v>
      </c>
      <c r="F35" s="6"/>
      <c r="G35" s="8">
        <v>467244676</v>
      </c>
      <c r="H35" s="6"/>
      <c r="I35" s="8">
        <v>196999</v>
      </c>
      <c r="J35" s="6"/>
      <c r="K35" s="8">
        <v>40779</v>
      </c>
      <c r="L35" s="6"/>
      <c r="M35" s="7">
        <v>0.20699999999999999</v>
      </c>
      <c r="N35" s="6"/>
      <c r="O35" s="15" t="s">
        <v>373</v>
      </c>
    </row>
    <row r="36" spans="1:15" ht="16" customHeight="1">
      <c r="A36" s="14" t="s">
        <v>383</v>
      </c>
      <c r="B36" s="15" t="s">
        <v>372</v>
      </c>
      <c r="C36" s="7">
        <v>13.401999999999999</v>
      </c>
      <c r="D36" s="7"/>
      <c r="E36" s="8">
        <v>2401712670</v>
      </c>
      <c r="F36" s="7"/>
      <c r="G36" s="8">
        <v>443918456</v>
      </c>
      <c r="H36" s="7"/>
      <c r="I36" s="8">
        <v>179206</v>
      </c>
      <c r="J36" s="7"/>
      <c r="K36" s="8">
        <v>33123</v>
      </c>
      <c r="L36" s="7"/>
      <c r="M36" s="7">
        <v>0.184</v>
      </c>
      <c r="N36" s="7"/>
      <c r="O36" s="15" t="s">
        <v>373</v>
      </c>
    </row>
    <row r="37" spans="1:15" ht="16" customHeight="1">
      <c r="A37" s="14" t="s">
        <v>384</v>
      </c>
      <c r="B37" s="15" t="s">
        <v>282</v>
      </c>
      <c r="C37" s="7">
        <v>13.744999999999999</v>
      </c>
      <c r="D37" s="7"/>
      <c r="E37" s="8">
        <v>7794907300</v>
      </c>
      <c r="F37" s="7"/>
      <c r="G37" s="8">
        <v>525977700</v>
      </c>
      <c r="H37" s="7"/>
      <c r="I37" s="8">
        <v>567109</v>
      </c>
      <c r="J37" s="7"/>
      <c r="K37" s="8">
        <v>38267</v>
      </c>
      <c r="L37" s="7"/>
      <c r="M37" s="7">
        <v>6.7000000000000004E-2</v>
      </c>
      <c r="N37" s="7"/>
      <c r="O37" s="15" t="s">
        <v>283</v>
      </c>
    </row>
    <row r="38" spans="1:15" ht="16" customHeight="1">
      <c r="A38" s="14" t="s">
        <v>385</v>
      </c>
      <c r="B38" s="15" t="s">
        <v>372</v>
      </c>
      <c r="C38" s="7">
        <v>31.776</v>
      </c>
      <c r="D38" s="7"/>
      <c r="E38" s="8">
        <v>4042494141</v>
      </c>
      <c r="F38" s="7"/>
      <c r="G38" s="8">
        <v>1266099609</v>
      </c>
      <c r="H38" s="7"/>
      <c r="I38" s="8">
        <v>127218</v>
      </c>
      <c r="J38" s="7"/>
      <c r="K38" s="8">
        <v>39845</v>
      </c>
      <c r="L38" s="7"/>
      <c r="M38" s="7">
        <v>0.313</v>
      </c>
      <c r="N38" s="7"/>
      <c r="O38" s="15" t="s">
        <v>373</v>
      </c>
    </row>
    <row r="39" spans="1:15" ht="16" customHeight="1">
      <c r="A39" s="14" t="s">
        <v>521</v>
      </c>
      <c r="B39" s="15" t="s">
        <v>282</v>
      </c>
      <c r="C39" s="15" t="s">
        <v>522</v>
      </c>
      <c r="D39" s="7"/>
      <c r="E39" s="15" t="s">
        <v>523</v>
      </c>
      <c r="F39" s="7"/>
      <c r="G39" s="8">
        <v>2200000000</v>
      </c>
      <c r="H39" s="7"/>
      <c r="I39" s="8">
        <v>750143</v>
      </c>
      <c r="J39" s="7"/>
      <c r="K39" s="8">
        <v>62750</v>
      </c>
      <c r="L39" s="7"/>
      <c r="M39" s="7">
        <v>8.4000000000000005E-2</v>
      </c>
      <c r="N39" s="7"/>
      <c r="O39" s="15" t="s">
        <v>524</v>
      </c>
    </row>
    <row r="40" spans="1:15" ht="16" customHeight="1">
      <c r="A40" s="14" t="s">
        <v>525</v>
      </c>
      <c r="B40" s="15" t="s">
        <v>282</v>
      </c>
      <c r="C40" s="10">
        <v>37.56</v>
      </c>
      <c r="D40" s="7"/>
      <c r="E40" s="8">
        <v>26400000000</v>
      </c>
      <c r="F40" s="7"/>
      <c r="G40" s="8">
        <v>2900000000</v>
      </c>
      <c r="H40" s="7"/>
      <c r="I40" s="8">
        <v>702875</v>
      </c>
      <c r="J40" s="7"/>
      <c r="K40" s="8">
        <v>77210</v>
      </c>
      <c r="L40" s="7"/>
      <c r="M40" s="7">
        <v>0.11</v>
      </c>
      <c r="N40" s="7"/>
      <c r="O40" s="15" t="s">
        <v>524</v>
      </c>
    </row>
    <row r="41" spans="1:15" ht="16" customHeight="1">
      <c r="A41" s="14" t="s">
        <v>386</v>
      </c>
      <c r="B41" s="15" t="s">
        <v>372</v>
      </c>
      <c r="C41" s="10">
        <v>67.73</v>
      </c>
      <c r="D41" s="7"/>
      <c r="E41" s="8">
        <v>8878076563</v>
      </c>
      <c r="F41" s="7"/>
      <c r="G41" s="8">
        <v>5520360938</v>
      </c>
      <c r="H41" s="7"/>
      <c r="I41" s="8">
        <v>131080</v>
      </c>
      <c r="J41" s="7"/>
      <c r="K41" s="8">
        <v>81505</v>
      </c>
      <c r="L41" s="7"/>
      <c r="M41" s="7">
        <v>0.622</v>
      </c>
      <c r="N41" s="7"/>
      <c r="O41" s="15" t="s">
        <v>373</v>
      </c>
    </row>
    <row r="42" spans="1:15" ht="16" customHeight="1">
      <c r="A42" s="14" t="s">
        <v>387</v>
      </c>
      <c r="B42" s="15" t="s">
        <v>282</v>
      </c>
      <c r="C42" s="15" t="s">
        <v>526</v>
      </c>
      <c r="D42" s="6"/>
      <c r="E42" s="15" t="s">
        <v>527</v>
      </c>
      <c r="F42" s="6"/>
      <c r="G42" s="15" t="s">
        <v>528</v>
      </c>
      <c r="H42" s="6"/>
      <c r="I42" s="15" t="s">
        <v>529</v>
      </c>
      <c r="J42" s="6"/>
      <c r="K42" s="15" t="s">
        <v>530</v>
      </c>
      <c r="L42" s="6"/>
      <c r="M42" s="15" t="s">
        <v>531</v>
      </c>
      <c r="N42" s="6"/>
      <c r="O42" s="15" t="s">
        <v>394</v>
      </c>
    </row>
    <row r="43" spans="1:15" ht="16" customHeight="1">
      <c r="A43" s="14" t="s">
        <v>395</v>
      </c>
      <c r="B43" s="15" t="s">
        <v>245</v>
      </c>
      <c r="C43" s="11">
        <v>1171.6279999999999</v>
      </c>
      <c r="D43" s="11"/>
      <c r="E43" s="8">
        <v>250708527536</v>
      </c>
      <c r="F43" s="11"/>
      <c r="G43" s="8">
        <v>38507229964</v>
      </c>
      <c r="H43" s="11"/>
      <c r="I43" s="8">
        <v>213983</v>
      </c>
      <c r="J43" s="11"/>
      <c r="K43" s="8">
        <v>32866</v>
      </c>
      <c r="L43" s="11"/>
      <c r="M43" s="7">
        <v>0.154</v>
      </c>
      <c r="N43" s="11"/>
      <c r="O43" s="15" t="s">
        <v>396</v>
      </c>
    </row>
    <row r="45" spans="1:15">
      <c r="A45" s="34" t="s">
        <v>859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44"/>
  <sheetViews>
    <sheetView workbookViewId="0">
      <selection activeCell="H47" sqref="H47"/>
    </sheetView>
  </sheetViews>
  <sheetFormatPr baseColWidth="10" defaultRowHeight="16"/>
  <sheetData>
    <row r="1" spans="1:17">
      <c r="A1" s="22" t="s">
        <v>855</v>
      </c>
      <c r="B1" s="22"/>
      <c r="C1" s="22"/>
      <c r="D1" s="32"/>
      <c r="E1" s="22"/>
      <c r="F1" s="32"/>
      <c r="G1" s="22"/>
      <c r="H1" s="32"/>
      <c r="I1" s="22"/>
      <c r="J1" s="32"/>
      <c r="K1" s="22"/>
      <c r="L1" s="32"/>
      <c r="M1" s="22"/>
      <c r="N1" s="32"/>
      <c r="O1" s="22"/>
      <c r="P1" s="15"/>
      <c r="Q1" s="15"/>
    </row>
    <row r="2" spans="1:17">
      <c r="A2" s="13" t="s">
        <v>188</v>
      </c>
      <c r="B2" s="13" t="s">
        <v>189</v>
      </c>
      <c r="C2" s="13" t="s">
        <v>190</v>
      </c>
      <c r="D2" s="13"/>
      <c r="E2" s="13" t="s">
        <v>191</v>
      </c>
      <c r="F2" s="13"/>
      <c r="G2" s="13" t="s">
        <v>192</v>
      </c>
      <c r="H2" s="13"/>
      <c r="I2" s="13" t="s">
        <v>193</v>
      </c>
      <c r="J2" s="13"/>
      <c r="K2" s="13" t="s">
        <v>194</v>
      </c>
      <c r="L2" s="13"/>
      <c r="M2" s="13" t="s">
        <v>195</v>
      </c>
      <c r="N2" s="13"/>
      <c r="O2" s="13" t="s">
        <v>196</v>
      </c>
      <c r="P2" s="13"/>
      <c r="Q2" s="13"/>
    </row>
    <row r="3" spans="1:17">
      <c r="A3" s="14" t="s">
        <v>197</v>
      </c>
      <c r="B3" s="15" t="s">
        <v>198</v>
      </c>
      <c r="C3" s="15" t="s">
        <v>532</v>
      </c>
      <c r="D3" s="15"/>
      <c r="E3" s="15" t="s">
        <v>533</v>
      </c>
      <c r="F3" s="15"/>
      <c r="G3" s="15" t="s">
        <v>534</v>
      </c>
      <c r="H3" s="15"/>
      <c r="I3" s="15" t="s">
        <v>535</v>
      </c>
      <c r="J3" s="15"/>
      <c r="K3" s="15" t="s">
        <v>536</v>
      </c>
      <c r="L3" s="15"/>
      <c r="M3" s="15" t="s">
        <v>537</v>
      </c>
      <c r="N3" s="15"/>
      <c r="O3" s="15" t="s">
        <v>205</v>
      </c>
      <c r="P3" s="15"/>
      <c r="Q3" s="15"/>
    </row>
    <row r="4" spans="1:17">
      <c r="A4" s="14" t="s">
        <v>215</v>
      </c>
      <c r="B4" s="15" t="s">
        <v>198</v>
      </c>
      <c r="C4" s="15" t="s">
        <v>538</v>
      </c>
      <c r="D4" s="15"/>
      <c r="E4" s="15" t="s">
        <v>539</v>
      </c>
      <c r="F4" s="15"/>
      <c r="G4" s="15" t="s">
        <v>540</v>
      </c>
      <c r="H4" s="15"/>
      <c r="I4" s="15" t="s">
        <v>541</v>
      </c>
      <c r="J4" s="15"/>
      <c r="K4" s="15" t="s">
        <v>542</v>
      </c>
      <c r="L4" s="15"/>
      <c r="M4" s="15" t="s">
        <v>543</v>
      </c>
      <c r="N4" s="15"/>
      <c r="O4" s="15" t="s">
        <v>205</v>
      </c>
      <c r="P4" s="15"/>
      <c r="Q4" s="15"/>
    </row>
    <row r="5" spans="1:17">
      <c r="A5" s="14" t="s">
        <v>222</v>
      </c>
      <c r="B5" s="15" t="s">
        <v>207</v>
      </c>
      <c r="C5" s="15" t="s">
        <v>544</v>
      </c>
      <c r="D5" s="15"/>
      <c r="E5" s="15" t="s">
        <v>545</v>
      </c>
      <c r="F5" s="15"/>
      <c r="G5" s="15" t="s">
        <v>546</v>
      </c>
      <c r="H5" s="15"/>
      <c r="I5" s="15" t="s">
        <v>547</v>
      </c>
      <c r="J5" s="15"/>
      <c r="K5" s="15" t="s">
        <v>548</v>
      </c>
      <c r="L5" s="15"/>
      <c r="M5" s="7">
        <v>2.125</v>
      </c>
      <c r="N5" s="7"/>
      <c r="O5" s="15" t="s">
        <v>229</v>
      </c>
      <c r="P5" s="15"/>
      <c r="Q5" s="15"/>
    </row>
    <row r="6" spans="1:17">
      <c r="A6" s="14" t="s">
        <v>206</v>
      </c>
      <c r="B6" s="15" t="s">
        <v>207</v>
      </c>
      <c r="C6" s="15" t="s">
        <v>549</v>
      </c>
      <c r="D6" s="15"/>
      <c r="E6" s="15" t="s">
        <v>550</v>
      </c>
      <c r="F6" s="15"/>
      <c r="G6" s="15" t="s">
        <v>551</v>
      </c>
      <c r="H6" s="15"/>
      <c r="I6" s="15" t="s">
        <v>552</v>
      </c>
      <c r="J6" s="15"/>
      <c r="K6" s="15" t="s">
        <v>553</v>
      </c>
      <c r="L6" s="15"/>
      <c r="M6" s="7">
        <v>1.242</v>
      </c>
      <c r="N6" s="7"/>
      <c r="O6" s="15" t="s">
        <v>214</v>
      </c>
      <c r="P6" s="15"/>
      <c r="Q6" s="15"/>
    </row>
    <row r="7" spans="1:17">
      <c r="A7" s="14" t="s">
        <v>237</v>
      </c>
      <c r="B7" s="15" t="s">
        <v>198</v>
      </c>
      <c r="C7" s="15" t="s">
        <v>554</v>
      </c>
      <c r="D7" s="15"/>
      <c r="E7" s="15" t="s">
        <v>555</v>
      </c>
      <c r="F7" s="15"/>
      <c r="G7" s="15" t="s">
        <v>556</v>
      </c>
      <c r="H7" s="15"/>
      <c r="I7" s="15" t="s">
        <v>557</v>
      </c>
      <c r="J7" s="15"/>
      <c r="K7" s="15" t="s">
        <v>558</v>
      </c>
      <c r="L7" s="15"/>
      <c r="M7" s="15" t="s">
        <v>559</v>
      </c>
      <c r="N7" s="15"/>
      <c r="O7" s="15" t="s">
        <v>205</v>
      </c>
      <c r="P7" s="15"/>
      <c r="Q7" s="15"/>
    </row>
    <row r="8" spans="1:17">
      <c r="A8" s="14" t="s">
        <v>230</v>
      </c>
      <c r="B8" s="15" t="s">
        <v>198</v>
      </c>
      <c r="C8" s="15" t="s">
        <v>560</v>
      </c>
      <c r="D8" s="15"/>
      <c r="E8" s="15" t="s">
        <v>561</v>
      </c>
      <c r="F8" s="15"/>
      <c r="G8" s="15" t="s">
        <v>562</v>
      </c>
      <c r="H8" s="15"/>
      <c r="I8" s="15" t="s">
        <v>563</v>
      </c>
      <c r="J8" s="15"/>
      <c r="K8" s="15" t="s">
        <v>564</v>
      </c>
      <c r="L8" s="15"/>
      <c r="M8" s="15" t="s">
        <v>565</v>
      </c>
      <c r="N8" s="15"/>
      <c r="O8" s="15" t="s">
        <v>205</v>
      </c>
      <c r="P8" s="15"/>
      <c r="Q8" s="15"/>
    </row>
    <row r="9" spans="1:17">
      <c r="A9" s="14" t="s">
        <v>244</v>
      </c>
      <c r="B9" s="15" t="s">
        <v>245</v>
      </c>
      <c r="C9" s="15" t="s">
        <v>566</v>
      </c>
      <c r="D9" s="15"/>
      <c r="E9" s="15" t="s">
        <v>567</v>
      </c>
      <c r="F9" s="15"/>
      <c r="G9" s="15" t="s">
        <v>568</v>
      </c>
      <c r="H9" s="15"/>
      <c r="I9" s="15" t="s">
        <v>569</v>
      </c>
      <c r="J9" s="15"/>
      <c r="K9" s="15" t="s">
        <v>570</v>
      </c>
      <c r="L9" s="15"/>
      <c r="M9" s="15" t="s">
        <v>571</v>
      </c>
      <c r="N9" s="15"/>
      <c r="O9" s="15" t="s">
        <v>252</v>
      </c>
      <c r="P9" s="15"/>
      <c r="Q9" s="15"/>
    </row>
    <row r="10" spans="1:17">
      <c r="A10" s="14" t="s">
        <v>253</v>
      </c>
      <c r="B10" s="15" t="s">
        <v>198</v>
      </c>
      <c r="C10" s="15" t="s">
        <v>572</v>
      </c>
      <c r="D10" s="15"/>
      <c r="E10" s="15" t="s">
        <v>573</v>
      </c>
      <c r="F10" s="15"/>
      <c r="G10" s="15" t="s">
        <v>574</v>
      </c>
      <c r="H10" s="15"/>
      <c r="I10" s="15" t="s">
        <v>575</v>
      </c>
      <c r="J10" s="15"/>
      <c r="K10" s="15" t="s">
        <v>576</v>
      </c>
      <c r="L10" s="15"/>
      <c r="M10" s="15" t="s">
        <v>577</v>
      </c>
      <c r="N10" s="15"/>
      <c r="O10" s="15" t="s">
        <v>205</v>
      </c>
      <c r="P10" s="15"/>
      <c r="Q10" s="15"/>
    </row>
    <row r="11" spans="1:17">
      <c r="A11" s="14" t="s">
        <v>267</v>
      </c>
      <c r="B11" s="15" t="s">
        <v>207</v>
      </c>
      <c r="C11" s="15" t="s">
        <v>578</v>
      </c>
      <c r="D11" s="15"/>
      <c r="E11" s="15" t="s">
        <v>579</v>
      </c>
      <c r="F11" s="15"/>
      <c r="G11" s="15" t="s">
        <v>580</v>
      </c>
      <c r="H11" s="15"/>
      <c r="I11" s="15" t="s">
        <v>581</v>
      </c>
      <c r="J11" s="15"/>
      <c r="K11" s="15" t="s">
        <v>582</v>
      </c>
      <c r="L11" s="15"/>
      <c r="M11" s="7">
        <v>3.556</v>
      </c>
      <c r="N11" s="7"/>
      <c r="O11" s="15" t="s">
        <v>214</v>
      </c>
      <c r="P11" s="15"/>
      <c r="Q11" s="15"/>
    </row>
    <row r="12" spans="1:17">
      <c r="A12" s="14" t="s">
        <v>260</v>
      </c>
      <c r="B12" s="15" t="s">
        <v>245</v>
      </c>
      <c r="C12" s="15" t="s">
        <v>583</v>
      </c>
      <c r="D12" s="15"/>
      <c r="E12" s="15" t="s">
        <v>584</v>
      </c>
      <c r="F12" s="15"/>
      <c r="G12" s="15" t="s">
        <v>585</v>
      </c>
      <c r="H12" s="15"/>
      <c r="I12" s="15" t="s">
        <v>586</v>
      </c>
      <c r="J12" s="15"/>
      <c r="K12" s="15" t="s">
        <v>587</v>
      </c>
      <c r="L12" s="15"/>
      <c r="M12" s="15" t="s">
        <v>588</v>
      </c>
      <c r="N12" s="15"/>
      <c r="O12" s="15" t="s">
        <v>252</v>
      </c>
      <c r="P12" s="15"/>
      <c r="Q12" s="15"/>
    </row>
    <row r="13" spans="1:17">
      <c r="A13" s="14" t="s">
        <v>281</v>
      </c>
      <c r="B13" s="15" t="s">
        <v>282</v>
      </c>
      <c r="C13" s="7">
        <v>0.5</v>
      </c>
      <c r="D13" s="7"/>
      <c r="E13" s="8">
        <v>11014640</v>
      </c>
      <c r="F13" s="8"/>
      <c r="G13" s="8">
        <v>50865360</v>
      </c>
      <c r="H13" s="8"/>
      <c r="I13" s="8">
        <v>22029</v>
      </c>
      <c r="J13" s="8"/>
      <c r="K13" s="8">
        <v>101731</v>
      </c>
      <c r="L13" s="8"/>
      <c r="M13" s="7">
        <v>4.6180000000000003</v>
      </c>
      <c r="N13" s="7"/>
      <c r="O13" s="15" t="s">
        <v>283</v>
      </c>
      <c r="P13" s="15"/>
      <c r="Q13" s="15"/>
    </row>
    <row r="14" spans="1:17">
      <c r="A14" s="14" t="s">
        <v>274</v>
      </c>
      <c r="B14" s="15" t="s">
        <v>207</v>
      </c>
      <c r="C14" s="15" t="s">
        <v>589</v>
      </c>
      <c r="D14" s="15"/>
      <c r="E14" s="15" t="s">
        <v>590</v>
      </c>
      <c r="F14" s="15"/>
      <c r="G14" s="15" t="s">
        <v>591</v>
      </c>
      <c r="H14" s="15"/>
      <c r="I14" s="15" t="s">
        <v>592</v>
      </c>
      <c r="J14" s="15"/>
      <c r="K14" s="15" t="s">
        <v>593</v>
      </c>
      <c r="L14" s="15"/>
      <c r="M14" s="7">
        <v>2.5870000000000002</v>
      </c>
      <c r="N14" s="7"/>
      <c r="O14" s="15" t="s">
        <v>214</v>
      </c>
      <c r="P14" s="15"/>
      <c r="Q14" s="15"/>
    </row>
    <row r="15" spans="1:17">
      <c r="A15" s="14" t="s">
        <v>284</v>
      </c>
      <c r="B15" s="15" t="s">
        <v>207</v>
      </c>
      <c r="C15" s="15" t="s">
        <v>594</v>
      </c>
      <c r="D15" s="15"/>
      <c r="E15" s="15" t="s">
        <v>595</v>
      </c>
      <c r="F15" s="15"/>
      <c r="G15" s="15" t="s">
        <v>596</v>
      </c>
      <c r="H15" s="15"/>
      <c r="I15" s="15" t="s">
        <v>597</v>
      </c>
      <c r="J15" s="15"/>
      <c r="K15" s="15" t="s">
        <v>598</v>
      </c>
      <c r="L15" s="15"/>
      <c r="M15" s="7">
        <v>5.4619999999999997</v>
      </c>
      <c r="N15" s="7"/>
      <c r="O15" s="15" t="s">
        <v>229</v>
      </c>
      <c r="P15" s="15"/>
      <c r="Q15" s="15"/>
    </row>
    <row r="16" spans="1:17">
      <c r="A16" s="14" t="s">
        <v>291</v>
      </c>
      <c r="B16" s="15" t="s">
        <v>245</v>
      </c>
      <c r="C16" s="15" t="s">
        <v>599</v>
      </c>
      <c r="D16" s="15"/>
      <c r="E16" s="15" t="s">
        <v>600</v>
      </c>
      <c r="F16" s="15"/>
      <c r="G16" s="15" t="s">
        <v>601</v>
      </c>
      <c r="H16" s="15"/>
      <c r="I16" s="15" t="s">
        <v>602</v>
      </c>
      <c r="J16" s="15"/>
      <c r="K16" s="15" t="s">
        <v>603</v>
      </c>
      <c r="L16" s="15"/>
      <c r="M16" s="15" t="s">
        <v>604</v>
      </c>
      <c r="N16" s="15"/>
      <c r="O16" s="15" t="s">
        <v>252</v>
      </c>
      <c r="P16" s="15"/>
      <c r="Q16" s="15"/>
    </row>
    <row r="17" spans="1:17">
      <c r="A17" s="14" t="s">
        <v>298</v>
      </c>
      <c r="B17" s="15" t="s">
        <v>299</v>
      </c>
      <c r="C17" s="15" t="s">
        <v>605</v>
      </c>
      <c r="D17" s="15"/>
      <c r="E17" s="8">
        <v>22480000</v>
      </c>
      <c r="F17" s="8"/>
      <c r="G17" s="8">
        <v>87080000</v>
      </c>
      <c r="H17" s="8"/>
      <c r="I17" s="8">
        <v>25900</v>
      </c>
      <c r="J17" s="8"/>
      <c r="K17" s="8">
        <v>100320</v>
      </c>
      <c r="L17" s="8"/>
      <c r="M17" s="7">
        <v>3.8740000000000001</v>
      </c>
      <c r="N17" s="7"/>
      <c r="O17" s="15" t="s">
        <v>305</v>
      </c>
      <c r="P17" s="15"/>
      <c r="Q17" s="15"/>
    </row>
    <row r="18" spans="1:17">
      <c r="A18" s="14" t="s">
        <v>306</v>
      </c>
      <c r="B18" s="15" t="s">
        <v>207</v>
      </c>
      <c r="C18" s="15" t="s">
        <v>606</v>
      </c>
      <c r="D18" s="15"/>
      <c r="E18" s="15" t="s">
        <v>607</v>
      </c>
      <c r="F18" s="15"/>
      <c r="G18" s="15" t="s">
        <v>608</v>
      </c>
      <c r="H18" s="15"/>
      <c r="I18" s="15" t="s">
        <v>609</v>
      </c>
      <c r="J18" s="15"/>
      <c r="K18" s="15" t="s">
        <v>610</v>
      </c>
      <c r="L18" s="15"/>
      <c r="M18" s="7">
        <v>4.0350000000000001</v>
      </c>
      <c r="N18" s="7"/>
      <c r="O18" s="15" t="s">
        <v>214</v>
      </c>
      <c r="P18" s="15"/>
      <c r="Q18" s="15"/>
    </row>
    <row r="19" spans="1:17">
      <c r="A19" s="14" t="s">
        <v>328</v>
      </c>
      <c r="B19" s="15" t="s">
        <v>282</v>
      </c>
      <c r="C19" s="15" t="s">
        <v>611</v>
      </c>
      <c r="D19" s="15"/>
      <c r="E19" s="15" t="s">
        <v>612</v>
      </c>
      <c r="F19" s="15"/>
      <c r="G19" s="15" t="s">
        <v>613</v>
      </c>
      <c r="H19" s="15"/>
      <c r="I19" s="15" t="s">
        <v>614</v>
      </c>
      <c r="J19" s="15"/>
      <c r="K19" s="8">
        <v>98370</v>
      </c>
      <c r="L19" s="8"/>
      <c r="M19" s="7">
        <v>4.9089999999999998</v>
      </c>
      <c r="N19" s="7"/>
      <c r="O19" s="15" t="s">
        <v>305</v>
      </c>
      <c r="P19" s="15"/>
      <c r="Q19" s="15"/>
    </row>
    <row r="20" spans="1:17">
      <c r="A20" s="14" t="s">
        <v>320</v>
      </c>
      <c r="B20" s="15" t="s">
        <v>207</v>
      </c>
      <c r="C20" s="15" t="s">
        <v>615</v>
      </c>
      <c r="D20" s="15"/>
      <c r="E20" s="15" t="s">
        <v>616</v>
      </c>
      <c r="F20" s="15"/>
      <c r="G20" s="15" t="s">
        <v>617</v>
      </c>
      <c r="H20" s="15"/>
      <c r="I20" s="15" t="s">
        <v>618</v>
      </c>
      <c r="J20" s="15"/>
      <c r="K20" s="15" t="s">
        <v>619</v>
      </c>
      <c r="L20" s="15"/>
      <c r="M20" s="7">
        <v>7.2460000000000004</v>
      </c>
      <c r="N20" s="7"/>
      <c r="O20" s="15" t="s">
        <v>229</v>
      </c>
      <c r="P20" s="15"/>
      <c r="Q20" s="15"/>
    </row>
    <row r="21" spans="1:17">
      <c r="A21" s="16" t="s">
        <v>313</v>
      </c>
      <c r="B21" s="15" t="s">
        <v>207</v>
      </c>
      <c r="C21" s="15" t="s">
        <v>620</v>
      </c>
      <c r="D21" s="15"/>
      <c r="E21" s="15" t="s">
        <v>621</v>
      </c>
      <c r="F21" s="15"/>
      <c r="G21" s="15" t="s">
        <v>622</v>
      </c>
      <c r="H21" s="15"/>
      <c r="I21" s="15" t="s">
        <v>623</v>
      </c>
      <c r="J21" s="15"/>
      <c r="K21" s="15" t="s">
        <v>624</v>
      </c>
      <c r="L21" s="15"/>
      <c r="M21" s="7">
        <v>4.923</v>
      </c>
      <c r="N21" s="7"/>
      <c r="O21" s="15" t="s">
        <v>229</v>
      </c>
      <c r="P21" s="15"/>
      <c r="Q21" s="15"/>
    </row>
    <row r="22" spans="1:17">
      <c r="A22" s="14" t="s">
        <v>361</v>
      </c>
      <c r="B22" s="15" t="s">
        <v>282</v>
      </c>
      <c r="C22" s="7">
        <v>2.0859999999999999</v>
      </c>
      <c r="D22" s="7"/>
      <c r="E22" s="8">
        <v>53911480</v>
      </c>
      <c r="F22" s="8"/>
      <c r="G22" s="8">
        <v>194528520</v>
      </c>
      <c r="H22" s="8"/>
      <c r="I22" s="8">
        <v>25844</v>
      </c>
      <c r="J22" s="8"/>
      <c r="K22" s="8">
        <v>93254</v>
      </c>
      <c r="L22" s="8"/>
      <c r="M22" s="7">
        <v>3.6080000000000001</v>
      </c>
      <c r="N22" s="7"/>
      <c r="O22" s="15" t="s">
        <v>283</v>
      </c>
      <c r="P22" s="15"/>
      <c r="Q22" s="15"/>
    </row>
    <row r="23" spans="1:17">
      <c r="A23" s="14" t="s">
        <v>334</v>
      </c>
      <c r="B23" s="15" t="s">
        <v>282</v>
      </c>
      <c r="C23" s="15" t="s">
        <v>625</v>
      </c>
      <c r="D23" s="15"/>
      <c r="E23" s="15" t="s">
        <v>626</v>
      </c>
      <c r="F23" s="15"/>
      <c r="G23" s="15" t="s">
        <v>627</v>
      </c>
      <c r="H23" s="15"/>
      <c r="I23" s="15" t="s">
        <v>628</v>
      </c>
      <c r="J23" s="15"/>
      <c r="K23" s="8">
        <v>69040</v>
      </c>
      <c r="L23" s="8"/>
      <c r="M23" s="7">
        <v>7.0880000000000001</v>
      </c>
      <c r="N23" s="7"/>
      <c r="O23" s="15" t="s">
        <v>305</v>
      </c>
      <c r="P23" s="15"/>
      <c r="Q23" s="15"/>
    </row>
    <row r="24" spans="1:17">
      <c r="A24" s="14" t="s">
        <v>355</v>
      </c>
      <c r="B24" s="15" t="s">
        <v>282</v>
      </c>
      <c r="C24" s="7">
        <v>3.1040000000000001</v>
      </c>
      <c r="D24" s="7"/>
      <c r="E24" s="8">
        <v>49340000</v>
      </c>
      <c r="F24" s="8"/>
      <c r="G24" s="8">
        <v>313460000</v>
      </c>
      <c r="H24" s="8"/>
      <c r="I24" s="8">
        <v>15900</v>
      </c>
      <c r="J24" s="8"/>
      <c r="K24" s="8">
        <v>100990</v>
      </c>
      <c r="L24" s="8"/>
      <c r="M24" s="7">
        <v>6.3529999999999998</v>
      </c>
      <c r="N24" s="7"/>
      <c r="O24" s="15" t="s">
        <v>305</v>
      </c>
      <c r="P24" s="15"/>
      <c r="Q24" s="15"/>
    </row>
    <row r="25" spans="1:17">
      <c r="A25" s="14" t="s">
        <v>327</v>
      </c>
      <c r="B25" s="15" t="s">
        <v>207</v>
      </c>
      <c r="C25" s="7">
        <v>3.2719999999999998</v>
      </c>
      <c r="D25" s="7"/>
      <c r="E25" s="8">
        <v>26085000</v>
      </c>
      <c r="F25" s="8"/>
      <c r="G25" s="8">
        <v>251415000</v>
      </c>
      <c r="H25" s="8"/>
      <c r="I25" s="8">
        <v>7972</v>
      </c>
      <c r="J25" s="8"/>
      <c r="K25" s="8">
        <v>76838</v>
      </c>
      <c r="L25" s="8"/>
      <c r="M25" s="18"/>
      <c r="N25" s="18"/>
      <c r="O25" s="15" t="s">
        <v>229</v>
      </c>
      <c r="P25" s="15"/>
      <c r="Q25" s="15"/>
    </row>
    <row r="26" spans="1:17">
      <c r="A26" s="14" t="s">
        <v>340</v>
      </c>
      <c r="B26" s="15" t="s">
        <v>245</v>
      </c>
      <c r="C26" s="7">
        <v>3.3279999999999998</v>
      </c>
      <c r="D26" s="7"/>
      <c r="E26" s="8">
        <v>44671471</v>
      </c>
      <c r="F26" s="8"/>
      <c r="G26" s="8">
        <v>152466529</v>
      </c>
      <c r="H26" s="8"/>
      <c r="I26" s="8">
        <v>13423</v>
      </c>
      <c r="J26" s="8"/>
      <c r="K26" s="8">
        <v>45813</v>
      </c>
      <c r="L26" s="8"/>
      <c r="M26" s="7">
        <v>3.4129999999999998</v>
      </c>
      <c r="N26" s="7"/>
      <c r="O26" s="15" t="s">
        <v>252</v>
      </c>
      <c r="P26" s="15"/>
      <c r="Q26" s="15"/>
    </row>
    <row r="27" spans="1:17">
      <c r="A27" s="14" t="s">
        <v>368</v>
      </c>
      <c r="B27" s="15" t="s">
        <v>282</v>
      </c>
      <c r="C27" s="7">
        <v>4.2939999999999996</v>
      </c>
      <c r="D27" s="7"/>
      <c r="E27" s="8">
        <v>65449620</v>
      </c>
      <c r="F27" s="8"/>
      <c r="G27" s="8">
        <v>260170380</v>
      </c>
      <c r="H27" s="8"/>
      <c r="I27" s="8">
        <v>15242</v>
      </c>
      <c r="J27" s="8"/>
      <c r="K27" s="8">
        <v>60589</v>
      </c>
      <c r="L27" s="8"/>
      <c r="M27" s="7">
        <v>3.9750000000000001</v>
      </c>
      <c r="N27" s="7"/>
      <c r="O27" s="15" t="s">
        <v>283</v>
      </c>
      <c r="P27" s="15"/>
      <c r="Q27" s="15"/>
    </row>
    <row r="28" spans="1:17">
      <c r="A28" s="14" t="s">
        <v>348</v>
      </c>
      <c r="B28" s="15" t="s">
        <v>245</v>
      </c>
      <c r="C28" s="15" t="s">
        <v>629</v>
      </c>
      <c r="D28" s="15"/>
      <c r="E28" s="15" t="s">
        <v>630</v>
      </c>
      <c r="F28" s="15"/>
      <c r="G28" s="15" t="s">
        <v>631</v>
      </c>
      <c r="H28" s="15"/>
      <c r="I28" s="15" t="s">
        <v>632</v>
      </c>
      <c r="J28" s="15"/>
      <c r="K28" s="15" t="s">
        <v>633</v>
      </c>
      <c r="L28" s="15"/>
      <c r="M28" s="15" t="s">
        <v>634</v>
      </c>
      <c r="N28" s="15"/>
      <c r="O28" s="15" t="s">
        <v>252</v>
      </c>
      <c r="P28" s="15"/>
      <c r="Q28" s="15"/>
    </row>
    <row r="29" spans="1:17">
      <c r="A29" s="14" t="s">
        <v>362</v>
      </c>
      <c r="B29" s="15" t="s">
        <v>282</v>
      </c>
      <c r="C29" s="7">
        <v>5.0039999999999996</v>
      </c>
      <c r="D29" s="7"/>
      <c r="E29" s="8">
        <v>65530000</v>
      </c>
      <c r="F29" s="8"/>
      <c r="G29" s="8">
        <v>302590000</v>
      </c>
      <c r="H29" s="8"/>
      <c r="I29" s="8">
        <v>13090</v>
      </c>
      <c r="J29" s="8"/>
      <c r="K29" s="8">
        <v>60470</v>
      </c>
      <c r="L29" s="8"/>
      <c r="M29" s="7">
        <v>4.6180000000000003</v>
      </c>
      <c r="N29" s="7"/>
      <c r="O29" s="15" t="s">
        <v>305</v>
      </c>
      <c r="P29" s="15"/>
      <c r="Q29" s="15"/>
    </row>
    <row r="30" spans="1:17">
      <c r="A30" s="14" t="s">
        <v>341</v>
      </c>
      <c r="B30" s="15" t="s">
        <v>207</v>
      </c>
      <c r="C30" s="15" t="s">
        <v>635</v>
      </c>
      <c r="D30" s="15"/>
      <c r="E30" s="8">
        <v>43204320</v>
      </c>
      <c r="F30" s="8"/>
      <c r="G30" s="8">
        <v>356835680</v>
      </c>
      <c r="H30" s="8"/>
      <c r="I30" s="8">
        <v>6830</v>
      </c>
      <c r="J30" s="8"/>
      <c r="K30" s="8">
        <v>56408</v>
      </c>
      <c r="L30" s="8"/>
      <c r="M30" s="18"/>
      <c r="N30" s="18"/>
      <c r="O30" s="15" t="s">
        <v>214</v>
      </c>
      <c r="P30" s="15"/>
      <c r="Q30" s="15"/>
    </row>
    <row r="31" spans="1:17">
      <c r="A31" s="14" t="s">
        <v>370</v>
      </c>
      <c r="B31" s="15" t="s">
        <v>282</v>
      </c>
      <c r="C31" s="7">
        <v>7.4480000000000004</v>
      </c>
      <c r="D31" s="7"/>
      <c r="E31" s="8">
        <v>61359000</v>
      </c>
      <c r="F31" s="8"/>
      <c r="G31" s="8">
        <v>616641000</v>
      </c>
      <c r="H31" s="8"/>
      <c r="I31" s="8">
        <v>8238</v>
      </c>
      <c r="J31" s="8"/>
      <c r="K31" s="8">
        <v>82793</v>
      </c>
      <c r="L31" s="8"/>
      <c r="M31" s="7">
        <v>10.050000000000001</v>
      </c>
      <c r="N31" s="7"/>
      <c r="O31" s="15" t="s">
        <v>283</v>
      </c>
      <c r="P31" s="15"/>
      <c r="Q31" s="15"/>
    </row>
    <row r="32" spans="1:17">
      <c r="A32" s="14" t="s">
        <v>369</v>
      </c>
      <c r="B32" s="15" t="s">
        <v>282</v>
      </c>
      <c r="C32" s="7">
        <v>8.43</v>
      </c>
      <c r="D32" s="7"/>
      <c r="E32" s="8">
        <v>61850000</v>
      </c>
      <c r="F32" s="8"/>
      <c r="G32" s="8">
        <v>506110000</v>
      </c>
      <c r="H32" s="8"/>
      <c r="I32" s="8">
        <v>7340</v>
      </c>
      <c r="J32" s="8"/>
      <c r="K32" s="8">
        <v>60040</v>
      </c>
      <c r="L32" s="8"/>
      <c r="M32" s="7">
        <v>8.1829999999999998</v>
      </c>
      <c r="N32" s="7"/>
      <c r="O32" s="15" t="s">
        <v>305</v>
      </c>
      <c r="P32" s="15"/>
      <c r="Q32" s="15"/>
    </row>
    <row r="33" spans="1:17">
      <c r="A33" s="14" t="s">
        <v>382</v>
      </c>
      <c r="B33" s="15" t="s">
        <v>282</v>
      </c>
      <c r="C33" s="15" t="s">
        <v>636</v>
      </c>
      <c r="D33" s="15"/>
      <c r="E33" s="8">
        <v>121900000</v>
      </c>
      <c r="F33" s="8"/>
      <c r="G33" s="8">
        <v>966520000</v>
      </c>
      <c r="H33" s="8"/>
      <c r="I33" s="8">
        <v>12410</v>
      </c>
      <c r="J33" s="8"/>
      <c r="K33" s="8">
        <v>98420</v>
      </c>
      <c r="L33" s="8"/>
      <c r="M33" s="7">
        <v>7.9290000000000003</v>
      </c>
      <c r="N33" s="7"/>
      <c r="O33" s="15" t="s">
        <v>305</v>
      </c>
      <c r="P33" s="15"/>
      <c r="Q33" s="15"/>
    </row>
    <row r="34" spans="1:17">
      <c r="A34" s="14" t="s">
        <v>371</v>
      </c>
      <c r="B34" s="15" t="s">
        <v>372</v>
      </c>
      <c r="C34" s="7">
        <v>13.85</v>
      </c>
      <c r="D34" s="7"/>
      <c r="E34" s="8">
        <v>58709836</v>
      </c>
      <c r="F34" s="8"/>
      <c r="G34" s="8">
        <v>1096821414</v>
      </c>
      <c r="H34" s="8"/>
      <c r="I34" s="8">
        <v>4238</v>
      </c>
      <c r="J34" s="8"/>
      <c r="K34" s="8">
        <v>79192</v>
      </c>
      <c r="L34" s="8"/>
      <c r="M34" s="7">
        <v>18.681999999999999</v>
      </c>
      <c r="N34" s="7"/>
      <c r="O34" s="15" t="s">
        <v>373</v>
      </c>
      <c r="P34" s="15"/>
      <c r="Q34" s="15"/>
    </row>
    <row r="35" spans="1:17">
      <c r="A35" s="14" t="s">
        <v>384</v>
      </c>
      <c r="B35" s="15" t="s">
        <v>282</v>
      </c>
      <c r="C35" s="7">
        <v>17.234999999999999</v>
      </c>
      <c r="D35" s="7"/>
      <c r="E35" s="8">
        <v>278150760</v>
      </c>
      <c r="F35" s="8"/>
      <c r="G35" s="8">
        <v>1079809236</v>
      </c>
      <c r="H35" s="8"/>
      <c r="I35" s="8">
        <v>16136</v>
      </c>
      <c r="J35" s="8"/>
      <c r="K35" s="8">
        <v>62656</v>
      </c>
      <c r="L35" s="8"/>
      <c r="M35" s="7">
        <v>3.8820000000000001</v>
      </c>
      <c r="N35" s="7"/>
      <c r="O35" s="15" t="s">
        <v>283</v>
      </c>
      <c r="P35" s="15"/>
      <c r="Q35" s="15"/>
    </row>
    <row r="36" spans="1:17">
      <c r="A36" s="14" t="s">
        <v>374</v>
      </c>
      <c r="B36" s="15" t="s">
        <v>207</v>
      </c>
      <c r="C36" s="15" t="s">
        <v>637</v>
      </c>
      <c r="D36" s="15"/>
      <c r="E36" s="15" t="s">
        <v>638</v>
      </c>
      <c r="F36" s="15"/>
      <c r="G36" s="15" t="s">
        <v>639</v>
      </c>
      <c r="H36" s="15"/>
      <c r="I36" s="8">
        <v>5434</v>
      </c>
      <c r="J36" s="8"/>
      <c r="K36" s="8">
        <v>39234</v>
      </c>
      <c r="L36" s="8"/>
      <c r="M36" s="18"/>
      <c r="N36" s="18"/>
      <c r="O36" s="15" t="s">
        <v>214</v>
      </c>
      <c r="P36" s="15"/>
      <c r="Q36" s="15"/>
    </row>
    <row r="37" spans="1:17">
      <c r="A37" s="14" t="s">
        <v>381</v>
      </c>
      <c r="B37" s="15" t="s">
        <v>372</v>
      </c>
      <c r="C37" s="7">
        <v>25.81</v>
      </c>
      <c r="D37" s="7"/>
      <c r="E37" s="8">
        <v>70485000</v>
      </c>
      <c r="F37" s="8"/>
      <c r="G37" s="8">
        <v>1319280624</v>
      </c>
      <c r="H37" s="8"/>
      <c r="I37" s="8">
        <v>2731</v>
      </c>
      <c r="J37" s="8"/>
      <c r="K37" s="8">
        <v>51115</v>
      </c>
      <c r="L37" s="8"/>
      <c r="M37" s="7">
        <v>18.71</v>
      </c>
      <c r="N37" s="7"/>
      <c r="O37" s="15" t="s">
        <v>373</v>
      </c>
      <c r="P37" s="15"/>
      <c r="Q37" s="15"/>
    </row>
    <row r="38" spans="1:17">
      <c r="A38" s="14" t="s">
        <v>383</v>
      </c>
      <c r="B38" s="15" t="s">
        <v>372</v>
      </c>
      <c r="C38" s="7">
        <v>30.006</v>
      </c>
      <c r="D38" s="7"/>
      <c r="E38" s="8">
        <v>86428126</v>
      </c>
      <c r="F38" s="8"/>
      <c r="G38" s="8">
        <v>2136071876</v>
      </c>
      <c r="H38" s="8"/>
      <c r="I38" s="8">
        <v>2880</v>
      </c>
      <c r="J38" s="8"/>
      <c r="K38" s="8">
        <v>71188</v>
      </c>
      <c r="L38" s="8"/>
      <c r="M38" s="7">
        <v>24.718</v>
      </c>
      <c r="N38" s="7"/>
      <c r="O38" s="15" t="s">
        <v>373</v>
      </c>
      <c r="P38" s="15"/>
      <c r="Q38" s="15"/>
    </row>
    <row r="39" spans="1:17">
      <c r="A39" s="14" t="s">
        <v>385</v>
      </c>
      <c r="B39" s="15" t="s">
        <v>372</v>
      </c>
      <c r="C39" s="7">
        <v>61.716000000000001</v>
      </c>
      <c r="D39" s="7"/>
      <c r="E39" s="8">
        <v>106590230</v>
      </c>
      <c r="F39" s="8"/>
      <c r="G39" s="8">
        <v>3408779523</v>
      </c>
      <c r="H39" s="8"/>
      <c r="I39" s="8">
        <v>1727</v>
      </c>
      <c r="J39" s="8"/>
      <c r="K39" s="8">
        <v>55233</v>
      </c>
      <c r="L39" s="8"/>
      <c r="M39" s="7">
        <v>31.98</v>
      </c>
      <c r="N39" s="7"/>
      <c r="O39" s="15" t="s">
        <v>373</v>
      </c>
      <c r="P39" s="15"/>
      <c r="Q39" s="15"/>
    </row>
    <row r="40" spans="1:17">
      <c r="A40" s="14" t="s">
        <v>386</v>
      </c>
      <c r="B40" s="15" t="s">
        <v>372</v>
      </c>
      <c r="C40" s="7">
        <v>70.680000000000007</v>
      </c>
      <c r="D40" s="7"/>
      <c r="E40" s="8">
        <v>142697625</v>
      </c>
      <c r="F40" s="8"/>
      <c r="G40" s="8">
        <v>4878864876</v>
      </c>
      <c r="H40" s="8"/>
      <c r="I40" s="8">
        <v>2019</v>
      </c>
      <c r="J40" s="8"/>
      <c r="K40" s="8">
        <v>69028</v>
      </c>
      <c r="L40" s="8"/>
      <c r="M40" s="7">
        <v>34.19</v>
      </c>
      <c r="N40" s="7"/>
      <c r="O40" s="15" t="s">
        <v>373</v>
      </c>
      <c r="P40" s="15"/>
      <c r="Q40" s="15"/>
    </row>
    <row r="41" spans="1:17">
      <c r="A41" s="14" t="s">
        <v>387</v>
      </c>
      <c r="B41" s="15" t="s">
        <v>282</v>
      </c>
      <c r="C41" s="15" t="s">
        <v>640</v>
      </c>
      <c r="D41" s="15"/>
      <c r="E41" s="15" t="s">
        <v>641</v>
      </c>
      <c r="F41" s="15"/>
      <c r="G41" s="15" t="s">
        <v>642</v>
      </c>
      <c r="H41" s="15"/>
      <c r="I41" s="15" t="s">
        <v>643</v>
      </c>
      <c r="J41" s="15"/>
      <c r="K41" s="15" t="s">
        <v>644</v>
      </c>
      <c r="L41" s="15"/>
      <c r="M41" s="15" t="s">
        <v>645</v>
      </c>
      <c r="N41" s="15"/>
      <c r="O41" s="15" t="s">
        <v>394</v>
      </c>
      <c r="P41" s="15"/>
      <c r="Q41" s="15"/>
    </row>
    <row r="42" spans="1:17">
      <c r="A42" s="14" t="s">
        <v>395</v>
      </c>
      <c r="B42" s="15" t="s">
        <v>245</v>
      </c>
      <c r="C42" s="7">
        <v>564.67399999999998</v>
      </c>
      <c r="D42" s="7"/>
      <c r="E42" s="8">
        <v>741704844</v>
      </c>
      <c r="F42" s="8"/>
      <c r="G42" s="8">
        <v>27404306156</v>
      </c>
      <c r="H42" s="8"/>
      <c r="I42" s="8">
        <v>1314</v>
      </c>
      <c r="J42" s="8"/>
      <c r="K42" s="8">
        <v>48531</v>
      </c>
      <c r="L42" s="8"/>
      <c r="M42" s="7">
        <v>36.948</v>
      </c>
      <c r="N42" s="7"/>
      <c r="O42" s="15" t="s">
        <v>396</v>
      </c>
      <c r="P42" s="15"/>
      <c r="Q42" s="15"/>
    </row>
    <row r="44" spans="1:17">
      <c r="A44" s="34" t="s">
        <v>860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Q33"/>
  <sheetViews>
    <sheetView workbookViewId="0">
      <selection activeCell="A33" sqref="A33"/>
    </sheetView>
  </sheetViews>
  <sheetFormatPr baseColWidth="10" defaultRowHeight="16"/>
  <sheetData>
    <row r="1" spans="1:17">
      <c r="A1" s="22" t="s">
        <v>856</v>
      </c>
      <c r="B1" s="22"/>
      <c r="C1" s="33"/>
      <c r="D1" s="22"/>
      <c r="E1" s="32"/>
      <c r="F1" s="22"/>
      <c r="G1" s="32"/>
      <c r="H1" s="22"/>
      <c r="I1" s="32"/>
      <c r="J1" s="22"/>
      <c r="K1" s="32"/>
      <c r="L1" s="22"/>
      <c r="M1" s="32"/>
      <c r="N1" s="22"/>
      <c r="O1" s="32"/>
      <c r="P1" s="22"/>
      <c r="Q1" s="22"/>
    </row>
    <row r="2" spans="1:17">
      <c r="A2" s="19" t="s">
        <v>0</v>
      </c>
      <c r="B2" s="19" t="s">
        <v>108</v>
      </c>
      <c r="C2" s="20" t="s">
        <v>152</v>
      </c>
      <c r="D2" s="19" t="s">
        <v>113</v>
      </c>
      <c r="E2" s="19"/>
      <c r="F2" s="19" t="s">
        <v>114</v>
      </c>
      <c r="G2" s="19"/>
      <c r="H2" s="19" t="s">
        <v>115</v>
      </c>
      <c r="I2" s="19"/>
      <c r="J2" s="19" t="s">
        <v>109</v>
      </c>
      <c r="K2" s="19"/>
      <c r="L2" s="19" t="s">
        <v>110</v>
      </c>
      <c r="M2" s="19"/>
      <c r="N2" s="19" t="s">
        <v>111</v>
      </c>
      <c r="O2" s="19"/>
      <c r="P2" s="19" t="s">
        <v>112</v>
      </c>
      <c r="Q2" s="19"/>
    </row>
    <row r="3" spans="1:17">
      <c r="A3" s="21" t="s">
        <v>63</v>
      </c>
      <c r="B3" s="22" t="s">
        <v>44</v>
      </c>
      <c r="C3" s="23">
        <v>5</v>
      </c>
      <c r="D3" s="22" t="s">
        <v>646</v>
      </c>
      <c r="E3" s="22"/>
      <c r="F3" s="22" t="s">
        <v>647</v>
      </c>
      <c r="G3" s="22"/>
      <c r="H3" s="22" t="s">
        <v>648</v>
      </c>
      <c r="I3" s="22"/>
      <c r="J3" s="22" t="s">
        <v>649</v>
      </c>
      <c r="K3" s="22"/>
      <c r="L3" s="22" t="s">
        <v>650</v>
      </c>
      <c r="M3" s="22"/>
      <c r="N3" s="7">
        <v>1.2090000000000001</v>
      </c>
      <c r="O3" s="7"/>
      <c r="P3" s="22" t="s">
        <v>151</v>
      </c>
      <c r="Q3" s="22"/>
    </row>
    <row r="4" spans="1:17">
      <c r="A4" s="21" t="s">
        <v>14</v>
      </c>
      <c r="B4" s="22" t="s">
        <v>15</v>
      </c>
      <c r="C4" s="23">
        <v>3</v>
      </c>
      <c r="D4" s="22" t="s">
        <v>651</v>
      </c>
      <c r="E4" s="22"/>
      <c r="F4" s="22" t="s">
        <v>652</v>
      </c>
      <c r="G4" s="22"/>
      <c r="H4" s="22" t="s">
        <v>653</v>
      </c>
      <c r="I4" s="22"/>
      <c r="J4" s="22" t="s">
        <v>654</v>
      </c>
      <c r="K4" s="22"/>
      <c r="L4" s="22" t="s">
        <v>655</v>
      </c>
      <c r="M4" s="22"/>
      <c r="N4" s="22" t="s">
        <v>656</v>
      </c>
      <c r="O4" s="22"/>
      <c r="P4" s="22" t="s">
        <v>16</v>
      </c>
      <c r="Q4" s="22"/>
    </row>
    <row r="5" spans="1:17">
      <c r="A5" s="21" t="s">
        <v>18</v>
      </c>
      <c r="B5" s="22" t="s">
        <v>19</v>
      </c>
      <c r="C5" s="23">
        <v>4</v>
      </c>
      <c r="D5" s="22" t="s">
        <v>657</v>
      </c>
      <c r="E5" s="22"/>
      <c r="F5" s="22" t="s">
        <v>658</v>
      </c>
      <c r="G5" s="22"/>
      <c r="H5" s="22" t="s">
        <v>659</v>
      </c>
      <c r="I5" s="22"/>
      <c r="J5" s="22" t="s">
        <v>660</v>
      </c>
      <c r="K5" s="22"/>
      <c r="L5" s="22" t="s">
        <v>661</v>
      </c>
      <c r="M5" s="22"/>
      <c r="N5" s="22" t="s">
        <v>662</v>
      </c>
      <c r="O5" s="22"/>
      <c r="P5" s="22" t="s">
        <v>20</v>
      </c>
      <c r="Q5" s="22"/>
    </row>
    <row r="6" spans="1:17">
      <c r="A6" s="21" t="s">
        <v>24</v>
      </c>
      <c r="B6" s="22" t="s">
        <v>19</v>
      </c>
      <c r="C6" s="23">
        <v>3</v>
      </c>
      <c r="D6" s="22" t="s">
        <v>663</v>
      </c>
      <c r="E6" s="22"/>
      <c r="F6" s="22" t="s">
        <v>664</v>
      </c>
      <c r="G6" s="22"/>
      <c r="H6" s="22" t="s">
        <v>665</v>
      </c>
      <c r="I6" s="22"/>
      <c r="J6" s="22" t="s">
        <v>666</v>
      </c>
      <c r="K6" s="22"/>
      <c r="L6" s="22" t="s">
        <v>667</v>
      </c>
      <c r="M6" s="22"/>
      <c r="N6" s="22" t="s">
        <v>668</v>
      </c>
      <c r="O6" s="22"/>
      <c r="P6" s="22" t="s">
        <v>25</v>
      </c>
      <c r="Q6" s="22"/>
    </row>
    <row r="7" spans="1:17">
      <c r="A7" s="21" t="s">
        <v>22</v>
      </c>
      <c r="B7" s="22" t="s">
        <v>15</v>
      </c>
      <c r="C7" s="23">
        <v>5</v>
      </c>
      <c r="D7" s="22" t="s">
        <v>669</v>
      </c>
      <c r="E7" s="22"/>
      <c r="F7" s="22" t="s">
        <v>670</v>
      </c>
      <c r="G7" s="22"/>
      <c r="H7" s="22" t="s">
        <v>671</v>
      </c>
      <c r="I7" s="22"/>
      <c r="J7" s="22" t="s">
        <v>672</v>
      </c>
      <c r="K7" s="22"/>
      <c r="L7" s="22" t="s">
        <v>673</v>
      </c>
      <c r="M7" s="22"/>
      <c r="N7" s="22" t="s">
        <v>674</v>
      </c>
      <c r="O7" s="22"/>
      <c r="P7" s="22" t="s">
        <v>16</v>
      </c>
      <c r="Q7" s="22"/>
    </row>
    <row r="8" spans="1:17">
      <c r="A8" s="21" t="s">
        <v>43</v>
      </c>
      <c r="B8" s="22" t="s">
        <v>44</v>
      </c>
      <c r="C8" s="23">
        <v>2</v>
      </c>
      <c r="D8" s="22" t="s">
        <v>675</v>
      </c>
      <c r="E8" s="22"/>
      <c r="F8" s="22" t="s">
        <v>676</v>
      </c>
      <c r="G8" s="22"/>
      <c r="H8" s="22" t="s">
        <v>677</v>
      </c>
      <c r="I8" s="22"/>
      <c r="J8" s="22" t="s">
        <v>678</v>
      </c>
      <c r="K8" s="22"/>
      <c r="L8" s="22" t="s">
        <v>679</v>
      </c>
      <c r="M8" s="22"/>
      <c r="N8" s="7">
        <v>1.2729999999999999</v>
      </c>
      <c r="O8" s="7"/>
      <c r="P8" s="22" t="s">
        <v>151</v>
      </c>
      <c r="Q8" s="22"/>
    </row>
    <row r="9" spans="1:17">
      <c r="A9" s="21" t="s">
        <v>27</v>
      </c>
      <c r="B9" s="22" t="s">
        <v>15</v>
      </c>
      <c r="C9" s="23">
        <v>4</v>
      </c>
      <c r="D9" s="22" t="s">
        <v>680</v>
      </c>
      <c r="E9" s="22"/>
      <c r="F9" s="22" t="s">
        <v>681</v>
      </c>
      <c r="G9" s="22"/>
      <c r="H9" s="22" t="s">
        <v>682</v>
      </c>
      <c r="I9" s="22"/>
      <c r="J9" s="22" t="s">
        <v>683</v>
      </c>
      <c r="K9" s="22"/>
      <c r="L9" s="22" t="s">
        <v>684</v>
      </c>
      <c r="M9" s="22"/>
      <c r="N9" s="22" t="s">
        <v>685</v>
      </c>
      <c r="O9" s="22"/>
      <c r="P9" s="22" t="s">
        <v>16</v>
      </c>
      <c r="Q9" s="22"/>
    </row>
    <row r="10" spans="1:17">
      <c r="A10" s="21" t="s">
        <v>29</v>
      </c>
      <c r="B10" s="22" t="s">
        <v>15</v>
      </c>
      <c r="C10" s="23">
        <v>3</v>
      </c>
      <c r="D10" s="22" t="s">
        <v>686</v>
      </c>
      <c r="E10" s="22"/>
      <c r="F10" s="22" t="s">
        <v>687</v>
      </c>
      <c r="G10" s="22"/>
      <c r="H10" s="22" t="s">
        <v>688</v>
      </c>
      <c r="I10" s="22"/>
      <c r="J10" s="22" t="s">
        <v>689</v>
      </c>
      <c r="K10" s="22"/>
      <c r="L10" s="22" t="s">
        <v>690</v>
      </c>
      <c r="M10" s="22"/>
      <c r="N10" s="22" t="s">
        <v>691</v>
      </c>
      <c r="O10" s="22"/>
      <c r="P10" s="22" t="s">
        <v>16</v>
      </c>
      <c r="Q10" s="22"/>
    </row>
    <row r="11" spans="1:17">
      <c r="A11" s="21" t="s">
        <v>37</v>
      </c>
      <c r="B11" s="22" t="s">
        <v>32</v>
      </c>
      <c r="C11" s="23">
        <v>2</v>
      </c>
      <c r="D11" s="22" t="s">
        <v>692</v>
      </c>
      <c r="E11" s="22"/>
      <c r="F11" s="22" t="s">
        <v>693</v>
      </c>
      <c r="G11" s="22"/>
      <c r="H11" s="8">
        <v>4919466</v>
      </c>
      <c r="I11" s="8"/>
      <c r="J11" s="22" t="s">
        <v>694</v>
      </c>
      <c r="K11" s="22"/>
      <c r="L11" s="8">
        <v>97872</v>
      </c>
      <c r="M11" s="8"/>
      <c r="N11" s="7">
        <v>0.50700000000000001</v>
      </c>
      <c r="O11" s="7"/>
      <c r="P11" s="22" t="s">
        <v>33</v>
      </c>
      <c r="Q11" s="22"/>
    </row>
    <row r="12" spans="1:17">
      <c r="A12" s="21" t="s">
        <v>73</v>
      </c>
      <c r="B12" s="22" t="s">
        <v>44</v>
      </c>
      <c r="C12" s="23">
        <v>6</v>
      </c>
      <c r="D12" s="22" t="s">
        <v>695</v>
      </c>
      <c r="E12" s="22"/>
      <c r="F12" s="22" t="s">
        <v>696</v>
      </c>
      <c r="G12" s="22"/>
      <c r="H12" s="22" t="s">
        <v>697</v>
      </c>
      <c r="I12" s="22"/>
      <c r="J12" s="22" t="s">
        <v>698</v>
      </c>
      <c r="K12" s="22"/>
      <c r="L12" s="22" t="s">
        <v>699</v>
      </c>
      <c r="M12" s="22"/>
      <c r="N12" s="7">
        <v>1.0549999999999999</v>
      </c>
      <c r="O12" s="7"/>
      <c r="P12" s="22" t="s">
        <v>151</v>
      </c>
      <c r="Q12" s="22"/>
    </row>
    <row r="13" spans="1:17">
      <c r="A13" s="21" t="s">
        <v>39</v>
      </c>
      <c r="B13" s="22" t="s">
        <v>19</v>
      </c>
      <c r="C13" s="23">
        <v>2</v>
      </c>
      <c r="D13" s="22" t="s">
        <v>700</v>
      </c>
      <c r="E13" s="22"/>
      <c r="F13" s="22" t="s">
        <v>701</v>
      </c>
      <c r="G13" s="22"/>
      <c r="H13" s="22" t="s">
        <v>702</v>
      </c>
      <c r="I13" s="22"/>
      <c r="J13" s="22" t="s">
        <v>703</v>
      </c>
      <c r="K13" s="22"/>
      <c r="L13" s="22" t="s">
        <v>704</v>
      </c>
      <c r="M13" s="22"/>
      <c r="N13" s="22" t="s">
        <v>705</v>
      </c>
      <c r="O13" s="22"/>
      <c r="P13" s="22" t="s">
        <v>20</v>
      </c>
      <c r="Q13" s="22"/>
    </row>
    <row r="14" spans="1:17">
      <c r="A14" s="21" t="s">
        <v>41</v>
      </c>
      <c r="B14" s="22" t="s">
        <v>19</v>
      </c>
      <c r="C14" s="23">
        <v>5</v>
      </c>
      <c r="D14" s="22" t="s">
        <v>706</v>
      </c>
      <c r="E14" s="22"/>
      <c r="F14" s="22" t="s">
        <v>707</v>
      </c>
      <c r="G14" s="22"/>
      <c r="H14" s="22" t="s">
        <v>708</v>
      </c>
      <c r="I14" s="22"/>
      <c r="J14" s="22" t="s">
        <v>709</v>
      </c>
      <c r="K14" s="22"/>
      <c r="L14" s="22" t="s">
        <v>710</v>
      </c>
      <c r="M14" s="22"/>
      <c r="N14" s="22" t="s">
        <v>711</v>
      </c>
      <c r="O14" s="22"/>
      <c r="P14" s="22" t="s">
        <v>20</v>
      </c>
      <c r="Q14" s="22"/>
    </row>
    <row r="15" spans="1:17">
      <c r="A15" s="21" t="s">
        <v>35</v>
      </c>
      <c r="B15" s="22" t="s">
        <v>15</v>
      </c>
      <c r="C15" s="23">
        <v>3</v>
      </c>
      <c r="D15" s="22" t="s">
        <v>712</v>
      </c>
      <c r="E15" s="22"/>
      <c r="F15" s="22" t="s">
        <v>713</v>
      </c>
      <c r="G15" s="22"/>
      <c r="H15" s="22" t="s">
        <v>714</v>
      </c>
      <c r="I15" s="22"/>
      <c r="J15" s="22" t="s">
        <v>715</v>
      </c>
      <c r="K15" s="22"/>
      <c r="L15" s="22" t="s">
        <v>716</v>
      </c>
      <c r="M15" s="22"/>
      <c r="N15" s="22" t="s">
        <v>717</v>
      </c>
      <c r="O15" s="22"/>
      <c r="P15" s="22" t="s">
        <v>16</v>
      </c>
      <c r="Q15" s="22"/>
    </row>
    <row r="16" spans="1:17">
      <c r="A16" s="21" t="s">
        <v>93</v>
      </c>
      <c r="B16" s="22" t="s">
        <v>44</v>
      </c>
      <c r="C16" s="23">
        <v>1</v>
      </c>
      <c r="D16" s="7">
        <v>8.7999999999999995E-2</v>
      </c>
      <c r="E16" s="7"/>
      <c r="F16" s="8">
        <v>8473800</v>
      </c>
      <c r="G16" s="8"/>
      <c r="H16" s="8">
        <v>11006200</v>
      </c>
      <c r="I16" s="8"/>
      <c r="J16" s="8">
        <v>96293</v>
      </c>
      <c r="K16" s="8"/>
      <c r="L16" s="8">
        <v>125070</v>
      </c>
      <c r="M16" s="8"/>
      <c r="N16" s="7">
        <v>1.2989999999999999</v>
      </c>
      <c r="O16" s="7"/>
      <c r="P16" s="22" t="s">
        <v>151</v>
      </c>
      <c r="Q16" s="22"/>
    </row>
    <row r="17" spans="1:17">
      <c r="A17" s="21" t="s">
        <v>51</v>
      </c>
      <c r="B17" s="22" t="s">
        <v>52</v>
      </c>
      <c r="C17" s="23">
        <v>16</v>
      </c>
      <c r="D17" s="22" t="s">
        <v>718</v>
      </c>
      <c r="E17" s="22"/>
      <c r="F17" s="22" t="s">
        <v>719</v>
      </c>
      <c r="G17" s="22"/>
      <c r="H17" s="22" t="s">
        <v>720</v>
      </c>
      <c r="I17" s="22"/>
      <c r="J17" s="22" t="s">
        <v>721</v>
      </c>
      <c r="K17" s="22"/>
      <c r="L17" s="22" t="s">
        <v>722</v>
      </c>
      <c r="M17" s="22"/>
      <c r="N17" s="7">
        <v>1.58</v>
      </c>
      <c r="O17" s="7"/>
      <c r="P17" s="22" t="s">
        <v>53</v>
      </c>
      <c r="Q17" s="22"/>
    </row>
    <row r="18" spans="1:17">
      <c r="A18" s="21" t="s">
        <v>55</v>
      </c>
      <c r="B18" s="22" t="s">
        <v>19</v>
      </c>
      <c r="C18" s="23">
        <v>2</v>
      </c>
      <c r="D18" s="22" t="s">
        <v>723</v>
      </c>
      <c r="E18" s="22"/>
      <c r="F18" s="22" t="s">
        <v>724</v>
      </c>
      <c r="G18" s="22"/>
      <c r="H18" s="22" t="s">
        <v>725</v>
      </c>
      <c r="I18" s="22"/>
      <c r="J18" s="22" t="s">
        <v>726</v>
      </c>
      <c r="K18" s="22"/>
      <c r="L18" s="22" t="s">
        <v>727</v>
      </c>
      <c r="M18" s="22"/>
      <c r="N18" s="22" t="s">
        <v>728</v>
      </c>
      <c r="O18" s="22"/>
      <c r="P18" s="22" t="s">
        <v>20</v>
      </c>
      <c r="Q18" s="22"/>
    </row>
    <row r="19" spans="1:17">
      <c r="A19" s="21" t="s">
        <v>47</v>
      </c>
      <c r="B19" s="22" t="s">
        <v>19</v>
      </c>
      <c r="C19" s="23">
        <v>1</v>
      </c>
      <c r="D19" s="7">
        <v>0.13200000000000001</v>
      </c>
      <c r="E19" s="7"/>
      <c r="F19" s="8">
        <v>9141540</v>
      </c>
      <c r="G19" s="8"/>
      <c r="H19" s="8">
        <v>21128460</v>
      </c>
      <c r="I19" s="8"/>
      <c r="J19" s="8">
        <v>69254</v>
      </c>
      <c r="K19" s="8"/>
      <c r="L19" s="8">
        <v>160064</v>
      </c>
      <c r="M19" s="8"/>
      <c r="N19" s="7">
        <v>2.3109999999999999</v>
      </c>
      <c r="O19" s="7"/>
      <c r="P19" s="22" t="s">
        <v>25</v>
      </c>
      <c r="Q19" s="22"/>
    </row>
    <row r="20" spans="1:17">
      <c r="A20" s="21" t="s">
        <v>61</v>
      </c>
      <c r="B20" s="22" t="s">
        <v>19</v>
      </c>
      <c r="C20" s="23">
        <v>1</v>
      </c>
      <c r="D20" s="7">
        <v>0.156</v>
      </c>
      <c r="E20" s="7"/>
      <c r="F20" s="8">
        <v>18765000</v>
      </c>
      <c r="G20" s="8"/>
      <c r="H20" s="8">
        <v>22935000</v>
      </c>
      <c r="I20" s="8"/>
      <c r="J20" s="8">
        <v>120288</v>
      </c>
      <c r="K20" s="8"/>
      <c r="L20" s="8">
        <v>147019</v>
      </c>
      <c r="M20" s="8"/>
      <c r="N20" s="7">
        <v>1.222</v>
      </c>
      <c r="O20" s="7"/>
      <c r="P20" s="22" t="s">
        <v>25</v>
      </c>
      <c r="Q20" s="22"/>
    </row>
    <row r="21" spans="1:17">
      <c r="A21" s="21" t="s">
        <v>49</v>
      </c>
      <c r="B21" s="22" t="s">
        <v>32</v>
      </c>
      <c r="C21" s="23">
        <v>2</v>
      </c>
      <c r="D21" s="22" t="s">
        <v>729</v>
      </c>
      <c r="E21" s="22"/>
      <c r="F21" s="22" t="s">
        <v>730</v>
      </c>
      <c r="G21" s="22"/>
      <c r="H21" s="8">
        <v>14775635</v>
      </c>
      <c r="I21" s="8"/>
      <c r="J21" s="22" t="s">
        <v>731</v>
      </c>
      <c r="K21" s="22"/>
      <c r="L21" s="8">
        <v>91369</v>
      </c>
      <c r="M21" s="8"/>
      <c r="N21" s="7">
        <v>1.141</v>
      </c>
      <c r="O21" s="7"/>
      <c r="P21" s="22" t="s">
        <v>33</v>
      </c>
      <c r="Q21" s="22"/>
    </row>
    <row r="22" spans="1:17">
      <c r="A22" s="21" t="s">
        <v>65</v>
      </c>
      <c r="B22" s="22" t="s">
        <v>44</v>
      </c>
      <c r="C22" s="23">
        <v>11</v>
      </c>
      <c r="D22" s="22" t="s">
        <v>732</v>
      </c>
      <c r="E22" s="22"/>
      <c r="F22" s="22" t="s">
        <v>733</v>
      </c>
      <c r="G22" s="22"/>
      <c r="H22" s="22" t="s">
        <v>734</v>
      </c>
      <c r="I22" s="22"/>
      <c r="J22" s="22" t="s">
        <v>735</v>
      </c>
      <c r="K22" s="22"/>
      <c r="L22" s="22" t="s">
        <v>736</v>
      </c>
      <c r="M22" s="22"/>
      <c r="N22" s="7">
        <v>1.133</v>
      </c>
      <c r="O22" s="7"/>
      <c r="P22" s="22" t="s">
        <v>151</v>
      </c>
      <c r="Q22" s="22"/>
    </row>
    <row r="23" spans="1:17">
      <c r="A23" s="21" t="s">
        <v>59</v>
      </c>
      <c r="B23" s="22" t="s">
        <v>19</v>
      </c>
      <c r="C23" s="23">
        <v>9</v>
      </c>
      <c r="D23" s="22" t="s">
        <v>737</v>
      </c>
      <c r="E23" s="22"/>
      <c r="F23" s="22" t="s">
        <v>738</v>
      </c>
      <c r="G23" s="22"/>
      <c r="H23" s="22" t="s">
        <v>739</v>
      </c>
      <c r="I23" s="22"/>
      <c r="J23" s="22" t="s">
        <v>740</v>
      </c>
      <c r="K23" s="22"/>
      <c r="L23" s="22" t="s">
        <v>741</v>
      </c>
      <c r="M23" s="22"/>
      <c r="N23" s="22" t="s">
        <v>742</v>
      </c>
      <c r="O23" s="22"/>
      <c r="P23" s="22" t="s">
        <v>25</v>
      </c>
      <c r="Q23" s="22"/>
    </row>
    <row r="24" spans="1:17">
      <c r="A24" s="21" t="s">
        <v>71</v>
      </c>
      <c r="B24" s="22" t="s">
        <v>32</v>
      </c>
      <c r="C24" s="23">
        <v>1</v>
      </c>
      <c r="D24" s="7">
        <v>0.28599999999999998</v>
      </c>
      <c r="E24" s="7"/>
      <c r="F24" s="8">
        <v>20909490</v>
      </c>
      <c r="G24" s="8"/>
      <c r="H24" s="8">
        <v>14790510</v>
      </c>
      <c r="I24" s="8"/>
      <c r="J24" s="8">
        <v>73110</v>
      </c>
      <c r="K24" s="8"/>
      <c r="L24" s="8">
        <v>51715</v>
      </c>
      <c r="M24" s="8"/>
      <c r="N24" s="7">
        <v>0.70699999999999996</v>
      </c>
      <c r="O24" s="7"/>
      <c r="P24" s="22" t="s">
        <v>33</v>
      </c>
      <c r="Q24" s="22"/>
    </row>
    <row r="25" spans="1:17">
      <c r="A25" s="21" t="s">
        <v>69</v>
      </c>
      <c r="B25" s="22" t="s">
        <v>19</v>
      </c>
      <c r="C25" s="23">
        <v>3</v>
      </c>
      <c r="D25" s="22" t="s">
        <v>743</v>
      </c>
      <c r="E25" s="22"/>
      <c r="F25" s="22" t="s">
        <v>744</v>
      </c>
      <c r="G25" s="22"/>
      <c r="H25" s="22" t="s">
        <v>745</v>
      </c>
      <c r="I25" s="22"/>
      <c r="J25" s="22" t="s">
        <v>746</v>
      </c>
      <c r="K25" s="22"/>
      <c r="L25" s="22" t="s">
        <v>747</v>
      </c>
      <c r="M25" s="22"/>
      <c r="N25" s="22" t="s">
        <v>748</v>
      </c>
      <c r="O25" s="22"/>
      <c r="P25" s="22" t="s">
        <v>20</v>
      </c>
      <c r="Q25" s="22"/>
    </row>
    <row r="26" spans="1:17">
      <c r="A26" s="21" t="s">
        <v>85</v>
      </c>
      <c r="B26" s="22" t="s">
        <v>86</v>
      </c>
      <c r="C26" s="23">
        <v>1</v>
      </c>
      <c r="D26" s="7">
        <v>0.82199999999999995</v>
      </c>
      <c r="E26" s="7"/>
      <c r="F26" s="8">
        <v>9195500</v>
      </c>
      <c r="G26" s="8"/>
      <c r="H26" s="8">
        <v>77554500</v>
      </c>
      <c r="I26" s="8"/>
      <c r="J26" s="8">
        <v>11187</v>
      </c>
      <c r="K26" s="8"/>
      <c r="L26" s="8">
        <v>94348</v>
      </c>
      <c r="M26" s="8"/>
      <c r="N26" s="7">
        <v>8.4339999999999993</v>
      </c>
      <c r="O26" s="7"/>
      <c r="P26" s="22" t="s">
        <v>87</v>
      </c>
      <c r="Q26" s="22"/>
    </row>
    <row r="27" spans="1:17">
      <c r="A27" s="21" t="s">
        <v>91</v>
      </c>
      <c r="B27" s="22" t="s">
        <v>86</v>
      </c>
      <c r="C27" s="23">
        <v>1</v>
      </c>
      <c r="D27" s="7">
        <v>1.2</v>
      </c>
      <c r="E27" s="7"/>
      <c r="F27" s="8">
        <v>15998400</v>
      </c>
      <c r="G27" s="8"/>
      <c r="H27" s="8">
        <v>105201600</v>
      </c>
      <c r="I27" s="8"/>
      <c r="J27" s="8">
        <v>13332</v>
      </c>
      <c r="K27" s="8"/>
      <c r="L27" s="8">
        <v>87668</v>
      </c>
      <c r="M27" s="8"/>
      <c r="N27" s="7">
        <v>6.5759999999999996</v>
      </c>
      <c r="O27" s="7"/>
      <c r="P27" s="22" t="s">
        <v>87</v>
      </c>
      <c r="Q27" s="22"/>
    </row>
    <row r="28" spans="1:17">
      <c r="A28" s="21" t="s">
        <v>89</v>
      </c>
      <c r="B28" s="22" t="s">
        <v>19</v>
      </c>
      <c r="C28" s="23">
        <v>2</v>
      </c>
      <c r="D28" s="22" t="s">
        <v>749</v>
      </c>
      <c r="E28" s="22"/>
      <c r="F28" s="22" t="s">
        <v>750</v>
      </c>
      <c r="G28" s="22"/>
      <c r="H28" s="22" t="s">
        <v>751</v>
      </c>
      <c r="I28" s="22"/>
      <c r="J28" s="22" t="s">
        <v>752</v>
      </c>
      <c r="K28" s="22"/>
      <c r="L28" s="22" t="s">
        <v>753</v>
      </c>
      <c r="M28" s="22"/>
      <c r="N28" s="22" t="s">
        <v>754</v>
      </c>
      <c r="O28" s="22"/>
      <c r="P28" s="22" t="s">
        <v>20</v>
      </c>
      <c r="Q28" s="22"/>
    </row>
    <row r="29" spans="1:17">
      <c r="A29" s="21" t="s">
        <v>101</v>
      </c>
      <c r="B29" s="22" t="s">
        <v>86</v>
      </c>
      <c r="C29" s="23">
        <v>1</v>
      </c>
      <c r="D29" s="7">
        <v>2.052</v>
      </c>
      <c r="E29" s="7"/>
      <c r="F29" s="8">
        <v>24678000</v>
      </c>
      <c r="G29" s="8"/>
      <c r="H29" s="8">
        <v>232384500</v>
      </c>
      <c r="I29" s="8"/>
      <c r="J29" s="8">
        <v>12026</v>
      </c>
      <c r="K29" s="8"/>
      <c r="L29" s="8">
        <v>113248</v>
      </c>
      <c r="M29" s="8"/>
      <c r="N29" s="7">
        <v>9.4169999999999998</v>
      </c>
      <c r="O29" s="7"/>
      <c r="P29" s="22" t="s">
        <v>87</v>
      </c>
      <c r="Q29" s="22"/>
    </row>
    <row r="30" spans="1:17">
      <c r="A30" s="21" t="s">
        <v>99</v>
      </c>
      <c r="B30" s="22" t="s">
        <v>86</v>
      </c>
      <c r="C30" s="23">
        <v>1</v>
      </c>
      <c r="D30" s="7">
        <v>5.5460000000000003</v>
      </c>
      <c r="E30" s="7"/>
      <c r="F30" s="8">
        <v>38331562</v>
      </c>
      <c r="G30" s="8"/>
      <c r="H30" s="8">
        <v>362731438</v>
      </c>
      <c r="I30" s="8"/>
      <c r="J30" s="8">
        <v>6912</v>
      </c>
      <c r="K30" s="8"/>
      <c r="L30" s="8">
        <v>58913</v>
      </c>
      <c r="M30" s="8"/>
      <c r="N30" s="7">
        <v>8.5229999999999997</v>
      </c>
      <c r="O30" s="7"/>
      <c r="P30" s="22" t="s">
        <v>87</v>
      </c>
      <c r="Q30" s="22"/>
    </row>
    <row r="31" spans="1:17">
      <c r="A31" s="21" t="s">
        <v>106</v>
      </c>
      <c r="B31" s="22" t="s">
        <v>32</v>
      </c>
      <c r="C31" s="23">
        <v>1</v>
      </c>
      <c r="D31" s="7">
        <v>41.886000000000003</v>
      </c>
      <c r="E31" s="7"/>
      <c r="F31" s="8">
        <v>908371986</v>
      </c>
      <c r="G31" s="8"/>
      <c r="H31" s="8">
        <v>2857878014</v>
      </c>
      <c r="I31" s="8"/>
      <c r="J31" s="8">
        <v>21687</v>
      </c>
      <c r="K31" s="8"/>
      <c r="L31" s="8">
        <v>68230</v>
      </c>
      <c r="M31" s="8"/>
      <c r="N31" s="7">
        <v>3.1459999999999999</v>
      </c>
      <c r="O31" s="7"/>
      <c r="P31" s="22" t="s">
        <v>107</v>
      </c>
      <c r="Q31" s="22"/>
    </row>
    <row r="33" spans="1:1">
      <c r="A33" s="35" t="s">
        <v>861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P43"/>
  <sheetViews>
    <sheetView workbookViewId="0">
      <selection activeCell="G53" sqref="G53"/>
    </sheetView>
  </sheetViews>
  <sheetFormatPr baseColWidth="10" defaultRowHeight="16"/>
  <sheetData>
    <row r="1" spans="1:16">
      <c r="A1" t="s">
        <v>857</v>
      </c>
    </row>
    <row r="2" spans="1:16">
      <c r="A2" s="12" t="s">
        <v>0</v>
      </c>
      <c r="B2" s="12" t="s">
        <v>108</v>
      </c>
      <c r="C2" s="24" t="s">
        <v>152</v>
      </c>
      <c r="D2" s="12" t="s">
        <v>173</v>
      </c>
      <c r="E2" s="4"/>
      <c r="F2" s="12" t="s">
        <v>172</v>
      </c>
      <c r="G2" s="4"/>
      <c r="H2" s="12" t="s">
        <v>171</v>
      </c>
      <c r="I2" s="4"/>
      <c r="J2" s="12" t="s">
        <v>170</v>
      </c>
      <c r="K2" s="4"/>
      <c r="L2" s="12" t="s">
        <v>169</v>
      </c>
      <c r="M2" s="4"/>
      <c r="N2" s="12" t="s">
        <v>112</v>
      </c>
      <c r="O2" s="13"/>
      <c r="P2" s="13"/>
    </row>
    <row r="3" spans="1:16">
      <c r="A3" s="25" t="s">
        <v>197</v>
      </c>
      <c r="B3" s="26" t="s">
        <v>198</v>
      </c>
      <c r="C3" s="27">
        <v>3</v>
      </c>
      <c r="D3" s="26" t="s">
        <v>755</v>
      </c>
      <c r="E3" s="26"/>
      <c r="F3" s="26" t="s">
        <v>756</v>
      </c>
      <c r="G3" s="26"/>
      <c r="H3" s="26" t="s">
        <v>757</v>
      </c>
      <c r="I3" s="26"/>
      <c r="J3" s="26" t="s">
        <v>758</v>
      </c>
      <c r="K3" s="26"/>
      <c r="L3" s="26" t="s">
        <v>759</v>
      </c>
      <c r="M3" s="26"/>
      <c r="N3" s="26" t="s">
        <v>205</v>
      </c>
      <c r="O3" s="26"/>
      <c r="P3" s="26"/>
    </row>
    <row r="4" spans="1:16">
      <c r="A4" s="14" t="s">
        <v>215</v>
      </c>
      <c r="B4" s="15" t="s">
        <v>198</v>
      </c>
      <c r="C4" s="28">
        <v>5</v>
      </c>
      <c r="D4" s="15" t="s">
        <v>760</v>
      </c>
      <c r="E4" s="15"/>
      <c r="F4" s="15" t="s">
        <v>761</v>
      </c>
      <c r="G4" s="15"/>
      <c r="H4" s="15" t="s">
        <v>762</v>
      </c>
      <c r="I4" s="15"/>
      <c r="J4" s="15" t="s">
        <v>763</v>
      </c>
      <c r="K4" s="15"/>
      <c r="L4" s="15" t="s">
        <v>764</v>
      </c>
      <c r="M4" s="15"/>
      <c r="N4" s="15" t="s">
        <v>205</v>
      </c>
      <c r="O4" s="15"/>
      <c r="P4" s="15"/>
    </row>
    <row r="5" spans="1:16">
      <c r="A5" s="14" t="s">
        <v>222</v>
      </c>
      <c r="B5" s="15" t="s">
        <v>207</v>
      </c>
      <c r="C5" s="28">
        <v>3</v>
      </c>
      <c r="D5" s="15" t="s">
        <v>765</v>
      </c>
      <c r="E5" s="15"/>
      <c r="F5" s="15" t="s">
        <v>766</v>
      </c>
      <c r="G5" s="15"/>
      <c r="H5" s="15" t="s">
        <v>767</v>
      </c>
      <c r="I5" s="15"/>
      <c r="J5" s="15" t="s">
        <v>768</v>
      </c>
      <c r="K5" s="15"/>
      <c r="L5" s="15" t="s">
        <v>769</v>
      </c>
      <c r="M5" s="15"/>
      <c r="N5" s="15" t="s">
        <v>229</v>
      </c>
      <c r="O5" s="15"/>
      <c r="P5" s="15"/>
    </row>
    <row r="6" spans="1:16">
      <c r="A6" s="14" t="s">
        <v>206</v>
      </c>
      <c r="B6" s="15" t="s">
        <v>207</v>
      </c>
      <c r="C6" s="28">
        <v>4</v>
      </c>
      <c r="D6" s="15" t="s">
        <v>770</v>
      </c>
      <c r="E6" s="15"/>
      <c r="F6" s="15" t="s">
        <v>771</v>
      </c>
      <c r="G6" s="15"/>
      <c r="H6" s="15" t="s">
        <v>772</v>
      </c>
      <c r="I6" s="15"/>
      <c r="J6" s="15" t="s">
        <v>773</v>
      </c>
      <c r="K6" s="15"/>
      <c r="L6" s="15" t="s">
        <v>774</v>
      </c>
      <c r="M6" s="15"/>
      <c r="N6" s="15" t="s">
        <v>214</v>
      </c>
      <c r="O6" s="15"/>
      <c r="P6" s="15"/>
    </row>
    <row r="7" spans="1:16">
      <c r="A7" s="14" t="s">
        <v>237</v>
      </c>
      <c r="B7" s="15" t="s">
        <v>198</v>
      </c>
      <c r="C7" s="28">
        <v>3</v>
      </c>
      <c r="D7" s="15" t="s">
        <v>775</v>
      </c>
      <c r="E7" s="15"/>
      <c r="F7" s="15" t="s">
        <v>776</v>
      </c>
      <c r="G7" s="15"/>
      <c r="H7" s="15" t="s">
        <v>777</v>
      </c>
      <c r="I7" s="15"/>
      <c r="J7" s="15" t="s">
        <v>778</v>
      </c>
      <c r="K7" s="15"/>
      <c r="L7" s="15" t="s">
        <v>779</v>
      </c>
      <c r="M7" s="15"/>
      <c r="N7" s="15" t="s">
        <v>205</v>
      </c>
      <c r="O7" s="15"/>
      <c r="P7" s="15"/>
    </row>
    <row r="8" spans="1:16">
      <c r="A8" s="14" t="s">
        <v>230</v>
      </c>
      <c r="B8" s="15" t="s">
        <v>198</v>
      </c>
      <c r="C8" s="28">
        <v>4</v>
      </c>
      <c r="D8" s="15" t="s">
        <v>780</v>
      </c>
      <c r="E8" s="15"/>
      <c r="F8" s="15" t="s">
        <v>781</v>
      </c>
      <c r="G8" s="15"/>
      <c r="H8" s="15" t="s">
        <v>782</v>
      </c>
      <c r="I8" s="15"/>
      <c r="J8" s="15" t="s">
        <v>783</v>
      </c>
      <c r="K8" s="15"/>
      <c r="L8" s="15" t="s">
        <v>784</v>
      </c>
      <c r="M8" s="15"/>
      <c r="N8" s="15" t="s">
        <v>205</v>
      </c>
      <c r="O8" s="15"/>
      <c r="P8" s="15"/>
    </row>
    <row r="9" spans="1:16">
      <c r="A9" s="14" t="s">
        <v>244</v>
      </c>
      <c r="B9" s="15" t="s">
        <v>245</v>
      </c>
      <c r="C9" s="28">
        <v>2</v>
      </c>
      <c r="D9" s="17">
        <v>79</v>
      </c>
      <c r="E9" s="17"/>
      <c r="F9" s="15" t="s">
        <v>785</v>
      </c>
      <c r="G9" s="15"/>
      <c r="H9" s="15" t="s">
        <v>786</v>
      </c>
      <c r="I9" s="15"/>
      <c r="J9" s="15" t="s">
        <v>787</v>
      </c>
      <c r="K9" s="15"/>
      <c r="L9" s="18"/>
      <c r="M9" s="18"/>
      <c r="N9" s="15" t="s">
        <v>252</v>
      </c>
      <c r="O9" s="15"/>
      <c r="P9" s="15"/>
    </row>
    <row r="10" spans="1:16">
      <c r="A10" s="14" t="s">
        <v>267</v>
      </c>
      <c r="B10" s="15" t="s">
        <v>207</v>
      </c>
      <c r="C10" s="28">
        <v>2</v>
      </c>
      <c r="D10" s="15" t="s">
        <v>788</v>
      </c>
      <c r="E10" s="15"/>
      <c r="F10" s="15" t="s">
        <v>789</v>
      </c>
      <c r="G10" s="15"/>
      <c r="H10" s="15" t="s">
        <v>790</v>
      </c>
      <c r="I10" s="15"/>
      <c r="J10" s="15" t="s">
        <v>791</v>
      </c>
      <c r="K10" s="15"/>
      <c r="L10" s="15" t="s">
        <v>792</v>
      </c>
      <c r="M10" s="15"/>
      <c r="N10" s="15" t="s">
        <v>214</v>
      </c>
      <c r="O10" s="15"/>
      <c r="P10" s="15"/>
    </row>
    <row r="11" spans="1:16">
      <c r="A11" s="14" t="s">
        <v>253</v>
      </c>
      <c r="B11" s="15" t="s">
        <v>198</v>
      </c>
      <c r="C11" s="28">
        <v>3</v>
      </c>
      <c r="D11" s="15" t="s">
        <v>793</v>
      </c>
      <c r="E11" s="15"/>
      <c r="F11" s="15" t="s">
        <v>794</v>
      </c>
      <c r="G11" s="15"/>
      <c r="H11" s="15" t="s">
        <v>795</v>
      </c>
      <c r="I11" s="15"/>
      <c r="J11" s="15" t="s">
        <v>796</v>
      </c>
      <c r="K11" s="15"/>
      <c r="L11" s="15" t="s">
        <v>797</v>
      </c>
      <c r="M11" s="15"/>
      <c r="N11" s="15" t="s">
        <v>205</v>
      </c>
      <c r="O11" s="15"/>
      <c r="P11" s="15"/>
    </row>
    <row r="12" spans="1:16">
      <c r="A12" s="14" t="s">
        <v>260</v>
      </c>
      <c r="B12" s="15" t="s">
        <v>245</v>
      </c>
      <c r="C12" s="28">
        <v>2</v>
      </c>
      <c r="D12" s="17">
        <v>45.1</v>
      </c>
      <c r="E12" s="17"/>
      <c r="F12" s="15" t="s">
        <v>798</v>
      </c>
      <c r="G12" s="15"/>
      <c r="H12" s="15" t="s">
        <v>799</v>
      </c>
      <c r="I12" s="15"/>
      <c r="J12" s="15" t="s">
        <v>800</v>
      </c>
      <c r="K12" s="15"/>
      <c r="L12" s="18"/>
      <c r="M12" s="18"/>
      <c r="N12" s="15" t="s">
        <v>252</v>
      </c>
      <c r="O12" s="15"/>
      <c r="P12" s="15"/>
    </row>
    <row r="13" spans="1:16">
      <c r="A13" s="14" t="s">
        <v>274</v>
      </c>
      <c r="B13" s="15" t="s">
        <v>207</v>
      </c>
      <c r="C13" s="28">
        <v>4</v>
      </c>
      <c r="D13" s="15" t="s">
        <v>801</v>
      </c>
      <c r="E13" s="15"/>
      <c r="F13" s="15" t="s">
        <v>802</v>
      </c>
      <c r="G13" s="15"/>
      <c r="H13" s="15" t="s">
        <v>803</v>
      </c>
      <c r="I13" s="15"/>
      <c r="J13" s="15" t="s">
        <v>804</v>
      </c>
      <c r="K13" s="15"/>
      <c r="L13" s="15" t="s">
        <v>805</v>
      </c>
      <c r="M13" s="15"/>
      <c r="N13" s="15" t="s">
        <v>214</v>
      </c>
      <c r="O13" s="15"/>
      <c r="P13" s="15"/>
    </row>
    <row r="14" spans="1:16">
      <c r="A14" s="14" t="s">
        <v>281</v>
      </c>
      <c r="B14" s="15" t="s">
        <v>282</v>
      </c>
      <c r="C14" s="28">
        <v>1</v>
      </c>
      <c r="D14" s="17">
        <v>60</v>
      </c>
      <c r="E14" s="17"/>
      <c r="F14" s="7">
        <v>1.7989999999999999</v>
      </c>
      <c r="G14" s="7"/>
      <c r="H14" s="8">
        <v>254711180</v>
      </c>
      <c r="I14" s="8"/>
      <c r="J14" s="8">
        <v>138948820</v>
      </c>
      <c r="K14" s="8"/>
      <c r="L14" s="17">
        <v>64.7</v>
      </c>
      <c r="M14" s="17"/>
      <c r="N14" s="15" t="s">
        <v>283</v>
      </c>
      <c r="O14" s="15"/>
      <c r="P14" s="15"/>
    </row>
    <row r="15" spans="1:16">
      <c r="A15" s="14" t="s">
        <v>284</v>
      </c>
      <c r="B15" s="15" t="s">
        <v>207</v>
      </c>
      <c r="C15" s="28">
        <v>2</v>
      </c>
      <c r="D15" s="15" t="s">
        <v>806</v>
      </c>
      <c r="E15" s="15"/>
      <c r="F15" s="15" t="s">
        <v>807</v>
      </c>
      <c r="G15" s="15"/>
      <c r="H15" s="15" t="s">
        <v>808</v>
      </c>
      <c r="I15" s="15"/>
      <c r="J15" s="15" t="s">
        <v>809</v>
      </c>
      <c r="K15" s="15"/>
      <c r="L15" s="15" t="s">
        <v>810</v>
      </c>
      <c r="M15" s="15"/>
      <c r="N15" s="15" t="s">
        <v>229</v>
      </c>
      <c r="O15" s="15"/>
      <c r="P15" s="15"/>
    </row>
    <row r="16" spans="1:16">
      <c r="A16" s="14" t="s">
        <v>291</v>
      </c>
      <c r="B16" s="15" t="s">
        <v>245</v>
      </c>
      <c r="C16" s="28">
        <v>2</v>
      </c>
      <c r="D16" s="17">
        <v>132.5</v>
      </c>
      <c r="E16" s="17"/>
      <c r="F16" s="15" t="s">
        <v>811</v>
      </c>
      <c r="G16" s="15"/>
      <c r="H16" s="15" t="s">
        <v>812</v>
      </c>
      <c r="I16" s="15"/>
      <c r="J16" s="15" t="s">
        <v>813</v>
      </c>
      <c r="K16" s="15"/>
      <c r="L16" s="18"/>
      <c r="M16" s="18"/>
      <c r="N16" s="15" t="s">
        <v>252</v>
      </c>
      <c r="O16" s="15"/>
      <c r="P16" s="15"/>
    </row>
    <row r="17" spans="1:16">
      <c r="A17" s="14" t="s">
        <v>298</v>
      </c>
      <c r="B17" s="15" t="s">
        <v>299</v>
      </c>
      <c r="C17" s="28">
        <v>2</v>
      </c>
      <c r="D17" s="15" t="s">
        <v>814</v>
      </c>
      <c r="E17" s="15"/>
      <c r="F17" s="15" t="s">
        <v>815</v>
      </c>
      <c r="G17" s="15"/>
      <c r="H17" s="8">
        <v>261400000</v>
      </c>
      <c r="I17" s="8"/>
      <c r="J17" s="8">
        <v>199650000</v>
      </c>
      <c r="K17" s="8"/>
      <c r="L17" s="17">
        <v>56.7</v>
      </c>
      <c r="M17" s="17"/>
      <c r="N17" s="15" t="s">
        <v>305</v>
      </c>
      <c r="O17" s="15"/>
      <c r="P17" s="15"/>
    </row>
    <row r="18" spans="1:16">
      <c r="A18" s="14" t="s">
        <v>306</v>
      </c>
      <c r="B18" s="15" t="s">
        <v>207</v>
      </c>
      <c r="C18" s="28">
        <v>2</v>
      </c>
      <c r="D18" s="15" t="s">
        <v>816</v>
      </c>
      <c r="E18" s="15"/>
      <c r="F18" s="15" t="s">
        <v>817</v>
      </c>
      <c r="G18" s="15"/>
      <c r="H18" s="15" t="s">
        <v>818</v>
      </c>
      <c r="I18" s="15"/>
      <c r="J18" s="15" t="s">
        <v>819</v>
      </c>
      <c r="K18" s="15"/>
      <c r="L18" s="15" t="s">
        <v>820</v>
      </c>
      <c r="M18" s="15"/>
      <c r="N18" s="15" t="s">
        <v>214</v>
      </c>
      <c r="O18" s="15"/>
      <c r="P18" s="15"/>
    </row>
    <row r="19" spans="1:16">
      <c r="A19" s="16" t="s">
        <v>313</v>
      </c>
      <c r="B19" s="15" t="s">
        <v>207</v>
      </c>
      <c r="C19" s="28">
        <v>3</v>
      </c>
      <c r="D19" s="15" t="s">
        <v>821</v>
      </c>
      <c r="E19" s="15"/>
      <c r="F19" s="15" t="s">
        <v>822</v>
      </c>
      <c r="G19" s="15"/>
      <c r="H19" s="15" t="s">
        <v>823</v>
      </c>
      <c r="I19" s="15"/>
      <c r="J19" s="15" t="s">
        <v>824</v>
      </c>
      <c r="K19" s="15"/>
      <c r="L19" s="15" t="s">
        <v>825</v>
      </c>
      <c r="M19" s="15"/>
      <c r="N19" s="15" t="s">
        <v>229</v>
      </c>
      <c r="O19" s="15"/>
      <c r="P19" s="15"/>
    </row>
    <row r="20" spans="1:16">
      <c r="A20" s="14" t="s">
        <v>320</v>
      </c>
      <c r="B20" s="15" t="s">
        <v>207</v>
      </c>
      <c r="C20" s="28">
        <v>3</v>
      </c>
      <c r="D20" s="29">
        <v>500</v>
      </c>
      <c r="E20" s="29"/>
      <c r="F20" s="15" t="s">
        <v>826</v>
      </c>
      <c r="G20" s="15"/>
      <c r="H20" s="15" t="s">
        <v>827</v>
      </c>
      <c r="I20" s="15"/>
      <c r="J20" s="15" t="s">
        <v>828</v>
      </c>
      <c r="K20" s="15"/>
      <c r="L20" s="15" t="s">
        <v>829</v>
      </c>
      <c r="M20" s="15"/>
      <c r="N20" s="15" t="s">
        <v>229</v>
      </c>
      <c r="O20" s="15"/>
      <c r="P20" s="15"/>
    </row>
    <row r="21" spans="1:16">
      <c r="A21" s="14" t="s">
        <v>328</v>
      </c>
      <c r="B21" s="15" t="s">
        <v>282</v>
      </c>
      <c r="C21" s="28">
        <v>3</v>
      </c>
      <c r="D21" s="15" t="s">
        <v>830</v>
      </c>
      <c r="E21" s="15"/>
      <c r="F21" s="15" t="s">
        <v>831</v>
      </c>
      <c r="G21" s="15"/>
      <c r="H21" s="15" t="s">
        <v>832</v>
      </c>
      <c r="I21" s="15"/>
      <c r="J21" s="15" t="s">
        <v>833</v>
      </c>
      <c r="K21" s="15"/>
      <c r="L21" s="17">
        <v>51.7</v>
      </c>
      <c r="M21" s="17"/>
      <c r="N21" s="15" t="s">
        <v>305</v>
      </c>
      <c r="O21" s="15"/>
      <c r="P21" s="15"/>
    </row>
    <row r="22" spans="1:16">
      <c r="A22" s="14" t="s">
        <v>327</v>
      </c>
      <c r="B22" s="15" t="s">
        <v>207</v>
      </c>
      <c r="C22" s="28">
        <v>1</v>
      </c>
      <c r="D22" s="8">
        <v>4600</v>
      </c>
      <c r="E22" s="8"/>
      <c r="F22" s="7">
        <v>9.1319999999999997</v>
      </c>
      <c r="G22" s="7"/>
      <c r="H22" s="8">
        <v>494205000</v>
      </c>
      <c r="I22" s="8"/>
      <c r="J22" s="8">
        <v>630795000</v>
      </c>
      <c r="K22" s="8"/>
      <c r="L22" s="17">
        <v>43.9</v>
      </c>
      <c r="M22" s="17"/>
      <c r="N22" s="15" t="s">
        <v>229</v>
      </c>
      <c r="O22" s="15"/>
      <c r="P22" s="15"/>
    </row>
    <row r="23" spans="1:16">
      <c r="A23" s="14" t="s">
        <v>334</v>
      </c>
      <c r="B23" s="15" t="s">
        <v>282</v>
      </c>
      <c r="C23" s="28">
        <v>3</v>
      </c>
      <c r="D23" s="15" t="s">
        <v>834</v>
      </c>
      <c r="E23" s="15"/>
      <c r="F23" s="15" t="s">
        <v>835</v>
      </c>
      <c r="G23" s="15"/>
      <c r="H23" s="15" t="s">
        <v>836</v>
      </c>
      <c r="I23" s="15"/>
      <c r="J23" s="15" t="s">
        <v>837</v>
      </c>
      <c r="K23" s="15"/>
      <c r="L23" s="17">
        <v>58.4</v>
      </c>
      <c r="M23" s="17"/>
      <c r="N23" s="15" t="s">
        <v>305</v>
      </c>
      <c r="O23" s="15"/>
      <c r="P23" s="15"/>
    </row>
    <row r="24" spans="1:16">
      <c r="A24" s="14" t="s">
        <v>340</v>
      </c>
      <c r="B24" s="15" t="s">
        <v>245</v>
      </c>
      <c r="C24" s="28">
        <v>1</v>
      </c>
      <c r="D24" s="8">
        <v>1150</v>
      </c>
      <c r="E24" s="8"/>
      <c r="F24" s="7">
        <v>12.8</v>
      </c>
      <c r="G24" s="7"/>
      <c r="H24" s="8">
        <v>504572834</v>
      </c>
      <c r="I24" s="8"/>
      <c r="J24" s="8">
        <v>413574000</v>
      </c>
      <c r="K24" s="8"/>
      <c r="L24" s="18"/>
      <c r="M24" s="18"/>
      <c r="N24" s="15" t="s">
        <v>252</v>
      </c>
      <c r="O24" s="15"/>
      <c r="P24" s="15"/>
    </row>
    <row r="25" spans="1:16">
      <c r="A25" s="14" t="s">
        <v>355</v>
      </c>
      <c r="B25" s="15" t="s">
        <v>282</v>
      </c>
      <c r="C25" s="28">
        <v>2</v>
      </c>
      <c r="D25" s="15" t="s">
        <v>838</v>
      </c>
      <c r="E25" s="15"/>
      <c r="F25" s="7">
        <v>15.73</v>
      </c>
      <c r="G25" s="7"/>
      <c r="H25" s="8">
        <v>1468410000</v>
      </c>
      <c r="I25" s="8"/>
      <c r="J25" s="8">
        <v>1195130000</v>
      </c>
      <c r="K25" s="8"/>
      <c r="L25" s="17">
        <v>55.1</v>
      </c>
      <c r="M25" s="17"/>
      <c r="N25" s="15" t="s">
        <v>305</v>
      </c>
      <c r="O25" s="15"/>
      <c r="P25" s="15"/>
    </row>
    <row r="26" spans="1:16">
      <c r="A26" s="14" t="s">
        <v>348</v>
      </c>
      <c r="B26" s="15" t="s">
        <v>245</v>
      </c>
      <c r="C26" s="28">
        <v>2</v>
      </c>
      <c r="D26" s="8">
        <v>2517</v>
      </c>
      <c r="E26" s="8"/>
      <c r="F26" s="15" t="s">
        <v>839</v>
      </c>
      <c r="G26" s="15"/>
      <c r="H26" s="15" t="s">
        <v>840</v>
      </c>
      <c r="I26" s="15"/>
      <c r="J26" s="15" t="s">
        <v>841</v>
      </c>
      <c r="K26" s="15"/>
      <c r="L26" s="18"/>
      <c r="M26" s="18"/>
      <c r="N26" s="15" t="s">
        <v>252</v>
      </c>
      <c r="O26" s="15"/>
      <c r="P26" s="15"/>
    </row>
    <row r="27" spans="1:16">
      <c r="A27" s="14" t="s">
        <v>341</v>
      </c>
      <c r="B27" s="15" t="s">
        <v>207</v>
      </c>
      <c r="C27" s="28">
        <v>3</v>
      </c>
      <c r="D27" s="15" t="s">
        <v>842</v>
      </c>
      <c r="E27" s="15"/>
      <c r="F27" s="15" t="s">
        <v>843</v>
      </c>
      <c r="G27" s="15"/>
      <c r="H27" s="8">
        <v>795112070</v>
      </c>
      <c r="I27" s="8"/>
      <c r="J27" s="8">
        <v>951677930</v>
      </c>
      <c r="K27" s="8"/>
      <c r="L27" s="17">
        <v>45.5</v>
      </c>
      <c r="M27" s="17"/>
      <c r="N27" s="15" t="s">
        <v>214</v>
      </c>
      <c r="O27" s="15"/>
      <c r="P27" s="15"/>
    </row>
    <row r="28" spans="1:16">
      <c r="A28" s="14" t="s">
        <v>362</v>
      </c>
      <c r="B28" s="15" t="s">
        <v>282</v>
      </c>
      <c r="C28" s="28">
        <v>2</v>
      </c>
      <c r="D28" s="29">
        <v>859</v>
      </c>
      <c r="E28" s="29"/>
      <c r="F28" s="7">
        <v>30.216000000000001</v>
      </c>
      <c r="G28" s="7"/>
      <c r="H28" s="8">
        <v>3246430000</v>
      </c>
      <c r="I28" s="8"/>
      <c r="J28" s="8">
        <v>2073030000</v>
      </c>
      <c r="K28" s="8"/>
      <c r="L28" s="29">
        <v>61</v>
      </c>
      <c r="M28" s="29"/>
      <c r="N28" s="15" t="s">
        <v>305</v>
      </c>
      <c r="O28" s="15"/>
      <c r="P28" s="15"/>
    </row>
    <row r="29" spans="1:16">
      <c r="A29" s="14" t="s">
        <v>368</v>
      </c>
      <c r="B29" s="15" t="s">
        <v>282</v>
      </c>
      <c r="C29" s="28">
        <v>1</v>
      </c>
      <c r="D29" s="8">
        <v>5700</v>
      </c>
      <c r="E29" s="8"/>
      <c r="F29" s="7">
        <v>46.161999999999999</v>
      </c>
      <c r="G29" s="7"/>
      <c r="H29" s="8">
        <v>3439004620</v>
      </c>
      <c r="I29" s="8"/>
      <c r="J29" s="8">
        <v>3154415380</v>
      </c>
      <c r="K29" s="8"/>
      <c r="L29" s="17">
        <v>52.2</v>
      </c>
      <c r="M29" s="17"/>
      <c r="N29" s="15" t="s">
        <v>283</v>
      </c>
      <c r="O29" s="15"/>
      <c r="P29" s="15"/>
    </row>
    <row r="30" spans="1:16">
      <c r="A30" s="14" t="s">
        <v>369</v>
      </c>
      <c r="B30" s="15" t="s">
        <v>282</v>
      </c>
      <c r="C30" s="28">
        <v>1</v>
      </c>
      <c r="D30" s="8">
        <v>3340</v>
      </c>
      <c r="E30" s="8"/>
      <c r="F30" s="7">
        <v>52.207999999999998</v>
      </c>
      <c r="G30" s="7"/>
      <c r="H30" s="8">
        <v>3690520000</v>
      </c>
      <c r="I30" s="8"/>
      <c r="J30" s="8">
        <v>3297740000</v>
      </c>
      <c r="K30" s="8"/>
      <c r="L30" s="17">
        <v>52.8</v>
      </c>
      <c r="M30" s="17"/>
      <c r="N30" s="15" t="s">
        <v>305</v>
      </c>
      <c r="O30" s="15"/>
      <c r="P30" s="15"/>
    </row>
    <row r="31" spans="1:16">
      <c r="A31" s="14" t="s">
        <v>370</v>
      </c>
      <c r="B31" s="15" t="s">
        <v>282</v>
      </c>
      <c r="C31" s="28">
        <v>1</v>
      </c>
      <c r="D31" s="8">
        <v>8012</v>
      </c>
      <c r="E31" s="8"/>
      <c r="F31" s="7">
        <v>61.47</v>
      </c>
      <c r="G31" s="7"/>
      <c r="H31" s="8">
        <v>3755620300</v>
      </c>
      <c r="I31" s="8"/>
      <c r="J31" s="8">
        <v>4878879700</v>
      </c>
      <c r="K31" s="8"/>
      <c r="L31" s="17">
        <v>43.5</v>
      </c>
      <c r="M31" s="17"/>
      <c r="N31" s="15" t="s">
        <v>283</v>
      </c>
      <c r="O31" s="15"/>
      <c r="P31" s="15"/>
    </row>
    <row r="32" spans="1:16">
      <c r="A32" s="14" t="s">
        <v>371</v>
      </c>
      <c r="B32" s="15" t="s">
        <v>372</v>
      </c>
      <c r="C32" s="28">
        <v>1</v>
      </c>
      <c r="D32" s="8">
        <v>100000</v>
      </c>
      <c r="E32" s="8"/>
      <c r="F32" s="7">
        <v>64.180000000000007</v>
      </c>
      <c r="G32" s="7"/>
      <c r="H32" s="8">
        <v>2224112553</v>
      </c>
      <c r="I32" s="8"/>
      <c r="J32" s="8">
        <v>4695783705</v>
      </c>
      <c r="K32" s="8"/>
      <c r="L32" s="17">
        <v>32.1</v>
      </c>
      <c r="M32" s="17"/>
      <c r="N32" s="15" t="s">
        <v>373</v>
      </c>
      <c r="O32" s="15"/>
      <c r="P32" s="15"/>
    </row>
    <row r="33" spans="1:16">
      <c r="A33" s="14" t="s">
        <v>374</v>
      </c>
      <c r="B33" s="15" t="s">
        <v>207</v>
      </c>
      <c r="C33" s="28">
        <v>2</v>
      </c>
      <c r="D33" s="15" t="s">
        <v>844</v>
      </c>
      <c r="E33" s="15"/>
      <c r="F33" s="15" t="s">
        <v>845</v>
      </c>
      <c r="G33" s="15"/>
      <c r="H33" s="15" t="s">
        <v>846</v>
      </c>
      <c r="I33" s="15"/>
      <c r="J33" s="15" t="s">
        <v>847</v>
      </c>
      <c r="K33" s="15"/>
      <c r="L33" s="15" t="s">
        <v>848</v>
      </c>
      <c r="M33" s="15"/>
      <c r="N33" s="15" t="s">
        <v>214</v>
      </c>
      <c r="O33" s="15"/>
      <c r="P33" s="15"/>
    </row>
    <row r="34" spans="1:16">
      <c r="A34" s="14" t="s">
        <v>382</v>
      </c>
      <c r="B34" s="15" t="s">
        <v>282</v>
      </c>
      <c r="C34" s="28">
        <v>1</v>
      </c>
      <c r="D34" s="8">
        <v>3900</v>
      </c>
      <c r="E34" s="8"/>
      <c r="F34" s="7">
        <v>87.346000000000004</v>
      </c>
      <c r="G34" s="7"/>
      <c r="H34" s="8">
        <v>6376160000</v>
      </c>
      <c r="I34" s="8"/>
      <c r="J34" s="8">
        <v>7162900000</v>
      </c>
      <c r="K34" s="8"/>
      <c r="L34" s="17">
        <v>47.1</v>
      </c>
      <c r="M34" s="17"/>
      <c r="N34" s="15" t="s">
        <v>305</v>
      </c>
      <c r="O34" s="15"/>
      <c r="P34" s="15"/>
    </row>
    <row r="35" spans="1:16">
      <c r="A35" s="14" t="s">
        <v>381</v>
      </c>
      <c r="B35" s="15" t="s">
        <v>372</v>
      </c>
      <c r="C35" s="28">
        <v>1</v>
      </c>
      <c r="D35" s="8">
        <v>25000</v>
      </c>
      <c r="E35" s="8"/>
      <c r="F35" s="7">
        <v>106.074</v>
      </c>
      <c r="G35" s="7"/>
      <c r="H35" s="8">
        <v>2724595233</v>
      </c>
      <c r="I35" s="8"/>
      <c r="J35" s="8">
        <v>5912784575</v>
      </c>
      <c r="K35" s="8"/>
      <c r="L35" s="17">
        <v>31.5</v>
      </c>
      <c r="M35" s="17"/>
      <c r="N35" s="15" t="s">
        <v>373</v>
      </c>
      <c r="O35" s="15"/>
      <c r="P35" s="15"/>
    </row>
    <row r="36" spans="1:16">
      <c r="A36" s="14" t="s">
        <v>384</v>
      </c>
      <c r="B36" s="15" t="s">
        <v>282</v>
      </c>
      <c r="C36" s="28">
        <v>2</v>
      </c>
      <c r="D36" s="8">
        <v>8000</v>
      </c>
      <c r="E36" s="8"/>
      <c r="F36" s="7">
        <v>151.19399999999999</v>
      </c>
      <c r="G36" s="7"/>
      <c r="H36" s="8">
        <v>10948086440</v>
      </c>
      <c r="I36" s="8"/>
      <c r="J36" s="8">
        <v>9175538564</v>
      </c>
      <c r="K36" s="8"/>
      <c r="L36" s="17">
        <v>54.4</v>
      </c>
      <c r="M36" s="17"/>
      <c r="N36" s="15" t="s">
        <v>283</v>
      </c>
      <c r="O36" s="15"/>
      <c r="P36" s="15"/>
    </row>
    <row r="37" spans="1:16">
      <c r="A37" s="14" t="s">
        <v>383</v>
      </c>
      <c r="B37" s="15" t="s">
        <v>372</v>
      </c>
      <c r="C37" s="28">
        <v>1</v>
      </c>
      <c r="D37" s="8">
        <v>60000</v>
      </c>
      <c r="E37" s="8"/>
      <c r="F37" s="7">
        <v>154.71799999999999</v>
      </c>
      <c r="G37" s="7"/>
      <c r="H37" s="8">
        <v>3058814227</v>
      </c>
      <c r="I37" s="8"/>
      <c r="J37" s="8">
        <v>9343246559</v>
      </c>
      <c r="K37" s="8"/>
      <c r="L37" s="17">
        <v>24.7</v>
      </c>
      <c r="M37" s="17"/>
      <c r="N37" s="15" t="s">
        <v>373</v>
      </c>
      <c r="O37" s="15"/>
      <c r="P37" s="15"/>
    </row>
    <row r="38" spans="1:16">
      <c r="A38" s="14" t="s">
        <v>385</v>
      </c>
      <c r="B38" s="15" t="s">
        <v>372</v>
      </c>
      <c r="C38" s="28">
        <v>1</v>
      </c>
      <c r="D38" s="8">
        <v>218000</v>
      </c>
      <c r="E38" s="8"/>
      <c r="F38" s="7">
        <v>306.86</v>
      </c>
      <c r="G38" s="7"/>
      <c r="H38" s="8">
        <v>4911651549</v>
      </c>
      <c r="I38" s="8"/>
      <c r="J38" s="8">
        <v>16977183580</v>
      </c>
      <c r="K38" s="8"/>
      <c r="L38" s="17">
        <v>22.4</v>
      </c>
      <c r="M38" s="17"/>
      <c r="N38" s="15" t="s">
        <v>373</v>
      </c>
      <c r="O38" s="15"/>
      <c r="P38" s="15"/>
    </row>
    <row r="39" spans="1:16">
      <c r="A39" s="14" t="s">
        <v>386</v>
      </c>
      <c r="B39" s="15" t="s">
        <v>372</v>
      </c>
      <c r="C39" s="28">
        <v>1</v>
      </c>
      <c r="D39" s="8">
        <v>470000</v>
      </c>
      <c r="E39" s="8"/>
      <c r="F39" s="7">
        <v>537.21799999999996</v>
      </c>
      <c r="G39" s="7"/>
      <c r="H39" s="8">
        <v>10751287650</v>
      </c>
      <c r="I39" s="8"/>
      <c r="J39" s="8">
        <v>37912932350</v>
      </c>
      <c r="K39" s="8"/>
      <c r="L39" s="17">
        <v>23.5</v>
      </c>
      <c r="M39" s="17"/>
      <c r="N39" s="15" t="s">
        <v>373</v>
      </c>
      <c r="O39" s="15"/>
      <c r="P39" s="15"/>
    </row>
    <row r="40" spans="1:16">
      <c r="A40" s="14" t="s">
        <v>387</v>
      </c>
      <c r="B40" s="15" t="s">
        <v>282</v>
      </c>
      <c r="C40" s="28">
        <v>4</v>
      </c>
      <c r="D40" s="8">
        <v>70000</v>
      </c>
      <c r="E40" s="8"/>
      <c r="F40" s="15" t="s">
        <v>849</v>
      </c>
      <c r="G40" s="15"/>
      <c r="H40" s="15" t="s">
        <v>850</v>
      </c>
      <c r="I40" s="15"/>
      <c r="J40" s="15" t="s">
        <v>851</v>
      </c>
      <c r="K40" s="15"/>
      <c r="L40" s="15" t="s">
        <v>852</v>
      </c>
      <c r="M40" s="15"/>
      <c r="N40" s="15" t="s">
        <v>394</v>
      </c>
      <c r="O40" s="15"/>
      <c r="P40" s="15"/>
    </row>
    <row r="41" spans="1:16">
      <c r="A41" s="14" t="s">
        <v>395</v>
      </c>
      <c r="B41" s="15" t="s">
        <v>245</v>
      </c>
      <c r="C41" s="28">
        <v>1</v>
      </c>
      <c r="D41" s="8">
        <v>5000000</v>
      </c>
      <c r="E41" s="8"/>
      <c r="F41" s="11">
        <v>4618.62</v>
      </c>
      <c r="G41" s="11"/>
      <c r="H41" s="8">
        <v>257043473412</v>
      </c>
      <c r="I41" s="8"/>
      <c r="J41" s="8">
        <v>216057982337</v>
      </c>
      <c r="K41" s="8"/>
      <c r="L41" s="30"/>
      <c r="M41" s="30"/>
      <c r="N41" s="15" t="s">
        <v>396</v>
      </c>
      <c r="O41" s="15"/>
      <c r="P41" s="15"/>
    </row>
    <row r="43" spans="1:16">
      <c r="A43" s="34" t="s">
        <v>862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Q41"/>
  <sheetViews>
    <sheetView workbookViewId="0">
      <selection activeCell="B2" sqref="B2"/>
    </sheetView>
  </sheetViews>
  <sheetFormatPr baseColWidth="10" defaultRowHeight="16"/>
  <cols>
    <col min="1" max="1" width="21.6640625" customWidth="1"/>
    <col min="2" max="2" width="19.83203125" customWidth="1"/>
    <col min="3" max="3" width="4" customWidth="1"/>
    <col min="4" max="4" width="22.83203125" customWidth="1"/>
    <col min="5" max="5" width="13.1640625" customWidth="1"/>
    <col min="6" max="17" width="22.83203125" customWidth="1"/>
  </cols>
  <sheetData>
    <row r="1" spans="1:17">
      <c r="A1" t="s">
        <v>0</v>
      </c>
      <c r="B1" t="s">
        <v>2</v>
      </c>
      <c r="C1" t="s">
        <v>863</v>
      </c>
      <c r="D1" t="s">
        <v>3</v>
      </c>
      <c r="E1" t="s">
        <v>866</v>
      </c>
      <c r="F1" t="s">
        <v>4</v>
      </c>
      <c r="G1" t="s">
        <v>865</v>
      </c>
      <c r="H1" t="s">
        <v>5</v>
      </c>
      <c r="I1" t="s">
        <v>867</v>
      </c>
      <c r="J1" t="s">
        <v>6</v>
      </c>
      <c r="K1" t="s">
        <v>7</v>
      </c>
      <c r="L1" t="s">
        <v>8</v>
      </c>
      <c r="M1" t="s">
        <v>9</v>
      </c>
      <c r="N1" t="s">
        <v>10</v>
      </c>
      <c r="O1" t="s">
        <v>11</v>
      </c>
      <c r="P1" t="s">
        <v>12</v>
      </c>
      <c r="Q1" t="s">
        <v>1</v>
      </c>
    </row>
    <row r="2" spans="1:17">
      <c r="A2" t="s">
        <v>14</v>
      </c>
      <c r="B2" t="s">
        <v>15</v>
      </c>
      <c r="C2" t="s">
        <v>863</v>
      </c>
      <c r="D2" s="36">
        <v>8.4000000000000005E-2</v>
      </c>
      <c r="E2">
        <v>8.9999999999999993E-3</v>
      </c>
      <c r="F2" s="1">
        <v>9730000</v>
      </c>
      <c r="G2" s="1">
        <v>352000</v>
      </c>
      <c r="H2" s="1">
        <v>9290000</v>
      </c>
      <c r="I2" s="1">
        <v>1112000</v>
      </c>
      <c r="J2" s="1">
        <v>116727</v>
      </c>
      <c r="K2" s="1">
        <v>9387</v>
      </c>
      <c r="L2" s="1">
        <v>111754</v>
      </c>
      <c r="M2" s="1">
        <v>18566</v>
      </c>
      <c r="N2">
        <v>0.95799999999999996</v>
      </c>
      <c r="O2">
        <v>0.13500000000000001</v>
      </c>
      <c r="P2" t="s">
        <v>16</v>
      </c>
      <c r="Q2" t="s">
        <v>13</v>
      </c>
    </row>
    <row r="3" spans="1:17">
      <c r="A3" t="s">
        <v>18</v>
      </c>
      <c r="B3" t="s">
        <v>19</v>
      </c>
      <c r="C3" t="s">
        <v>863</v>
      </c>
      <c r="D3" s="36">
        <v>0.17299999999999999</v>
      </c>
      <c r="E3">
        <v>1.4999999999999999E-2</v>
      </c>
      <c r="F3" s="1">
        <v>13688162</v>
      </c>
      <c r="G3" s="1">
        <v>2242257</v>
      </c>
      <c r="H3" s="1">
        <v>12061838</v>
      </c>
      <c r="I3" s="1">
        <v>3668594</v>
      </c>
      <c r="J3" s="1">
        <v>78672</v>
      </c>
      <c r="K3" s="1">
        <v>7683</v>
      </c>
      <c r="L3" s="1">
        <v>68643</v>
      </c>
      <c r="M3" s="1">
        <v>15807</v>
      </c>
      <c r="N3">
        <v>0.87</v>
      </c>
      <c r="O3">
        <v>0.17699999999999999</v>
      </c>
      <c r="P3" t="s">
        <v>20</v>
      </c>
      <c r="Q3" t="s">
        <v>17</v>
      </c>
    </row>
    <row r="4" spans="1:17">
      <c r="A4" t="s">
        <v>22</v>
      </c>
      <c r="B4" t="s">
        <v>15</v>
      </c>
      <c r="C4" t="s">
        <v>863</v>
      </c>
      <c r="D4" s="36">
        <v>0.19700000000000001</v>
      </c>
      <c r="E4">
        <v>1.2E-2</v>
      </c>
      <c r="F4" s="1">
        <v>11876000</v>
      </c>
      <c r="G4" s="1">
        <v>1569000</v>
      </c>
      <c r="H4" s="1">
        <v>15820000</v>
      </c>
      <c r="I4" s="1">
        <v>1158000</v>
      </c>
      <c r="J4" s="1">
        <v>60214</v>
      </c>
      <c r="K4" s="1">
        <v>4935</v>
      </c>
      <c r="L4" s="1">
        <v>80729</v>
      </c>
      <c r="M4" s="1">
        <v>8731</v>
      </c>
      <c r="N4">
        <v>1.357</v>
      </c>
      <c r="O4">
        <v>0.25</v>
      </c>
      <c r="P4" t="s">
        <v>16</v>
      </c>
      <c r="Q4" t="s">
        <v>21</v>
      </c>
    </row>
    <row r="5" spans="1:17">
      <c r="A5" t="s">
        <v>24</v>
      </c>
      <c r="B5" t="s">
        <v>19</v>
      </c>
      <c r="C5" t="s">
        <v>863</v>
      </c>
      <c r="D5" s="36">
        <v>0.184</v>
      </c>
      <c r="E5">
        <v>2.5999999999999999E-2</v>
      </c>
      <c r="F5" s="1">
        <v>6151875</v>
      </c>
      <c r="G5" s="1">
        <v>1065587</v>
      </c>
      <c r="H5" s="1">
        <v>8398125</v>
      </c>
      <c r="I5" s="1">
        <v>1197056</v>
      </c>
      <c r="J5" s="1">
        <v>33374</v>
      </c>
      <c r="K5" s="1">
        <v>2063</v>
      </c>
      <c r="L5" s="1">
        <v>45894</v>
      </c>
      <c r="M5" s="1">
        <v>11497</v>
      </c>
      <c r="N5">
        <v>1.365</v>
      </c>
      <c r="O5">
        <v>0.125</v>
      </c>
      <c r="P5" t="s">
        <v>25</v>
      </c>
      <c r="Q5" t="s">
        <v>23</v>
      </c>
    </row>
    <row r="6" spans="1:17">
      <c r="A6" t="s">
        <v>27</v>
      </c>
      <c r="B6" t="s">
        <v>15</v>
      </c>
      <c r="C6" t="s">
        <v>863</v>
      </c>
      <c r="D6" s="36">
        <v>0.42</v>
      </c>
      <c r="E6">
        <v>2.4E-2</v>
      </c>
      <c r="F6" s="1">
        <v>17250000</v>
      </c>
      <c r="G6" s="1">
        <v>3105000</v>
      </c>
      <c r="H6" s="1">
        <v>32010000</v>
      </c>
      <c r="I6" s="1">
        <v>8822000</v>
      </c>
      <c r="J6" s="1">
        <v>40777</v>
      </c>
      <c r="K6" s="1">
        <v>5145</v>
      </c>
      <c r="L6" s="1">
        <v>76995</v>
      </c>
      <c r="M6" s="1">
        <v>25019</v>
      </c>
      <c r="N6">
        <v>1.966</v>
      </c>
      <c r="O6">
        <v>0.92400000000000004</v>
      </c>
      <c r="P6" t="s">
        <v>16</v>
      </c>
      <c r="Q6" t="s">
        <v>26</v>
      </c>
    </row>
    <row r="7" spans="1:17">
      <c r="A7" t="s">
        <v>29</v>
      </c>
      <c r="B7" t="s">
        <v>15</v>
      </c>
      <c r="C7" t="s">
        <v>863</v>
      </c>
      <c r="D7" s="36">
        <v>0.42899999999999999</v>
      </c>
      <c r="E7">
        <v>1.9E-2</v>
      </c>
      <c r="F7" s="1">
        <v>15690000</v>
      </c>
      <c r="G7" s="1">
        <v>2611000</v>
      </c>
      <c r="H7" s="1">
        <v>39870000</v>
      </c>
      <c r="I7" s="1">
        <v>4884000</v>
      </c>
      <c r="J7" s="1">
        <v>36727</v>
      </c>
      <c r="K7" s="1">
        <v>7359</v>
      </c>
      <c r="L7" s="1">
        <v>93185</v>
      </c>
      <c r="M7" s="1">
        <v>14583</v>
      </c>
      <c r="N7">
        <v>2.581</v>
      </c>
      <c r="O7">
        <v>0.109</v>
      </c>
      <c r="P7" t="s">
        <v>16</v>
      </c>
      <c r="Q7" t="s">
        <v>28</v>
      </c>
    </row>
    <row r="8" spans="1:17">
      <c r="A8" t="s">
        <v>31</v>
      </c>
      <c r="B8" t="s">
        <v>32</v>
      </c>
      <c r="C8" t="s">
        <v>863</v>
      </c>
      <c r="D8" s="36">
        <v>0.439</v>
      </c>
      <c r="E8">
        <v>3.5000000000000003E-2</v>
      </c>
      <c r="F8" s="1">
        <v>21516000</v>
      </c>
      <c r="G8" s="1">
        <v>2154000</v>
      </c>
      <c r="H8" s="1">
        <v>21370000</v>
      </c>
      <c r="I8" s="1">
        <v>4614000</v>
      </c>
      <c r="J8" s="1">
        <v>48932</v>
      </c>
      <c r="K8" s="1">
        <v>1004</v>
      </c>
      <c r="L8" s="1">
        <v>48146</v>
      </c>
      <c r="M8" s="1">
        <v>6674</v>
      </c>
      <c r="N8">
        <v>0.98199999999999998</v>
      </c>
      <c r="O8">
        <v>0.11600000000000001</v>
      </c>
      <c r="P8" t="s">
        <v>33</v>
      </c>
      <c r="Q8" t="s">
        <v>30</v>
      </c>
    </row>
    <row r="9" spans="1:17">
      <c r="A9" t="s">
        <v>35</v>
      </c>
      <c r="B9" t="s">
        <v>15</v>
      </c>
      <c r="C9" t="s">
        <v>863</v>
      </c>
      <c r="D9" s="36">
        <v>0.47599999999999998</v>
      </c>
      <c r="E9">
        <v>3.2000000000000001E-2</v>
      </c>
      <c r="F9" s="1">
        <v>26680000</v>
      </c>
      <c r="G9" s="1">
        <v>5113000</v>
      </c>
      <c r="H9" s="1">
        <v>38540000</v>
      </c>
      <c r="I9" s="1">
        <v>5567000</v>
      </c>
      <c r="J9" s="1">
        <v>60461</v>
      </c>
      <c r="K9" s="1">
        <v>12249</v>
      </c>
      <c r="L9" s="1">
        <v>80745</v>
      </c>
      <c r="M9" s="1">
        <v>6407</v>
      </c>
      <c r="N9">
        <v>1.383</v>
      </c>
      <c r="O9">
        <v>0.36799999999999999</v>
      </c>
      <c r="P9" t="s">
        <v>16</v>
      </c>
      <c r="Q9" t="s">
        <v>34</v>
      </c>
    </row>
    <row r="10" spans="1:17">
      <c r="A10" t="s">
        <v>37</v>
      </c>
      <c r="B10" t="s">
        <v>32</v>
      </c>
      <c r="C10" t="s">
        <v>863</v>
      </c>
      <c r="D10" s="36">
        <v>0.47099999999999997</v>
      </c>
      <c r="E10">
        <v>2.1000000000000001E-2</v>
      </c>
      <c r="F10" s="1">
        <v>25865000</v>
      </c>
      <c r="G10" s="1">
        <v>4020000</v>
      </c>
      <c r="H10" s="1">
        <v>26229000</v>
      </c>
      <c r="I10" s="1">
        <v>1104000</v>
      </c>
      <c r="J10" s="1">
        <v>54644</v>
      </c>
      <c r="K10" s="1">
        <v>6098</v>
      </c>
      <c r="L10" s="1">
        <v>55693</v>
      </c>
      <c r="M10">
        <v>138</v>
      </c>
      <c r="N10">
        <v>1.032</v>
      </c>
      <c r="O10">
        <v>0.11899999999999999</v>
      </c>
      <c r="P10" t="s">
        <v>33</v>
      </c>
      <c r="Q10" t="s">
        <v>36</v>
      </c>
    </row>
    <row r="11" spans="1:17">
      <c r="A11" t="s">
        <v>39</v>
      </c>
      <c r="B11" t="s">
        <v>19</v>
      </c>
      <c r="C11" t="s">
        <v>863</v>
      </c>
      <c r="D11" s="36">
        <v>0.44600000000000001</v>
      </c>
      <c r="E11">
        <v>4.8000000000000001E-2</v>
      </c>
      <c r="F11" s="1">
        <v>17140000</v>
      </c>
      <c r="G11" s="1">
        <v>3619934</v>
      </c>
      <c r="H11" s="1">
        <v>41870000</v>
      </c>
      <c r="I11" s="1">
        <v>1350121</v>
      </c>
      <c r="J11" s="1">
        <v>39099</v>
      </c>
      <c r="K11" s="1">
        <v>12332</v>
      </c>
      <c r="L11" s="1">
        <v>94271</v>
      </c>
      <c r="M11" s="1">
        <v>7136</v>
      </c>
      <c r="N11">
        <v>2.5070000000000001</v>
      </c>
      <c r="O11">
        <v>0.60799999999999998</v>
      </c>
      <c r="P11" t="s">
        <v>20</v>
      </c>
      <c r="Q11" t="s">
        <v>38</v>
      </c>
    </row>
    <row r="12" spans="1:17">
      <c r="A12" t="s">
        <v>41</v>
      </c>
      <c r="B12" t="s">
        <v>19</v>
      </c>
      <c r="C12" t="s">
        <v>863</v>
      </c>
      <c r="D12" s="36">
        <v>0.76900000000000002</v>
      </c>
      <c r="E12">
        <v>0.113</v>
      </c>
      <c r="F12" s="1">
        <v>31017192</v>
      </c>
      <c r="G12" s="1">
        <v>3034654</v>
      </c>
      <c r="H12" s="1">
        <v>45687808</v>
      </c>
      <c r="I12" s="1">
        <v>5678958</v>
      </c>
      <c r="J12" s="1">
        <v>41092</v>
      </c>
      <c r="K12" s="1">
        <v>7999</v>
      </c>
      <c r="L12" s="1">
        <v>60426</v>
      </c>
      <c r="M12" s="1">
        <v>12477</v>
      </c>
      <c r="N12">
        <v>1.4970000000000001</v>
      </c>
      <c r="O12">
        <v>0.32800000000000001</v>
      </c>
      <c r="P12" t="s">
        <v>20</v>
      </c>
      <c r="Q12" t="s">
        <v>40</v>
      </c>
    </row>
    <row r="13" spans="1:17">
      <c r="A13" t="s">
        <v>43</v>
      </c>
      <c r="B13" t="s">
        <v>44</v>
      </c>
      <c r="C13" t="s">
        <v>863</v>
      </c>
      <c r="D13" s="36">
        <v>0.90800000000000003</v>
      </c>
      <c r="E13" t="s">
        <v>863</v>
      </c>
      <c r="F13" s="1">
        <v>22310400</v>
      </c>
      <c r="G13" t="s">
        <v>863</v>
      </c>
      <c r="H13" s="1">
        <v>70649600</v>
      </c>
      <c r="I13" t="s">
        <v>863</v>
      </c>
      <c r="J13" s="1">
        <v>24571</v>
      </c>
      <c r="K13" t="s">
        <v>863</v>
      </c>
      <c r="L13" s="1">
        <v>77808</v>
      </c>
      <c r="M13" t="s">
        <v>863</v>
      </c>
      <c r="N13">
        <v>3.1669999999999998</v>
      </c>
      <c r="O13" t="s">
        <v>863</v>
      </c>
      <c r="P13" t="s">
        <v>45</v>
      </c>
      <c r="Q13" t="s">
        <v>42</v>
      </c>
    </row>
    <row r="14" spans="1:17">
      <c r="A14" t="s">
        <v>47</v>
      </c>
      <c r="B14" t="s">
        <v>19</v>
      </c>
      <c r="C14" t="s">
        <v>863</v>
      </c>
      <c r="D14" s="36">
        <v>0.92400000000000004</v>
      </c>
      <c r="E14">
        <v>0.05</v>
      </c>
      <c r="F14" s="1">
        <v>26086024</v>
      </c>
      <c r="G14" s="1">
        <v>2155723</v>
      </c>
      <c r="H14" s="1">
        <v>71833039</v>
      </c>
      <c r="I14" s="1">
        <v>6712722</v>
      </c>
      <c r="J14" s="1">
        <v>28321</v>
      </c>
      <c r="K14" s="1">
        <v>3870</v>
      </c>
      <c r="L14" s="1">
        <v>78011</v>
      </c>
      <c r="M14" s="1">
        <v>11497</v>
      </c>
      <c r="N14">
        <v>2.7519999999999998</v>
      </c>
      <c r="O14">
        <v>0.03</v>
      </c>
      <c r="P14" t="s">
        <v>25</v>
      </c>
      <c r="Q14" t="s">
        <v>46</v>
      </c>
    </row>
    <row r="15" spans="1:17">
      <c r="A15" t="s">
        <v>49</v>
      </c>
      <c r="B15" t="s">
        <v>32</v>
      </c>
      <c r="C15" t="s">
        <v>863</v>
      </c>
      <c r="D15" s="36">
        <v>1.2390000000000001</v>
      </c>
      <c r="E15">
        <v>5.8999999999999997E-2</v>
      </c>
      <c r="F15" s="1">
        <v>33947000</v>
      </c>
      <c r="G15" s="1">
        <v>5840000</v>
      </c>
      <c r="H15" s="1">
        <v>40486000</v>
      </c>
      <c r="I15" s="1">
        <v>1104000</v>
      </c>
      <c r="J15" s="1">
        <v>27236</v>
      </c>
      <c r="K15" s="1">
        <v>3416</v>
      </c>
      <c r="L15" s="1">
        <v>32550</v>
      </c>
      <c r="M15" s="1">
        <v>2661</v>
      </c>
      <c r="N15">
        <v>1.202</v>
      </c>
      <c r="O15">
        <v>5.2999999999999999E-2</v>
      </c>
      <c r="P15" t="s">
        <v>33</v>
      </c>
      <c r="Q15" t="s">
        <v>48</v>
      </c>
    </row>
    <row r="16" spans="1:17">
      <c r="A16" t="s">
        <v>51</v>
      </c>
      <c r="B16" t="s">
        <v>52</v>
      </c>
      <c r="C16" t="s">
        <v>863</v>
      </c>
      <c r="D16" s="36">
        <v>1.4550000000000001</v>
      </c>
      <c r="E16">
        <v>0.17399999999999999</v>
      </c>
      <c r="F16" s="1">
        <v>60390000</v>
      </c>
      <c r="G16" s="1">
        <v>26510000</v>
      </c>
      <c r="H16" s="1">
        <v>85580000</v>
      </c>
      <c r="I16" s="1">
        <v>8400000</v>
      </c>
      <c r="J16" s="1">
        <v>42900</v>
      </c>
      <c r="K16" s="1">
        <v>23350</v>
      </c>
      <c r="L16" s="1">
        <v>58900</v>
      </c>
      <c r="M16" s="1">
        <v>1270</v>
      </c>
      <c r="N16">
        <v>1.417</v>
      </c>
      <c r="O16" t="s">
        <v>863</v>
      </c>
      <c r="P16" t="s">
        <v>53</v>
      </c>
      <c r="Q16" t="s">
        <v>50</v>
      </c>
    </row>
    <row r="17" spans="1:17">
      <c r="A17" t="s">
        <v>55</v>
      </c>
      <c r="B17" t="s">
        <v>19</v>
      </c>
      <c r="C17" t="s">
        <v>863</v>
      </c>
      <c r="D17" s="36">
        <v>1.9379999999999999</v>
      </c>
      <c r="E17">
        <v>0.23100000000000001</v>
      </c>
      <c r="F17" s="1">
        <v>43510525</v>
      </c>
      <c r="G17" s="1">
        <v>3169924</v>
      </c>
      <c r="H17" s="1">
        <v>108614475</v>
      </c>
      <c r="I17" s="1">
        <v>12775334</v>
      </c>
      <c r="J17" s="1">
        <v>22508</v>
      </c>
      <c r="K17" s="1">
        <v>1050</v>
      </c>
      <c r="L17" s="1">
        <v>56036</v>
      </c>
      <c r="M17">
        <v>93</v>
      </c>
      <c r="N17">
        <v>2.492</v>
      </c>
      <c r="O17">
        <v>0.112</v>
      </c>
      <c r="P17" t="s">
        <v>20</v>
      </c>
      <c r="Q17" t="s">
        <v>54</v>
      </c>
    </row>
    <row r="18" spans="1:17">
      <c r="A18" t="s">
        <v>57</v>
      </c>
      <c r="B18" t="s">
        <v>19</v>
      </c>
      <c r="C18" t="s">
        <v>863</v>
      </c>
      <c r="D18" s="36">
        <v>2.5859999999999999</v>
      </c>
      <c r="E18">
        <v>0.109</v>
      </c>
      <c r="F18" s="1">
        <v>53768353</v>
      </c>
      <c r="G18" s="1">
        <v>6044322</v>
      </c>
      <c r="H18" s="1">
        <v>183451647</v>
      </c>
      <c r="I18" s="1">
        <v>17959104</v>
      </c>
      <c r="J18" s="1">
        <v>20866</v>
      </c>
      <c r="K18" s="1">
        <v>3113</v>
      </c>
      <c r="L18" s="1">
        <v>71202</v>
      </c>
      <c r="M18" s="1">
        <v>9677</v>
      </c>
      <c r="N18">
        <v>3.4319999999999999</v>
      </c>
      <c r="O18">
        <v>0.433</v>
      </c>
      <c r="P18" t="s">
        <v>25</v>
      </c>
      <c r="Q18" t="s">
        <v>56</v>
      </c>
    </row>
    <row r="19" spans="1:17">
      <c r="A19" t="s">
        <v>59</v>
      </c>
      <c r="B19" t="s">
        <v>19</v>
      </c>
      <c r="C19" t="s">
        <v>863</v>
      </c>
      <c r="D19" s="36">
        <v>2.73</v>
      </c>
      <c r="E19">
        <v>0.17799999999999999</v>
      </c>
      <c r="F19" s="1">
        <v>77334617</v>
      </c>
      <c r="G19" s="1">
        <v>2634444</v>
      </c>
      <c r="H19" s="1">
        <v>209654717</v>
      </c>
      <c r="I19" s="1">
        <v>13003170</v>
      </c>
      <c r="J19" s="1">
        <v>28384</v>
      </c>
      <c r="K19" s="1">
        <v>1487</v>
      </c>
      <c r="L19" s="1">
        <v>76877</v>
      </c>
      <c r="M19" s="1">
        <v>3859</v>
      </c>
      <c r="N19">
        <v>2.7090000000000001</v>
      </c>
      <c r="O19">
        <v>7.5999999999999998E-2</v>
      </c>
      <c r="P19" t="s">
        <v>25</v>
      </c>
      <c r="Q19" t="s">
        <v>58</v>
      </c>
    </row>
    <row r="20" spans="1:17">
      <c r="A20" t="s">
        <v>61</v>
      </c>
      <c r="B20" t="s">
        <v>19</v>
      </c>
      <c r="C20" t="s">
        <v>863</v>
      </c>
      <c r="D20" s="36">
        <v>4.4480000000000004</v>
      </c>
      <c r="E20" t="s">
        <v>863</v>
      </c>
      <c r="F20" s="1">
        <v>71448750</v>
      </c>
      <c r="G20" t="s">
        <v>863</v>
      </c>
      <c r="H20" s="1">
        <v>254801250</v>
      </c>
      <c r="I20" t="s">
        <v>863</v>
      </c>
      <c r="J20" s="1">
        <v>16063</v>
      </c>
      <c r="K20" t="s">
        <v>863</v>
      </c>
      <c r="L20" s="1">
        <v>57284</v>
      </c>
      <c r="M20" t="s">
        <v>863</v>
      </c>
      <c r="N20">
        <v>3.5659999999999998</v>
      </c>
      <c r="O20" t="s">
        <v>863</v>
      </c>
      <c r="P20" t="s">
        <v>25</v>
      </c>
      <c r="Q20" t="s">
        <v>60</v>
      </c>
    </row>
    <row r="21" spans="1:17">
      <c r="A21" t="s">
        <v>63</v>
      </c>
      <c r="B21" t="s">
        <v>44</v>
      </c>
      <c r="C21" t="s">
        <v>863</v>
      </c>
      <c r="D21" s="36">
        <v>5.5609999999999999</v>
      </c>
      <c r="E21">
        <v>0.443</v>
      </c>
      <c r="F21" s="1">
        <v>244720000</v>
      </c>
      <c r="G21" s="1">
        <v>81180000</v>
      </c>
      <c r="H21" s="1">
        <v>395340000</v>
      </c>
      <c r="I21" s="1">
        <v>58790000</v>
      </c>
      <c r="J21" s="1">
        <v>44280</v>
      </c>
      <c r="K21" s="1">
        <v>15900</v>
      </c>
      <c r="L21" s="1">
        <v>71800</v>
      </c>
      <c r="M21" s="1">
        <v>14880</v>
      </c>
      <c r="N21">
        <v>1.615</v>
      </c>
      <c r="O21" t="s">
        <v>863</v>
      </c>
      <c r="P21" t="s">
        <v>53</v>
      </c>
      <c r="Q21" t="s">
        <v>62</v>
      </c>
    </row>
    <row r="22" spans="1:17">
      <c r="A22" t="s">
        <v>65</v>
      </c>
      <c r="B22" t="s">
        <v>44</v>
      </c>
      <c r="C22" t="s">
        <v>863</v>
      </c>
      <c r="D22" s="36">
        <v>6.29</v>
      </c>
      <c r="E22">
        <v>0.86299999999999999</v>
      </c>
      <c r="F22" s="1">
        <v>226090000</v>
      </c>
      <c r="G22" s="1">
        <v>87570000</v>
      </c>
      <c r="H22" s="1">
        <v>402070000</v>
      </c>
      <c r="I22" s="1">
        <v>74790000</v>
      </c>
      <c r="J22" s="1">
        <v>37820</v>
      </c>
      <c r="K22" s="1">
        <v>20500</v>
      </c>
      <c r="L22" s="1">
        <v>63610</v>
      </c>
      <c r="M22" s="1">
        <v>3400</v>
      </c>
      <c r="N22">
        <v>1.778</v>
      </c>
      <c r="O22" t="s">
        <v>863</v>
      </c>
      <c r="P22" t="s">
        <v>53</v>
      </c>
      <c r="Q22" t="s">
        <v>64</v>
      </c>
    </row>
    <row r="23" spans="1:17">
      <c r="A23" t="s">
        <v>67</v>
      </c>
      <c r="B23" t="s">
        <v>32</v>
      </c>
      <c r="C23" t="s">
        <v>863</v>
      </c>
      <c r="D23" s="36">
        <v>7.56</v>
      </c>
      <c r="E23" t="s">
        <v>863</v>
      </c>
      <c r="F23" s="1">
        <v>98960000</v>
      </c>
      <c r="G23" t="s">
        <v>863</v>
      </c>
      <c r="H23" s="1">
        <v>183540000</v>
      </c>
      <c r="I23" t="s">
        <v>863</v>
      </c>
      <c r="J23" s="1">
        <v>13098</v>
      </c>
      <c r="K23" t="s">
        <v>863</v>
      </c>
      <c r="L23" s="1">
        <v>24291</v>
      </c>
      <c r="M23" t="s">
        <v>863</v>
      </c>
      <c r="N23">
        <v>1.855</v>
      </c>
      <c r="O23" t="s">
        <v>863</v>
      </c>
      <c r="P23" t="s">
        <v>33</v>
      </c>
      <c r="Q23" t="s">
        <v>66</v>
      </c>
    </row>
    <row r="24" spans="1:17">
      <c r="A24" t="s">
        <v>69</v>
      </c>
      <c r="B24" t="s">
        <v>19</v>
      </c>
      <c r="C24" t="s">
        <v>863</v>
      </c>
      <c r="D24" s="36">
        <v>8.9130000000000003</v>
      </c>
      <c r="E24">
        <v>1.214</v>
      </c>
      <c r="F24" s="1">
        <v>110641950</v>
      </c>
      <c r="G24" s="1">
        <v>2576768</v>
      </c>
      <c r="H24" s="1">
        <v>416208050</v>
      </c>
      <c r="I24" s="1">
        <v>950422</v>
      </c>
      <c r="J24" s="1">
        <v>13250</v>
      </c>
      <c r="K24" s="1">
        <v>1633</v>
      </c>
      <c r="L24" s="1">
        <v>49939</v>
      </c>
      <c r="M24" s="1">
        <v>7422</v>
      </c>
      <c r="N24">
        <v>3.7629999999999999</v>
      </c>
      <c r="O24">
        <v>9.6000000000000002E-2</v>
      </c>
      <c r="P24" t="s">
        <v>20</v>
      </c>
      <c r="Q24" t="s">
        <v>68</v>
      </c>
    </row>
    <row r="25" spans="1:17">
      <c r="A25" t="s">
        <v>71</v>
      </c>
      <c r="B25" t="s">
        <v>32</v>
      </c>
      <c r="C25" t="s">
        <v>863</v>
      </c>
      <c r="D25" s="36">
        <v>10.478</v>
      </c>
      <c r="E25">
        <v>0.64600000000000002</v>
      </c>
      <c r="F25" s="1">
        <v>197933000</v>
      </c>
      <c r="G25" s="1">
        <v>29082000</v>
      </c>
      <c r="H25" s="1">
        <v>366620000</v>
      </c>
      <c r="I25" s="1">
        <v>13520000</v>
      </c>
      <c r="J25" s="1">
        <v>19134</v>
      </c>
      <c r="K25" s="1">
        <v>3955</v>
      </c>
      <c r="L25" s="1">
        <v>35203</v>
      </c>
      <c r="M25" s="1">
        <v>3461</v>
      </c>
      <c r="N25">
        <v>1.883</v>
      </c>
      <c r="O25">
        <v>0.20799999999999999</v>
      </c>
      <c r="P25" t="s">
        <v>33</v>
      </c>
      <c r="Q25" t="s">
        <v>70</v>
      </c>
    </row>
    <row r="26" spans="1:17">
      <c r="A26" t="s">
        <v>73</v>
      </c>
      <c r="B26" t="s">
        <v>44</v>
      </c>
      <c r="C26" t="s">
        <v>863</v>
      </c>
      <c r="D26" s="36">
        <v>10.617000000000001</v>
      </c>
      <c r="E26">
        <v>0.61</v>
      </c>
      <c r="F26" s="1">
        <v>441900000</v>
      </c>
      <c r="G26" s="1">
        <v>111310000</v>
      </c>
      <c r="H26" s="1">
        <v>695420000</v>
      </c>
      <c r="I26" s="1">
        <v>130000000</v>
      </c>
      <c r="J26" s="1">
        <v>41990</v>
      </c>
      <c r="K26" s="1">
        <v>12900</v>
      </c>
      <c r="L26" s="1">
        <v>65330</v>
      </c>
      <c r="M26" s="1">
        <v>5950</v>
      </c>
      <c r="N26">
        <v>1.5740000000000001</v>
      </c>
      <c r="O26" t="s">
        <v>863</v>
      </c>
      <c r="P26" t="s">
        <v>53</v>
      </c>
      <c r="Q26" t="s">
        <v>72</v>
      </c>
    </row>
    <row r="27" spans="1:17">
      <c r="A27" t="s">
        <v>75</v>
      </c>
      <c r="B27" t="s">
        <v>44</v>
      </c>
      <c r="C27" t="s">
        <v>863</v>
      </c>
      <c r="D27" s="36">
        <v>12.984</v>
      </c>
      <c r="E27" t="s">
        <v>863</v>
      </c>
      <c r="F27" s="1">
        <v>357129180</v>
      </c>
      <c r="G27" t="s">
        <v>863</v>
      </c>
      <c r="H27" s="1">
        <v>715330820</v>
      </c>
      <c r="I27" t="s">
        <v>863</v>
      </c>
      <c r="J27" s="1">
        <v>27505</v>
      </c>
      <c r="K27" t="s">
        <v>863</v>
      </c>
      <c r="L27" s="1">
        <v>55093</v>
      </c>
      <c r="M27" t="s">
        <v>863</v>
      </c>
      <c r="N27">
        <v>2.0030000000000001</v>
      </c>
      <c r="O27" t="s">
        <v>863</v>
      </c>
      <c r="P27" t="s">
        <v>45</v>
      </c>
      <c r="Q27" t="s">
        <v>74</v>
      </c>
    </row>
    <row r="28" spans="1:17">
      <c r="A28" t="s">
        <v>77</v>
      </c>
      <c r="B28" t="s">
        <v>44</v>
      </c>
      <c r="C28" t="s">
        <v>863</v>
      </c>
      <c r="D28" s="36">
        <v>20.652000000000001</v>
      </c>
      <c r="E28">
        <v>0.36799999999999999</v>
      </c>
      <c r="F28" s="1">
        <v>1340000000</v>
      </c>
      <c r="G28" s="1">
        <v>20000000</v>
      </c>
      <c r="H28" s="1">
        <v>1610000000</v>
      </c>
      <c r="I28" s="1">
        <v>40000000</v>
      </c>
      <c r="J28" s="1">
        <v>64930</v>
      </c>
      <c r="K28" s="1">
        <v>7420</v>
      </c>
      <c r="L28" s="1">
        <v>77840</v>
      </c>
      <c r="M28">
        <v>790</v>
      </c>
      <c r="N28">
        <v>1.2010000000000001</v>
      </c>
      <c r="O28" t="s">
        <v>863</v>
      </c>
      <c r="P28" t="s">
        <v>53</v>
      </c>
      <c r="Q28" t="s">
        <v>76</v>
      </c>
    </row>
    <row r="29" spans="1:17">
      <c r="A29" t="s">
        <v>79</v>
      </c>
      <c r="B29" t="s">
        <v>44</v>
      </c>
      <c r="C29" t="s">
        <v>863</v>
      </c>
      <c r="D29" s="36">
        <v>36.225999999999999</v>
      </c>
      <c r="E29" t="s">
        <v>863</v>
      </c>
      <c r="F29" s="1">
        <v>800955000</v>
      </c>
      <c r="G29" t="s">
        <v>863</v>
      </c>
      <c r="H29" s="1">
        <v>2758845000</v>
      </c>
      <c r="I29" t="s">
        <v>863</v>
      </c>
      <c r="J29" s="1">
        <v>22110</v>
      </c>
      <c r="K29" t="s">
        <v>863</v>
      </c>
      <c r="L29" s="1">
        <v>76156</v>
      </c>
      <c r="M29" t="s">
        <v>863</v>
      </c>
      <c r="N29">
        <v>3.444</v>
      </c>
      <c r="O29" t="s">
        <v>863</v>
      </c>
      <c r="P29" t="s">
        <v>45</v>
      </c>
      <c r="Q29" t="s">
        <v>78</v>
      </c>
    </row>
    <row r="30" spans="1:17">
      <c r="A30" t="s">
        <v>81</v>
      </c>
      <c r="B30" t="s">
        <v>44</v>
      </c>
      <c r="C30" t="s">
        <v>863</v>
      </c>
      <c r="D30" s="36">
        <v>39.177999999999997</v>
      </c>
      <c r="E30" t="s">
        <v>863</v>
      </c>
      <c r="F30" s="1">
        <v>1140000000</v>
      </c>
      <c r="G30" t="s">
        <v>863</v>
      </c>
      <c r="H30" s="1">
        <v>2550000000</v>
      </c>
      <c r="I30" t="s">
        <v>863</v>
      </c>
      <c r="J30" s="1">
        <v>29180</v>
      </c>
      <c r="K30" t="s">
        <v>863</v>
      </c>
      <c r="L30" s="1">
        <v>64980</v>
      </c>
      <c r="M30" t="s">
        <v>863</v>
      </c>
      <c r="N30">
        <v>2.2370000000000001</v>
      </c>
      <c r="O30" t="s">
        <v>863</v>
      </c>
      <c r="P30" t="s">
        <v>53</v>
      </c>
      <c r="Q30" t="s">
        <v>80</v>
      </c>
    </row>
    <row r="31" spans="1:17">
      <c r="A31" t="s">
        <v>83</v>
      </c>
      <c r="B31" t="s">
        <v>44</v>
      </c>
      <c r="C31" t="s">
        <v>863</v>
      </c>
      <c r="D31" s="36">
        <v>48.274000000000001</v>
      </c>
      <c r="E31" t="s">
        <v>863</v>
      </c>
      <c r="F31" s="1">
        <v>1655707140</v>
      </c>
      <c r="G31" t="s">
        <v>863</v>
      </c>
      <c r="H31" s="1">
        <v>3808672860</v>
      </c>
      <c r="I31" t="s">
        <v>863</v>
      </c>
      <c r="J31" s="1">
        <v>34298</v>
      </c>
      <c r="K31" t="s">
        <v>863</v>
      </c>
      <c r="L31" s="1">
        <v>78897</v>
      </c>
      <c r="M31" t="s">
        <v>863</v>
      </c>
      <c r="N31">
        <v>2.2999999999999998</v>
      </c>
      <c r="O31" t="s">
        <v>863</v>
      </c>
      <c r="P31" t="s">
        <v>45</v>
      </c>
      <c r="Q31" t="s">
        <v>82</v>
      </c>
    </row>
    <row r="32" spans="1:17">
      <c r="A32" t="s">
        <v>85</v>
      </c>
      <c r="B32" t="s">
        <v>86</v>
      </c>
      <c r="C32" t="s">
        <v>863</v>
      </c>
      <c r="D32" s="36">
        <v>42.404000000000003</v>
      </c>
      <c r="E32" t="s">
        <v>863</v>
      </c>
      <c r="F32" s="1">
        <v>307082404</v>
      </c>
      <c r="G32" t="s">
        <v>863</v>
      </c>
      <c r="H32" s="1">
        <v>3250251354</v>
      </c>
      <c r="I32" t="s">
        <v>863</v>
      </c>
      <c r="J32" s="1">
        <v>7276</v>
      </c>
      <c r="K32" t="s">
        <v>863</v>
      </c>
      <c r="L32" s="1">
        <v>77016</v>
      </c>
      <c r="M32" t="s">
        <v>863</v>
      </c>
      <c r="N32">
        <v>10.585000000000001</v>
      </c>
      <c r="O32" t="s">
        <v>863</v>
      </c>
      <c r="P32" t="s">
        <v>87</v>
      </c>
      <c r="Q32" t="s">
        <v>84</v>
      </c>
    </row>
    <row r="33" spans="1:17">
      <c r="A33" t="s">
        <v>89</v>
      </c>
      <c r="B33" t="s">
        <v>19</v>
      </c>
      <c r="C33" t="s">
        <v>863</v>
      </c>
      <c r="D33" s="36">
        <v>48.174999999999997</v>
      </c>
      <c r="E33">
        <v>2.714</v>
      </c>
      <c r="F33" s="1">
        <v>306501565</v>
      </c>
      <c r="G33" s="1">
        <v>62726120</v>
      </c>
      <c r="H33" s="1">
        <v>1847818435</v>
      </c>
      <c r="I33" s="1">
        <v>512392109</v>
      </c>
      <c r="J33" s="1">
        <v>6336</v>
      </c>
      <c r="K33">
        <v>945</v>
      </c>
      <c r="L33" s="1">
        <v>38117</v>
      </c>
      <c r="M33" s="1">
        <v>8489</v>
      </c>
      <c r="N33">
        <v>5.9829999999999997</v>
      </c>
      <c r="O33">
        <v>0.44700000000000001</v>
      </c>
      <c r="P33" t="s">
        <v>20</v>
      </c>
      <c r="Q33" t="s">
        <v>88</v>
      </c>
    </row>
    <row r="34" spans="1:17">
      <c r="A34" t="s">
        <v>91</v>
      </c>
      <c r="B34" t="s">
        <v>86</v>
      </c>
      <c r="C34" t="s">
        <v>863</v>
      </c>
      <c r="D34" s="36">
        <v>68.805999999999997</v>
      </c>
      <c r="E34" t="s">
        <v>863</v>
      </c>
      <c r="F34" s="1">
        <v>396896159</v>
      </c>
      <c r="G34" t="s">
        <v>863</v>
      </c>
      <c r="H34" s="1">
        <v>4126259275</v>
      </c>
      <c r="I34" t="s">
        <v>863</v>
      </c>
      <c r="J34" s="1">
        <v>5768</v>
      </c>
      <c r="K34" t="s">
        <v>863</v>
      </c>
      <c r="L34" s="1">
        <v>59969</v>
      </c>
      <c r="M34" t="s">
        <v>863</v>
      </c>
      <c r="N34">
        <v>10.396000000000001</v>
      </c>
      <c r="O34" t="s">
        <v>863</v>
      </c>
      <c r="P34" t="s">
        <v>87</v>
      </c>
      <c r="Q34" t="s">
        <v>90</v>
      </c>
    </row>
    <row r="35" spans="1:17">
      <c r="A35" t="s">
        <v>93</v>
      </c>
      <c r="B35" t="s">
        <v>44</v>
      </c>
      <c r="C35" t="s">
        <v>863</v>
      </c>
      <c r="D35" s="36">
        <v>69.831999999999994</v>
      </c>
      <c r="E35" t="s">
        <v>863</v>
      </c>
      <c r="F35" s="1">
        <v>1710000000</v>
      </c>
      <c r="G35" t="s">
        <v>863</v>
      </c>
      <c r="H35" s="1">
        <v>5270000000</v>
      </c>
      <c r="I35" t="s">
        <v>863</v>
      </c>
      <c r="J35" s="1">
        <v>24470</v>
      </c>
      <c r="K35" t="s">
        <v>863</v>
      </c>
      <c r="L35" s="1">
        <v>75400</v>
      </c>
      <c r="M35" t="s">
        <v>863</v>
      </c>
      <c r="N35">
        <v>3.0819999999999999</v>
      </c>
      <c r="O35" t="s">
        <v>863</v>
      </c>
      <c r="P35" t="s">
        <v>53</v>
      </c>
      <c r="Q35" t="s">
        <v>92</v>
      </c>
    </row>
    <row r="36" spans="1:17">
      <c r="A36" t="s">
        <v>95</v>
      </c>
      <c r="B36" t="s">
        <v>86</v>
      </c>
      <c r="C36" t="s">
        <v>863</v>
      </c>
      <c r="D36" s="36">
        <v>111.31</v>
      </c>
      <c r="E36" t="s">
        <v>863</v>
      </c>
      <c r="F36" s="1">
        <v>570673431</v>
      </c>
      <c r="G36" t="s">
        <v>863</v>
      </c>
      <c r="H36" s="1">
        <v>6762256227</v>
      </c>
      <c r="I36" t="s">
        <v>863</v>
      </c>
      <c r="J36" s="1">
        <v>5127</v>
      </c>
      <c r="K36" t="s">
        <v>863</v>
      </c>
      <c r="L36" s="1">
        <v>60760</v>
      </c>
      <c r="M36" t="s">
        <v>863</v>
      </c>
      <c r="N36">
        <v>11.851000000000001</v>
      </c>
      <c r="O36" t="s">
        <v>863</v>
      </c>
      <c r="P36" t="s">
        <v>87</v>
      </c>
      <c r="Q36" t="s">
        <v>94</v>
      </c>
    </row>
    <row r="37" spans="1:17">
      <c r="A37" t="s">
        <v>97</v>
      </c>
      <c r="B37" t="s">
        <v>44</v>
      </c>
      <c r="C37" t="s">
        <v>863</v>
      </c>
      <c r="D37" s="36">
        <v>120.214</v>
      </c>
      <c r="E37" t="s">
        <v>863</v>
      </c>
      <c r="F37" s="1">
        <v>2875028372</v>
      </c>
      <c r="G37" t="s">
        <v>863</v>
      </c>
      <c r="H37" s="1">
        <v>7569751628</v>
      </c>
      <c r="I37" t="s">
        <v>863</v>
      </c>
      <c r="J37" s="1">
        <v>23916</v>
      </c>
      <c r="K37" t="s">
        <v>863</v>
      </c>
      <c r="L37" s="1">
        <v>62969</v>
      </c>
      <c r="M37" t="s">
        <v>863</v>
      </c>
      <c r="N37">
        <v>2.633</v>
      </c>
      <c r="O37" t="s">
        <v>863</v>
      </c>
      <c r="P37" t="s">
        <v>45</v>
      </c>
      <c r="Q37" t="s">
        <v>96</v>
      </c>
    </row>
    <row r="38" spans="1:17">
      <c r="A38" t="s">
        <v>99</v>
      </c>
      <c r="B38" t="s">
        <v>86</v>
      </c>
      <c r="C38" t="s">
        <v>863</v>
      </c>
      <c r="D38" s="36">
        <v>213.37</v>
      </c>
      <c r="E38" t="s">
        <v>863</v>
      </c>
      <c r="F38" s="1">
        <v>762567178</v>
      </c>
      <c r="G38" t="s">
        <v>863</v>
      </c>
      <c r="H38" s="1">
        <v>12302304448</v>
      </c>
      <c r="I38" t="s">
        <v>863</v>
      </c>
      <c r="J38" s="1">
        <v>3574</v>
      </c>
      <c r="K38" t="s">
        <v>863</v>
      </c>
      <c r="L38" s="1">
        <v>57657</v>
      </c>
      <c r="M38" t="s">
        <v>863</v>
      </c>
      <c r="N38">
        <v>16.132999999999999</v>
      </c>
      <c r="O38" t="s">
        <v>863</v>
      </c>
      <c r="P38" t="s">
        <v>87</v>
      </c>
      <c r="Q38" t="s">
        <v>98</v>
      </c>
    </row>
    <row r="39" spans="1:17">
      <c r="A39" t="s">
        <v>101</v>
      </c>
      <c r="B39" t="s">
        <v>86</v>
      </c>
      <c r="C39" t="s">
        <v>863</v>
      </c>
      <c r="D39" s="36">
        <v>398.80799999999999</v>
      </c>
      <c r="E39" t="s">
        <v>863</v>
      </c>
      <c r="F39" s="1">
        <v>1730513460</v>
      </c>
      <c r="G39" t="s">
        <v>863</v>
      </c>
      <c r="H39" s="1">
        <v>27513706540</v>
      </c>
      <c r="I39" t="s">
        <v>863</v>
      </c>
      <c r="J39" s="1">
        <v>4339</v>
      </c>
      <c r="K39" t="s">
        <v>863</v>
      </c>
      <c r="L39" s="1">
        <v>68990</v>
      </c>
      <c r="M39" t="s">
        <v>863</v>
      </c>
      <c r="N39">
        <v>15.9</v>
      </c>
      <c r="O39" t="s">
        <v>863</v>
      </c>
      <c r="P39" t="s">
        <v>87</v>
      </c>
      <c r="Q39" t="s">
        <v>100</v>
      </c>
    </row>
    <row r="40" spans="1:17">
      <c r="A40" t="s">
        <v>103</v>
      </c>
      <c r="B40" t="s">
        <v>44</v>
      </c>
      <c r="C40" t="s">
        <v>863</v>
      </c>
      <c r="D40" s="36">
        <v>1232.93</v>
      </c>
      <c r="E40">
        <v>233.68</v>
      </c>
      <c r="F40" s="1">
        <v>16340000000</v>
      </c>
      <c r="G40" s="1">
        <v>2170000000</v>
      </c>
      <c r="H40" s="1">
        <v>60840000000</v>
      </c>
      <c r="I40" s="1">
        <v>7020000000</v>
      </c>
      <c r="J40" s="1">
        <v>13520</v>
      </c>
      <c r="K40" s="1">
        <v>3636</v>
      </c>
      <c r="L40" s="1">
        <v>49230</v>
      </c>
      <c r="M40" s="1">
        <v>3755</v>
      </c>
      <c r="N40">
        <v>3.7229999999999999</v>
      </c>
      <c r="O40">
        <v>0.67500000000000004</v>
      </c>
      <c r="P40" t="s">
        <v>104</v>
      </c>
      <c r="Q40" t="s">
        <v>102</v>
      </c>
    </row>
    <row r="41" spans="1:17">
      <c r="A41" t="s">
        <v>106</v>
      </c>
      <c r="B41" t="s">
        <v>32</v>
      </c>
      <c r="C41" t="s">
        <v>863</v>
      </c>
      <c r="D41" s="36">
        <v>2847.59</v>
      </c>
      <c r="E41" t="s">
        <v>863</v>
      </c>
      <c r="F41" s="1">
        <v>5593241033</v>
      </c>
      <c r="G41" t="s">
        <v>863</v>
      </c>
      <c r="H41" s="1">
        <v>55698998687</v>
      </c>
      <c r="I41" t="s">
        <v>863</v>
      </c>
      <c r="J41" s="1">
        <v>1964</v>
      </c>
      <c r="K41" t="s">
        <v>863</v>
      </c>
      <c r="L41" s="1">
        <v>52721</v>
      </c>
      <c r="M41" t="s">
        <v>863</v>
      </c>
      <c r="N41">
        <v>26.844000000000001</v>
      </c>
      <c r="O41" t="s">
        <v>863</v>
      </c>
      <c r="P41" t="s">
        <v>107</v>
      </c>
      <c r="Q41" t="s">
        <v>105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Q42"/>
  <sheetViews>
    <sheetView workbookViewId="0">
      <selection activeCell="F1" sqref="F1:G1"/>
    </sheetView>
  </sheetViews>
  <sheetFormatPr baseColWidth="10" defaultRowHeight="16"/>
  <cols>
    <col min="1" max="1" width="31.6640625" customWidth="1"/>
    <col min="4" max="4" width="19.33203125" customWidth="1"/>
  </cols>
  <sheetData>
    <row r="1" spans="1:17">
      <c r="A1" t="s">
        <v>0</v>
      </c>
      <c r="B1" t="s">
        <v>134</v>
      </c>
      <c r="C1" t="s">
        <v>863</v>
      </c>
      <c r="D1" t="s">
        <v>133</v>
      </c>
      <c r="E1" t="s">
        <v>132</v>
      </c>
      <c r="F1" t="s">
        <v>131</v>
      </c>
      <c r="G1" t="s">
        <v>130</v>
      </c>
      <c r="H1" t="s">
        <v>129</v>
      </c>
      <c r="I1" t="s">
        <v>128</v>
      </c>
      <c r="J1" t="s">
        <v>127</v>
      </c>
      <c r="K1" t="s">
        <v>126</v>
      </c>
      <c r="L1" t="s">
        <v>125</v>
      </c>
      <c r="M1" t="s">
        <v>124</v>
      </c>
      <c r="N1" t="s">
        <v>123</v>
      </c>
      <c r="O1" t="s">
        <v>122</v>
      </c>
      <c r="P1" t="s">
        <v>121</v>
      </c>
      <c r="Q1" t="s">
        <v>135</v>
      </c>
    </row>
    <row r="2" spans="1:17">
      <c r="A2" t="s">
        <v>14</v>
      </c>
      <c r="B2" t="s">
        <v>15</v>
      </c>
      <c r="C2" t="s">
        <v>863</v>
      </c>
      <c r="D2">
        <v>0.02</v>
      </c>
      <c r="E2">
        <v>2E-3</v>
      </c>
      <c r="F2" s="1">
        <v>20870000</v>
      </c>
      <c r="G2" s="1">
        <v>4660000</v>
      </c>
      <c r="H2" s="1">
        <v>5290000</v>
      </c>
      <c r="I2" s="1">
        <v>2120000</v>
      </c>
      <c r="J2" s="1">
        <v>1038666</v>
      </c>
      <c r="K2" s="1">
        <v>214440</v>
      </c>
      <c r="L2" s="1">
        <v>258073</v>
      </c>
      <c r="M2" s="1">
        <v>85510</v>
      </c>
      <c r="N2">
        <v>0.253</v>
      </c>
      <c r="O2" t="s">
        <v>863</v>
      </c>
      <c r="P2" t="s">
        <v>16</v>
      </c>
      <c r="Q2" t="s">
        <v>13</v>
      </c>
    </row>
    <row r="3" spans="1:17">
      <c r="A3" t="s">
        <v>22</v>
      </c>
      <c r="B3" t="s">
        <v>15</v>
      </c>
      <c r="C3" t="s">
        <v>863</v>
      </c>
      <c r="D3">
        <v>3.6999999999999998E-2</v>
      </c>
      <c r="E3">
        <v>5.0000000000000001E-3</v>
      </c>
      <c r="F3" s="1">
        <v>33430000</v>
      </c>
      <c r="G3" s="1">
        <v>5821000</v>
      </c>
      <c r="H3" s="1">
        <v>4410000</v>
      </c>
      <c r="I3" s="1">
        <v>1280000</v>
      </c>
      <c r="J3" s="1">
        <v>919942</v>
      </c>
      <c r="K3" s="1">
        <v>19721</v>
      </c>
      <c r="L3" s="1">
        <v>118736</v>
      </c>
      <c r="M3" s="1">
        <v>25620</v>
      </c>
      <c r="N3">
        <v>0.13200000000000001</v>
      </c>
      <c r="O3" t="s">
        <v>863</v>
      </c>
      <c r="P3" t="s">
        <v>16</v>
      </c>
      <c r="Q3" t="s">
        <v>21</v>
      </c>
    </row>
    <row r="4" spans="1:17">
      <c r="A4" t="s">
        <v>24</v>
      </c>
      <c r="B4" t="s">
        <v>19</v>
      </c>
      <c r="C4" t="s">
        <v>863</v>
      </c>
      <c r="D4">
        <v>4.8000000000000001E-2</v>
      </c>
      <c r="E4">
        <v>4.0000000000000001E-3</v>
      </c>
      <c r="F4" s="1">
        <v>15742270</v>
      </c>
      <c r="G4" s="1">
        <v>2849254</v>
      </c>
      <c r="H4" s="1">
        <v>5482730</v>
      </c>
      <c r="I4" s="1">
        <v>1274352</v>
      </c>
      <c r="J4" s="1">
        <v>327280</v>
      </c>
      <c r="K4" s="1">
        <v>48331</v>
      </c>
      <c r="L4" s="1">
        <v>115748</v>
      </c>
      <c r="M4" s="1">
        <v>32952</v>
      </c>
      <c r="N4">
        <v>0.35599999999999998</v>
      </c>
      <c r="O4">
        <v>0.106</v>
      </c>
      <c r="P4" t="s">
        <v>25</v>
      </c>
      <c r="Q4" t="s">
        <v>23</v>
      </c>
    </row>
    <row r="5" spans="1:17">
      <c r="A5" t="s">
        <v>18</v>
      </c>
      <c r="B5" t="s">
        <v>19</v>
      </c>
      <c r="C5" t="s">
        <v>863</v>
      </c>
      <c r="D5">
        <v>5.6000000000000001E-2</v>
      </c>
      <c r="E5">
        <v>5.0000000000000001E-3</v>
      </c>
      <c r="F5" s="1">
        <v>42219708</v>
      </c>
      <c r="G5" s="1">
        <v>9277647</v>
      </c>
      <c r="H5" s="1">
        <v>6947791</v>
      </c>
      <c r="I5" s="1">
        <v>1502773</v>
      </c>
      <c r="J5" s="1">
        <v>746691</v>
      </c>
      <c r="K5" s="1">
        <v>128541</v>
      </c>
      <c r="L5" s="1">
        <v>123493</v>
      </c>
      <c r="M5" s="1">
        <v>25715</v>
      </c>
      <c r="N5">
        <v>0.16500000000000001</v>
      </c>
      <c r="O5">
        <v>1.7000000000000001E-2</v>
      </c>
      <c r="P5" t="s">
        <v>20</v>
      </c>
      <c r="Q5" t="s">
        <v>17</v>
      </c>
    </row>
    <row r="6" spans="1:17">
      <c r="A6" t="s">
        <v>31</v>
      </c>
      <c r="B6" t="s">
        <v>32</v>
      </c>
      <c r="C6" t="s">
        <v>863</v>
      </c>
      <c r="D6">
        <v>8.4000000000000005E-2</v>
      </c>
      <c r="E6" t="s">
        <v>863</v>
      </c>
      <c r="F6" s="1">
        <v>34488379</v>
      </c>
      <c r="G6" s="1">
        <v>3207000</v>
      </c>
      <c r="H6" s="1">
        <v>8155621</v>
      </c>
      <c r="I6" s="1">
        <v>813000</v>
      </c>
      <c r="J6" s="1">
        <v>409687</v>
      </c>
      <c r="K6" s="1">
        <v>18667</v>
      </c>
      <c r="L6" s="1">
        <v>96849</v>
      </c>
      <c r="M6" s="1">
        <v>5069</v>
      </c>
      <c r="N6">
        <v>0.23599999999999999</v>
      </c>
      <c r="O6">
        <v>2E-3</v>
      </c>
      <c r="P6" t="s">
        <v>33</v>
      </c>
      <c r="Q6" t="s">
        <v>30</v>
      </c>
    </row>
    <row r="7" spans="1:17">
      <c r="A7" t="s">
        <v>29</v>
      </c>
      <c r="B7" t="s">
        <v>15</v>
      </c>
      <c r="C7" t="s">
        <v>863</v>
      </c>
      <c r="D7">
        <v>0.10199999999999999</v>
      </c>
      <c r="E7">
        <v>5.0000000000000001E-3</v>
      </c>
      <c r="F7" s="1">
        <v>100780000</v>
      </c>
      <c r="G7" s="1">
        <v>13850000</v>
      </c>
      <c r="H7" s="1">
        <v>7010000</v>
      </c>
      <c r="I7" s="1">
        <v>1100000</v>
      </c>
      <c r="J7" s="1">
        <v>997370</v>
      </c>
      <c r="K7" s="1">
        <v>173030</v>
      </c>
      <c r="L7" s="1">
        <v>68795</v>
      </c>
      <c r="M7" s="1">
        <v>7910</v>
      </c>
      <c r="N7">
        <v>7.0000000000000007E-2</v>
      </c>
      <c r="O7" t="s">
        <v>863</v>
      </c>
      <c r="P7" t="s">
        <v>16</v>
      </c>
      <c r="Q7" t="s">
        <v>28</v>
      </c>
    </row>
    <row r="8" spans="1:17">
      <c r="A8" t="s">
        <v>27</v>
      </c>
      <c r="B8" t="s">
        <v>15</v>
      </c>
      <c r="C8" t="s">
        <v>863</v>
      </c>
      <c r="D8">
        <v>0.13800000000000001</v>
      </c>
      <c r="E8">
        <v>1.2E-2</v>
      </c>
      <c r="F8" s="1">
        <v>105920000</v>
      </c>
      <c r="G8" s="1">
        <v>22100000</v>
      </c>
      <c r="H8" s="1">
        <v>19480000</v>
      </c>
      <c r="I8" s="1">
        <v>6420000</v>
      </c>
      <c r="J8" s="1">
        <v>776460</v>
      </c>
      <c r="K8" s="1">
        <v>181530</v>
      </c>
      <c r="L8" s="1">
        <v>139912</v>
      </c>
      <c r="M8" s="1">
        <v>39720</v>
      </c>
      <c r="N8">
        <v>0.184</v>
      </c>
      <c r="O8" t="s">
        <v>863</v>
      </c>
      <c r="P8" t="s">
        <v>16</v>
      </c>
      <c r="Q8" t="s">
        <v>26</v>
      </c>
    </row>
    <row r="9" spans="1:17">
      <c r="A9" t="s">
        <v>39</v>
      </c>
      <c r="B9" t="s">
        <v>19</v>
      </c>
      <c r="C9" t="s">
        <v>863</v>
      </c>
      <c r="D9">
        <v>0.14499999999999999</v>
      </c>
      <c r="E9">
        <v>0.03</v>
      </c>
      <c r="F9" s="1">
        <v>61210000</v>
      </c>
      <c r="G9" s="1">
        <v>12351246</v>
      </c>
      <c r="H9" s="1">
        <v>7430000</v>
      </c>
      <c r="I9" s="1">
        <v>1713108</v>
      </c>
      <c r="J9" s="1">
        <v>424002</v>
      </c>
      <c r="K9" s="1">
        <v>3743</v>
      </c>
      <c r="L9" s="1">
        <v>51332</v>
      </c>
      <c r="M9" s="1">
        <v>1054</v>
      </c>
      <c r="N9">
        <v>0.121</v>
      </c>
      <c r="O9">
        <v>4.0000000000000001E-3</v>
      </c>
      <c r="P9" t="s">
        <v>20</v>
      </c>
      <c r="Q9" t="s">
        <v>38</v>
      </c>
    </row>
    <row r="10" spans="1:17">
      <c r="A10" t="s">
        <v>35</v>
      </c>
      <c r="B10" t="s">
        <v>15</v>
      </c>
      <c r="C10" t="s">
        <v>863</v>
      </c>
      <c r="D10">
        <v>0.153</v>
      </c>
      <c r="E10">
        <v>8.0000000000000002E-3</v>
      </c>
      <c r="F10" s="1">
        <v>158550000</v>
      </c>
      <c r="G10" s="1">
        <v>13630000</v>
      </c>
      <c r="H10" s="1">
        <v>17510000</v>
      </c>
      <c r="I10" s="1">
        <v>3160000</v>
      </c>
      <c r="J10" s="1">
        <v>1037390</v>
      </c>
      <c r="K10" s="1">
        <v>63570</v>
      </c>
      <c r="L10" s="1">
        <v>114660</v>
      </c>
      <c r="M10" s="1">
        <v>20790</v>
      </c>
      <c r="N10">
        <v>0.11</v>
      </c>
      <c r="O10" t="s">
        <v>863</v>
      </c>
      <c r="P10" t="s">
        <v>16</v>
      </c>
      <c r="Q10" t="s">
        <v>34</v>
      </c>
    </row>
    <row r="11" spans="1:17">
      <c r="A11" t="s">
        <v>37</v>
      </c>
      <c r="B11" t="s">
        <v>32</v>
      </c>
      <c r="C11" t="s">
        <v>863</v>
      </c>
      <c r="D11">
        <v>0.16800000000000001</v>
      </c>
      <c r="E11" t="s">
        <v>863</v>
      </c>
      <c r="F11" s="1">
        <v>89312372</v>
      </c>
      <c r="G11" s="1">
        <v>2852000</v>
      </c>
      <c r="H11" s="1">
        <v>23368628</v>
      </c>
      <c r="I11" s="1">
        <v>1279000</v>
      </c>
      <c r="J11" s="1">
        <v>531494</v>
      </c>
      <c r="K11" s="1">
        <v>10651</v>
      </c>
      <c r="L11" s="1">
        <v>139028</v>
      </c>
      <c r="M11" s="1">
        <v>5956</v>
      </c>
      <c r="N11">
        <v>0.26100000000000001</v>
      </c>
      <c r="O11">
        <v>5.0000000000000001E-3</v>
      </c>
      <c r="P11" t="s">
        <v>33</v>
      </c>
      <c r="Q11" t="s">
        <v>36</v>
      </c>
    </row>
    <row r="12" spans="1:17">
      <c r="A12" t="s">
        <v>41</v>
      </c>
      <c r="B12" t="s">
        <v>19</v>
      </c>
      <c r="C12" t="s">
        <v>863</v>
      </c>
      <c r="D12">
        <v>0.27200000000000002</v>
      </c>
      <c r="E12">
        <v>3.7999999999999999E-2</v>
      </c>
      <c r="F12" s="1">
        <v>139171882</v>
      </c>
      <c r="G12" s="1">
        <v>11185675</v>
      </c>
      <c r="H12" s="1">
        <v>29005617</v>
      </c>
      <c r="I12" s="1">
        <v>6282204</v>
      </c>
      <c r="J12" s="1">
        <v>522688</v>
      </c>
      <c r="K12" s="1">
        <v>108847</v>
      </c>
      <c r="L12" s="1">
        <v>108555</v>
      </c>
      <c r="M12" s="1">
        <v>29355</v>
      </c>
      <c r="N12">
        <v>0.20899999999999999</v>
      </c>
      <c r="O12">
        <v>4.7E-2</v>
      </c>
      <c r="P12" t="s">
        <v>20</v>
      </c>
      <c r="Q12" t="s">
        <v>40</v>
      </c>
    </row>
    <row r="13" spans="1:17">
      <c r="A13" t="s">
        <v>49</v>
      </c>
      <c r="B13" t="s">
        <v>32</v>
      </c>
      <c r="C13" t="s">
        <v>863</v>
      </c>
      <c r="D13">
        <v>0.30399999999999999</v>
      </c>
      <c r="E13" t="s">
        <v>863</v>
      </c>
      <c r="F13" s="1">
        <v>110653150</v>
      </c>
      <c r="G13" s="1">
        <v>14948000</v>
      </c>
      <c r="H13" s="1">
        <v>34657851</v>
      </c>
      <c r="I13" s="1">
        <v>15801000</v>
      </c>
      <c r="J13" s="1">
        <v>362537</v>
      </c>
      <c r="K13" s="1">
        <v>15780</v>
      </c>
      <c r="L13" s="1">
        <v>110153</v>
      </c>
      <c r="M13" s="1">
        <v>41831</v>
      </c>
      <c r="N13">
        <v>0.29899999999999999</v>
      </c>
      <c r="O13">
        <v>0.10199999999999999</v>
      </c>
      <c r="P13" t="s">
        <v>33</v>
      </c>
      <c r="Q13" t="s">
        <v>48</v>
      </c>
    </row>
    <row r="14" spans="1:17">
      <c r="A14" t="s">
        <v>51</v>
      </c>
      <c r="B14" t="s">
        <v>52</v>
      </c>
      <c r="C14" t="s">
        <v>863</v>
      </c>
      <c r="D14">
        <v>0.32600000000000001</v>
      </c>
      <c r="E14">
        <v>1.7999999999999999E-2</v>
      </c>
      <c r="F14" s="1">
        <v>185280000</v>
      </c>
      <c r="G14" s="1">
        <v>16980000</v>
      </c>
      <c r="H14" s="1">
        <v>19980000</v>
      </c>
      <c r="I14" s="1">
        <v>1510000</v>
      </c>
      <c r="J14" s="1">
        <v>571460</v>
      </c>
      <c r="K14" s="1">
        <v>83200</v>
      </c>
      <c r="L14" s="1">
        <v>61600</v>
      </c>
      <c r="M14" s="1">
        <v>7990</v>
      </c>
      <c r="N14">
        <v>0.108</v>
      </c>
      <c r="O14" t="s">
        <v>863</v>
      </c>
      <c r="P14" t="s">
        <v>53</v>
      </c>
      <c r="Q14" t="s">
        <v>50</v>
      </c>
    </row>
    <row r="15" spans="1:17">
      <c r="A15" t="s">
        <v>47</v>
      </c>
      <c r="B15" t="s">
        <v>19</v>
      </c>
      <c r="C15" t="s">
        <v>863</v>
      </c>
      <c r="D15">
        <v>0.33</v>
      </c>
      <c r="E15">
        <v>2.5999999999999999E-2</v>
      </c>
      <c r="F15" s="1">
        <v>162512050</v>
      </c>
      <c r="G15" s="1">
        <v>3553848</v>
      </c>
      <c r="H15" s="1">
        <v>36372950</v>
      </c>
      <c r="I15" s="1">
        <v>5094068</v>
      </c>
      <c r="J15" s="1">
        <v>494338</v>
      </c>
      <c r="K15" s="1">
        <v>28466</v>
      </c>
      <c r="L15" s="1">
        <v>110122</v>
      </c>
      <c r="M15" s="1">
        <v>6716</v>
      </c>
      <c r="N15">
        <v>0.224</v>
      </c>
      <c r="O15">
        <v>2.5999999999999999E-2</v>
      </c>
      <c r="P15" t="s">
        <v>25</v>
      </c>
      <c r="Q15" t="s">
        <v>46</v>
      </c>
    </row>
    <row r="16" spans="1:17">
      <c r="A16" t="s">
        <v>43</v>
      </c>
      <c r="B16" t="s">
        <v>44</v>
      </c>
      <c r="C16" t="s">
        <v>863</v>
      </c>
      <c r="D16">
        <v>0.39100000000000001</v>
      </c>
      <c r="E16" t="s">
        <v>863</v>
      </c>
      <c r="F16" s="1">
        <v>221386140</v>
      </c>
      <c r="G16" t="s">
        <v>863</v>
      </c>
      <c r="H16" s="1">
        <v>17433860</v>
      </c>
      <c r="I16" t="s">
        <v>863</v>
      </c>
      <c r="J16" s="1">
        <v>566205</v>
      </c>
      <c r="K16" t="s">
        <v>863</v>
      </c>
      <c r="L16" s="1">
        <v>44588</v>
      </c>
      <c r="M16" t="s">
        <v>863</v>
      </c>
      <c r="N16">
        <v>7.9000000000000001E-2</v>
      </c>
      <c r="O16" t="s">
        <v>863</v>
      </c>
      <c r="P16" t="s">
        <v>45</v>
      </c>
      <c r="Q16" t="s">
        <v>42</v>
      </c>
    </row>
    <row r="17" spans="1:17">
      <c r="A17" t="s">
        <v>55</v>
      </c>
      <c r="B17" t="s">
        <v>19</v>
      </c>
      <c r="C17" t="s">
        <v>863</v>
      </c>
      <c r="D17">
        <v>0.5</v>
      </c>
      <c r="E17">
        <v>7.6999999999999999E-2</v>
      </c>
      <c r="F17" s="1">
        <v>167854925</v>
      </c>
      <c r="G17" s="1">
        <v>2175973</v>
      </c>
      <c r="H17" s="1">
        <v>36290075</v>
      </c>
      <c r="I17" s="1">
        <v>4506186</v>
      </c>
      <c r="J17" s="1">
        <v>339755</v>
      </c>
      <c r="K17" s="1">
        <v>48069</v>
      </c>
      <c r="L17" s="1">
        <v>72824</v>
      </c>
      <c r="M17" s="1">
        <v>2216</v>
      </c>
      <c r="N17">
        <v>0.216</v>
      </c>
      <c r="O17">
        <v>2.4E-2</v>
      </c>
      <c r="P17" t="s">
        <v>20</v>
      </c>
      <c r="Q17" t="s">
        <v>54</v>
      </c>
    </row>
    <row r="18" spans="1:17">
      <c r="A18" t="s">
        <v>63</v>
      </c>
      <c r="B18" t="s">
        <v>44</v>
      </c>
      <c r="C18" t="s">
        <v>863</v>
      </c>
      <c r="D18">
        <v>0.73</v>
      </c>
      <c r="E18">
        <v>3.9E-2</v>
      </c>
      <c r="F18" s="1">
        <v>361370000</v>
      </c>
      <c r="G18" s="1">
        <v>28530000</v>
      </c>
      <c r="H18" s="1">
        <v>49490000</v>
      </c>
      <c r="I18" s="1">
        <v>6770000</v>
      </c>
      <c r="J18" s="1">
        <v>494970</v>
      </c>
      <c r="K18" s="1">
        <v>25740</v>
      </c>
      <c r="L18" s="1">
        <v>68170</v>
      </c>
      <c r="M18" s="1">
        <v>12210</v>
      </c>
      <c r="N18">
        <v>0.13700000000000001</v>
      </c>
      <c r="O18" t="s">
        <v>863</v>
      </c>
      <c r="P18" t="s">
        <v>53</v>
      </c>
      <c r="Q18" t="s">
        <v>62</v>
      </c>
    </row>
    <row r="19" spans="1:17">
      <c r="A19" t="s">
        <v>57</v>
      </c>
      <c r="B19" t="s">
        <v>19</v>
      </c>
      <c r="C19" t="s">
        <v>863</v>
      </c>
      <c r="D19">
        <v>0.78900000000000003</v>
      </c>
      <c r="E19">
        <v>9.2999999999999999E-2</v>
      </c>
      <c r="F19" s="1">
        <v>350084813</v>
      </c>
      <c r="G19" s="1">
        <v>72177851</v>
      </c>
      <c r="H19" s="1">
        <v>66155187</v>
      </c>
      <c r="I19" s="1">
        <v>39268821</v>
      </c>
      <c r="J19" s="1">
        <v>440658</v>
      </c>
      <c r="K19" s="1">
        <v>39554</v>
      </c>
      <c r="L19" s="1">
        <v>84802</v>
      </c>
      <c r="M19" s="1">
        <v>54286</v>
      </c>
      <c r="N19">
        <v>0.192</v>
      </c>
      <c r="O19">
        <v>0.123</v>
      </c>
      <c r="P19" t="s">
        <v>25</v>
      </c>
      <c r="Q19" t="s">
        <v>56</v>
      </c>
    </row>
    <row r="20" spans="1:17">
      <c r="A20" t="s">
        <v>59</v>
      </c>
      <c r="B20" t="s">
        <v>19</v>
      </c>
      <c r="C20" t="s">
        <v>863</v>
      </c>
      <c r="D20">
        <v>0.874</v>
      </c>
      <c r="E20">
        <v>6.9000000000000006E-2</v>
      </c>
      <c r="F20" s="1">
        <v>342832180</v>
      </c>
      <c r="G20" s="1">
        <v>71181798</v>
      </c>
      <c r="H20" s="1">
        <v>110797820</v>
      </c>
      <c r="I20" s="1">
        <v>9070639</v>
      </c>
      <c r="J20" s="1">
        <v>392363</v>
      </c>
      <c r="K20" s="1">
        <v>74294</v>
      </c>
      <c r="L20" s="1">
        <v>127682</v>
      </c>
      <c r="M20" s="1">
        <v>19212</v>
      </c>
      <c r="N20">
        <v>0.33600000000000002</v>
      </c>
      <c r="O20">
        <v>0.09</v>
      </c>
      <c r="P20" t="s">
        <v>25</v>
      </c>
      <c r="Q20" t="s">
        <v>58</v>
      </c>
    </row>
    <row r="21" spans="1:17">
      <c r="A21" t="s">
        <v>65</v>
      </c>
      <c r="B21" t="s">
        <v>44</v>
      </c>
      <c r="C21" t="s">
        <v>863</v>
      </c>
      <c r="D21">
        <v>1.196</v>
      </c>
      <c r="E21">
        <v>0.105</v>
      </c>
      <c r="F21" s="1">
        <v>743500000</v>
      </c>
      <c r="G21" s="1">
        <v>52450000</v>
      </c>
      <c r="H21" s="1">
        <v>65960000</v>
      </c>
      <c r="I21" s="1">
        <v>20290000</v>
      </c>
      <c r="J21" s="1">
        <v>623080</v>
      </c>
      <c r="K21" s="1">
        <v>45720</v>
      </c>
      <c r="L21" s="1">
        <v>54460</v>
      </c>
      <c r="M21" s="1">
        <v>11890</v>
      </c>
      <c r="N21">
        <v>8.8999999999999996E-2</v>
      </c>
      <c r="O21" t="s">
        <v>863</v>
      </c>
      <c r="P21" t="s">
        <v>53</v>
      </c>
      <c r="Q21" t="s">
        <v>64</v>
      </c>
    </row>
    <row r="22" spans="1:17">
      <c r="A22" t="s">
        <v>61</v>
      </c>
      <c r="B22" t="s">
        <v>19</v>
      </c>
      <c r="C22" t="s">
        <v>863</v>
      </c>
      <c r="D22">
        <v>1.4119999999999999</v>
      </c>
      <c r="E22" t="s">
        <v>863</v>
      </c>
      <c r="F22" s="1">
        <v>396671250</v>
      </c>
      <c r="G22" t="s">
        <v>863</v>
      </c>
      <c r="H22" s="1">
        <v>124578750</v>
      </c>
      <c r="I22" t="s">
        <v>863</v>
      </c>
      <c r="J22" s="1">
        <v>280929</v>
      </c>
      <c r="K22" t="s">
        <v>863</v>
      </c>
      <c r="L22" s="1">
        <v>88229</v>
      </c>
      <c r="M22" t="s">
        <v>863</v>
      </c>
      <c r="N22">
        <v>1.222</v>
      </c>
      <c r="O22" t="s">
        <v>863</v>
      </c>
      <c r="P22" t="s">
        <v>25</v>
      </c>
      <c r="Q22" t="s">
        <v>60</v>
      </c>
    </row>
    <row r="23" spans="1:17">
      <c r="A23" t="s">
        <v>73</v>
      </c>
      <c r="B23" t="s">
        <v>44</v>
      </c>
      <c r="C23" t="s">
        <v>863</v>
      </c>
      <c r="D23">
        <v>1.732</v>
      </c>
      <c r="E23">
        <v>0.218</v>
      </c>
      <c r="F23" s="1">
        <v>1040000000</v>
      </c>
      <c r="G23" s="1">
        <v>20000000</v>
      </c>
      <c r="H23" s="1">
        <v>145270000</v>
      </c>
      <c r="I23" s="1">
        <v>45030000</v>
      </c>
      <c r="J23" s="1">
        <v>605080</v>
      </c>
      <c r="K23" s="1">
        <v>90570</v>
      </c>
      <c r="L23" s="1">
        <v>82890</v>
      </c>
      <c r="M23" s="1">
        <v>15580</v>
      </c>
      <c r="N23">
        <v>0.14000000000000001</v>
      </c>
      <c r="O23" t="s">
        <v>863</v>
      </c>
      <c r="P23" t="s">
        <v>53</v>
      </c>
      <c r="Q23" t="s">
        <v>72</v>
      </c>
    </row>
    <row r="24" spans="1:17">
      <c r="A24" t="s">
        <v>67</v>
      </c>
      <c r="B24" t="s">
        <v>32</v>
      </c>
      <c r="C24" t="s">
        <v>863</v>
      </c>
      <c r="D24">
        <v>1.9179999999999999</v>
      </c>
      <c r="E24" t="s">
        <v>863</v>
      </c>
      <c r="F24" s="1">
        <v>360929350</v>
      </c>
      <c r="G24" t="s">
        <v>863</v>
      </c>
      <c r="H24" s="1">
        <v>77570650</v>
      </c>
      <c r="I24" t="s">
        <v>863</v>
      </c>
      <c r="J24" s="1">
        <v>188180</v>
      </c>
      <c r="K24" t="s">
        <v>863</v>
      </c>
      <c r="L24" s="1">
        <v>40444</v>
      </c>
      <c r="M24" t="s">
        <v>863</v>
      </c>
      <c r="N24">
        <v>0.215</v>
      </c>
      <c r="O24" t="s">
        <v>863</v>
      </c>
      <c r="P24" t="s">
        <v>33</v>
      </c>
      <c r="Q24" t="s">
        <v>66</v>
      </c>
    </row>
    <row r="25" spans="1:17">
      <c r="A25" t="s">
        <v>71</v>
      </c>
      <c r="B25" t="s">
        <v>32</v>
      </c>
      <c r="C25" t="s">
        <v>863</v>
      </c>
      <c r="D25">
        <v>2.0579999999999998</v>
      </c>
      <c r="E25" t="s">
        <v>863</v>
      </c>
      <c r="F25" s="1">
        <v>488373000</v>
      </c>
      <c r="G25" s="1">
        <v>42322000</v>
      </c>
      <c r="H25" s="1">
        <v>91005000</v>
      </c>
      <c r="I25" s="1">
        <v>30180000</v>
      </c>
      <c r="J25" s="1">
        <v>242415</v>
      </c>
      <c r="K25" s="1">
        <v>46950</v>
      </c>
      <c r="L25" s="1">
        <v>46365</v>
      </c>
      <c r="M25" s="1">
        <v>19711</v>
      </c>
      <c r="N25">
        <v>0.182</v>
      </c>
      <c r="O25">
        <v>4.5999999999999999E-2</v>
      </c>
      <c r="P25" t="s">
        <v>33</v>
      </c>
      <c r="Q25" t="s">
        <v>70</v>
      </c>
    </row>
    <row r="26" spans="1:17">
      <c r="A26" t="s">
        <v>69</v>
      </c>
      <c r="B26" t="s">
        <v>19</v>
      </c>
      <c r="C26" t="s">
        <v>863</v>
      </c>
      <c r="D26">
        <v>2.742</v>
      </c>
      <c r="E26" t="s">
        <v>863</v>
      </c>
      <c r="F26" s="1">
        <v>673488085</v>
      </c>
      <c r="G26" s="1">
        <v>48145960</v>
      </c>
      <c r="H26" s="1">
        <v>155986915</v>
      </c>
      <c r="I26" s="1">
        <v>32978520</v>
      </c>
      <c r="J26" s="1">
        <v>253208</v>
      </c>
      <c r="K26" s="1">
        <v>39447</v>
      </c>
      <c r="L26" s="1">
        <v>57945</v>
      </c>
      <c r="M26" s="1">
        <v>7405</v>
      </c>
      <c r="N26">
        <v>0.23400000000000001</v>
      </c>
      <c r="O26">
        <v>6.6000000000000003E-2</v>
      </c>
      <c r="P26" t="s">
        <v>20</v>
      </c>
      <c r="Q26" t="s">
        <v>68</v>
      </c>
    </row>
    <row r="27" spans="1:17">
      <c r="A27" t="s">
        <v>77</v>
      </c>
      <c r="B27" t="s">
        <v>44</v>
      </c>
      <c r="C27" t="s">
        <v>863</v>
      </c>
      <c r="D27">
        <v>4.3</v>
      </c>
      <c r="E27" t="s">
        <v>863</v>
      </c>
      <c r="F27" s="1">
        <v>1820000000</v>
      </c>
      <c r="G27" t="s">
        <v>863</v>
      </c>
      <c r="H27" s="1">
        <v>133020000</v>
      </c>
      <c r="I27" t="s">
        <v>863</v>
      </c>
      <c r="J27" s="1">
        <v>424000</v>
      </c>
      <c r="K27" t="s">
        <v>863</v>
      </c>
      <c r="L27" s="1">
        <v>30940</v>
      </c>
      <c r="M27" t="s">
        <v>863</v>
      </c>
      <c r="N27">
        <v>7.2999999999999995E-2</v>
      </c>
      <c r="O27" t="s">
        <v>863</v>
      </c>
      <c r="P27" t="s">
        <v>53</v>
      </c>
      <c r="Q27" t="s">
        <v>76</v>
      </c>
    </row>
    <row r="28" spans="1:17">
      <c r="A28" t="s">
        <v>81</v>
      </c>
      <c r="B28" t="s">
        <v>44</v>
      </c>
      <c r="C28" t="s">
        <v>863</v>
      </c>
      <c r="D28">
        <v>4.5999999999999996</v>
      </c>
      <c r="E28" t="s">
        <v>863</v>
      </c>
      <c r="F28" s="1">
        <v>2490000000</v>
      </c>
      <c r="G28" t="s">
        <v>863</v>
      </c>
      <c r="H28" s="1">
        <v>245810000</v>
      </c>
      <c r="I28" t="s">
        <v>863</v>
      </c>
      <c r="J28" s="1">
        <v>540310</v>
      </c>
      <c r="K28" t="s">
        <v>863</v>
      </c>
      <c r="L28" s="1">
        <v>53440</v>
      </c>
      <c r="M28" t="s">
        <v>863</v>
      </c>
      <c r="N28">
        <v>9.9000000000000005E-2</v>
      </c>
      <c r="O28" t="s">
        <v>863</v>
      </c>
      <c r="P28" t="s">
        <v>53</v>
      </c>
      <c r="Q28" t="s">
        <v>80</v>
      </c>
    </row>
    <row r="29" spans="1:17">
      <c r="A29" t="s">
        <v>79</v>
      </c>
      <c r="B29" t="s">
        <v>44</v>
      </c>
      <c r="C29" t="s">
        <v>863</v>
      </c>
      <c r="D29">
        <v>5.6420000000000003</v>
      </c>
      <c r="E29" t="s">
        <v>863</v>
      </c>
      <c r="F29" s="1">
        <v>2572600000</v>
      </c>
      <c r="G29" t="s">
        <v>863</v>
      </c>
      <c r="H29" s="1">
        <v>135400000</v>
      </c>
      <c r="I29" t="s">
        <v>863</v>
      </c>
      <c r="J29" s="1">
        <v>455973</v>
      </c>
      <c r="K29" t="s">
        <v>863</v>
      </c>
      <c r="L29" s="1">
        <v>23999</v>
      </c>
      <c r="M29" t="s">
        <v>863</v>
      </c>
      <c r="N29">
        <v>5.2999999999999999E-2</v>
      </c>
      <c r="O29" t="s">
        <v>863</v>
      </c>
      <c r="P29" t="s">
        <v>45</v>
      </c>
      <c r="Q29" t="s">
        <v>78</v>
      </c>
    </row>
    <row r="30" spans="1:17">
      <c r="A30" t="s">
        <v>83</v>
      </c>
      <c r="B30" t="s">
        <v>44</v>
      </c>
      <c r="C30" t="s">
        <v>863</v>
      </c>
      <c r="D30">
        <v>5.7480000000000002</v>
      </c>
      <c r="E30" t="s">
        <v>863</v>
      </c>
      <c r="F30" s="1">
        <v>2038554160</v>
      </c>
      <c r="G30" t="s">
        <v>863</v>
      </c>
      <c r="H30" s="1">
        <v>453565840</v>
      </c>
      <c r="I30" t="s">
        <v>863</v>
      </c>
      <c r="J30" s="1">
        <v>354655</v>
      </c>
      <c r="K30" t="s">
        <v>863</v>
      </c>
      <c r="L30" s="1">
        <v>78908</v>
      </c>
      <c r="M30" t="s">
        <v>863</v>
      </c>
      <c r="N30">
        <v>0.222</v>
      </c>
      <c r="O30" t="s">
        <v>863</v>
      </c>
      <c r="P30" t="s">
        <v>45</v>
      </c>
      <c r="Q30" t="s">
        <v>82</v>
      </c>
    </row>
    <row r="31" spans="1:17">
      <c r="A31" t="s">
        <v>89</v>
      </c>
      <c r="B31" t="s">
        <v>19</v>
      </c>
      <c r="C31" t="s">
        <v>863</v>
      </c>
      <c r="D31">
        <v>6.6319999999999997</v>
      </c>
      <c r="E31">
        <v>1.3120000000000001</v>
      </c>
      <c r="F31" s="1">
        <v>1157810000</v>
      </c>
      <c r="G31" s="1">
        <v>5515433</v>
      </c>
      <c r="H31" s="1">
        <v>570940000</v>
      </c>
      <c r="I31" s="1">
        <v>81105148</v>
      </c>
      <c r="J31" s="1">
        <v>177982</v>
      </c>
      <c r="K31" s="1">
        <v>34889</v>
      </c>
      <c r="L31" s="1">
        <v>86574</v>
      </c>
      <c r="M31" s="1">
        <v>4902</v>
      </c>
      <c r="N31">
        <v>0.49299999999999999</v>
      </c>
      <c r="O31">
        <v>6.8000000000000005E-2</v>
      </c>
      <c r="P31" t="s">
        <v>20</v>
      </c>
      <c r="Q31" t="s">
        <v>88</v>
      </c>
    </row>
    <row r="32" spans="1:17">
      <c r="A32" t="s">
        <v>93</v>
      </c>
      <c r="B32" t="s">
        <v>44</v>
      </c>
      <c r="C32" t="s">
        <v>863</v>
      </c>
      <c r="D32">
        <v>7.694</v>
      </c>
      <c r="E32" t="s">
        <v>863</v>
      </c>
      <c r="F32" s="1">
        <v>4550000000</v>
      </c>
      <c r="G32" t="s">
        <v>863</v>
      </c>
      <c r="H32" s="1">
        <v>931030000</v>
      </c>
      <c r="I32" t="s">
        <v>863</v>
      </c>
      <c r="J32" s="1">
        <v>590800</v>
      </c>
      <c r="K32" t="s">
        <v>863</v>
      </c>
      <c r="L32" s="1">
        <v>121010</v>
      </c>
      <c r="M32" t="s">
        <v>863</v>
      </c>
      <c r="N32">
        <v>0.20499999999999999</v>
      </c>
      <c r="O32" t="s">
        <v>863</v>
      </c>
      <c r="P32" t="s">
        <v>53</v>
      </c>
      <c r="Q32" t="s">
        <v>92</v>
      </c>
    </row>
    <row r="33" spans="1:17">
      <c r="A33" t="s">
        <v>85</v>
      </c>
      <c r="B33" t="s">
        <v>86</v>
      </c>
      <c r="C33" t="s">
        <v>863</v>
      </c>
      <c r="D33">
        <v>8.1280000000000001</v>
      </c>
      <c r="E33" t="s">
        <v>863</v>
      </c>
      <c r="F33" s="1">
        <v>1858320313</v>
      </c>
      <c r="G33" t="s">
        <v>863</v>
      </c>
      <c r="H33" s="1">
        <v>348710938</v>
      </c>
      <c r="I33" t="s">
        <v>863</v>
      </c>
      <c r="J33" s="1">
        <v>228632</v>
      </c>
      <c r="K33" t="s">
        <v>863</v>
      </c>
      <c r="L33" s="1">
        <v>42902</v>
      </c>
      <c r="M33" t="s">
        <v>863</v>
      </c>
      <c r="N33">
        <v>0.188</v>
      </c>
      <c r="O33" t="s">
        <v>863</v>
      </c>
      <c r="P33" t="s">
        <v>87</v>
      </c>
      <c r="Q33" t="s">
        <v>84</v>
      </c>
    </row>
    <row r="34" spans="1:17">
      <c r="A34" t="s">
        <v>91</v>
      </c>
      <c r="B34" t="s">
        <v>86</v>
      </c>
      <c r="C34" t="s">
        <v>863</v>
      </c>
      <c r="D34">
        <v>11.458</v>
      </c>
      <c r="E34" t="s">
        <v>863</v>
      </c>
      <c r="F34" s="1">
        <v>2257214074</v>
      </c>
      <c r="G34" t="s">
        <v>863</v>
      </c>
      <c r="H34" s="1">
        <v>467244676</v>
      </c>
      <c r="I34" t="s">
        <v>863</v>
      </c>
      <c r="J34" s="1">
        <v>196999</v>
      </c>
      <c r="K34" t="s">
        <v>863</v>
      </c>
      <c r="L34" s="1">
        <v>40779</v>
      </c>
      <c r="M34" t="s">
        <v>863</v>
      </c>
      <c r="N34">
        <v>0.20699999999999999</v>
      </c>
      <c r="O34" t="s">
        <v>863</v>
      </c>
      <c r="P34" t="s">
        <v>87</v>
      </c>
      <c r="Q34" t="s">
        <v>90</v>
      </c>
    </row>
    <row r="35" spans="1:17">
      <c r="A35" t="s">
        <v>95</v>
      </c>
      <c r="B35" t="s">
        <v>86</v>
      </c>
      <c r="C35" t="s">
        <v>863</v>
      </c>
      <c r="D35">
        <v>13.401999999999999</v>
      </c>
      <c r="E35" t="s">
        <v>863</v>
      </c>
      <c r="F35" s="1">
        <v>2401712670</v>
      </c>
      <c r="G35" t="s">
        <v>863</v>
      </c>
      <c r="H35" s="1">
        <v>443918456</v>
      </c>
      <c r="I35" t="s">
        <v>863</v>
      </c>
      <c r="J35" s="1">
        <v>179206</v>
      </c>
      <c r="K35" t="s">
        <v>863</v>
      </c>
      <c r="L35" s="1">
        <v>33123</v>
      </c>
      <c r="M35" t="s">
        <v>863</v>
      </c>
      <c r="N35">
        <v>0.184</v>
      </c>
      <c r="O35" t="s">
        <v>863</v>
      </c>
      <c r="P35" t="s">
        <v>87</v>
      </c>
      <c r="Q35" t="s">
        <v>94</v>
      </c>
    </row>
    <row r="36" spans="1:17">
      <c r="A36" t="s">
        <v>97</v>
      </c>
      <c r="B36" t="s">
        <v>44</v>
      </c>
      <c r="C36" t="s">
        <v>863</v>
      </c>
      <c r="D36">
        <v>13.744999999999999</v>
      </c>
      <c r="E36" t="s">
        <v>863</v>
      </c>
      <c r="F36" s="1">
        <v>7794907300</v>
      </c>
      <c r="G36" t="s">
        <v>863</v>
      </c>
      <c r="H36" s="1">
        <v>525977700</v>
      </c>
      <c r="I36" t="s">
        <v>863</v>
      </c>
      <c r="J36" s="1">
        <v>567109</v>
      </c>
      <c r="K36" t="s">
        <v>863</v>
      </c>
      <c r="L36" s="1">
        <v>38267</v>
      </c>
      <c r="M36" t="s">
        <v>863</v>
      </c>
      <c r="N36">
        <v>6.7000000000000004E-2</v>
      </c>
      <c r="O36" t="s">
        <v>863</v>
      </c>
      <c r="P36" t="s">
        <v>45</v>
      </c>
      <c r="Q36" t="s">
        <v>96</v>
      </c>
    </row>
    <row r="37" spans="1:17">
      <c r="A37" t="s">
        <v>99</v>
      </c>
      <c r="B37" t="s">
        <v>86</v>
      </c>
      <c r="C37" t="s">
        <v>863</v>
      </c>
      <c r="D37">
        <v>31.776</v>
      </c>
      <c r="E37" t="s">
        <v>863</v>
      </c>
      <c r="F37" s="1">
        <v>4042494141</v>
      </c>
      <c r="G37" t="s">
        <v>863</v>
      </c>
      <c r="H37" s="1">
        <v>1266099609</v>
      </c>
      <c r="I37" t="s">
        <v>863</v>
      </c>
      <c r="J37" s="1">
        <v>127218</v>
      </c>
      <c r="K37" t="s">
        <v>863</v>
      </c>
      <c r="L37" s="1">
        <v>39845</v>
      </c>
      <c r="M37" t="s">
        <v>863</v>
      </c>
      <c r="N37">
        <v>0.313</v>
      </c>
      <c r="O37" t="s">
        <v>863</v>
      </c>
      <c r="P37" t="s">
        <v>87</v>
      </c>
      <c r="Q37" t="s">
        <v>98</v>
      </c>
    </row>
    <row r="38" spans="1:17">
      <c r="A38" t="s">
        <v>119</v>
      </c>
      <c r="B38" t="s">
        <v>44</v>
      </c>
      <c r="C38" t="s">
        <v>863</v>
      </c>
      <c r="D38">
        <v>35.06</v>
      </c>
      <c r="E38">
        <v>4.34</v>
      </c>
      <c r="F38" s="1">
        <v>26300000000</v>
      </c>
      <c r="G38" s="1">
        <v>2470000000</v>
      </c>
      <c r="H38" s="1">
        <v>2200000000</v>
      </c>
      <c r="I38" t="s">
        <v>863</v>
      </c>
      <c r="J38" s="1">
        <v>750143</v>
      </c>
      <c r="K38" t="s">
        <v>863</v>
      </c>
      <c r="L38" s="1">
        <v>62750</v>
      </c>
      <c r="M38" t="s">
        <v>863</v>
      </c>
      <c r="N38">
        <v>8.4000000000000005E-2</v>
      </c>
      <c r="O38" t="s">
        <v>863</v>
      </c>
      <c r="P38" t="s">
        <v>116</v>
      </c>
      <c r="Q38" t="s">
        <v>120</v>
      </c>
    </row>
    <row r="39" spans="1:17">
      <c r="A39" t="s">
        <v>117</v>
      </c>
      <c r="B39" t="s">
        <v>44</v>
      </c>
      <c r="C39" t="s">
        <v>863</v>
      </c>
      <c r="D39">
        <v>37.56</v>
      </c>
      <c r="E39" t="s">
        <v>863</v>
      </c>
      <c r="F39" s="1">
        <v>26400000000</v>
      </c>
      <c r="G39" t="s">
        <v>863</v>
      </c>
      <c r="H39" s="1">
        <v>2900000000</v>
      </c>
      <c r="I39" t="s">
        <v>863</v>
      </c>
      <c r="J39" s="1">
        <v>702875</v>
      </c>
      <c r="K39" t="s">
        <v>863</v>
      </c>
      <c r="L39" s="1">
        <v>77210</v>
      </c>
      <c r="M39" t="s">
        <v>863</v>
      </c>
      <c r="N39">
        <v>0.11</v>
      </c>
      <c r="O39" t="s">
        <v>863</v>
      </c>
      <c r="P39" t="s">
        <v>116</v>
      </c>
      <c r="Q39" t="s">
        <v>118</v>
      </c>
    </row>
    <row r="40" spans="1:17">
      <c r="A40" t="s">
        <v>101</v>
      </c>
      <c r="B40" t="s">
        <v>86</v>
      </c>
      <c r="C40" t="s">
        <v>863</v>
      </c>
      <c r="D40">
        <v>67.73</v>
      </c>
      <c r="E40" t="s">
        <v>863</v>
      </c>
      <c r="F40" s="1">
        <v>8878076563</v>
      </c>
      <c r="G40" t="s">
        <v>863</v>
      </c>
      <c r="H40" s="1">
        <v>5520360938</v>
      </c>
      <c r="I40" t="s">
        <v>863</v>
      </c>
      <c r="J40" s="1">
        <v>131080</v>
      </c>
      <c r="K40" t="s">
        <v>863</v>
      </c>
      <c r="L40" s="1">
        <v>81505</v>
      </c>
      <c r="M40" t="s">
        <v>863</v>
      </c>
      <c r="N40">
        <v>0.622</v>
      </c>
      <c r="O40" t="s">
        <v>863</v>
      </c>
      <c r="P40" t="s">
        <v>87</v>
      </c>
      <c r="Q40" t="s">
        <v>100</v>
      </c>
    </row>
    <row r="41" spans="1:17">
      <c r="A41" t="s">
        <v>103</v>
      </c>
      <c r="B41" t="s">
        <v>44</v>
      </c>
      <c r="C41" t="s">
        <v>863</v>
      </c>
      <c r="D41">
        <v>154.02000000000001</v>
      </c>
      <c r="E41">
        <v>19.29</v>
      </c>
      <c r="F41" s="1">
        <v>69030000000</v>
      </c>
      <c r="G41" s="1">
        <v>6650000000</v>
      </c>
      <c r="H41" s="1">
        <v>16040000000</v>
      </c>
      <c r="I41" s="1">
        <v>2170000</v>
      </c>
      <c r="J41" s="1">
        <v>471660</v>
      </c>
      <c r="K41" s="1">
        <v>90393</v>
      </c>
      <c r="L41" s="1">
        <v>101020</v>
      </c>
      <c r="M41" s="1">
        <v>19800</v>
      </c>
      <c r="N41">
        <v>0.23200000000000001</v>
      </c>
      <c r="O41">
        <v>1.9E-2</v>
      </c>
      <c r="P41" t="s">
        <v>104</v>
      </c>
      <c r="Q41" t="s">
        <v>102</v>
      </c>
    </row>
    <row r="42" spans="1:17">
      <c r="A42" t="s">
        <v>106</v>
      </c>
      <c r="B42" t="s">
        <v>32</v>
      </c>
      <c r="D42" s="2">
        <v>1171.6300000000001</v>
      </c>
      <c r="E42" t="s">
        <v>863</v>
      </c>
      <c r="F42" s="1">
        <v>250708527536</v>
      </c>
      <c r="G42" t="s">
        <v>863</v>
      </c>
      <c r="H42" s="1">
        <v>38507229964</v>
      </c>
      <c r="I42" t="s">
        <v>863</v>
      </c>
      <c r="J42" s="1">
        <v>213983</v>
      </c>
      <c r="K42" t="s">
        <v>863</v>
      </c>
      <c r="L42" s="1">
        <v>32866</v>
      </c>
      <c r="M42" t="s">
        <v>863</v>
      </c>
      <c r="N42">
        <v>0.154</v>
      </c>
      <c r="O42" t="s">
        <v>863</v>
      </c>
      <c r="P42" t="s">
        <v>107</v>
      </c>
      <c r="Q42" t="s">
        <v>105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Q41"/>
  <sheetViews>
    <sheetView topLeftCell="B1" workbookViewId="0">
      <selection activeCell="G1" sqref="G1"/>
    </sheetView>
  </sheetViews>
  <sheetFormatPr baseColWidth="10" defaultRowHeight="16"/>
  <sheetData>
    <row r="1" spans="1:17">
      <c r="A1" t="s">
        <v>0</v>
      </c>
      <c r="B1" t="s">
        <v>149</v>
      </c>
      <c r="C1" t="s">
        <v>863</v>
      </c>
      <c r="D1" t="s">
        <v>148</v>
      </c>
      <c r="E1" t="s">
        <v>147</v>
      </c>
      <c r="F1" t="s">
        <v>146</v>
      </c>
      <c r="G1" t="s">
        <v>145</v>
      </c>
      <c r="H1" t="s">
        <v>144</v>
      </c>
      <c r="I1" t="s">
        <v>143</v>
      </c>
      <c r="J1" t="s">
        <v>142</v>
      </c>
      <c r="K1" t="s">
        <v>141</v>
      </c>
      <c r="L1" t="s">
        <v>140</v>
      </c>
      <c r="M1" t="s">
        <v>139</v>
      </c>
      <c r="N1" t="s">
        <v>138</v>
      </c>
      <c r="O1" t="s">
        <v>137</v>
      </c>
      <c r="P1" t="s">
        <v>136</v>
      </c>
      <c r="Q1" t="s">
        <v>150</v>
      </c>
    </row>
    <row r="2" spans="1:17">
      <c r="A2" t="s">
        <v>14</v>
      </c>
      <c r="B2" t="s">
        <v>15</v>
      </c>
      <c r="C2" t="s">
        <v>863</v>
      </c>
      <c r="D2">
        <v>7.1999999999999995E-2</v>
      </c>
      <c r="E2">
        <v>0.01</v>
      </c>
      <c r="F2" s="1">
        <v>5560000</v>
      </c>
      <c r="G2" s="1">
        <v>1490000</v>
      </c>
      <c r="H2" s="1">
        <v>8280000</v>
      </c>
      <c r="I2" s="1">
        <v>1440000</v>
      </c>
      <c r="J2" s="1">
        <v>75941</v>
      </c>
      <c r="K2" s="1">
        <v>11870</v>
      </c>
      <c r="L2" s="1">
        <v>114880</v>
      </c>
      <c r="M2" s="1">
        <v>17860</v>
      </c>
      <c r="N2">
        <v>1.4890000000000001</v>
      </c>
      <c r="O2">
        <v>0.29399999999999998</v>
      </c>
      <c r="P2" t="s">
        <v>16</v>
      </c>
      <c r="Q2" t="s">
        <v>13</v>
      </c>
    </row>
    <row r="3" spans="1:17">
      <c r="A3" t="s">
        <v>22</v>
      </c>
      <c r="B3" t="s">
        <v>15</v>
      </c>
      <c r="C3" t="s">
        <v>863</v>
      </c>
      <c r="D3">
        <v>0.113</v>
      </c>
      <c r="E3">
        <v>8.9999999999999993E-3</v>
      </c>
      <c r="F3" s="1">
        <v>6340000</v>
      </c>
      <c r="G3" s="1">
        <v>636200</v>
      </c>
      <c r="H3" s="1">
        <v>13320000</v>
      </c>
      <c r="I3" s="1">
        <v>1120000</v>
      </c>
      <c r="J3" s="1">
        <v>55924</v>
      </c>
      <c r="K3" s="1">
        <v>2130</v>
      </c>
      <c r="L3" s="1">
        <v>117736</v>
      </c>
      <c r="M3" s="1">
        <v>5840</v>
      </c>
      <c r="N3">
        <v>2.1019999999999999</v>
      </c>
      <c r="O3">
        <v>9.6000000000000002E-2</v>
      </c>
      <c r="P3" t="s">
        <v>16</v>
      </c>
      <c r="Q3" t="s">
        <v>21</v>
      </c>
    </row>
    <row r="4" spans="1:17">
      <c r="A4" t="s">
        <v>24</v>
      </c>
      <c r="B4" t="s">
        <v>19</v>
      </c>
      <c r="C4" t="s">
        <v>863</v>
      </c>
      <c r="D4">
        <v>0.16</v>
      </c>
      <c r="E4">
        <v>1.9E-2</v>
      </c>
      <c r="F4" s="1">
        <v>4981317</v>
      </c>
      <c r="G4" s="1">
        <v>853026</v>
      </c>
      <c r="H4" s="1">
        <v>10310350</v>
      </c>
      <c r="I4" s="1">
        <v>1843572</v>
      </c>
      <c r="J4" s="1">
        <v>31674</v>
      </c>
      <c r="K4" s="1">
        <v>8484</v>
      </c>
      <c r="L4" s="1">
        <v>64145</v>
      </c>
      <c r="M4" s="1">
        <v>3790</v>
      </c>
      <c r="N4">
        <v>2.125</v>
      </c>
      <c r="O4" t="s">
        <v>863</v>
      </c>
      <c r="P4" t="s">
        <v>25</v>
      </c>
      <c r="Q4" t="s">
        <v>23</v>
      </c>
    </row>
    <row r="5" spans="1:17">
      <c r="A5" t="s">
        <v>18</v>
      </c>
      <c r="B5" t="s">
        <v>19</v>
      </c>
      <c r="C5" t="s">
        <v>863</v>
      </c>
      <c r="D5">
        <v>0.17199999999999999</v>
      </c>
      <c r="E5">
        <v>1.9E-2</v>
      </c>
      <c r="F5" s="1">
        <v>11960000</v>
      </c>
      <c r="G5" s="1">
        <v>1577022</v>
      </c>
      <c r="H5" s="1">
        <v>14850000</v>
      </c>
      <c r="I5" s="1">
        <v>3590591</v>
      </c>
      <c r="J5" s="1">
        <v>64301</v>
      </c>
      <c r="K5" s="1">
        <v>6623</v>
      </c>
      <c r="L5" s="1">
        <v>79839</v>
      </c>
      <c r="M5" s="1">
        <v>11249</v>
      </c>
      <c r="N5">
        <v>1.242</v>
      </c>
      <c r="O5" t="s">
        <v>863</v>
      </c>
      <c r="P5" t="s">
        <v>20</v>
      </c>
      <c r="Q5" t="s">
        <v>17</v>
      </c>
    </row>
    <row r="6" spans="1:17">
      <c r="A6" t="s">
        <v>29</v>
      </c>
      <c r="B6" t="s">
        <v>15</v>
      </c>
      <c r="C6" t="s">
        <v>863</v>
      </c>
      <c r="D6">
        <v>0.22800000000000001</v>
      </c>
      <c r="E6">
        <v>8.9999999999999993E-3</v>
      </c>
      <c r="F6" s="1">
        <v>7130000</v>
      </c>
      <c r="G6" s="1">
        <v>920000</v>
      </c>
      <c r="H6" s="1">
        <v>31380000</v>
      </c>
      <c r="I6" s="1">
        <v>1500000</v>
      </c>
      <c r="J6" s="1">
        <v>31276</v>
      </c>
      <c r="K6" s="1">
        <v>3180</v>
      </c>
      <c r="L6" s="1">
        <v>137960</v>
      </c>
      <c r="M6" s="1">
        <v>7180</v>
      </c>
      <c r="N6">
        <v>4.4009999999999998</v>
      </c>
      <c r="O6">
        <v>0.375</v>
      </c>
      <c r="P6" t="s">
        <v>16</v>
      </c>
      <c r="Q6" t="s">
        <v>28</v>
      </c>
    </row>
    <row r="7" spans="1:17">
      <c r="A7" t="s">
        <v>27</v>
      </c>
      <c r="B7" t="s">
        <v>15</v>
      </c>
      <c r="C7" t="s">
        <v>863</v>
      </c>
      <c r="D7">
        <v>0.24399999999999999</v>
      </c>
      <c r="E7">
        <v>2.5999999999999999E-2</v>
      </c>
      <c r="F7" s="1">
        <v>8160000</v>
      </c>
      <c r="G7" s="1">
        <v>2180000</v>
      </c>
      <c r="H7" s="1">
        <v>31550000</v>
      </c>
      <c r="I7" s="1">
        <v>5950000</v>
      </c>
      <c r="J7" s="1">
        <v>33475</v>
      </c>
      <c r="K7" s="1">
        <v>8560</v>
      </c>
      <c r="L7" s="1">
        <v>128990</v>
      </c>
      <c r="M7" s="1">
        <v>17820</v>
      </c>
      <c r="N7">
        <v>3.8660000000000001</v>
      </c>
      <c r="O7">
        <v>1.6919999999999999</v>
      </c>
      <c r="P7" t="s">
        <v>16</v>
      </c>
      <c r="Q7" t="s">
        <v>26</v>
      </c>
    </row>
    <row r="8" spans="1:17">
      <c r="A8" t="s">
        <v>31</v>
      </c>
      <c r="B8" t="s">
        <v>32</v>
      </c>
      <c r="C8" t="s">
        <v>863</v>
      </c>
      <c r="D8">
        <v>0.28899999999999998</v>
      </c>
      <c r="E8">
        <v>1.2999999999999999E-2</v>
      </c>
      <c r="F8" s="1">
        <v>9070358</v>
      </c>
      <c r="G8" s="1">
        <v>1069000</v>
      </c>
      <c r="H8" s="1">
        <v>16834642</v>
      </c>
      <c r="I8" s="1">
        <v>3276000</v>
      </c>
      <c r="J8" s="1">
        <v>31616</v>
      </c>
      <c r="K8" s="1">
        <v>5124</v>
      </c>
      <c r="L8" s="1">
        <v>58880</v>
      </c>
      <c r="M8" s="1">
        <v>13983</v>
      </c>
      <c r="N8">
        <v>1.839</v>
      </c>
      <c r="O8">
        <v>0.14399999999999999</v>
      </c>
      <c r="P8" t="s">
        <v>33</v>
      </c>
      <c r="Q8" t="s">
        <v>30</v>
      </c>
    </row>
    <row r="9" spans="1:17">
      <c r="A9" t="s">
        <v>35</v>
      </c>
      <c r="B9" t="s">
        <v>15</v>
      </c>
      <c r="C9" t="s">
        <v>863</v>
      </c>
      <c r="D9">
        <v>0.37</v>
      </c>
      <c r="E9">
        <v>4.2000000000000003E-2</v>
      </c>
      <c r="F9" s="1">
        <v>16560000</v>
      </c>
      <c r="G9" s="1">
        <v>2990000</v>
      </c>
      <c r="H9" s="1">
        <v>45690000</v>
      </c>
      <c r="I9" s="1">
        <v>4820000</v>
      </c>
      <c r="J9" s="1">
        <v>44620</v>
      </c>
      <c r="K9" s="1">
        <v>4900</v>
      </c>
      <c r="L9" s="1">
        <v>123600</v>
      </c>
      <c r="M9" s="1">
        <v>2550</v>
      </c>
      <c r="N9">
        <v>2.7589999999999999</v>
      </c>
      <c r="O9">
        <v>0.379</v>
      </c>
      <c r="P9" t="s">
        <v>16</v>
      </c>
      <c r="Q9" t="s">
        <v>34</v>
      </c>
    </row>
    <row r="10" spans="1:17">
      <c r="A10" t="s">
        <v>39</v>
      </c>
      <c r="B10" t="s">
        <v>19</v>
      </c>
      <c r="C10" t="s">
        <v>863</v>
      </c>
      <c r="D10">
        <v>0.375</v>
      </c>
      <c r="E10">
        <v>5.7000000000000002E-2</v>
      </c>
      <c r="F10" s="1">
        <v>5870000</v>
      </c>
      <c r="G10" s="1">
        <v>1162059</v>
      </c>
      <c r="H10" s="1">
        <v>21330000</v>
      </c>
      <c r="I10" s="1">
        <v>8878857</v>
      </c>
      <c r="J10" s="1">
        <v>15611</v>
      </c>
      <c r="K10">
        <v>715</v>
      </c>
      <c r="L10" s="1">
        <v>55804</v>
      </c>
      <c r="M10" s="1">
        <v>15174</v>
      </c>
      <c r="N10">
        <v>3.556</v>
      </c>
      <c r="O10" t="s">
        <v>863</v>
      </c>
      <c r="P10" t="s">
        <v>20</v>
      </c>
      <c r="Q10" t="s">
        <v>38</v>
      </c>
    </row>
    <row r="11" spans="1:17">
      <c r="A11" t="s">
        <v>37</v>
      </c>
      <c r="B11" t="s">
        <v>32</v>
      </c>
      <c r="C11" t="s">
        <v>863</v>
      </c>
      <c r="D11">
        <v>0.40100000000000002</v>
      </c>
      <c r="E11">
        <v>6.3E-2</v>
      </c>
      <c r="F11" s="1">
        <v>14012533</v>
      </c>
      <c r="G11" s="1">
        <v>3258000</v>
      </c>
      <c r="H11" s="1">
        <v>28997467</v>
      </c>
      <c r="I11" s="1">
        <v>7906000</v>
      </c>
      <c r="J11" s="1">
        <v>34520</v>
      </c>
      <c r="K11" s="1">
        <v>2702</v>
      </c>
      <c r="L11" s="1">
        <v>70967</v>
      </c>
      <c r="M11" s="1">
        <v>8566</v>
      </c>
      <c r="N11">
        <v>2.048</v>
      </c>
      <c r="O11">
        <v>8.7999999999999995E-2</v>
      </c>
      <c r="P11" t="s">
        <v>33</v>
      </c>
      <c r="Q11" t="s">
        <v>36</v>
      </c>
    </row>
    <row r="12" spans="1:17">
      <c r="A12" t="s">
        <v>43</v>
      </c>
      <c r="B12" t="s">
        <v>44</v>
      </c>
      <c r="C12" t="s">
        <v>863</v>
      </c>
      <c r="D12">
        <v>0.5</v>
      </c>
      <c r="E12" t="s">
        <v>863</v>
      </c>
      <c r="F12" s="1">
        <v>11014640</v>
      </c>
      <c r="G12" t="s">
        <v>863</v>
      </c>
      <c r="H12" s="1">
        <v>50865360</v>
      </c>
      <c r="I12" t="s">
        <v>863</v>
      </c>
      <c r="J12" s="1">
        <v>22029</v>
      </c>
      <c r="K12" t="s">
        <v>863</v>
      </c>
      <c r="L12" s="1">
        <v>101731</v>
      </c>
      <c r="M12" t="s">
        <v>863</v>
      </c>
      <c r="N12">
        <v>4.6180000000000003</v>
      </c>
      <c r="O12" t="s">
        <v>863</v>
      </c>
      <c r="P12" t="s">
        <v>45</v>
      </c>
      <c r="Q12" t="s">
        <v>42</v>
      </c>
    </row>
    <row r="13" spans="1:17">
      <c r="A13" t="s">
        <v>41</v>
      </c>
      <c r="B13" t="s">
        <v>19</v>
      </c>
      <c r="C13" t="s">
        <v>863</v>
      </c>
      <c r="D13">
        <v>0.68300000000000005</v>
      </c>
      <c r="E13">
        <v>0.153</v>
      </c>
      <c r="F13" s="1">
        <v>18678758</v>
      </c>
      <c r="G13" s="1">
        <v>4243909</v>
      </c>
      <c r="H13" s="1">
        <v>47221243</v>
      </c>
      <c r="I13" s="1">
        <v>5979982</v>
      </c>
      <c r="J13" s="1">
        <v>27813</v>
      </c>
      <c r="K13" s="1">
        <v>6171</v>
      </c>
      <c r="L13" s="1">
        <v>71760</v>
      </c>
      <c r="M13" s="1">
        <v>18475</v>
      </c>
      <c r="N13">
        <v>2.5870000000000002</v>
      </c>
      <c r="O13" t="s">
        <v>863</v>
      </c>
      <c r="P13" t="s">
        <v>20</v>
      </c>
      <c r="Q13" t="s">
        <v>40</v>
      </c>
    </row>
    <row r="14" spans="1:17">
      <c r="A14" t="s">
        <v>47</v>
      </c>
      <c r="B14" t="s">
        <v>19</v>
      </c>
      <c r="C14" t="s">
        <v>863</v>
      </c>
      <c r="D14">
        <v>0.82399999999999995</v>
      </c>
      <c r="E14">
        <v>6.0000000000000001E-3</v>
      </c>
      <c r="F14" s="1">
        <v>13492039</v>
      </c>
      <c r="G14" s="1">
        <v>1533120</v>
      </c>
      <c r="H14" s="1">
        <v>73068898</v>
      </c>
      <c r="I14" s="1">
        <v>2691449</v>
      </c>
      <c r="J14" s="1">
        <v>16381</v>
      </c>
      <c r="K14" s="1">
        <v>1973</v>
      </c>
      <c r="L14" s="1">
        <v>88667</v>
      </c>
      <c r="M14" s="1">
        <v>2658</v>
      </c>
      <c r="N14">
        <v>5.4619999999999997</v>
      </c>
      <c r="O14" t="s">
        <v>863</v>
      </c>
      <c r="P14" t="s">
        <v>25</v>
      </c>
      <c r="Q14" t="s">
        <v>46</v>
      </c>
    </row>
    <row r="15" spans="1:17">
      <c r="A15" t="s">
        <v>49</v>
      </c>
      <c r="B15" t="s">
        <v>32</v>
      </c>
      <c r="C15" t="s">
        <v>863</v>
      </c>
      <c r="D15">
        <v>0.89400000000000002</v>
      </c>
      <c r="E15">
        <v>2.1999999999999999E-2</v>
      </c>
      <c r="F15" s="1">
        <v>12231811</v>
      </c>
      <c r="G15" s="1">
        <v>188000</v>
      </c>
      <c r="H15" s="1">
        <v>28204189</v>
      </c>
      <c r="I15" s="1">
        <v>5408000</v>
      </c>
      <c r="J15" s="1">
        <v>13696</v>
      </c>
      <c r="K15">
        <v>547</v>
      </c>
      <c r="L15" s="1">
        <v>31716</v>
      </c>
      <c r="M15" s="1">
        <v>6830</v>
      </c>
      <c r="N15">
        <v>2.2999999999999998</v>
      </c>
      <c r="O15">
        <v>0.40699999999999997</v>
      </c>
      <c r="P15" t="s">
        <v>33</v>
      </c>
      <c r="Q15" t="s">
        <v>48</v>
      </c>
    </row>
    <row r="16" spans="1:17">
      <c r="A16" t="s">
        <v>51</v>
      </c>
      <c r="B16" t="s">
        <v>52</v>
      </c>
      <c r="C16" t="s">
        <v>863</v>
      </c>
      <c r="D16">
        <v>0.91900000000000004</v>
      </c>
      <c r="E16">
        <v>7.1999999999999995E-2</v>
      </c>
      <c r="F16" s="1">
        <v>22480000</v>
      </c>
      <c r="G16" t="s">
        <v>863</v>
      </c>
      <c r="H16" s="1">
        <v>87080000</v>
      </c>
      <c r="I16" t="s">
        <v>863</v>
      </c>
      <c r="J16" s="1">
        <v>25900</v>
      </c>
      <c r="K16" t="s">
        <v>863</v>
      </c>
      <c r="L16" s="1">
        <v>100320</v>
      </c>
      <c r="M16" t="s">
        <v>863</v>
      </c>
      <c r="N16">
        <v>3.8740000000000001</v>
      </c>
      <c r="O16" t="s">
        <v>863</v>
      </c>
      <c r="P16" t="s">
        <v>53</v>
      </c>
      <c r="Q16" t="s">
        <v>50</v>
      </c>
    </row>
    <row r="17" spans="1:17">
      <c r="A17" t="s">
        <v>55</v>
      </c>
      <c r="B17" t="s">
        <v>19</v>
      </c>
      <c r="C17" t="s">
        <v>863</v>
      </c>
      <c r="D17">
        <v>1.218</v>
      </c>
      <c r="E17">
        <v>0.17799999999999999</v>
      </c>
      <c r="F17" s="1">
        <v>22191825</v>
      </c>
      <c r="G17" s="1">
        <v>9431638</v>
      </c>
      <c r="H17" s="1">
        <v>83183175</v>
      </c>
      <c r="I17" s="1">
        <v>8139966</v>
      </c>
      <c r="J17" s="1">
        <v>18990</v>
      </c>
      <c r="K17" s="1">
        <v>10522</v>
      </c>
      <c r="L17" s="1">
        <v>69528</v>
      </c>
      <c r="M17" s="1">
        <v>16855</v>
      </c>
      <c r="N17">
        <v>4.0350000000000001</v>
      </c>
      <c r="O17" t="s">
        <v>863</v>
      </c>
      <c r="P17" t="s">
        <v>20</v>
      </c>
      <c r="Q17" t="s">
        <v>54</v>
      </c>
    </row>
    <row r="18" spans="1:17">
      <c r="A18" t="s">
        <v>63</v>
      </c>
      <c r="B18" t="s">
        <v>44</v>
      </c>
      <c r="C18" t="s">
        <v>863</v>
      </c>
      <c r="D18">
        <v>1.4890000000000001</v>
      </c>
      <c r="E18">
        <v>0.317</v>
      </c>
      <c r="F18" s="1">
        <v>29720000</v>
      </c>
      <c r="G18" s="1">
        <v>9350000</v>
      </c>
      <c r="H18" s="1">
        <v>145910000</v>
      </c>
      <c r="I18" s="1">
        <v>27830000</v>
      </c>
      <c r="J18" s="1">
        <v>19650</v>
      </c>
      <c r="K18" s="1">
        <v>2840</v>
      </c>
      <c r="L18" s="1">
        <v>98370</v>
      </c>
      <c r="M18" t="s">
        <v>863</v>
      </c>
      <c r="N18">
        <v>4.9089999999999998</v>
      </c>
      <c r="O18" t="s">
        <v>863</v>
      </c>
      <c r="P18" t="s">
        <v>53</v>
      </c>
      <c r="Q18" t="s">
        <v>62</v>
      </c>
    </row>
    <row r="19" spans="1:17">
      <c r="A19" t="s">
        <v>59</v>
      </c>
      <c r="B19" t="s">
        <v>19</v>
      </c>
      <c r="C19" t="s">
        <v>863</v>
      </c>
      <c r="D19">
        <v>1.9430000000000001</v>
      </c>
      <c r="E19">
        <v>0.156</v>
      </c>
      <c r="F19" s="1">
        <v>33493401</v>
      </c>
      <c r="G19" s="1">
        <v>17128790</v>
      </c>
      <c r="H19" s="1">
        <v>210023933</v>
      </c>
      <c r="I19" s="1">
        <v>3415060</v>
      </c>
      <c r="J19" s="1">
        <v>17616</v>
      </c>
      <c r="K19" s="1">
        <v>9989</v>
      </c>
      <c r="L19" s="1">
        <v>108482</v>
      </c>
      <c r="M19" s="1">
        <v>7808</v>
      </c>
      <c r="N19">
        <v>7.2460000000000004</v>
      </c>
      <c r="O19" t="s">
        <v>863</v>
      </c>
      <c r="P19" t="s">
        <v>25</v>
      </c>
      <c r="Q19" t="s">
        <v>58</v>
      </c>
    </row>
    <row r="20" spans="1:17">
      <c r="A20" t="s">
        <v>57</v>
      </c>
      <c r="B20" t="s">
        <v>19</v>
      </c>
      <c r="C20" t="s">
        <v>863</v>
      </c>
      <c r="D20">
        <v>1.9450000000000001</v>
      </c>
      <c r="E20">
        <v>0.14599999999999999</v>
      </c>
      <c r="F20" s="1">
        <v>34090600</v>
      </c>
      <c r="G20" s="1">
        <v>589361</v>
      </c>
      <c r="H20" s="1">
        <v>167742733</v>
      </c>
      <c r="I20" s="1">
        <v>5025290</v>
      </c>
      <c r="J20" s="1">
        <v>17590</v>
      </c>
      <c r="K20" s="1">
        <v>1335</v>
      </c>
      <c r="L20" s="1">
        <v>86542</v>
      </c>
      <c r="M20" s="1">
        <v>6793</v>
      </c>
      <c r="N20">
        <v>4.923</v>
      </c>
      <c r="O20" t="s">
        <v>863</v>
      </c>
      <c r="P20" t="s">
        <v>25</v>
      </c>
      <c r="Q20" t="s">
        <v>56</v>
      </c>
    </row>
    <row r="21" spans="1:17">
      <c r="A21" t="s">
        <v>75</v>
      </c>
      <c r="B21" t="s">
        <v>44</v>
      </c>
      <c r="C21" t="s">
        <v>863</v>
      </c>
      <c r="D21">
        <v>2.0859999999999999</v>
      </c>
      <c r="E21" t="s">
        <v>863</v>
      </c>
      <c r="F21" s="1">
        <v>53911480</v>
      </c>
      <c r="G21" t="s">
        <v>863</v>
      </c>
      <c r="H21" s="1">
        <v>194528520</v>
      </c>
      <c r="I21" t="s">
        <v>863</v>
      </c>
      <c r="J21" s="1">
        <v>25844</v>
      </c>
      <c r="K21" t="s">
        <v>863</v>
      </c>
      <c r="L21" s="1">
        <v>93254</v>
      </c>
      <c r="M21" t="s">
        <v>863</v>
      </c>
      <c r="N21">
        <v>3.6080000000000001</v>
      </c>
      <c r="O21" t="s">
        <v>863</v>
      </c>
      <c r="P21" t="s">
        <v>45</v>
      </c>
      <c r="Q21" t="s">
        <v>74</v>
      </c>
    </row>
    <row r="22" spans="1:17">
      <c r="A22" t="s">
        <v>65</v>
      </c>
      <c r="B22" t="s">
        <v>44</v>
      </c>
      <c r="C22" t="s">
        <v>863</v>
      </c>
      <c r="D22">
        <v>2.1309999999999998</v>
      </c>
      <c r="E22">
        <v>2.1000000000000001E-2</v>
      </c>
      <c r="F22" s="1">
        <v>20800000</v>
      </c>
      <c r="G22" s="1">
        <v>12280000</v>
      </c>
      <c r="H22" s="1">
        <v>147440000</v>
      </c>
      <c r="I22" s="1">
        <v>64500000</v>
      </c>
      <c r="J22" s="1">
        <v>9730</v>
      </c>
      <c r="K22" s="1">
        <v>5920</v>
      </c>
      <c r="L22" s="1">
        <v>69040</v>
      </c>
      <c r="M22" t="s">
        <v>863</v>
      </c>
      <c r="N22">
        <v>7.0880000000000001</v>
      </c>
      <c r="O22" t="s">
        <v>863</v>
      </c>
      <c r="P22" t="s">
        <v>53</v>
      </c>
      <c r="Q22" t="s">
        <v>64</v>
      </c>
    </row>
    <row r="23" spans="1:17">
      <c r="A23" t="s">
        <v>73</v>
      </c>
      <c r="B23" t="s">
        <v>44</v>
      </c>
      <c r="C23" t="s">
        <v>863</v>
      </c>
      <c r="D23">
        <v>3.1040000000000001</v>
      </c>
      <c r="E23" t="s">
        <v>863</v>
      </c>
      <c r="F23" s="1">
        <v>49340000</v>
      </c>
      <c r="G23" t="s">
        <v>863</v>
      </c>
      <c r="H23" s="1">
        <v>313460000</v>
      </c>
      <c r="I23" t="s">
        <v>863</v>
      </c>
      <c r="J23" s="1">
        <v>15900</v>
      </c>
      <c r="K23" t="s">
        <v>863</v>
      </c>
      <c r="L23" s="1">
        <v>100990</v>
      </c>
      <c r="M23" t="s">
        <v>863</v>
      </c>
      <c r="N23">
        <v>6.3529999999999998</v>
      </c>
      <c r="O23" t="s">
        <v>863</v>
      </c>
      <c r="P23" t="s">
        <v>53</v>
      </c>
      <c r="Q23" t="s">
        <v>72</v>
      </c>
    </row>
    <row r="24" spans="1:17">
      <c r="A24" t="s">
        <v>61</v>
      </c>
      <c r="B24" t="s">
        <v>19</v>
      </c>
      <c r="C24" t="s">
        <v>863</v>
      </c>
      <c r="D24">
        <v>3.2719999999999998</v>
      </c>
      <c r="E24" t="s">
        <v>863</v>
      </c>
      <c r="F24" s="1">
        <v>26085000</v>
      </c>
      <c r="G24" t="s">
        <v>863</v>
      </c>
      <c r="H24" s="1">
        <v>251415000</v>
      </c>
      <c r="I24" t="s">
        <v>863</v>
      </c>
      <c r="J24" s="1">
        <v>7972</v>
      </c>
      <c r="K24" t="s">
        <v>863</v>
      </c>
      <c r="L24" s="1">
        <v>76838</v>
      </c>
      <c r="M24" t="s">
        <v>863</v>
      </c>
      <c r="N24" s="1" t="s">
        <v>863</v>
      </c>
      <c r="O24" t="s">
        <v>863</v>
      </c>
      <c r="P24" t="s">
        <v>25</v>
      </c>
      <c r="Q24" t="s">
        <v>60</v>
      </c>
    </row>
    <row r="25" spans="1:17">
      <c r="A25" t="s">
        <v>67</v>
      </c>
      <c r="B25" t="s">
        <v>32</v>
      </c>
      <c r="C25" t="s">
        <v>863</v>
      </c>
      <c r="D25">
        <v>3.3279999999999998</v>
      </c>
      <c r="E25" t="s">
        <v>863</v>
      </c>
      <c r="F25" s="1">
        <v>44671471</v>
      </c>
      <c r="G25" t="s">
        <v>863</v>
      </c>
      <c r="H25" s="1">
        <v>152466529</v>
      </c>
      <c r="I25" t="s">
        <v>863</v>
      </c>
      <c r="J25" s="1">
        <v>13423</v>
      </c>
      <c r="K25" t="s">
        <v>863</v>
      </c>
      <c r="L25" s="1">
        <v>45813</v>
      </c>
      <c r="M25" t="s">
        <v>863</v>
      </c>
      <c r="N25">
        <v>3.4129999999999998</v>
      </c>
      <c r="O25" t="s">
        <v>863</v>
      </c>
      <c r="P25" t="s">
        <v>33</v>
      </c>
      <c r="Q25" t="s">
        <v>66</v>
      </c>
    </row>
    <row r="26" spans="1:17">
      <c r="A26" t="s">
        <v>79</v>
      </c>
      <c r="B26" t="s">
        <v>44</v>
      </c>
      <c r="C26" t="s">
        <v>863</v>
      </c>
      <c r="D26">
        <v>4.2939999999999996</v>
      </c>
      <c r="E26" t="s">
        <v>863</v>
      </c>
      <c r="F26" s="1">
        <v>65449620</v>
      </c>
      <c r="G26" t="s">
        <v>863</v>
      </c>
      <c r="H26" s="1">
        <v>260170380</v>
      </c>
      <c r="I26" t="s">
        <v>863</v>
      </c>
      <c r="J26" s="1">
        <v>15242</v>
      </c>
      <c r="K26" t="s">
        <v>863</v>
      </c>
      <c r="L26" s="1">
        <v>60589</v>
      </c>
      <c r="M26" t="s">
        <v>863</v>
      </c>
      <c r="N26">
        <v>3.9750000000000001</v>
      </c>
      <c r="O26" t="s">
        <v>863</v>
      </c>
      <c r="P26" t="s">
        <v>45</v>
      </c>
      <c r="Q26" t="s">
        <v>78</v>
      </c>
    </row>
    <row r="27" spans="1:17">
      <c r="A27" t="s">
        <v>71</v>
      </c>
      <c r="B27" t="s">
        <v>32</v>
      </c>
      <c r="C27" t="s">
        <v>863</v>
      </c>
      <c r="D27">
        <v>4.3170000000000002</v>
      </c>
      <c r="E27">
        <v>0.625</v>
      </c>
      <c r="F27" s="1">
        <v>69358240</v>
      </c>
      <c r="G27" s="1">
        <v>762000</v>
      </c>
      <c r="H27" s="1">
        <v>162984760</v>
      </c>
      <c r="I27" s="1">
        <v>6105000</v>
      </c>
      <c r="J27" s="1">
        <v>16436</v>
      </c>
      <c r="K27" s="1">
        <v>2556</v>
      </c>
      <c r="L27" s="1">
        <v>38353</v>
      </c>
      <c r="M27" s="1">
        <v>4138</v>
      </c>
      <c r="N27">
        <v>2.351</v>
      </c>
      <c r="O27">
        <v>0.114</v>
      </c>
      <c r="P27" t="s">
        <v>33</v>
      </c>
      <c r="Q27" t="s">
        <v>70</v>
      </c>
    </row>
    <row r="28" spans="1:17">
      <c r="A28" t="s">
        <v>77</v>
      </c>
      <c r="B28" t="s">
        <v>44</v>
      </c>
      <c r="C28" t="s">
        <v>863</v>
      </c>
      <c r="D28">
        <v>5.0039999999999996</v>
      </c>
      <c r="E28" t="s">
        <v>863</v>
      </c>
      <c r="F28" s="1">
        <v>65530000</v>
      </c>
      <c r="G28" t="s">
        <v>863</v>
      </c>
      <c r="H28" s="1">
        <v>302590000</v>
      </c>
      <c r="I28" t="s">
        <v>863</v>
      </c>
      <c r="J28" s="1">
        <v>13090</v>
      </c>
      <c r="K28" t="s">
        <v>863</v>
      </c>
      <c r="L28" s="1">
        <v>60470</v>
      </c>
      <c r="M28" t="s">
        <v>863</v>
      </c>
      <c r="N28">
        <v>4.6180000000000003</v>
      </c>
      <c r="O28" t="s">
        <v>863</v>
      </c>
      <c r="P28" t="s">
        <v>53</v>
      </c>
      <c r="Q28" t="s">
        <v>76</v>
      </c>
    </row>
    <row r="29" spans="1:17">
      <c r="A29" t="s">
        <v>69</v>
      </c>
      <c r="B29" t="s">
        <v>19</v>
      </c>
      <c r="C29" t="s">
        <v>863</v>
      </c>
      <c r="D29">
        <v>5.9720000000000004</v>
      </c>
      <c r="E29">
        <v>0.51400000000000001</v>
      </c>
      <c r="F29" s="1">
        <v>43204320</v>
      </c>
      <c r="G29" t="s">
        <v>863</v>
      </c>
      <c r="H29" s="1">
        <v>356835680</v>
      </c>
      <c r="I29" t="s">
        <v>863</v>
      </c>
      <c r="J29" s="1">
        <v>6830</v>
      </c>
      <c r="K29" t="s">
        <v>863</v>
      </c>
      <c r="L29" s="1">
        <v>56408</v>
      </c>
      <c r="M29" t="s">
        <v>863</v>
      </c>
      <c r="N29" s="1" t="s">
        <v>863</v>
      </c>
      <c r="O29" t="s">
        <v>863</v>
      </c>
      <c r="P29" t="s">
        <v>20</v>
      </c>
      <c r="Q29" t="s">
        <v>68</v>
      </c>
    </row>
    <row r="30" spans="1:17">
      <c r="A30" t="s">
        <v>83</v>
      </c>
      <c r="B30" t="s">
        <v>44</v>
      </c>
      <c r="C30" t="s">
        <v>863</v>
      </c>
      <c r="D30">
        <v>7.4480000000000004</v>
      </c>
      <c r="E30" t="s">
        <v>863</v>
      </c>
      <c r="F30" s="1">
        <v>61359000</v>
      </c>
      <c r="G30" t="s">
        <v>863</v>
      </c>
      <c r="H30" s="1">
        <v>616641000</v>
      </c>
      <c r="I30" t="s">
        <v>863</v>
      </c>
      <c r="J30" s="1">
        <v>8238</v>
      </c>
      <c r="K30" t="s">
        <v>863</v>
      </c>
      <c r="L30" s="1">
        <v>82793</v>
      </c>
      <c r="M30" t="s">
        <v>863</v>
      </c>
      <c r="N30">
        <v>10.050000000000001</v>
      </c>
      <c r="O30" t="s">
        <v>863</v>
      </c>
      <c r="P30" t="s">
        <v>45</v>
      </c>
      <c r="Q30" t="s">
        <v>82</v>
      </c>
    </row>
    <row r="31" spans="1:17">
      <c r="A31" t="s">
        <v>81</v>
      </c>
      <c r="B31" t="s">
        <v>44</v>
      </c>
      <c r="C31" t="s">
        <v>863</v>
      </c>
      <c r="D31">
        <v>8.43</v>
      </c>
      <c r="E31" t="s">
        <v>863</v>
      </c>
      <c r="F31" s="1">
        <v>61850000</v>
      </c>
      <c r="G31" t="s">
        <v>863</v>
      </c>
      <c r="H31" s="1">
        <v>506110000</v>
      </c>
      <c r="I31" t="s">
        <v>863</v>
      </c>
      <c r="J31" s="1">
        <v>7340</v>
      </c>
      <c r="K31" t="s">
        <v>863</v>
      </c>
      <c r="L31" s="1">
        <v>60040</v>
      </c>
      <c r="M31" t="s">
        <v>863</v>
      </c>
      <c r="N31">
        <v>8.1829999999999998</v>
      </c>
      <c r="O31" t="s">
        <v>863</v>
      </c>
      <c r="P31" t="s">
        <v>53</v>
      </c>
      <c r="Q31" t="s">
        <v>80</v>
      </c>
    </row>
    <row r="32" spans="1:17">
      <c r="A32" t="s">
        <v>93</v>
      </c>
      <c r="B32" t="s">
        <v>44</v>
      </c>
      <c r="C32" t="s">
        <v>863</v>
      </c>
      <c r="D32">
        <v>9.2040000000000006</v>
      </c>
      <c r="E32">
        <v>0.871</v>
      </c>
      <c r="F32" s="1">
        <v>121900000</v>
      </c>
      <c r="G32" t="s">
        <v>863</v>
      </c>
      <c r="H32" s="1">
        <v>966520000</v>
      </c>
      <c r="I32" t="s">
        <v>863</v>
      </c>
      <c r="J32" s="1">
        <v>12410</v>
      </c>
      <c r="K32" t="s">
        <v>863</v>
      </c>
      <c r="L32" s="1">
        <v>98420</v>
      </c>
      <c r="M32" t="s">
        <v>863</v>
      </c>
      <c r="N32">
        <v>7.9290000000000003</v>
      </c>
      <c r="O32" t="s">
        <v>863</v>
      </c>
      <c r="P32" t="s">
        <v>53</v>
      </c>
      <c r="Q32" t="s">
        <v>92</v>
      </c>
    </row>
    <row r="33" spans="1:17">
      <c r="A33" t="s">
        <v>85</v>
      </c>
      <c r="B33" t="s">
        <v>86</v>
      </c>
      <c r="C33" t="s">
        <v>863</v>
      </c>
      <c r="D33">
        <v>13.85</v>
      </c>
      <c r="E33" t="s">
        <v>863</v>
      </c>
      <c r="F33" s="1">
        <v>58709836</v>
      </c>
      <c r="G33" t="s">
        <v>863</v>
      </c>
      <c r="H33" s="1">
        <v>1096821414</v>
      </c>
      <c r="I33" t="s">
        <v>863</v>
      </c>
      <c r="J33" s="1">
        <v>4238</v>
      </c>
      <c r="K33" t="s">
        <v>863</v>
      </c>
      <c r="L33" s="1">
        <v>79192</v>
      </c>
      <c r="M33" t="s">
        <v>863</v>
      </c>
      <c r="N33">
        <v>18.681999999999999</v>
      </c>
      <c r="O33" t="s">
        <v>863</v>
      </c>
      <c r="P33" t="s">
        <v>87</v>
      </c>
      <c r="Q33" t="s">
        <v>84</v>
      </c>
    </row>
    <row r="34" spans="1:17">
      <c r="A34" t="s">
        <v>97</v>
      </c>
      <c r="B34" t="s">
        <v>44</v>
      </c>
      <c r="C34" t="s">
        <v>863</v>
      </c>
      <c r="D34">
        <v>17.234999999999999</v>
      </c>
      <c r="E34" t="s">
        <v>863</v>
      </c>
      <c r="F34" s="1">
        <v>278150760</v>
      </c>
      <c r="G34" t="s">
        <v>863</v>
      </c>
      <c r="H34" s="1">
        <v>1079809236</v>
      </c>
      <c r="I34" t="s">
        <v>863</v>
      </c>
      <c r="J34" s="1">
        <v>16136</v>
      </c>
      <c r="K34" t="s">
        <v>863</v>
      </c>
      <c r="L34" s="1">
        <v>62656</v>
      </c>
      <c r="M34" t="s">
        <v>863</v>
      </c>
      <c r="N34">
        <v>3.8820000000000001</v>
      </c>
      <c r="O34" t="s">
        <v>863</v>
      </c>
      <c r="P34" t="s">
        <v>45</v>
      </c>
      <c r="Q34" t="s">
        <v>96</v>
      </c>
    </row>
    <row r="35" spans="1:17">
      <c r="A35" t="s">
        <v>89</v>
      </c>
      <c r="B35" t="s">
        <v>19</v>
      </c>
      <c r="C35" t="s">
        <v>863</v>
      </c>
      <c r="D35">
        <v>19.927</v>
      </c>
      <c r="E35">
        <v>0.27</v>
      </c>
      <c r="F35" s="1">
        <v>108250000</v>
      </c>
      <c r="G35" s="1">
        <v>4400000</v>
      </c>
      <c r="H35" s="1">
        <v>779170000</v>
      </c>
      <c r="I35" s="1">
        <v>381900000</v>
      </c>
      <c r="J35" s="1">
        <v>5434</v>
      </c>
      <c r="K35" t="s">
        <v>863</v>
      </c>
      <c r="L35" s="1">
        <v>39234</v>
      </c>
      <c r="M35" t="s">
        <v>863</v>
      </c>
      <c r="N35" s="1" t="s">
        <v>863</v>
      </c>
      <c r="O35" t="s">
        <v>863</v>
      </c>
      <c r="P35" t="s">
        <v>20</v>
      </c>
      <c r="Q35" t="s">
        <v>88</v>
      </c>
    </row>
    <row r="36" spans="1:17">
      <c r="A36" t="s">
        <v>91</v>
      </c>
      <c r="B36" t="s">
        <v>86</v>
      </c>
      <c r="C36" t="s">
        <v>863</v>
      </c>
      <c r="D36">
        <v>25.81</v>
      </c>
      <c r="E36" t="s">
        <v>863</v>
      </c>
      <c r="F36" s="1">
        <v>70485000</v>
      </c>
      <c r="G36" t="s">
        <v>863</v>
      </c>
      <c r="H36" s="1">
        <v>1319280624</v>
      </c>
      <c r="I36" t="s">
        <v>863</v>
      </c>
      <c r="J36" s="1">
        <v>2731</v>
      </c>
      <c r="K36" t="s">
        <v>863</v>
      </c>
      <c r="L36" s="1">
        <v>51115</v>
      </c>
      <c r="M36" t="s">
        <v>863</v>
      </c>
      <c r="N36">
        <v>18.71</v>
      </c>
      <c r="O36" t="s">
        <v>863</v>
      </c>
      <c r="P36" t="s">
        <v>87</v>
      </c>
      <c r="Q36" t="s">
        <v>90</v>
      </c>
    </row>
    <row r="37" spans="1:17">
      <c r="A37" t="s">
        <v>95</v>
      </c>
      <c r="B37" t="s">
        <v>86</v>
      </c>
      <c r="C37" t="s">
        <v>863</v>
      </c>
      <c r="D37">
        <v>30.006</v>
      </c>
      <c r="E37" t="s">
        <v>863</v>
      </c>
      <c r="F37" s="1">
        <v>86428126</v>
      </c>
      <c r="G37" t="s">
        <v>863</v>
      </c>
      <c r="H37" s="1">
        <v>2136071876</v>
      </c>
      <c r="I37" t="s">
        <v>863</v>
      </c>
      <c r="J37" s="1">
        <v>2880</v>
      </c>
      <c r="K37" t="s">
        <v>863</v>
      </c>
      <c r="L37" s="1">
        <v>71188</v>
      </c>
      <c r="M37" t="s">
        <v>863</v>
      </c>
      <c r="N37">
        <v>24.718</v>
      </c>
      <c r="O37" t="s">
        <v>863</v>
      </c>
      <c r="P37" t="s">
        <v>87</v>
      </c>
      <c r="Q37" t="s">
        <v>94</v>
      </c>
    </row>
    <row r="38" spans="1:17">
      <c r="A38" t="s">
        <v>99</v>
      </c>
      <c r="B38" t="s">
        <v>86</v>
      </c>
      <c r="C38" t="s">
        <v>863</v>
      </c>
      <c r="D38">
        <v>61.716000000000001</v>
      </c>
      <c r="E38" t="s">
        <v>863</v>
      </c>
      <c r="F38" s="1">
        <v>106590230</v>
      </c>
      <c r="G38" t="s">
        <v>863</v>
      </c>
      <c r="H38" s="1">
        <v>3408779523</v>
      </c>
      <c r="I38" t="s">
        <v>863</v>
      </c>
      <c r="J38" s="1">
        <v>1727</v>
      </c>
      <c r="K38" t="s">
        <v>863</v>
      </c>
      <c r="L38" s="1">
        <v>55233</v>
      </c>
      <c r="M38" t="s">
        <v>863</v>
      </c>
      <c r="N38">
        <v>31.98</v>
      </c>
      <c r="O38" t="s">
        <v>863</v>
      </c>
      <c r="P38" t="s">
        <v>87</v>
      </c>
      <c r="Q38" t="s">
        <v>98</v>
      </c>
    </row>
    <row r="39" spans="1:17">
      <c r="A39" t="s">
        <v>101</v>
      </c>
      <c r="B39" t="s">
        <v>86</v>
      </c>
      <c r="C39" t="s">
        <v>863</v>
      </c>
      <c r="D39">
        <v>70.680000000000007</v>
      </c>
      <c r="E39" t="s">
        <v>863</v>
      </c>
      <c r="F39" s="1">
        <v>142697625</v>
      </c>
      <c r="G39" t="s">
        <v>863</v>
      </c>
      <c r="H39" s="1">
        <v>4878864876</v>
      </c>
      <c r="I39" t="s">
        <v>863</v>
      </c>
      <c r="J39" s="1">
        <v>2019</v>
      </c>
      <c r="K39" t="s">
        <v>863</v>
      </c>
      <c r="L39" s="1">
        <v>69028</v>
      </c>
      <c r="M39" t="s">
        <v>863</v>
      </c>
      <c r="N39">
        <v>34.19</v>
      </c>
      <c r="O39" t="s">
        <v>863</v>
      </c>
      <c r="P39" t="s">
        <v>87</v>
      </c>
      <c r="Q39" t="s">
        <v>100</v>
      </c>
    </row>
    <row r="40" spans="1:17">
      <c r="A40" t="s">
        <v>103</v>
      </c>
      <c r="B40" t="s">
        <v>44</v>
      </c>
      <c r="C40" t="s">
        <v>863</v>
      </c>
      <c r="D40">
        <v>117.66</v>
      </c>
      <c r="E40">
        <v>45.42</v>
      </c>
      <c r="F40" s="1">
        <v>690000000</v>
      </c>
      <c r="G40" s="1">
        <v>120000000</v>
      </c>
      <c r="H40" s="1">
        <v>7730000000</v>
      </c>
      <c r="I40" s="1">
        <v>1450000000</v>
      </c>
      <c r="J40" s="1">
        <v>6560</v>
      </c>
      <c r="K40" s="1">
        <v>2115</v>
      </c>
      <c r="L40" s="1">
        <v>69850</v>
      </c>
      <c r="M40" s="1">
        <v>20026</v>
      </c>
      <c r="N40">
        <v>11.202999999999999</v>
      </c>
      <c r="O40">
        <v>2.3519999999999999</v>
      </c>
      <c r="P40" t="s">
        <v>104</v>
      </c>
      <c r="Q40" t="s">
        <v>102</v>
      </c>
    </row>
    <row r="41" spans="1:17">
      <c r="A41" t="s">
        <v>106</v>
      </c>
      <c r="B41" t="s">
        <v>32</v>
      </c>
      <c r="C41" t="s">
        <v>863</v>
      </c>
      <c r="D41">
        <v>564.67399999999998</v>
      </c>
      <c r="E41" t="s">
        <v>863</v>
      </c>
      <c r="F41" s="1">
        <v>741704844</v>
      </c>
      <c r="G41" t="s">
        <v>863</v>
      </c>
      <c r="H41" s="1">
        <v>27404306156</v>
      </c>
      <c r="I41" t="s">
        <v>863</v>
      </c>
      <c r="J41" s="1">
        <v>1314</v>
      </c>
      <c r="K41" t="s">
        <v>863</v>
      </c>
      <c r="L41" s="1">
        <v>48531</v>
      </c>
      <c r="M41" t="s">
        <v>863</v>
      </c>
      <c r="N41">
        <v>36.948</v>
      </c>
      <c r="O41" t="s">
        <v>863</v>
      </c>
      <c r="P41" t="s">
        <v>107</v>
      </c>
      <c r="Q41" t="s">
        <v>105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Q30"/>
  <sheetViews>
    <sheetView topLeftCell="B1" workbookViewId="0">
      <selection activeCell="F1" sqref="F1:G1"/>
    </sheetView>
  </sheetViews>
  <sheetFormatPr baseColWidth="10" defaultRowHeight="16"/>
  <cols>
    <col min="1" max="3" width="10" customWidth="1"/>
    <col min="4" max="5" width="17.83203125" customWidth="1"/>
    <col min="6" max="6" width="22.5" customWidth="1"/>
    <col min="7" max="7" width="35.33203125" customWidth="1"/>
    <col min="8" max="15" width="17.83203125" customWidth="1"/>
    <col min="16" max="17" width="2" customWidth="1"/>
  </cols>
  <sheetData>
    <row r="1" spans="1:17">
      <c r="A1" t="s">
        <v>0</v>
      </c>
      <c r="B1" t="s">
        <v>167</v>
      </c>
      <c r="C1" t="s">
        <v>166</v>
      </c>
      <c r="D1" t="s">
        <v>165</v>
      </c>
      <c r="E1" t="s">
        <v>164</v>
      </c>
      <c r="F1" t="s">
        <v>163</v>
      </c>
      <c r="G1" t="s">
        <v>162</v>
      </c>
      <c r="H1" t="s">
        <v>161</v>
      </c>
      <c r="I1" t="s">
        <v>160</v>
      </c>
      <c r="J1" t="s">
        <v>159</v>
      </c>
      <c r="K1" t="s">
        <v>158</v>
      </c>
      <c r="L1" t="s">
        <v>157</v>
      </c>
      <c r="M1" t="s">
        <v>156</v>
      </c>
      <c r="N1" t="s">
        <v>155</v>
      </c>
      <c r="O1" t="s">
        <v>154</v>
      </c>
      <c r="P1" t="s">
        <v>153</v>
      </c>
      <c r="Q1" t="s">
        <v>168</v>
      </c>
    </row>
    <row r="2" spans="1:17">
      <c r="A2" t="s">
        <v>63</v>
      </c>
      <c r="B2" t="s">
        <v>44</v>
      </c>
      <c r="C2">
        <v>5</v>
      </c>
      <c r="D2">
        <v>8.0000000000000002E-3</v>
      </c>
      <c r="E2">
        <v>1.4E-2</v>
      </c>
      <c r="F2" s="1">
        <v>2108078</v>
      </c>
      <c r="G2" s="1">
        <v>983420</v>
      </c>
      <c r="H2" s="1">
        <v>2547922</v>
      </c>
      <c r="I2" s="1">
        <v>960104</v>
      </c>
      <c r="J2" s="1">
        <v>232309</v>
      </c>
      <c r="K2" s="1">
        <v>137605</v>
      </c>
      <c r="L2" s="1">
        <v>269383</v>
      </c>
      <c r="M2" s="1">
        <v>105563</v>
      </c>
      <c r="N2">
        <v>1.2090000000000001</v>
      </c>
      <c r="O2" t="s">
        <v>863</v>
      </c>
      <c r="P2" t="s">
        <v>151</v>
      </c>
      <c r="Q2" t="s">
        <v>62</v>
      </c>
    </row>
    <row r="3" spans="1:17">
      <c r="A3" t="s">
        <v>14</v>
      </c>
      <c r="B3" t="s">
        <v>15</v>
      </c>
      <c r="C3">
        <v>3</v>
      </c>
      <c r="D3">
        <v>1.2E-2</v>
      </c>
      <c r="E3">
        <v>2E-3</v>
      </c>
      <c r="F3" s="1">
        <v>3330000</v>
      </c>
      <c r="G3" s="1">
        <v>1050000</v>
      </c>
      <c r="H3" s="1">
        <v>2760000</v>
      </c>
      <c r="I3" s="1">
        <v>130000</v>
      </c>
      <c r="J3" s="1">
        <v>289806</v>
      </c>
      <c r="K3" s="1">
        <v>124350</v>
      </c>
      <c r="L3" s="1">
        <v>235249</v>
      </c>
      <c r="M3" s="1">
        <v>44620</v>
      </c>
      <c r="N3">
        <v>0.82899999999999996</v>
      </c>
      <c r="O3">
        <v>214</v>
      </c>
      <c r="P3" t="s">
        <v>16</v>
      </c>
      <c r="Q3" t="s">
        <v>13</v>
      </c>
    </row>
    <row r="4" spans="1:17">
      <c r="A4" t="s">
        <v>18</v>
      </c>
      <c r="B4" t="s">
        <v>19</v>
      </c>
      <c r="C4">
        <v>4</v>
      </c>
      <c r="D4">
        <v>1.4E-2</v>
      </c>
      <c r="E4">
        <v>4.0000000000000001E-3</v>
      </c>
      <c r="F4" s="1">
        <v>3893300</v>
      </c>
      <c r="G4" s="1">
        <v>1246396</v>
      </c>
      <c r="H4" s="1">
        <v>5456700</v>
      </c>
      <c r="I4" s="1">
        <v>1154502</v>
      </c>
      <c r="J4" s="1">
        <v>257475</v>
      </c>
      <c r="K4" s="1">
        <v>34036</v>
      </c>
      <c r="L4" s="1">
        <v>371204</v>
      </c>
      <c r="M4" s="1">
        <v>75573</v>
      </c>
      <c r="N4">
        <v>1.454</v>
      </c>
      <c r="O4">
        <v>0.26</v>
      </c>
      <c r="P4" t="s">
        <v>20</v>
      </c>
      <c r="Q4" t="s">
        <v>17</v>
      </c>
    </row>
    <row r="5" spans="1:17">
      <c r="A5" t="s">
        <v>24</v>
      </c>
      <c r="B5" t="s">
        <v>19</v>
      </c>
      <c r="C5">
        <v>3</v>
      </c>
      <c r="D5">
        <v>2.1000000000000001E-2</v>
      </c>
      <c r="E5">
        <v>1E-3</v>
      </c>
      <c r="F5" s="1">
        <v>2303030</v>
      </c>
      <c r="G5" s="1">
        <v>636099</v>
      </c>
      <c r="H5" s="1">
        <v>3571970</v>
      </c>
      <c r="I5" s="1">
        <v>1548861</v>
      </c>
      <c r="J5" s="1">
        <v>108895</v>
      </c>
      <c r="K5" s="1">
        <v>22957</v>
      </c>
      <c r="L5" s="1">
        <v>167991</v>
      </c>
      <c r="M5" s="1">
        <v>62442</v>
      </c>
      <c r="N5">
        <v>1.516</v>
      </c>
      <c r="O5">
        <v>0.254</v>
      </c>
      <c r="P5" t="s">
        <v>25</v>
      </c>
      <c r="Q5" t="s">
        <v>23</v>
      </c>
    </row>
    <row r="6" spans="1:17">
      <c r="A6" t="s">
        <v>22</v>
      </c>
      <c r="B6" t="s">
        <v>15</v>
      </c>
      <c r="C6">
        <v>5</v>
      </c>
      <c r="D6">
        <v>2.5999999999999999E-2</v>
      </c>
      <c r="E6">
        <v>3.0000000000000001E-3</v>
      </c>
      <c r="F6" s="1">
        <v>8090000</v>
      </c>
      <c r="G6" s="1">
        <v>935900</v>
      </c>
      <c r="H6" s="1">
        <v>4910000</v>
      </c>
      <c r="I6" s="1">
        <v>730000</v>
      </c>
      <c r="J6" s="1">
        <v>318164</v>
      </c>
      <c r="K6" s="1">
        <v>34950</v>
      </c>
      <c r="L6" s="1">
        <v>193631</v>
      </c>
      <c r="M6" s="1">
        <v>31450</v>
      </c>
      <c r="N6">
        <v>0.60699999999999998</v>
      </c>
      <c r="O6">
        <v>0.125</v>
      </c>
      <c r="P6" t="s">
        <v>16</v>
      </c>
      <c r="Q6" t="s">
        <v>21</v>
      </c>
    </row>
    <row r="7" spans="1:17">
      <c r="A7" t="s">
        <v>43</v>
      </c>
      <c r="B7" t="s">
        <v>44</v>
      </c>
      <c r="C7">
        <v>2</v>
      </c>
      <c r="D7">
        <v>0.03</v>
      </c>
      <c r="E7">
        <v>8.0000000000000002E-3</v>
      </c>
      <c r="F7" s="1">
        <v>7636912</v>
      </c>
      <c r="G7" s="1">
        <v>119088</v>
      </c>
      <c r="H7" s="1">
        <v>9723088</v>
      </c>
      <c r="I7" s="1">
        <v>842576</v>
      </c>
      <c r="J7" s="1">
        <v>270894</v>
      </c>
      <c r="K7" s="1">
        <v>61946</v>
      </c>
      <c r="L7" s="1">
        <v>341900</v>
      </c>
      <c r="M7" s="1">
        <v>54311</v>
      </c>
      <c r="N7">
        <v>1.2729999999999999</v>
      </c>
      <c r="O7" t="s">
        <v>863</v>
      </c>
      <c r="P7" t="s">
        <v>151</v>
      </c>
      <c r="Q7" t="s">
        <v>42</v>
      </c>
    </row>
    <row r="8" spans="1:17">
      <c r="A8" t="s">
        <v>27</v>
      </c>
      <c r="B8" t="s">
        <v>15</v>
      </c>
      <c r="C8">
        <v>4</v>
      </c>
      <c r="D8">
        <v>0.04</v>
      </c>
      <c r="E8">
        <v>5.0000000000000001E-3</v>
      </c>
      <c r="F8" s="1">
        <v>10550000</v>
      </c>
      <c r="G8" s="1">
        <v>4290000</v>
      </c>
      <c r="H8" s="1">
        <v>7470000</v>
      </c>
      <c r="I8" s="1">
        <v>970000</v>
      </c>
      <c r="J8" s="1">
        <v>254720</v>
      </c>
      <c r="K8" s="1">
        <v>74620</v>
      </c>
      <c r="L8" s="1">
        <v>185124</v>
      </c>
      <c r="M8" s="1">
        <v>19370</v>
      </c>
      <c r="N8">
        <v>0.70799999999999996</v>
      </c>
      <c r="O8">
        <v>0.32800000000000001</v>
      </c>
      <c r="P8" t="s">
        <v>16</v>
      </c>
      <c r="Q8" t="s">
        <v>26</v>
      </c>
    </row>
    <row r="9" spans="1:17">
      <c r="A9" t="s">
        <v>29</v>
      </c>
      <c r="B9" t="s">
        <v>15</v>
      </c>
      <c r="C9">
        <v>3</v>
      </c>
      <c r="D9">
        <v>4.9000000000000002E-2</v>
      </c>
      <c r="E9">
        <v>8.0000000000000002E-3</v>
      </c>
      <c r="F9" s="1">
        <v>16750000</v>
      </c>
      <c r="G9" s="1">
        <v>6370000</v>
      </c>
      <c r="H9" s="1">
        <v>10910000</v>
      </c>
      <c r="I9" s="1">
        <v>3400000</v>
      </c>
      <c r="J9" s="1">
        <v>333590</v>
      </c>
      <c r="K9" s="1">
        <v>81590</v>
      </c>
      <c r="L9" s="1">
        <v>217440</v>
      </c>
      <c r="M9" s="1">
        <v>41370</v>
      </c>
      <c r="N9">
        <v>0.65100000000000002</v>
      </c>
      <c r="O9">
        <v>0.16800000000000001</v>
      </c>
      <c r="P9" t="s">
        <v>16</v>
      </c>
      <c r="Q9" t="s">
        <v>28</v>
      </c>
    </row>
    <row r="10" spans="1:17">
      <c r="A10" t="s">
        <v>37</v>
      </c>
      <c r="B10" t="s">
        <v>32</v>
      </c>
      <c r="C10">
        <v>2</v>
      </c>
      <c r="D10">
        <v>0.05</v>
      </c>
      <c r="E10">
        <v>0.01</v>
      </c>
      <c r="F10" s="1">
        <v>9693534</v>
      </c>
      <c r="G10" s="1">
        <v>1745000</v>
      </c>
      <c r="H10" s="1">
        <v>4919466</v>
      </c>
      <c r="I10" t="s">
        <v>863</v>
      </c>
      <c r="J10" s="1">
        <v>194678</v>
      </c>
      <c r="K10" s="1">
        <v>5708</v>
      </c>
      <c r="L10" s="1">
        <v>97872</v>
      </c>
      <c r="M10" t="s">
        <v>863</v>
      </c>
      <c r="N10">
        <v>0.50700000000000001</v>
      </c>
      <c r="O10" t="s">
        <v>863</v>
      </c>
      <c r="P10" t="s">
        <v>33</v>
      </c>
      <c r="Q10" t="s">
        <v>36</v>
      </c>
    </row>
    <row r="11" spans="1:17">
      <c r="A11" t="s">
        <v>73</v>
      </c>
      <c r="B11" t="s">
        <v>44</v>
      </c>
      <c r="C11">
        <v>6</v>
      </c>
      <c r="D11">
        <v>0.05</v>
      </c>
      <c r="E11">
        <v>1.2E-2</v>
      </c>
      <c r="F11" s="1">
        <v>7925468</v>
      </c>
      <c r="G11" s="1">
        <v>3114924</v>
      </c>
      <c r="H11" s="1">
        <v>8360532</v>
      </c>
      <c r="I11" s="1">
        <v>3213106</v>
      </c>
      <c r="J11" s="1">
        <v>155879</v>
      </c>
      <c r="K11" s="1">
        <v>62241</v>
      </c>
      <c r="L11" s="1">
        <v>162922</v>
      </c>
      <c r="M11" s="1">
        <v>44209</v>
      </c>
      <c r="N11">
        <v>1.0549999999999999</v>
      </c>
      <c r="O11" t="s">
        <v>863</v>
      </c>
      <c r="P11" t="s">
        <v>151</v>
      </c>
      <c r="Q11" t="s">
        <v>72</v>
      </c>
    </row>
    <row r="12" spans="1:17">
      <c r="A12" t="s">
        <v>39</v>
      </c>
      <c r="B12" t="s">
        <v>19</v>
      </c>
      <c r="C12">
        <v>2</v>
      </c>
      <c r="D12">
        <v>5.5E-2</v>
      </c>
      <c r="E12">
        <v>1.0999999999999999E-2</v>
      </c>
      <c r="F12" s="1">
        <v>5747930</v>
      </c>
      <c r="G12" s="1">
        <v>347203</v>
      </c>
      <c r="H12" s="1">
        <v>5507170</v>
      </c>
      <c r="I12" s="1">
        <v>2277605</v>
      </c>
      <c r="J12" s="1">
        <v>105418</v>
      </c>
      <c r="K12" s="1">
        <v>27498</v>
      </c>
      <c r="L12" s="1">
        <v>96197</v>
      </c>
      <c r="M12" s="1">
        <v>21237</v>
      </c>
      <c r="N12">
        <v>0.97199999999999998</v>
      </c>
      <c r="O12">
        <v>0.45500000000000002</v>
      </c>
      <c r="P12" t="s">
        <v>20</v>
      </c>
      <c r="Q12" t="s">
        <v>38</v>
      </c>
    </row>
    <row r="13" spans="1:17">
      <c r="A13" t="s">
        <v>41</v>
      </c>
      <c r="B13" t="s">
        <v>19</v>
      </c>
      <c r="C13">
        <v>5</v>
      </c>
      <c r="D13">
        <v>7.3999999999999996E-2</v>
      </c>
      <c r="E13">
        <v>2.1999999999999999E-2</v>
      </c>
      <c r="F13" s="1">
        <v>11103272</v>
      </c>
      <c r="G13" s="1">
        <v>3202766</v>
      </c>
      <c r="H13" s="1">
        <v>9238728</v>
      </c>
      <c r="I13" s="1">
        <v>2250728</v>
      </c>
      <c r="J13" s="1">
        <v>152373</v>
      </c>
      <c r="K13" s="1">
        <v>26913</v>
      </c>
      <c r="L13" s="1">
        <v>126210</v>
      </c>
      <c r="M13" s="1">
        <v>8033</v>
      </c>
      <c r="N13">
        <v>0.84799999999999998</v>
      </c>
      <c r="O13">
        <v>0.14499999999999999</v>
      </c>
      <c r="P13" t="s">
        <v>20</v>
      </c>
      <c r="Q13" t="s">
        <v>40</v>
      </c>
    </row>
    <row r="14" spans="1:17">
      <c r="A14" t="s">
        <v>35</v>
      </c>
      <c r="B14" t="s">
        <v>15</v>
      </c>
      <c r="C14">
        <v>3</v>
      </c>
      <c r="D14">
        <v>8.2000000000000003E-2</v>
      </c>
      <c r="E14">
        <v>5.0000000000000001E-3</v>
      </c>
      <c r="F14" s="1">
        <v>34610000</v>
      </c>
      <c r="G14" s="1">
        <v>5960000</v>
      </c>
      <c r="H14" s="1">
        <v>17780000</v>
      </c>
      <c r="I14" s="1">
        <v>2060000</v>
      </c>
      <c r="J14" s="1">
        <v>423520</v>
      </c>
      <c r="K14" s="1">
        <v>94950</v>
      </c>
      <c r="L14" s="1">
        <v>215230</v>
      </c>
      <c r="M14" s="1">
        <v>14600</v>
      </c>
      <c r="N14">
        <v>0.51400000000000001</v>
      </c>
      <c r="O14">
        <v>0.154</v>
      </c>
      <c r="P14" t="s">
        <v>16</v>
      </c>
      <c r="Q14" t="s">
        <v>34</v>
      </c>
    </row>
    <row r="15" spans="1:17">
      <c r="A15" t="s">
        <v>93</v>
      </c>
      <c r="B15" t="s">
        <v>44</v>
      </c>
      <c r="C15">
        <v>1</v>
      </c>
      <c r="D15">
        <v>8.7999999999999995E-2</v>
      </c>
      <c r="E15" t="s">
        <v>863</v>
      </c>
      <c r="F15" s="1">
        <v>8473800</v>
      </c>
      <c r="G15" t="s">
        <v>863</v>
      </c>
      <c r="H15" s="1">
        <v>11006200</v>
      </c>
      <c r="I15" t="s">
        <v>863</v>
      </c>
      <c r="J15" s="1">
        <v>96293</v>
      </c>
      <c r="K15" t="s">
        <v>863</v>
      </c>
      <c r="L15" s="1">
        <v>125070</v>
      </c>
      <c r="M15" t="s">
        <v>863</v>
      </c>
      <c r="N15">
        <v>1.2989999999999999</v>
      </c>
      <c r="O15" t="s">
        <v>863</v>
      </c>
      <c r="P15" t="s">
        <v>151</v>
      </c>
      <c r="Q15" t="s">
        <v>92</v>
      </c>
    </row>
    <row r="16" spans="1:17">
      <c r="A16" t="s">
        <v>51</v>
      </c>
      <c r="B16" t="s">
        <v>52</v>
      </c>
      <c r="C16">
        <v>16</v>
      </c>
      <c r="D16">
        <v>0.1</v>
      </c>
      <c r="E16">
        <v>3.2000000000000001E-2</v>
      </c>
      <c r="F16" s="1">
        <v>12700000</v>
      </c>
      <c r="G16" s="1">
        <v>3584952</v>
      </c>
      <c r="H16" s="1">
        <v>20068000</v>
      </c>
      <c r="I16" s="1">
        <v>6541838</v>
      </c>
      <c r="J16" s="1">
        <v>130173</v>
      </c>
      <c r="K16" s="1">
        <v>17451</v>
      </c>
      <c r="L16" s="1">
        <v>205876</v>
      </c>
      <c r="M16" s="1">
        <v>51596</v>
      </c>
      <c r="N16">
        <v>1.58</v>
      </c>
      <c r="O16" t="s">
        <v>863</v>
      </c>
      <c r="P16" t="s">
        <v>53</v>
      </c>
      <c r="Q16" t="s">
        <v>50</v>
      </c>
    </row>
    <row r="17" spans="1:17">
      <c r="A17" t="s">
        <v>55</v>
      </c>
      <c r="B17" t="s">
        <v>19</v>
      </c>
      <c r="C17">
        <v>2</v>
      </c>
      <c r="D17">
        <v>0.10299999999999999</v>
      </c>
      <c r="E17">
        <v>1.2999999999999999E-2</v>
      </c>
      <c r="F17" s="1">
        <v>6065700</v>
      </c>
      <c r="G17" s="1">
        <v>1295335</v>
      </c>
      <c r="H17" s="1">
        <v>10154300</v>
      </c>
      <c r="I17" s="1">
        <v>4220098</v>
      </c>
      <c r="J17" s="1">
        <v>58560</v>
      </c>
      <c r="K17" s="1">
        <v>5340</v>
      </c>
      <c r="L17" s="1">
        <v>96793</v>
      </c>
      <c r="M17" s="1">
        <v>29011</v>
      </c>
      <c r="N17">
        <v>1.637</v>
      </c>
      <c r="O17">
        <v>0.34599999999999997</v>
      </c>
      <c r="P17" t="s">
        <v>20</v>
      </c>
      <c r="Q17" t="s">
        <v>54</v>
      </c>
    </row>
    <row r="18" spans="1:17">
      <c r="A18" t="s">
        <v>47</v>
      </c>
      <c r="B18" t="s">
        <v>19</v>
      </c>
      <c r="C18">
        <v>1</v>
      </c>
      <c r="D18">
        <v>0.13200000000000001</v>
      </c>
      <c r="E18" t="s">
        <v>863</v>
      </c>
      <c r="F18" s="1">
        <v>9141540</v>
      </c>
      <c r="G18" t="s">
        <v>863</v>
      </c>
      <c r="H18" s="1">
        <v>21128460</v>
      </c>
      <c r="I18" t="s">
        <v>863</v>
      </c>
      <c r="J18" s="1">
        <v>69254</v>
      </c>
      <c r="K18" t="s">
        <v>863</v>
      </c>
      <c r="L18" s="1">
        <v>160064</v>
      </c>
      <c r="M18" t="s">
        <v>863</v>
      </c>
      <c r="N18">
        <v>2.3109999999999999</v>
      </c>
      <c r="O18" t="s">
        <v>863</v>
      </c>
      <c r="P18" t="s">
        <v>25</v>
      </c>
      <c r="Q18" t="s">
        <v>46</v>
      </c>
    </row>
    <row r="19" spans="1:17">
      <c r="A19" t="s">
        <v>61</v>
      </c>
      <c r="B19" t="s">
        <v>19</v>
      </c>
      <c r="C19">
        <v>1</v>
      </c>
      <c r="D19">
        <v>0.156</v>
      </c>
      <c r="E19" t="s">
        <v>863</v>
      </c>
      <c r="F19" s="1">
        <v>18765000</v>
      </c>
      <c r="G19" t="s">
        <v>863</v>
      </c>
      <c r="H19" s="1">
        <v>22935000</v>
      </c>
      <c r="I19" t="s">
        <v>863</v>
      </c>
      <c r="J19" s="1">
        <v>120288</v>
      </c>
      <c r="K19" t="s">
        <v>863</v>
      </c>
      <c r="L19" s="1">
        <v>147019</v>
      </c>
      <c r="M19" t="s">
        <v>863</v>
      </c>
      <c r="N19">
        <v>1.222</v>
      </c>
      <c r="O19" t="s">
        <v>863</v>
      </c>
      <c r="P19" t="s">
        <v>25</v>
      </c>
      <c r="Q19" t="s">
        <v>60</v>
      </c>
    </row>
    <row r="20" spans="1:17">
      <c r="A20" t="s">
        <v>49</v>
      </c>
      <c r="B20" t="s">
        <v>32</v>
      </c>
      <c r="C20">
        <v>2</v>
      </c>
      <c r="D20">
        <v>0.159</v>
      </c>
      <c r="E20">
        <v>8.9999999999999993E-3</v>
      </c>
      <c r="F20" s="1">
        <v>12828365</v>
      </c>
      <c r="G20" s="1">
        <v>380000</v>
      </c>
      <c r="H20" s="1">
        <v>14775635</v>
      </c>
      <c r="I20" t="s">
        <v>863</v>
      </c>
      <c r="J20" s="1">
        <v>80805</v>
      </c>
      <c r="K20" s="1">
        <v>3084</v>
      </c>
      <c r="L20" s="1">
        <v>91369</v>
      </c>
      <c r="M20" t="s">
        <v>863</v>
      </c>
      <c r="N20">
        <v>1.141</v>
      </c>
      <c r="O20" t="s">
        <v>863</v>
      </c>
      <c r="P20" t="s">
        <v>33</v>
      </c>
      <c r="Q20" t="s">
        <v>48</v>
      </c>
    </row>
    <row r="21" spans="1:17">
      <c r="A21" t="s">
        <v>65</v>
      </c>
      <c r="B21" t="s">
        <v>44</v>
      </c>
      <c r="C21">
        <v>11</v>
      </c>
      <c r="D21">
        <v>0.2</v>
      </c>
      <c r="E21">
        <v>1.6E-2</v>
      </c>
      <c r="F21" s="1">
        <v>30237060</v>
      </c>
      <c r="G21" s="1">
        <v>9645480</v>
      </c>
      <c r="H21" s="1">
        <v>34244000</v>
      </c>
      <c r="I21" s="1">
        <v>7155556</v>
      </c>
      <c r="J21" s="1">
        <v>149219</v>
      </c>
      <c r="K21" s="1">
        <v>47590</v>
      </c>
      <c r="L21" s="1">
        <v>170505</v>
      </c>
      <c r="M21" s="1">
        <v>39463</v>
      </c>
      <c r="N21">
        <v>1.133</v>
      </c>
      <c r="O21" t="s">
        <v>863</v>
      </c>
      <c r="P21" t="s">
        <v>151</v>
      </c>
      <c r="Q21" t="s">
        <v>64</v>
      </c>
    </row>
    <row r="22" spans="1:17">
      <c r="A22" t="s">
        <v>59</v>
      </c>
      <c r="B22" t="s">
        <v>19</v>
      </c>
      <c r="C22">
        <v>9</v>
      </c>
      <c r="D22">
        <v>0.21199999999999999</v>
      </c>
      <c r="E22">
        <v>2.1999999999999999E-2</v>
      </c>
      <c r="F22" s="1">
        <v>28845724</v>
      </c>
      <c r="G22" s="1">
        <v>7903412</v>
      </c>
      <c r="H22" s="1">
        <v>39015942</v>
      </c>
      <c r="I22" s="1">
        <v>12812316</v>
      </c>
      <c r="J22" s="1">
        <v>137532</v>
      </c>
      <c r="K22" s="1">
        <v>38236</v>
      </c>
      <c r="L22" s="1">
        <v>185359</v>
      </c>
      <c r="M22" s="1">
        <v>58050</v>
      </c>
      <c r="N22">
        <v>1.478</v>
      </c>
      <c r="O22">
        <v>0.77600000000000002</v>
      </c>
      <c r="P22" t="s">
        <v>25</v>
      </c>
      <c r="Q22" t="s">
        <v>58</v>
      </c>
    </row>
    <row r="23" spans="1:17">
      <c r="A23" t="s">
        <v>71</v>
      </c>
      <c r="B23" t="s">
        <v>32</v>
      </c>
      <c r="C23">
        <v>1</v>
      </c>
      <c r="D23">
        <v>0.28599999999999998</v>
      </c>
      <c r="E23" t="s">
        <v>863</v>
      </c>
      <c r="F23" s="1">
        <v>20909490</v>
      </c>
      <c r="G23" t="s">
        <v>863</v>
      </c>
      <c r="H23" s="1">
        <v>14790510</v>
      </c>
      <c r="I23" t="s">
        <v>863</v>
      </c>
      <c r="J23" s="1">
        <v>73110</v>
      </c>
      <c r="K23" t="s">
        <v>863</v>
      </c>
      <c r="L23" s="1">
        <v>51715</v>
      </c>
      <c r="M23" t="s">
        <v>863</v>
      </c>
      <c r="N23">
        <v>0.70699999999999996</v>
      </c>
      <c r="O23" t="s">
        <v>863</v>
      </c>
      <c r="P23" t="s">
        <v>33</v>
      </c>
      <c r="Q23" t="s">
        <v>70</v>
      </c>
    </row>
    <row r="24" spans="1:17">
      <c r="A24" t="s">
        <v>69</v>
      </c>
      <c r="B24" t="s">
        <v>19</v>
      </c>
      <c r="C24">
        <v>3</v>
      </c>
      <c r="D24">
        <v>0.73699999999999999</v>
      </c>
      <c r="E24">
        <v>0.16200000000000001</v>
      </c>
      <c r="F24" s="1">
        <v>58124085</v>
      </c>
      <c r="G24" s="1">
        <v>4952795</v>
      </c>
      <c r="H24" s="1">
        <v>72595915</v>
      </c>
      <c r="I24" s="1">
        <v>19682805</v>
      </c>
      <c r="J24" s="1">
        <v>88008</v>
      </c>
      <c r="K24" s="1">
        <v>14973</v>
      </c>
      <c r="L24" s="1">
        <v>107301</v>
      </c>
      <c r="M24" s="1">
        <v>1958</v>
      </c>
      <c r="N24">
        <v>1.2390000000000001</v>
      </c>
      <c r="O24">
        <v>0.23300000000000001</v>
      </c>
      <c r="P24" t="s">
        <v>20</v>
      </c>
      <c r="Q24" t="s">
        <v>68</v>
      </c>
    </row>
    <row r="25" spans="1:17">
      <c r="A25" t="s">
        <v>85</v>
      </c>
      <c r="B25" t="s">
        <v>86</v>
      </c>
      <c r="C25">
        <v>1</v>
      </c>
      <c r="D25">
        <v>0.82199999999999995</v>
      </c>
      <c r="E25" t="s">
        <v>863</v>
      </c>
      <c r="F25" s="1">
        <v>9195500</v>
      </c>
      <c r="G25" t="s">
        <v>863</v>
      </c>
      <c r="H25" s="1">
        <v>77554500</v>
      </c>
      <c r="I25" t="s">
        <v>863</v>
      </c>
      <c r="J25" s="1">
        <v>11187</v>
      </c>
      <c r="K25" t="s">
        <v>863</v>
      </c>
      <c r="L25" s="1">
        <v>94348</v>
      </c>
      <c r="M25" t="s">
        <v>863</v>
      </c>
      <c r="N25">
        <v>8.4339999999999993</v>
      </c>
      <c r="O25" t="s">
        <v>863</v>
      </c>
      <c r="P25" t="s">
        <v>87</v>
      </c>
      <c r="Q25" t="s">
        <v>84</v>
      </c>
    </row>
    <row r="26" spans="1:17">
      <c r="A26" t="s">
        <v>91</v>
      </c>
      <c r="B26" t="s">
        <v>86</v>
      </c>
      <c r="C26">
        <v>1</v>
      </c>
      <c r="D26">
        <v>1.2</v>
      </c>
      <c r="E26" t="s">
        <v>863</v>
      </c>
      <c r="F26" s="1">
        <v>15998400</v>
      </c>
      <c r="G26" t="s">
        <v>863</v>
      </c>
      <c r="H26" s="1">
        <v>105201600</v>
      </c>
      <c r="I26" t="s">
        <v>863</v>
      </c>
      <c r="J26" s="1">
        <v>13332</v>
      </c>
      <c r="K26" t="s">
        <v>863</v>
      </c>
      <c r="L26" s="1">
        <v>87668</v>
      </c>
      <c r="M26" t="s">
        <v>863</v>
      </c>
      <c r="N26">
        <v>6.5759999999999996</v>
      </c>
      <c r="O26" t="s">
        <v>863</v>
      </c>
      <c r="P26" t="s">
        <v>87</v>
      </c>
      <c r="Q26" t="s">
        <v>90</v>
      </c>
    </row>
    <row r="27" spans="1:17">
      <c r="A27" t="s">
        <v>89</v>
      </c>
      <c r="B27" t="s">
        <v>19</v>
      </c>
      <c r="C27">
        <v>2</v>
      </c>
      <c r="D27">
        <v>1.302</v>
      </c>
      <c r="E27">
        <v>3.1E-2</v>
      </c>
      <c r="F27" s="1">
        <v>28560310</v>
      </c>
      <c r="G27" s="1">
        <v>8515588</v>
      </c>
      <c r="H27" s="1">
        <v>67389690</v>
      </c>
      <c r="I27" s="1">
        <v>21015416</v>
      </c>
      <c r="J27" s="1">
        <v>21864</v>
      </c>
      <c r="K27" s="1">
        <v>6018</v>
      </c>
      <c r="L27" s="1">
        <v>51544</v>
      </c>
      <c r="M27" s="1">
        <v>17981</v>
      </c>
      <c r="N27">
        <v>2.3330000000000002</v>
      </c>
      <c r="O27">
        <v>0.18</v>
      </c>
      <c r="P27" t="s">
        <v>20</v>
      </c>
      <c r="Q27" t="s">
        <v>88</v>
      </c>
    </row>
    <row r="28" spans="1:17">
      <c r="A28" t="s">
        <v>101</v>
      </c>
      <c r="B28" t="s">
        <v>86</v>
      </c>
      <c r="C28">
        <v>1</v>
      </c>
      <c r="D28">
        <v>2.052</v>
      </c>
      <c r="E28" t="s">
        <v>863</v>
      </c>
      <c r="F28" s="1">
        <v>24678000</v>
      </c>
      <c r="G28" t="s">
        <v>863</v>
      </c>
      <c r="H28" s="1">
        <v>232384500</v>
      </c>
      <c r="I28" t="s">
        <v>863</v>
      </c>
      <c r="J28" s="1">
        <v>12026</v>
      </c>
      <c r="K28" t="s">
        <v>863</v>
      </c>
      <c r="L28" s="1">
        <v>113248</v>
      </c>
      <c r="M28" t="s">
        <v>863</v>
      </c>
      <c r="N28">
        <v>9.4169999999999998</v>
      </c>
      <c r="O28" t="s">
        <v>863</v>
      </c>
      <c r="P28" t="s">
        <v>87</v>
      </c>
      <c r="Q28" t="s">
        <v>100</v>
      </c>
    </row>
    <row r="29" spans="1:17">
      <c r="A29" t="s">
        <v>99</v>
      </c>
      <c r="B29" t="s">
        <v>86</v>
      </c>
      <c r="C29">
        <v>1</v>
      </c>
      <c r="D29">
        <v>5.5460000000000003</v>
      </c>
      <c r="E29" t="s">
        <v>863</v>
      </c>
      <c r="F29" s="1">
        <v>38331562</v>
      </c>
      <c r="G29" t="s">
        <v>863</v>
      </c>
      <c r="H29" s="1">
        <v>362731438</v>
      </c>
      <c r="I29" t="s">
        <v>863</v>
      </c>
      <c r="J29" s="1">
        <v>6912</v>
      </c>
      <c r="K29" t="s">
        <v>863</v>
      </c>
      <c r="L29" s="1">
        <v>58913</v>
      </c>
      <c r="M29" t="s">
        <v>863</v>
      </c>
      <c r="N29">
        <v>8.5229999999999997</v>
      </c>
      <c r="O29" t="s">
        <v>863</v>
      </c>
      <c r="P29" t="s">
        <v>87</v>
      </c>
      <c r="Q29" t="s">
        <v>98</v>
      </c>
    </row>
    <row r="30" spans="1:17">
      <c r="A30" t="s">
        <v>106</v>
      </c>
      <c r="B30" t="s">
        <v>32</v>
      </c>
      <c r="C30">
        <v>1</v>
      </c>
      <c r="D30">
        <v>41.886000000000003</v>
      </c>
      <c r="E30" t="s">
        <v>863</v>
      </c>
      <c r="F30" s="1">
        <v>908371986</v>
      </c>
      <c r="G30" t="s">
        <v>863</v>
      </c>
      <c r="H30" s="1">
        <v>2857878014</v>
      </c>
      <c r="I30" t="s">
        <v>863</v>
      </c>
      <c r="J30" s="1">
        <v>21687</v>
      </c>
      <c r="K30" t="s">
        <v>863</v>
      </c>
      <c r="L30" s="1">
        <v>68230</v>
      </c>
      <c r="M30" t="s">
        <v>863</v>
      </c>
      <c r="N30">
        <v>3.1459999999999999</v>
      </c>
      <c r="O30" t="s">
        <v>863</v>
      </c>
      <c r="P30" t="s">
        <v>107</v>
      </c>
      <c r="Q30" t="s">
        <v>105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O40"/>
  <sheetViews>
    <sheetView workbookViewId="0">
      <selection activeCell="K1" sqref="K1"/>
    </sheetView>
  </sheetViews>
  <sheetFormatPr baseColWidth="10" defaultRowHeight="16"/>
  <cols>
    <col min="1" max="1" width="24" customWidth="1"/>
    <col min="8" max="8" width="20.1640625" customWidth="1"/>
    <col min="10" max="10" width="14.6640625" customWidth="1"/>
  </cols>
  <sheetData>
    <row r="1" spans="1:15">
      <c r="A1" t="s">
        <v>0</v>
      </c>
      <c r="B1" t="s">
        <v>186</v>
      </c>
      <c r="C1" t="s">
        <v>185</v>
      </c>
      <c r="D1" t="s">
        <v>184</v>
      </c>
      <c r="E1" t="s">
        <v>183</v>
      </c>
      <c r="F1" t="s">
        <v>182</v>
      </c>
      <c r="G1" t="s">
        <v>181</v>
      </c>
      <c r="H1" t="s">
        <v>180</v>
      </c>
      <c r="I1" t="s">
        <v>179</v>
      </c>
      <c r="J1" t="s">
        <v>178</v>
      </c>
      <c r="K1" t="s">
        <v>177</v>
      </c>
      <c r="L1" t="s">
        <v>176</v>
      </c>
      <c r="M1" t="s">
        <v>175</v>
      </c>
      <c r="N1" t="s">
        <v>174</v>
      </c>
      <c r="O1" t="s">
        <v>868</v>
      </c>
    </row>
    <row r="2" spans="1:15">
      <c r="A2" t="s">
        <v>14</v>
      </c>
      <c r="B2" t="s">
        <v>15</v>
      </c>
      <c r="C2">
        <v>3</v>
      </c>
      <c r="D2">
        <v>7.8</v>
      </c>
      <c r="E2">
        <v>0.1</v>
      </c>
      <c r="F2">
        <v>0.17599999999999999</v>
      </c>
      <c r="G2">
        <v>7.0000000000000001E-3</v>
      </c>
      <c r="H2" s="1">
        <v>36460000</v>
      </c>
      <c r="I2" s="1">
        <v>4567000</v>
      </c>
      <c r="J2" s="1">
        <v>22860000</v>
      </c>
      <c r="K2" s="1">
        <v>3956000</v>
      </c>
      <c r="L2">
        <v>61.3</v>
      </c>
      <c r="M2">
        <v>1.4</v>
      </c>
      <c r="N2" t="s">
        <v>16</v>
      </c>
      <c r="O2" t="s">
        <v>13</v>
      </c>
    </row>
    <row r="3" spans="1:15">
      <c r="A3" t="s">
        <v>22</v>
      </c>
      <c r="B3" t="s">
        <v>15</v>
      </c>
      <c r="C3">
        <v>5</v>
      </c>
      <c r="D3">
        <v>16.2</v>
      </c>
      <c r="E3">
        <v>1.6</v>
      </c>
      <c r="F3">
        <v>0.34699999999999998</v>
      </c>
      <c r="G3" t="s">
        <v>864</v>
      </c>
      <c r="H3" s="1">
        <v>55190000</v>
      </c>
      <c r="I3" s="1">
        <v>6126000</v>
      </c>
      <c r="J3" s="1">
        <v>33550000</v>
      </c>
      <c r="K3" s="1">
        <v>1222000</v>
      </c>
      <c r="L3">
        <v>64.8</v>
      </c>
      <c r="M3">
        <v>2.2999999999999998</v>
      </c>
      <c r="N3" t="s">
        <v>16</v>
      </c>
      <c r="O3" t="s">
        <v>21</v>
      </c>
    </row>
    <row r="4" spans="1:15">
      <c r="A4" t="s">
        <v>24</v>
      </c>
      <c r="B4" t="s">
        <v>19</v>
      </c>
      <c r="C4">
        <v>3</v>
      </c>
      <c r="D4">
        <v>23.3</v>
      </c>
      <c r="E4">
        <v>5.9</v>
      </c>
      <c r="F4">
        <v>0.39200000000000002</v>
      </c>
      <c r="G4">
        <v>4.4999999999999998E-2</v>
      </c>
      <c r="H4" s="1">
        <v>26875462</v>
      </c>
      <c r="I4" s="1">
        <v>3340087</v>
      </c>
      <c r="J4" s="1">
        <v>24191205</v>
      </c>
      <c r="K4" s="1">
        <v>1739102</v>
      </c>
      <c r="L4">
        <v>52.5</v>
      </c>
      <c r="M4">
        <v>3.3</v>
      </c>
      <c r="N4" t="s">
        <v>25</v>
      </c>
      <c r="O4" t="s">
        <v>23</v>
      </c>
    </row>
    <row r="5" spans="1:15">
      <c r="A5" t="s">
        <v>18</v>
      </c>
      <c r="B5" t="s">
        <v>19</v>
      </c>
      <c r="C5">
        <v>4</v>
      </c>
      <c r="D5">
        <v>40.4</v>
      </c>
      <c r="E5">
        <v>11.6</v>
      </c>
      <c r="F5">
        <v>0.40200000000000002</v>
      </c>
      <c r="G5">
        <v>2.8000000000000001E-2</v>
      </c>
      <c r="H5" s="1">
        <v>67873741</v>
      </c>
      <c r="I5" s="1">
        <v>10406194</v>
      </c>
      <c r="J5" s="1">
        <v>33858759</v>
      </c>
      <c r="K5" s="1">
        <v>6657119</v>
      </c>
      <c r="L5">
        <v>65.3</v>
      </c>
      <c r="M5">
        <v>2.2999999999999998</v>
      </c>
      <c r="N5" t="s">
        <v>20</v>
      </c>
      <c r="O5" t="s">
        <v>17</v>
      </c>
    </row>
    <row r="6" spans="1:15">
      <c r="A6" t="s">
        <v>29</v>
      </c>
      <c r="B6" t="s">
        <v>15</v>
      </c>
      <c r="C6">
        <v>3</v>
      </c>
      <c r="D6">
        <v>42.7</v>
      </c>
      <c r="E6">
        <v>9.1</v>
      </c>
      <c r="F6">
        <v>0.75900000000000001</v>
      </c>
      <c r="G6">
        <v>2.4E-2</v>
      </c>
      <c r="H6" s="1">
        <v>123600000</v>
      </c>
      <c r="I6" s="1">
        <v>12470000</v>
      </c>
      <c r="J6" s="1">
        <v>78260000</v>
      </c>
      <c r="K6" s="1">
        <v>6095000</v>
      </c>
      <c r="L6">
        <v>61.2</v>
      </c>
      <c r="M6">
        <v>4.0999999999999996</v>
      </c>
      <c r="N6" t="s">
        <v>16</v>
      </c>
      <c r="O6" t="s">
        <v>28</v>
      </c>
    </row>
    <row r="7" spans="1:15">
      <c r="A7" t="s">
        <v>27</v>
      </c>
      <c r="B7" t="s">
        <v>15</v>
      </c>
      <c r="C7">
        <v>4</v>
      </c>
      <c r="D7">
        <v>41.1</v>
      </c>
      <c r="E7">
        <v>4.7</v>
      </c>
      <c r="F7">
        <v>0.80200000000000005</v>
      </c>
      <c r="G7">
        <v>4.5999999999999999E-2</v>
      </c>
      <c r="H7" s="1">
        <v>131330000</v>
      </c>
      <c r="I7" s="1">
        <v>21229000</v>
      </c>
      <c r="J7" s="1">
        <v>83040000</v>
      </c>
      <c r="K7" s="1">
        <v>19046000</v>
      </c>
      <c r="L7">
        <v>61.3</v>
      </c>
      <c r="M7">
        <v>6.3</v>
      </c>
      <c r="N7" t="s">
        <v>16</v>
      </c>
      <c r="O7" t="s">
        <v>26</v>
      </c>
    </row>
    <row r="8" spans="1:15">
      <c r="A8" t="s">
        <v>31</v>
      </c>
      <c r="B8" t="s">
        <v>32</v>
      </c>
      <c r="C8">
        <v>2</v>
      </c>
      <c r="D8">
        <v>79</v>
      </c>
      <c r="E8" t="s">
        <v>863</v>
      </c>
      <c r="F8">
        <v>0.81200000000000006</v>
      </c>
      <c r="G8">
        <v>4.3999999999999997E-2</v>
      </c>
      <c r="H8" s="1">
        <v>65074000</v>
      </c>
      <c r="I8" s="1">
        <v>2124000</v>
      </c>
      <c r="J8" s="1">
        <v>46631000</v>
      </c>
      <c r="K8" s="1">
        <v>527000</v>
      </c>
      <c r="L8" s="1" t="s">
        <v>863</v>
      </c>
      <c r="M8" t="s">
        <v>863</v>
      </c>
      <c r="N8" t="s">
        <v>33</v>
      </c>
      <c r="O8" t="s">
        <v>30</v>
      </c>
    </row>
    <row r="9" spans="1:15">
      <c r="A9" t="s">
        <v>39</v>
      </c>
      <c r="B9" t="s">
        <v>19</v>
      </c>
      <c r="C9">
        <v>2</v>
      </c>
      <c r="D9">
        <v>168.1</v>
      </c>
      <c r="E9">
        <v>13.6</v>
      </c>
      <c r="F9">
        <v>0.96499999999999997</v>
      </c>
      <c r="G9">
        <v>0.13600000000000001</v>
      </c>
      <c r="H9" s="1">
        <v>84220000</v>
      </c>
      <c r="I9" s="1">
        <v>9893371</v>
      </c>
      <c r="J9" s="1">
        <v>70640000</v>
      </c>
      <c r="K9" s="1">
        <v>11942086</v>
      </c>
      <c r="L9">
        <v>54.3</v>
      </c>
      <c r="M9">
        <v>1.3</v>
      </c>
      <c r="N9" t="s">
        <v>20</v>
      </c>
      <c r="O9" t="s">
        <v>38</v>
      </c>
    </row>
    <row r="10" spans="1:15">
      <c r="A10" t="s">
        <v>35</v>
      </c>
      <c r="B10" t="s">
        <v>15</v>
      </c>
      <c r="C10">
        <v>3</v>
      </c>
      <c r="D10">
        <v>95.3</v>
      </c>
      <c r="E10">
        <v>9.8000000000000007</v>
      </c>
      <c r="F10">
        <v>0.999</v>
      </c>
      <c r="G10">
        <v>0.08</v>
      </c>
      <c r="H10" s="1">
        <v>203520000</v>
      </c>
      <c r="I10" s="1">
        <v>14587000</v>
      </c>
      <c r="J10" s="1">
        <v>101740000</v>
      </c>
      <c r="K10" s="1">
        <v>11823000</v>
      </c>
      <c r="L10">
        <v>66.7</v>
      </c>
      <c r="M10">
        <v>1.4</v>
      </c>
      <c r="N10" t="s">
        <v>16</v>
      </c>
      <c r="O10" t="s">
        <v>34</v>
      </c>
    </row>
    <row r="11" spans="1:15">
      <c r="A11" t="s">
        <v>37</v>
      </c>
      <c r="B11" t="s">
        <v>32</v>
      </c>
      <c r="C11">
        <v>2</v>
      </c>
      <c r="D11">
        <v>45.1</v>
      </c>
      <c r="E11" t="s">
        <v>863</v>
      </c>
      <c r="F11">
        <v>1.04</v>
      </c>
      <c r="G11">
        <v>8.2000000000000003E-2</v>
      </c>
      <c r="H11" s="1">
        <v>129190603</v>
      </c>
      <c r="I11" s="1">
        <v>4424000</v>
      </c>
      <c r="J11" s="1">
        <v>78594397</v>
      </c>
      <c r="K11" s="1">
        <v>7733000</v>
      </c>
      <c r="L11" s="1" t="s">
        <v>863</v>
      </c>
      <c r="M11" t="s">
        <v>863</v>
      </c>
      <c r="N11" t="s">
        <v>33</v>
      </c>
      <c r="O11" t="s">
        <v>36</v>
      </c>
    </row>
    <row r="12" spans="1:15">
      <c r="A12" t="s">
        <v>41</v>
      </c>
      <c r="B12" t="s">
        <v>19</v>
      </c>
      <c r="C12">
        <v>4</v>
      </c>
      <c r="D12">
        <v>315.10000000000002</v>
      </c>
      <c r="E12">
        <v>102.9</v>
      </c>
      <c r="F12">
        <v>1.724</v>
      </c>
      <c r="G12">
        <v>0.29199999999999998</v>
      </c>
      <c r="H12" s="1">
        <v>188867832</v>
      </c>
      <c r="I12" s="1">
        <v>12622383</v>
      </c>
      <c r="J12" s="1">
        <v>121914668</v>
      </c>
      <c r="K12" s="1">
        <v>7106729</v>
      </c>
      <c r="L12">
        <v>60.7</v>
      </c>
      <c r="M12">
        <v>2.4</v>
      </c>
      <c r="N12" t="s">
        <v>20</v>
      </c>
      <c r="O12" t="s">
        <v>40</v>
      </c>
    </row>
    <row r="13" spans="1:15">
      <c r="A13" t="s">
        <v>43</v>
      </c>
      <c r="B13" t="s">
        <v>44</v>
      </c>
      <c r="C13">
        <v>1</v>
      </c>
      <c r="D13">
        <v>60</v>
      </c>
      <c r="E13" t="s">
        <v>863</v>
      </c>
      <c r="F13">
        <v>1.7989999999999999</v>
      </c>
      <c r="G13" t="s">
        <v>863</v>
      </c>
      <c r="H13" s="1">
        <v>254711180</v>
      </c>
      <c r="I13" t="s">
        <v>863</v>
      </c>
      <c r="J13" s="1">
        <v>138948820</v>
      </c>
      <c r="K13" t="s">
        <v>863</v>
      </c>
      <c r="L13">
        <v>64.7</v>
      </c>
      <c r="M13" t="s">
        <v>863</v>
      </c>
      <c r="N13" t="s">
        <v>45</v>
      </c>
      <c r="O13" t="s">
        <v>42</v>
      </c>
    </row>
    <row r="14" spans="1:15">
      <c r="A14" t="s">
        <v>47</v>
      </c>
      <c r="B14" t="s">
        <v>19</v>
      </c>
      <c r="C14">
        <v>2</v>
      </c>
      <c r="D14">
        <v>223.48500000000001</v>
      </c>
      <c r="E14">
        <v>16.600000000000001</v>
      </c>
      <c r="F14">
        <v>2.0779999999999998</v>
      </c>
      <c r="G14">
        <v>7.0999999999999994E-2</v>
      </c>
      <c r="H14" s="1">
        <v>202090113</v>
      </c>
      <c r="I14" s="1">
        <v>2931245</v>
      </c>
      <c r="J14" s="1">
        <v>181274887</v>
      </c>
      <c r="K14" s="1">
        <v>4310103</v>
      </c>
      <c r="L14">
        <v>52.7</v>
      </c>
      <c r="M14">
        <v>1</v>
      </c>
      <c r="N14" t="s">
        <v>25</v>
      </c>
      <c r="O14" t="s">
        <v>46</v>
      </c>
    </row>
    <row r="15" spans="1:15">
      <c r="A15" t="s">
        <v>49</v>
      </c>
      <c r="B15" t="s">
        <v>32</v>
      </c>
      <c r="C15">
        <v>2</v>
      </c>
      <c r="D15">
        <v>132.5</v>
      </c>
      <c r="E15" t="s">
        <v>863</v>
      </c>
      <c r="F15">
        <v>2.44</v>
      </c>
      <c r="G15">
        <v>0.109</v>
      </c>
      <c r="H15" s="1">
        <v>156830795</v>
      </c>
      <c r="I15" s="1">
        <v>20600000</v>
      </c>
      <c r="J15" s="1">
        <v>103349000</v>
      </c>
      <c r="K15" s="1">
        <v>15610000</v>
      </c>
      <c r="L15" s="1" t="s">
        <v>863</v>
      </c>
      <c r="M15" t="s">
        <v>863</v>
      </c>
      <c r="N15" t="s">
        <v>33</v>
      </c>
      <c r="O15" t="s">
        <v>48</v>
      </c>
    </row>
    <row r="16" spans="1:15">
      <c r="A16" t="s">
        <v>51</v>
      </c>
      <c r="B16" t="s">
        <v>52</v>
      </c>
      <c r="C16">
        <v>2</v>
      </c>
      <c r="D16">
        <v>172.5</v>
      </c>
      <c r="E16">
        <v>3.5</v>
      </c>
      <c r="F16">
        <v>2.7519999999999998</v>
      </c>
      <c r="G16">
        <v>1.0999999999999999E-2</v>
      </c>
      <c r="H16" s="1">
        <v>261400000</v>
      </c>
      <c r="I16" t="s">
        <v>863</v>
      </c>
      <c r="J16" s="1">
        <v>199650000</v>
      </c>
      <c r="K16" t="s">
        <v>863</v>
      </c>
      <c r="L16">
        <v>56.7</v>
      </c>
      <c r="M16" t="s">
        <v>863</v>
      </c>
      <c r="N16" t="s">
        <v>53</v>
      </c>
      <c r="O16" t="s">
        <v>50</v>
      </c>
    </row>
    <row r="17" spans="1:15">
      <c r="A17" t="s">
        <v>55</v>
      </c>
      <c r="B17" t="s">
        <v>19</v>
      </c>
      <c r="C17">
        <v>2</v>
      </c>
      <c r="D17">
        <v>311</v>
      </c>
      <c r="E17">
        <v>49.1</v>
      </c>
      <c r="F17">
        <v>3.6560000000000001</v>
      </c>
      <c r="G17">
        <v>0.48599999999999999</v>
      </c>
      <c r="H17" s="1">
        <v>233557275</v>
      </c>
      <c r="I17" s="1">
        <v>4085741</v>
      </c>
      <c r="J17" s="1">
        <v>228087725</v>
      </c>
      <c r="K17" s="1">
        <v>9141554</v>
      </c>
      <c r="L17">
        <v>50.6</v>
      </c>
      <c r="M17">
        <v>1.4</v>
      </c>
      <c r="N17" t="s">
        <v>20</v>
      </c>
      <c r="O17" t="s">
        <v>54</v>
      </c>
    </row>
    <row r="18" spans="1:15">
      <c r="A18" t="s">
        <v>57</v>
      </c>
      <c r="B18" t="s">
        <v>19</v>
      </c>
      <c r="C18">
        <v>3</v>
      </c>
      <c r="D18" s="1">
        <v>1515</v>
      </c>
      <c r="E18">
        <v>230.6</v>
      </c>
      <c r="F18">
        <v>5.3209999999999997</v>
      </c>
      <c r="G18">
        <v>0.19700000000000001</v>
      </c>
      <c r="H18" s="1">
        <v>437943767</v>
      </c>
      <c r="I18" s="1">
        <v>78742230</v>
      </c>
      <c r="J18" s="1">
        <v>417349567</v>
      </c>
      <c r="K18" s="1">
        <v>27350023</v>
      </c>
      <c r="L18">
        <v>51</v>
      </c>
      <c r="M18">
        <v>4.2</v>
      </c>
      <c r="N18" t="s">
        <v>25</v>
      </c>
      <c r="O18" t="s">
        <v>56</v>
      </c>
    </row>
    <row r="19" spans="1:15">
      <c r="A19" t="s">
        <v>59</v>
      </c>
      <c r="B19" t="s">
        <v>19</v>
      </c>
      <c r="C19">
        <v>3</v>
      </c>
      <c r="D19">
        <v>500</v>
      </c>
      <c r="E19" t="s">
        <v>863</v>
      </c>
      <c r="F19">
        <v>5.548</v>
      </c>
      <c r="G19">
        <v>0.30599999999999999</v>
      </c>
      <c r="H19" s="1">
        <v>453660197</v>
      </c>
      <c r="I19" s="1">
        <v>59752698</v>
      </c>
      <c r="J19" s="1">
        <v>530476469</v>
      </c>
      <c r="K19" s="1">
        <v>5605837</v>
      </c>
      <c r="L19">
        <v>46</v>
      </c>
      <c r="M19">
        <v>3</v>
      </c>
      <c r="N19" t="s">
        <v>25</v>
      </c>
      <c r="O19" t="s">
        <v>58</v>
      </c>
    </row>
    <row r="20" spans="1:15">
      <c r="A20" t="s">
        <v>63</v>
      </c>
      <c r="B20" t="s">
        <v>44</v>
      </c>
      <c r="C20">
        <v>3</v>
      </c>
      <c r="D20">
        <v>361</v>
      </c>
      <c r="E20">
        <v>1.4</v>
      </c>
      <c r="F20">
        <v>7.78</v>
      </c>
      <c r="G20">
        <v>0.65400000000000003</v>
      </c>
      <c r="H20" s="1">
        <v>635800000</v>
      </c>
      <c r="I20" s="1">
        <v>115730000</v>
      </c>
      <c r="J20" s="1">
        <v>590740000</v>
      </c>
      <c r="K20" s="1">
        <v>70810000</v>
      </c>
      <c r="L20">
        <v>51.7</v>
      </c>
      <c r="M20" t="s">
        <v>863</v>
      </c>
      <c r="N20" t="s">
        <v>53</v>
      </c>
      <c r="O20" t="s">
        <v>62</v>
      </c>
    </row>
    <row r="21" spans="1:15">
      <c r="A21" t="s">
        <v>61</v>
      </c>
      <c r="B21" t="s">
        <v>19</v>
      </c>
      <c r="C21">
        <v>1</v>
      </c>
      <c r="D21" s="1">
        <v>4600</v>
      </c>
      <c r="E21" t="s">
        <v>863</v>
      </c>
      <c r="F21">
        <v>9.1319999999999997</v>
      </c>
      <c r="G21" t="s">
        <v>863</v>
      </c>
      <c r="H21" s="1">
        <v>494205000</v>
      </c>
      <c r="I21" t="s">
        <v>863</v>
      </c>
      <c r="J21" s="1">
        <v>630795000</v>
      </c>
      <c r="K21" t="s">
        <v>863</v>
      </c>
      <c r="L21">
        <v>43.9</v>
      </c>
      <c r="M21" t="s">
        <v>863</v>
      </c>
      <c r="N21" t="s">
        <v>25</v>
      </c>
      <c r="O21" t="s">
        <v>60</v>
      </c>
    </row>
    <row r="22" spans="1:15">
      <c r="A22" t="s">
        <v>65</v>
      </c>
      <c r="B22" t="s">
        <v>44</v>
      </c>
      <c r="C22">
        <v>3</v>
      </c>
      <c r="D22">
        <v>946.7</v>
      </c>
      <c r="E22">
        <v>102.6</v>
      </c>
      <c r="F22">
        <v>10.15</v>
      </c>
      <c r="G22">
        <v>0.06</v>
      </c>
      <c r="H22" s="1">
        <v>936000000</v>
      </c>
      <c r="I22" s="1">
        <v>115360000</v>
      </c>
      <c r="J22" s="1">
        <v>666590000</v>
      </c>
      <c r="K22" s="1">
        <v>63500000</v>
      </c>
      <c r="L22">
        <v>58.4</v>
      </c>
      <c r="M22" t="s">
        <v>863</v>
      </c>
      <c r="N22" t="s">
        <v>53</v>
      </c>
      <c r="O22" t="s">
        <v>64</v>
      </c>
    </row>
    <row r="23" spans="1:15">
      <c r="A23" t="s">
        <v>67</v>
      </c>
      <c r="B23" t="s">
        <v>32</v>
      </c>
      <c r="C23">
        <v>1</v>
      </c>
      <c r="D23" s="1">
        <v>1150</v>
      </c>
      <c r="E23" t="s">
        <v>863</v>
      </c>
      <c r="F23">
        <v>12.8</v>
      </c>
      <c r="G23" t="s">
        <v>863</v>
      </c>
      <c r="H23" s="1">
        <v>504572834</v>
      </c>
      <c r="I23" t="s">
        <v>863</v>
      </c>
      <c r="J23" s="1">
        <v>413574000</v>
      </c>
      <c r="K23" t="s">
        <v>863</v>
      </c>
      <c r="L23" s="1" t="s">
        <v>863</v>
      </c>
      <c r="M23" t="s">
        <v>863</v>
      </c>
      <c r="N23" t="s">
        <v>33</v>
      </c>
      <c r="O23" t="s">
        <v>66</v>
      </c>
    </row>
    <row r="24" spans="1:15">
      <c r="A24" t="s">
        <v>73</v>
      </c>
      <c r="B24" t="s">
        <v>44</v>
      </c>
      <c r="C24">
        <v>2</v>
      </c>
      <c r="D24">
        <v>925</v>
      </c>
      <c r="E24">
        <v>35</v>
      </c>
      <c r="F24">
        <v>15.73</v>
      </c>
      <c r="G24" t="s">
        <v>863</v>
      </c>
      <c r="H24" s="1">
        <v>1468410000</v>
      </c>
      <c r="I24" t="s">
        <v>863</v>
      </c>
      <c r="J24" s="1">
        <v>1195130000</v>
      </c>
      <c r="K24" t="s">
        <v>863</v>
      </c>
      <c r="L24">
        <v>55.1</v>
      </c>
      <c r="M24" t="s">
        <v>863</v>
      </c>
      <c r="N24" t="s">
        <v>53</v>
      </c>
      <c r="O24" t="s">
        <v>72</v>
      </c>
    </row>
    <row r="25" spans="1:15">
      <c r="A25" t="s">
        <v>71</v>
      </c>
      <c r="B25" t="s">
        <v>32</v>
      </c>
      <c r="C25">
        <v>2</v>
      </c>
      <c r="D25" s="1">
        <v>2517</v>
      </c>
      <c r="E25" t="s">
        <v>863</v>
      </c>
      <c r="F25">
        <v>16.853000000000002</v>
      </c>
      <c r="G25">
        <v>1.4950000000000001</v>
      </c>
      <c r="H25" s="1">
        <v>755653000</v>
      </c>
      <c r="I25" s="1">
        <v>72145000</v>
      </c>
      <c r="J25" s="1">
        <v>620622000</v>
      </c>
      <c r="K25" s="1">
        <v>37616000</v>
      </c>
      <c r="L25" s="1" t="s">
        <v>863</v>
      </c>
      <c r="M25" t="s">
        <v>863</v>
      </c>
      <c r="N25" t="s">
        <v>33</v>
      </c>
      <c r="O25" t="s">
        <v>70</v>
      </c>
    </row>
    <row r="26" spans="1:15">
      <c r="A26" t="s">
        <v>69</v>
      </c>
      <c r="B26" t="s">
        <v>19</v>
      </c>
      <c r="C26">
        <v>3</v>
      </c>
      <c r="D26" s="1">
        <v>2843</v>
      </c>
      <c r="E26">
        <v>196</v>
      </c>
      <c r="F26">
        <v>17.628</v>
      </c>
      <c r="G26">
        <v>1.9</v>
      </c>
      <c r="H26" s="1">
        <v>795112070</v>
      </c>
      <c r="I26" t="s">
        <v>863</v>
      </c>
      <c r="J26" s="1">
        <v>951677930</v>
      </c>
      <c r="K26" t="s">
        <v>863</v>
      </c>
      <c r="L26">
        <v>45.5</v>
      </c>
      <c r="M26" t="s">
        <v>863</v>
      </c>
      <c r="N26" t="s">
        <v>20</v>
      </c>
      <c r="O26" t="s">
        <v>68</v>
      </c>
    </row>
    <row r="27" spans="1:15">
      <c r="A27" t="s">
        <v>77</v>
      </c>
      <c r="B27" t="s">
        <v>44</v>
      </c>
      <c r="C27">
        <v>2</v>
      </c>
      <c r="D27">
        <v>859</v>
      </c>
      <c r="E27" t="s">
        <v>863</v>
      </c>
      <c r="F27">
        <v>30.216000000000001</v>
      </c>
      <c r="G27" t="s">
        <v>863</v>
      </c>
      <c r="H27" s="1">
        <v>3246430000</v>
      </c>
      <c r="I27" t="s">
        <v>863</v>
      </c>
      <c r="J27" s="1">
        <v>2073030000</v>
      </c>
      <c r="K27" t="s">
        <v>863</v>
      </c>
      <c r="L27">
        <v>61</v>
      </c>
      <c r="M27" t="s">
        <v>863</v>
      </c>
      <c r="N27" t="s">
        <v>53</v>
      </c>
      <c r="O27" t="s">
        <v>76</v>
      </c>
    </row>
    <row r="28" spans="1:15">
      <c r="A28" t="s">
        <v>79</v>
      </c>
      <c r="B28" t="s">
        <v>44</v>
      </c>
      <c r="C28">
        <v>1</v>
      </c>
      <c r="D28" s="1">
        <v>5700</v>
      </c>
      <c r="E28" t="s">
        <v>863</v>
      </c>
      <c r="F28">
        <v>46.161999999999999</v>
      </c>
      <c r="G28" t="s">
        <v>863</v>
      </c>
      <c r="H28" s="1">
        <v>3439004620</v>
      </c>
      <c r="I28" t="s">
        <v>863</v>
      </c>
      <c r="J28" s="1">
        <v>3154415380</v>
      </c>
      <c r="K28" t="s">
        <v>863</v>
      </c>
      <c r="L28">
        <v>52.2</v>
      </c>
      <c r="M28" t="s">
        <v>863</v>
      </c>
      <c r="N28" t="s">
        <v>45</v>
      </c>
      <c r="O28" t="s">
        <v>78</v>
      </c>
    </row>
    <row r="29" spans="1:15">
      <c r="A29" t="s">
        <v>81</v>
      </c>
      <c r="B29" t="s">
        <v>44</v>
      </c>
      <c r="C29">
        <v>1</v>
      </c>
      <c r="D29" s="1">
        <v>3340</v>
      </c>
      <c r="E29" t="s">
        <v>863</v>
      </c>
      <c r="F29">
        <v>52.207999999999998</v>
      </c>
      <c r="G29" t="s">
        <v>863</v>
      </c>
      <c r="H29" s="1">
        <v>3690520000</v>
      </c>
      <c r="I29" t="s">
        <v>863</v>
      </c>
      <c r="J29" s="1">
        <v>3297740000</v>
      </c>
      <c r="K29" t="s">
        <v>863</v>
      </c>
      <c r="L29">
        <v>52.8</v>
      </c>
      <c r="M29" t="s">
        <v>863</v>
      </c>
      <c r="N29" t="s">
        <v>53</v>
      </c>
      <c r="O29" t="s">
        <v>80</v>
      </c>
    </row>
    <row r="30" spans="1:15">
      <c r="A30" t="s">
        <v>83</v>
      </c>
      <c r="B30" t="s">
        <v>44</v>
      </c>
      <c r="C30">
        <v>1</v>
      </c>
      <c r="D30" s="1">
        <v>8012</v>
      </c>
      <c r="E30" t="s">
        <v>863</v>
      </c>
      <c r="F30">
        <v>61.47</v>
      </c>
      <c r="G30" t="s">
        <v>863</v>
      </c>
      <c r="H30" s="1">
        <v>3755620300</v>
      </c>
      <c r="I30" t="s">
        <v>863</v>
      </c>
      <c r="J30" s="1">
        <v>4878879700</v>
      </c>
      <c r="K30" t="s">
        <v>863</v>
      </c>
      <c r="L30">
        <v>43.5</v>
      </c>
      <c r="M30" t="s">
        <v>863</v>
      </c>
      <c r="N30" t="s">
        <v>45</v>
      </c>
      <c r="O30" t="s">
        <v>82</v>
      </c>
    </row>
    <row r="31" spans="1:15">
      <c r="A31" t="s">
        <v>85</v>
      </c>
      <c r="B31" t="s">
        <v>86</v>
      </c>
      <c r="C31">
        <v>1</v>
      </c>
      <c r="D31" s="1">
        <v>100000</v>
      </c>
      <c r="E31" t="s">
        <v>863</v>
      </c>
      <c r="F31">
        <v>64.180000000000007</v>
      </c>
      <c r="G31" t="s">
        <v>863</v>
      </c>
      <c r="H31" s="1">
        <v>2224112553</v>
      </c>
      <c r="I31" t="s">
        <v>863</v>
      </c>
      <c r="J31" s="1">
        <v>4695783705</v>
      </c>
      <c r="K31" t="s">
        <v>863</v>
      </c>
      <c r="L31">
        <v>32.1</v>
      </c>
      <c r="M31" t="s">
        <v>863</v>
      </c>
      <c r="N31" t="s">
        <v>87</v>
      </c>
      <c r="O31" t="s">
        <v>84</v>
      </c>
    </row>
    <row r="32" spans="1:15">
      <c r="A32" t="s">
        <v>89</v>
      </c>
      <c r="B32" t="s">
        <v>19</v>
      </c>
      <c r="C32">
        <v>2</v>
      </c>
      <c r="D32" s="1">
        <v>47500</v>
      </c>
      <c r="E32" s="1">
        <v>3536</v>
      </c>
      <c r="F32">
        <v>74.733999999999995</v>
      </c>
      <c r="G32">
        <v>3.7559999999999998</v>
      </c>
      <c r="H32" s="1">
        <v>1572560385</v>
      </c>
      <c r="I32" s="1">
        <v>72641426</v>
      </c>
      <c r="J32" s="1">
        <v>3197929615</v>
      </c>
      <c r="K32" s="1">
        <v>974583717</v>
      </c>
      <c r="L32">
        <v>33.6</v>
      </c>
      <c r="M32">
        <v>5.8</v>
      </c>
      <c r="N32" t="s">
        <v>20</v>
      </c>
      <c r="O32" t="s">
        <v>88</v>
      </c>
    </row>
    <row r="33" spans="1:15">
      <c r="A33" t="s">
        <v>93</v>
      </c>
      <c r="B33" t="s">
        <v>44</v>
      </c>
      <c r="C33">
        <v>1</v>
      </c>
      <c r="D33" s="1">
        <v>3900</v>
      </c>
      <c r="E33" t="s">
        <v>863</v>
      </c>
      <c r="F33">
        <v>87.346000000000004</v>
      </c>
      <c r="G33" t="s">
        <v>863</v>
      </c>
      <c r="H33" s="1">
        <v>6376160000</v>
      </c>
      <c r="I33" t="s">
        <v>863</v>
      </c>
      <c r="J33" s="1">
        <v>7162900000</v>
      </c>
      <c r="K33" t="s">
        <v>863</v>
      </c>
      <c r="L33">
        <v>47.1</v>
      </c>
      <c r="M33" t="s">
        <v>863</v>
      </c>
      <c r="N33" t="s">
        <v>53</v>
      </c>
      <c r="O33" t="s">
        <v>92</v>
      </c>
    </row>
    <row r="34" spans="1:15">
      <c r="A34" t="s">
        <v>91</v>
      </c>
      <c r="B34" t="s">
        <v>86</v>
      </c>
      <c r="C34">
        <v>1</v>
      </c>
      <c r="D34" s="1">
        <v>25000</v>
      </c>
      <c r="E34" t="s">
        <v>863</v>
      </c>
      <c r="F34">
        <v>106.074</v>
      </c>
      <c r="G34" t="s">
        <v>863</v>
      </c>
      <c r="H34" s="1">
        <v>2724595233</v>
      </c>
      <c r="I34" t="s">
        <v>863</v>
      </c>
      <c r="J34" s="1">
        <v>5912784575</v>
      </c>
      <c r="K34" t="s">
        <v>863</v>
      </c>
      <c r="L34">
        <v>31.5</v>
      </c>
      <c r="M34" t="s">
        <v>863</v>
      </c>
      <c r="N34" t="s">
        <v>87</v>
      </c>
      <c r="O34" t="s">
        <v>90</v>
      </c>
    </row>
    <row r="35" spans="1:15">
      <c r="A35" t="s">
        <v>97</v>
      </c>
      <c r="B35" t="s">
        <v>44</v>
      </c>
      <c r="C35">
        <v>2</v>
      </c>
      <c r="D35" s="1">
        <v>8000</v>
      </c>
      <c r="E35" t="s">
        <v>863</v>
      </c>
      <c r="F35">
        <v>151.19399999999999</v>
      </c>
      <c r="G35" t="s">
        <v>863</v>
      </c>
      <c r="H35" s="1">
        <v>10948086440</v>
      </c>
      <c r="I35" t="s">
        <v>863</v>
      </c>
      <c r="J35" s="1">
        <v>9175538564</v>
      </c>
      <c r="K35" t="s">
        <v>863</v>
      </c>
      <c r="L35">
        <v>54.4</v>
      </c>
      <c r="M35" t="s">
        <v>863</v>
      </c>
      <c r="N35" t="s">
        <v>45</v>
      </c>
      <c r="O35" t="s">
        <v>96</v>
      </c>
    </row>
    <row r="36" spans="1:15">
      <c r="A36" t="s">
        <v>95</v>
      </c>
      <c r="B36" t="s">
        <v>86</v>
      </c>
      <c r="C36">
        <v>1</v>
      </c>
      <c r="D36" s="1">
        <v>60000</v>
      </c>
      <c r="E36" t="s">
        <v>863</v>
      </c>
      <c r="F36">
        <v>154.71799999999999</v>
      </c>
      <c r="G36" t="s">
        <v>863</v>
      </c>
      <c r="H36" s="1">
        <v>3058814227</v>
      </c>
      <c r="I36" t="s">
        <v>863</v>
      </c>
      <c r="J36" s="1">
        <v>9343246559</v>
      </c>
      <c r="K36" t="s">
        <v>863</v>
      </c>
      <c r="L36">
        <v>24.7</v>
      </c>
      <c r="M36" t="s">
        <v>863</v>
      </c>
      <c r="N36" t="s">
        <v>87</v>
      </c>
      <c r="O36" t="s">
        <v>94</v>
      </c>
    </row>
    <row r="37" spans="1:15">
      <c r="A37" t="s">
        <v>99</v>
      </c>
      <c r="B37" t="s">
        <v>86</v>
      </c>
      <c r="C37">
        <v>1</v>
      </c>
      <c r="D37" s="1">
        <v>218000</v>
      </c>
      <c r="E37" t="s">
        <v>863</v>
      </c>
      <c r="F37">
        <v>306.86</v>
      </c>
      <c r="G37" t="s">
        <v>863</v>
      </c>
      <c r="H37" s="1">
        <v>4911651549</v>
      </c>
      <c r="I37" t="s">
        <v>863</v>
      </c>
      <c r="J37" s="1">
        <v>16977183580</v>
      </c>
      <c r="K37" t="s">
        <v>863</v>
      </c>
      <c r="L37">
        <v>22.4</v>
      </c>
      <c r="M37" t="s">
        <v>863</v>
      </c>
      <c r="N37" t="s">
        <v>87</v>
      </c>
      <c r="O37" t="s">
        <v>98</v>
      </c>
    </row>
    <row r="38" spans="1:15">
      <c r="A38" t="s">
        <v>101</v>
      </c>
      <c r="B38" t="s">
        <v>86</v>
      </c>
      <c r="C38">
        <v>1</v>
      </c>
      <c r="D38" s="1">
        <v>470000</v>
      </c>
      <c r="E38" t="s">
        <v>863</v>
      </c>
      <c r="F38">
        <v>537.21799999999996</v>
      </c>
      <c r="G38" t="s">
        <v>863</v>
      </c>
      <c r="H38" s="1">
        <v>10751287650</v>
      </c>
      <c r="I38" t="s">
        <v>863</v>
      </c>
      <c r="J38" s="1">
        <v>37912932350</v>
      </c>
      <c r="K38" t="s">
        <v>863</v>
      </c>
      <c r="L38">
        <v>23.5</v>
      </c>
      <c r="M38" t="s">
        <v>863</v>
      </c>
      <c r="N38" t="s">
        <v>87</v>
      </c>
      <c r="O38" t="s">
        <v>100</v>
      </c>
    </row>
    <row r="39" spans="1:15">
      <c r="A39" t="s">
        <v>103</v>
      </c>
      <c r="B39" t="s">
        <v>44</v>
      </c>
      <c r="C39">
        <v>4</v>
      </c>
      <c r="D39" s="1">
        <v>70000</v>
      </c>
      <c r="E39" t="s">
        <v>863</v>
      </c>
      <c r="F39" s="2">
        <v>1508.91</v>
      </c>
      <c r="G39">
        <v>299.14</v>
      </c>
      <c r="H39" s="1">
        <v>86060000000</v>
      </c>
      <c r="I39" s="1">
        <v>8120000000</v>
      </c>
      <c r="J39" s="1">
        <v>84610000000</v>
      </c>
      <c r="K39" s="1">
        <v>9830000000</v>
      </c>
      <c r="L39">
        <v>50.5</v>
      </c>
      <c r="M39">
        <v>3.6</v>
      </c>
      <c r="N39" t="s">
        <v>104</v>
      </c>
      <c r="O39" t="s">
        <v>102</v>
      </c>
    </row>
    <row r="40" spans="1:15">
      <c r="A40" t="s">
        <v>106</v>
      </c>
      <c r="B40" t="s">
        <v>32</v>
      </c>
      <c r="C40">
        <v>1</v>
      </c>
      <c r="D40" s="1">
        <v>5000000</v>
      </c>
      <c r="E40" t="s">
        <v>863</v>
      </c>
      <c r="F40" s="2">
        <v>4618.62</v>
      </c>
      <c r="G40" t="s">
        <v>863</v>
      </c>
      <c r="H40" s="1">
        <v>257043473412</v>
      </c>
      <c r="I40" t="s">
        <v>863</v>
      </c>
      <c r="J40" s="1">
        <v>216057982337</v>
      </c>
      <c r="K40" t="s">
        <v>863</v>
      </c>
      <c r="L40" s="1" t="s">
        <v>863</v>
      </c>
      <c r="M40" t="s">
        <v>863</v>
      </c>
      <c r="N40" t="s">
        <v>107</v>
      </c>
      <c r="O40" t="s">
        <v>105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BR43"/>
  <sheetViews>
    <sheetView tabSelected="1" topLeftCell="AC1" zoomScaleNormal="100" zoomScaleSheetLayoutView="100" workbookViewId="0">
      <selection activeCell="AS1" sqref="AS1:BF1048576"/>
    </sheetView>
  </sheetViews>
  <sheetFormatPr baseColWidth="10" defaultRowHeight="16"/>
  <cols>
    <col min="1" max="1" width="28.5" customWidth="1"/>
    <col min="2" max="2" width="12.83203125" customWidth="1"/>
    <col min="3" max="3" width="22.5" customWidth="1"/>
    <col min="4" max="4" width="23.83203125" hidden="1" customWidth="1"/>
    <col min="5" max="5" width="16" customWidth="1"/>
    <col min="6" max="6" width="23.5" hidden="1" customWidth="1"/>
    <col min="7" max="7" width="16" customWidth="1"/>
    <col min="8" max="8" width="31.83203125" hidden="1" customWidth="1"/>
    <col min="9" max="9" width="16" customWidth="1"/>
    <col min="10" max="10" width="16" hidden="1" customWidth="1"/>
    <col min="11" max="11" width="16" customWidth="1"/>
    <col min="12" max="12" width="16" hidden="1" customWidth="1"/>
    <col min="13" max="13" width="16" customWidth="1"/>
    <col min="14" max="14" width="16" hidden="1" customWidth="1"/>
    <col min="15" max="16" width="21.33203125" customWidth="1"/>
    <col min="17" max="17" width="18.1640625" customWidth="1"/>
    <col min="18" max="18" width="18.1640625" hidden="1" customWidth="1"/>
    <col min="19" max="19" width="18.1640625" customWidth="1"/>
    <col min="20" max="20" width="18.1640625" hidden="1" customWidth="1"/>
    <col min="21" max="21" width="18.1640625" customWidth="1"/>
    <col min="22" max="22" width="18.1640625" hidden="1" customWidth="1"/>
    <col min="23" max="23" width="18.1640625" customWidth="1"/>
    <col min="24" max="24" width="18.1640625" hidden="1" customWidth="1"/>
    <col min="25" max="25" width="18.1640625" customWidth="1"/>
    <col min="26" max="26" width="18.1640625" hidden="1" customWidth="1"/>
    <col min="27" max="27" width="18.1640625" customWidth="1"/>
    <col min="28" max="28" width="18.1640625" hidden="1" customWidth="1"/>
    <col min="29" max="29" width="18.1640625" customWidth="1"/>
    <col min="30" max="30" width="18.1640625" hidden="1" customWidth="1"/>
    <col min="32" max="32" width="0" hidden="1" customWidth="1"/>
    <col min="34" max="34" width="0" hidden="1" customWidth="1"/>
    <col min="36" max="36" width="0" hidden="1" customWidth="1"/>
    <col min="38" max="38" width="0" hidden="1" customWidth="1"/>
    <col min="40" max="40" width="0" hidden="1" customWidth="1"/>
    <col min="42" max="42" width="0" hidden="1" customWidth="1"/>
    <col min="44" max="44" width="0" hidden="1" customWidth="1"/>
    <col min="45" max="58" width="21.6640625" customWidth="1"/>
    <col min="59" max="59" width="17.1640625" customWidth="1"/>
    <col min="60" max="60" width="17.1640625" hidden="1" customWidth="1"/>
    <col min="61" max="61" width="17.1640625" customWidth="1"/>
    <col min="62" max="62" width="17.1640625" hidden="1" customWidth="1"/>
    <col min="63" max="63" width="17.1640625" customWidth="1"/>
    <col min="64" max="64" width="17.1640625" hidden="1" customWidth="1"/>
    <col min="65" max="65" width="17.1640625" customWidth="1"/>
    <col min="66" max="66" width="17.1640625" hidden="1" customWidth="1"/>
    <col min="67" max="67" width="17.1640625" customWidth="1"/>
    <col min="68" max="68" width="17.1640625" hidden="1" customWidth="1"/>
    <col min="69" max="69" width="17.1640625" customWidth="1"/>
    <col min="70" max="70" width="23.6640625" customWidth="1"/>
  </cols>
  <sheetData>
    <row r="1" spans="1:70">
      <c r="A1" t="s">
        <v>0</v>
      </c>
      <c r="B1" t="s">
        <v>869</v>
      </c>
      <c r="C1" t="str">
        <f>IFERROR(VLOOKUP($A1,reformattedTable1cerebrum!$A$1:$WV$1800,4,FALSE), "NA")</f>
        <v>Cerebral_Cortex_Mass,_g</v>
      </c>
      <c r="D1" t="str">
        <f>IFERROR(VLOOKUP($A1,reformattedTable1cerebrum!$A$1:$WV$1800,5,FALSE), "NA")</f>
        <v>Cerebral_Cortex_Mass,_g_SD_</v>
      </c>
      <c r="E1" t="str">
        <f>IFERROR(VLOOKUP($A1,reformattedTable1cerebrum!$A$1:$WV$1800,6,FALSE), "NA")</f>
        <v>Cerebral_Cortex_N,_n</v>
      </c>
      <c r="F1" t="str">
        <f>IFERROR(VLOOKUP($A1,reformattedTable1cerebrum!$A$1:$WV$1800,7,FALSE), "NA")</f>
        <v>Cerebral_Cortex_N,_n_SD_</v>
      </c>
      <c r="G1" t="str">
        <f>IFERROR(VLOOKUP($A1,reformattedTable1cerebrum!$A$1:$WV$1800,8,FALSE), "NA")</f>
        <v>Cerebral_Cortex_O,_n</v>
      </c>
      <c r="H1" t="str">
        <f>IFERROR(VLOOKUP($A1,reformattedTable1cerebrum!$A$1:$WV$1800,9,FALSE), "NA")</f>
        <v>Cerebral_Cortex_O,_n_SD_</v>
      </c>
      <c r="I1" t="str">
        <f>IFERROR(VLOOKUP($A1,reformattedTable1cerebrum!$A$1:$WV$1800,10,FALSE), "NA")</f>
        <v>Cerebral_Cortex_N/mg</v>
      </c>
      <c r="J1" t="str">
        <f>IFERROR(VLOOKUP($A1,reformattedTable1cerebrum!$A$1:$WV$1800,11,FALSE), "NA")</f>
        <v>Cerebral_Cortex_N/mg_SD</v>
      </c>
      <c r="K1" t="str">
        <f>IFERROR(VLOOKUP($A1,reformattedTable1cerebrum!$A$1:$WV$1800,12,FALSE), "NA")</f>
        <v>Cerebral_Cortex_O/mg</v>
      </c>
      <c r="L1" t="str">
        <f>IFERROR(VLOOKUP($A1,reformattedTable1cerebrum!$A$1:$WV$1800,13,FALSE), "NA")</f>
        <v>Cerebral_Cortex_O/mg__SD</v>
      </c>
      <c r="M1" t="str">
        <f>IFERROR(VLOOKUP($A1,reformattedTable1cerebrum!$A$1:$WV$1800,14,FALSE), "NA")</f>
        <v>Cerebral_Cortex_O/N</v>
      </c>
      <c r="N1" t="str">
        <f>IFERROR(VLOOKUP($A1,reformattedTable1cerebrum!$A$1:$WV$1800,15,FALSE), "NA")</f>
        <v>Cerebral_Cortex_O/N_SD_</v>
      </c>
      <c r="O1" t="str">
        <f>IFERROR(VLOOKUP($A1,reformattedTable1cerebrum!$A$1:$WV$1800,16,FALSE), "NA")</f>
        <v>Cerebral_Cortex_Source</v>
      </c>
      <c r="P1" t="str">
        <f>IFERROR(VLOOKUP($A1,reformattedTable1cerebrum!$A$1:$WV$1800,17,FALSE), "NA")</f>
        <v>Cerebral_Cortex_Species</v>
      </c>
      <c r="Q1" t="str">
        <f>IFERROR(VLOOKUP($A1,reformattedTable2cerebellum!$A$1:$WW$1800,4,FALSE), "NA")</f>
        <v>Cerebellum_Mass,_g</v>
      </c>
      <c r="R1" t="str">
        <f>IFERROR(VLOOKUP($A1,reformattedTable2cerebellum!$A$1:$WW$1800,5,FALSE), "NA")</f>
        <v>Cerebellum_Mass,_g_SD_</v>
      </c>
      <c r="S1" t="str">
        <f>IFERROR(VLOOKUP($A1,reformattedTable2cerebellum!$A$1:$WW$1800,6,FALSE), "NA")</f>
        <v>Cerebellum_N,_n</v>
      </c>
      <c r="T1" t="str">
        <f>IFERROR(VLOOKUP($A1,reformattedTable2cerebellum!$A$1:$WW$1800,7,FALSE), "NA")</f>
        <v>Cerebellum_N,_n_SD_</v>
      </c>
      <c r="U1" t="str">
        <f>IFERROR(VLOOKUP($A1,reformattedTable2cerebellum!$A$1:$WW$1800,8,FALSE), "NA")</f>
        <v>Cerebellum_O,_n</v>
      </c>
      <c r="V1" t="str">
        <f>IFERROR(VLOOKUP($A1,reformattedTable2cerebellum!$A$1:$WW$1800,9,FALSE), "NA")</f>
        <v>Cerebellum_O,_n_SD_</v>
      </c>
      <c r="W1" t="str">
        <f>IFERROR(VLOOKUP($A1,reformattedTable2cerebellum!$A$1:$WW$1800,10,FALSE), "NA")</f>
        <v>Cerebellum_N/mg</v>
      </c>
      <c r="X1" t="str">
        <f>IFERROR(VLOOKUP($A1,reformattedTable2cerebellum!$A$1:$WW$1800,11,FALSE), "NA")</f>
        <v>Cerebellum_N/mg_SD_</v>
      </c>
      <c r="Y1" t="str">
        <f>IFERROR(VLOOKUP($A1,reformattedTable2cerebellum!$A$1:$WW$1800,12,FALSE), "NA")</f>
        <v>Cerebellum_O/mg</v>
      </c>
      <c r="Z1" t="str">
        <f>IFERROR(VLOOKUP($A1,reformattedTable2cerebellum!$A$1:$WW$1800,13,FALSE), "NA")</f>
        <v>Cerebellum_O/mg_SD_</v>
      </c>
      <c r="AA1" t="str">
        <f>IFERROR(VLOOKUP($A1,reformattedTable2cerebellum!$A$1:$WW$1800,14,FALSE), "NA")</f>
        <v>Cerebellum_O/N</v>
      </c>
      <c r="AB1" t="str">
        <f>IFERROR(VLOOKUP($A1,reformattedTable2cerebellum!$A$1:$WW$1800,15,FALSE), "NA")</f>
        <v>Cerebellum_O/N_SD_</v>
      </c>
      <c r="AC1" t="str">
        <f>IFERROR(VLOOKUP($A1,reformattedTable2cerebellum!$A$1:$WW$1800,16,FALSE), "NA")</f>
        <v>Cerebellum_Source</v>
      </c>
      <c r="AD1" t="str">
        <f>IFERROR(VLOOKUP($A1,reformattedTable2cerebellum!$A$1:$WW$1800,17,FALSE), "NA")</f>
        <v>Cerebellum_Species</v>
      </c>
      <c r="AE1" t="str">
        <f>IFERROR(VLOOKUP($A1,reformattedTable3RoB!$A$1:$WW$1800,4,FALSE), "NA")</f>
        <v>RoB_Mass,_g</v>
      </c>
      <c r="AF1" t="str">
        <f>IFERROR(VLOOKUP($A1,reformattedTable3RoB!$A$1:$WW$1800,5,FALSE), "NA")</f>
        <v>RoB_Mass,_g_SD_</v>
      </c>
      <c r="AG1" t="str">
        <f>IFERROR(VLOOKUP($A1,reformattedTable3RoB!$A$1:$WW$1800,6,FALSE), "NA")</f>
        <v>RoB_N,_n</v>
      </c>
      <c r="AH1" t="str">
        <f>IFERROR(VLOOKUP($A1,reformattedTable3RoB!$A$1:$WW$1800,7,FALSE), "NA")</f>
        <v>RoB_N,_n_SD_</v>
      </c>
      <c r="AI1" t="str">
        <f>IFERROR(VLOOKUP($A1,reformattedTable3RoB!$A$1:$WW$1800,8,FALSE), "NA")</f>
        <v>RoB_O,_n</v>
      </c>
      <c r="AJ1" t="str">
        <f>IFERROR(VLOOKUP($A1,reformattedTable3RoB!$A$1:$WW$1800,9,FALSE), "NA")</f>
        <v>RoB_O,_n_SD_</v>
      </c>
      <c r="AK1" t="str">
        <f>IFERROR(VLOOKUP($A1,reformattedTable3RoB!$A$1:$WW$1800,10,FALSE), "NA")</f>
        <v>RoB_N/mg</v>
      </c>
      <c r="AL1" t="str">
        <f>IFERROR(VLOOKUP($A1,reformattedTable3RoB!$A$1:$WW$1800,11,FALSE), "NA")</f>
        <v>RoB_N/mg_SD_</v>
      </c>
      <c r="AM1" t="str">
        <f>IFERROR(VLOOKUP($A1,reformattedTable3RoB!$A$1:$WW$1800,12,FALSE), "NA")</f>
        <v>RoB_O/mg</v>
      </c>
      <c r="AN1" t="str">
        <f>IFERROR(VLOOKUP($A1,reformattedTable3RoB!$A$1:$WW$1800,13,FALSE), "NA")</f>
        <v>RoB_O/mg_SD_</v>
      </c>
      <c r="AO1" t="str">
        <f>IFERROR(VLOOKUP($A1,reformattedTable3RoB!$A$1:$WW$1800,14,FALSE), "NA")</f>
        <v>RoB_O/N</v>
      </c>
      <c r="AP1" t="str">
        <f>IFERROR(VLOOKUP($A1,reformattedTable3RoB!$A$1:$WW$1800,15,FALSE), "NA")</f>
        <v>RoB_O/N_SD_</v>
      </c>
      <c r="AQ1" t="str">
        <f>IFERROR(VLOOKUP($A1,reformattedTable3RoB!$A$1:$WW$1800,16,FALSE), "NA")</f>
        <v>RoB_Source</v>
      </c>
      <c r="AR1" t="str">
        <f>IFERROR(VLOOKUP($A1,reformattedTable3RoB!$A$1:$WW$1800,17,FALSE), "NA")</f>
        <v>RoB_Species</v>
      </c>
      <c r="AS1" t="str">
        <f>IFERROR(VLOOKUP($A1,reformattedTable4olfactory_bulb!$A$1:$WV$1800,4,FALSE), "NA")</f>
        <v>Olfactory_bulb_Mass,_g</v>
      </c>
      <c r="AT1" t="str">
        <f>IFERROR(VLOOKUP($A1,reformattedTable4olfactory_bulb!$A$1:$WV$1800,5,FALSE), "NA")</f>
        <v>Olfactory_bulb_Mass,_g_SD_</v>
      </c>
      <c r="AU1" t="str">
        <f>IFERROR(VLOOKUP($A1,reformattedTable4olfactory_bulb!$A$1:$WV$1800,6,FALSE), "NA")</f>
        <v>Olfactory_bulb_N,_n</v>
      </c>
      <c r="AV1" t="str">
        <f>IFERROR(VLOOKUP($A1,reformattedTable4olfactory_bulb!$A$1:$WV$1800,7,FALSE), "NA")</f>
        <v>Olfactory_bulb_N,_n_SD_</v>
      </c>
      <c r="AW1" t="str">
        <f>IFERROR(VLOOKUP($A1,reformattedTable4olfactory_bulb!$A$1:$WV$1800,8,FALSE), "NA")</f>
        <v>Olfactory_bulb_O,_n</v>
      </c>
      <c r="AX1" t="str">
        <f>IFERROR(VLOOKUP($A1,reformattedTable4olfactory_bulb!$A$1:$WV$1800,9,FALSE), "NA")</f>
        <v>Olfactory_bulb_O,_n_SD_</v>
      </c>
      <c r="AY1" t="str">
        <f>IFERROR(VLOOKUP($A1,reformattedTable4olfactory_bulb!$A$1:$WV$1800,10,FALSE), "NA")</f>
        <v>Olfactory_bulb_N/mg</v>
      </c>
      <c r="AZ1" t="str">
        <f>IFERROR(VLOOKUP($A1,reformattedTable4olfactory_bulb!$A$1:$WV$1800,11,FALSE), "NA")</f>
        <v>Olfactory_bulb_N/mg_SD_</v>
      </c>
      <c r="BA1" t="str">
        <f>IFERROR(VLOOKUP($A1,reformattedTable4olfactory_bulb!$A$1:$WV$1800,12,FALSE), "NA")</f>
        <v>Olfactory_bulb_O/mg</v>
      </c>
      <c r="BB1" t="str">
        <f>IFERROR(VLOOKUP($A1,reformattedTable4olfactory_bulb!$A$1:$WV$1800,13,FALSE), "NA")</f>
        <v>Olfactory_bulb_O/mg_SD_</v>
      </c>
      <c r="BC1" t="str">
        <f>IFERROR(VLOOKUP($A1,reformattedTable4olfactory_bulb!$A$1:$WV$1800,14,FALSE), "NA")</f>
        <v>Olfactory_bulb_O/N</v>
      </c>
      <c r="BD1" t="str">
        <f>IFERROR(VLOOKUP($A1,reformattedTable4olfactory_bulb!$A$1:$WV$1800,15,FALSE), "NA")</f>
        <v>Olfactory_bulb_O/N_SD_</v>
      </c>
      <c r="BE1" t="str">
        <f>IFERROR(VLOOKUP($A1,reformattedTable4olfactory_bulb!$A$1:$WV$1800,16,FALSE), "NA")</f>
        <v>Olfactory_bulb_Source</v>
      </c>
      <c r="BF1" t="str">
        <f>IFERROR(VLOOKUP($A1,reformattedTable4olfactory_bulb!$A$1:$WV$1800,17,FALSE), "NA")</f>
        <v>Olfactory_bulb_Species</v>
      </c>
      <c r="BG1" t="str">
        <f>IFERROR(VLOOKUP($A1,reformattedTable5whole_brain!$A$1:$WV$1800,4,FALSE), "NA")</f>
        <v>whole_brain_Body_mass,_g</v>
      </c>
      <c r="BH1" t="str">
        <f>IFERROR(VLOOKUP($A1,reformattedTable5whole_brain!$A$1:$WV$1800,5,FALSE), "NA")</f>
        <v>whole_brain_Body_mass,_g_SD_</v>
      </c>
      <c r="BI1" t="str">
        <f>IFERROR(VLOOKUP($A1,reformattedTable5whole_brain!$A$1:$WV$1800,6,FALSE), "NA")</f>
        <v>whole_brain_Brain_mass,_g</v>
      </c>
      <c r="BJ1" t="str">
        <f>IFERROR(VLOOKUP($A1,reformattedTable5whole_brain!$A$1:$WV$1800,7,FALSE), "NA")</f>
        <v>whole_brain_Brain_mass,_g_SD_</v>
      </c>
      <c r="BK1" t="str">
        <f>IFERROR(VLOOKUP($A1,reformattedTable5whole_brain!$A$1:$WV$1800,8,FALSE), "NA")</f>
        <v>whole_brain_Neurons</v>
      </c>
      <c r="BL1" t="str">
        <f>IFERROR(VLOOKUP($A1,reformattedTable5whole_brain!$A$1:$WV$1800,9,FALSE), "NA")</f>
        <v>whole_brain_Neurons_SD_</v>
      </c>
      <c r="BM1" t="str">
        <f>IFERROR(VLOOKUP($A1,reformattedTable5whole_brain!$A$1:$WV$1800,10,FALSE), "NA")</f>
        <v>whole_brain_Other_cells</v>
      </c>
      <c r="BN1" t="str">
        <f>IFERROR(VLOOKUP($A1,reformattedTable5whole_brain!$A$1:$WV$1800,11,FALSE), "NA")</f>
        <v>whole_brain_Other_cells_SD_</v>
      </c>
      <c r="BO1" t="str">
        <f>IFERROR(VLOOKUP($A1,reformattedTable5whole_brain!$A$1:$WV$1800,12,FALSE), "NA")</f>
        <v>whole_brain_%_Neurons</v>
      </c>
      <c r="BP1" t="str">
        <f>IFERROR(VLOOKUP($A1,reformattedTable5whole_brain!$A$1:$WV$1800,13,FALSE), "NA")</f>
        <v>whole_brain_%_Neurons_SD_</v>
      </c>
      <c r="BQ1" t="str">
        <f>IFERROR(VLOOKUP($A1,reformattedTable5whole_brain!$A$1:$WV$1800,14,FALSE), "NA")</f>
        <v>whole_brain_Source</v>
      </c>
      <c r="BR1" t="str">
        <f>IFERROR(VLOOKUP($A1,reformattedTable5whole_brain!$A$1:$WV$1800,15,FALSE), "NA")</f>
        <v>whole_brain_Species</v>
      </c>
    </row>
    <row r="2" spans="1:70">
      <c r="A2" t="s">
        <v>31</v>
      </c>
      <c r="B2" t="s">
        <v>32</v>
      </c>
      <c r="C2">
        <f>IFERROR(VLOOKUP($A2,reformattedTable1cerebrum!$A$1:$WV$1800,4,FALSE), "NA")</f>
        <v>0.439</v>
      </c>
      <c r="D2">
        <f>IFERROR(VLOOKUP($A2,reformattedTable1cerebrum!$A$1:$WV$1800,5,FALSE), "NA")</f>
        <v>3.5000000000000003E-2</v>
      </c>
      <c r="E2">
        <f>IFERROR(VLOOKUP($A2,reformattedTable1cerebrum!$A$1:$WV$1800,6,FALSE), "NA")</f>
        <v>21516000</v>
      </c>
      <c r="F2">
        <f>IFERROR(VLOOKUP($A2,reformattedTable1cerebrum!$A$1:$WV$1800,7,FALSE), "NA")</f>
        <v>2154000</v>
      </c>
      <c r="G2">
        <f>IFERROR(VLOOKUP($A2,reformattedTable1cerebrum!$A$1:$WV$1800,8,FALSE), "NA")</f>
        <v>21370000</v>
      </c>
      <c r="H2">
        <f>IFERROR(VLOOKUP($A2,reformattedTable1cerebrum!$A$1:$WV$1800,9,FALSE), "NA")</f>
        <v>4614000</v>
      </c>
      <c r="I2">
        <f>IFERROR(VLOOKUP($A2,reformattedTable1cerebrum!$A$1:$WV$1800,10,FALSE), "NA")</f>
        <v>48932</v>
      </c>
      <c r="J2">
        <f>IFERROR(VLOOKUP($A2,reformattedTable1cerebrum!$A$1:$WV$1800,11,FALSE), "NA")</f>
        <v>1004</v>
      </c>
      <c r="K2">
        <f>IFERROR(VLOOKUP($A2,reformattedTable1cerebrum!$A$1:$WV$1800,12,FALSE), "NA")</f>
        <v>48146</v>
      </c>
      <c r="L2">
        <f>IFERROR(VLOOKUP($A2,reformattedTable1cerebrum!$A$1:$WV$1800,13,FALSE), "NA")</f>
        <v>6674</v>
      </c>
      <c r="M2">
        <f>IFERROR(VLOOKUP($A2,reformattedTable1cerebrum!$A$1:$WV$1800,14,FALSE), "NA")</f>
        <v>0.98199999999999998</v>
      </c>
      <c r="N2">
        <f>IFERROR(VLOOKUP($A2,reformattedTable1cerebrum!$A$1:$WV$1800,15,FALSE), "NA")</f>
        <v>0.11600000000000001</v>
      </c>
      <c r="O2" t="str">
        <f>IFERROR(VLOOKUP($A2,reformattedTable1cerebrum!$A$1:$WV$1800,16,FALSE), "NA")</f>
        <v>Neves et al., 2014</v>
      </c>
      <c r="P2" t="str">
        <f>IFERROR(VLOOKUP($A2,reformattedTable1cerebrum!$A$1:$WV$1800,17,FALSE), "NA")</f>
        <v>Amblysomus_hottentotus</v>
      </c>
      <c r="Q2">
        <f>IFERROR(VLOOKUP($A2,reformattedTable2cerebellum!$A$1:$WW$1800,4,FALSE), "NA")</f>
        <v>8.4000000000000005E-2</v>
      </c>
      <c r="R2" t="str">
        <f>IFERROR(VLOOKUP($A2,reformattedTable2cerebellum!$A$1:$WW$1800,5,FALSE), "NA")</f>
        <v>NA</v>
      </c>
      <c r="S2">
        <f>IFERROR(VLOOKUP($A2,reformattedTable2cerebellum!$A$1:$WW$1800,6,FALSE), "NA")</f>
        <v>34488379</v>
      </c>
      <c r="T2">
        <f>IFERROR(VLOOKUP($A2,reformattedTable2cerebellum!$A$1:$WW$1800,7,FALSE), "NA")</f>
        <v>3207000</v>
      </c>
      <c r="U2">
        <f>IFERROR(VLOOKUP($A2,reformattedTable2cerebellum!$A$1:$WW$1800,8,FALSE), "NA")</f>
        <v>8155621</v>
      </c>
      <c r="V2">
        <f>IFERROR(VLOOKUP($A2,reformattedTable2cerebellum!$A$1:$WW$1800,9,FALSE), "NA")</f>
        <v>813000</v>
      </c>
      <c r="W2">
        <f>IFERROR(VLOOKUP($A2,reformattedTable2cerebellum!$A$1:$WW$1800,10,FALSE), "NA")</f>
        <v>409687</v>
      </c>
      <c r="X2">
        <f>IFERROR(VLOOKUP($A2,reformattedTable2cerebellum!$A$1:$WW$1800,11,FALSE), "NA")</f>
        <v>18667</v>
      </c>
      <c r="Y2">
        <f>IFERROR(VLOOKUP($A2,reformattedTable2cerebellum!$A$1:$WW$1800,12,FALSE), "NA")</f>
        <v>96849</v>
      </c>
      <c r="Z2">
        <f>IFERROR(VLOOKUP($A2,reformattedTable2cerebellum!$A$1:$WW$1800,13,FALSE), "NA")</f>
        <v>5069</v>
      </c>
      <c r="AA2">
        <f>IFERROR(VLOOKUP($A2,reformattedTable2cerebellum!$A$1:$WW$1800,14,FALSE), "NA")</f>
        <v>0.23599999999999999</v>
      </c>
      <c r="AB2">
        <f>IFERROR(VLOOKUP($A2,reformattedTable2cerebellum!$A$1:$WW$1800,15,FALSE), "NA")</f>
        <v>2E-3</v>
      </c>
      <c r="AC2" t="str">
        <f>IFERROR(VLOOKUP($A2,reformattedTable2cerebellum!$A$1:$WW$1800,16,FALSE), "NA")</f>
        <v>Neves et al., 2014</v>
      </c>
      <c r="AD2" t="str">
        <f>IFERROR(VLOOKUP($A2,reformattedTable2cerebellum!$A$1:$WW$1800,17,FALSE), "NA")</f>
        <v>Amblysomus_hottentotus</v>
      </c>
      <c r="AE2">
        <f>IFERROR(VLOOKUP($A2,reformattedTable3RoB!$A$1:$WW$1800,4,FALSE), "NA")</f>
        <v>0.28899999999999998</v>
      </c>
      <c r="AF2">
        <f>IFERROR(VLOOKUP($A2,reformattedTable3RoB!$A$1:$WW$1800,5,FALSE), "NA")</f>
        <v>1.2999999999999999E-2</v>
      </c>
      <c r="AG2">
        <f>IFERROR(VLOOKUP($A2,reformattedTable3RoB!$A$1:$WW$1800,6,FALSE), "NA")</f>
        <v>9070358</v>
      </c>
      <c r="AH2">
        <f>IFERROR(VLOOKUP($A2,reformattedTable3RoB!$A$1:$WW$1800,7,FALSE), "NA")</f>
        <v>1069000</v>
      </c>
      <c r="AI2">
        <f>IFERROR(VLOOKUP($A2,reformattedTable3RoB!$A$1:$WW$1800,8,FALSE), "NA")</f>
        <v>16834642</v>
      </c>
      <c r="AJ2">
        <f>IFERROR(VLOOKUP($A2,reformattedTable3RoB!$A$1:$WW$1800,9,FALSE), "NA")</f>
        <v>3276000</v>
      </c>
      <c r="AK2">
        <f>IFERROR(VLOOKUP($A2,reformattedTable3RoB!$A$1:$WW$1800,10,FALSE), "NA")</f>
        <v>31616</v>
      </c>
      <c r="AL2">
        <f>IFERROR(VLOOKUP($A2,reformattedTable3RoB!$A$1:$WW$1800,11,FALSE), "NA")</f>
        <v>5124</v>
      </c>
      <c r="AM2">
        <f>IFERROR(VLOOKUP($A2,reformattedTable3RoB!$A$1:$WW$1800,12,FALSE), "NA")</f>
        <v>58880</v>
      </c>
      <c r="AN2">
        <f>IFERROR(VLOOKUP($A2,reformattedTable3RoB!$A$1:$WW$1800,13,FALSE), "NA")</f>
        <v>13983</v>
      </c>
      <c r="AO2">
        <f>IFERROR(VLOOKUP($A2,reformattedTable3RoB!$A$1:$WW$1800,14,FALSE), "NA")</f>
        <v>1.839</v>
      </c>
      <c r="AP2">
        <f>IFERROR(VLOOKUP($A2,reformattedTable3RoB!$A$1:$WW$1800,15,FALSE), "NA")</f>
        <v>0.14399999999999999</v>
      </c>
      <c r="AQ2" t="str">
        <f>IFERROR(VLOOKUP($A2,reformattedTable3RoB!$A$1:$WW$1800,16,FALSE), "NA")</f>
        <v>Neves et al., 2014</v>
      </c>
      <c r="AR2" t="str">
        <f>IFERROR(VLOOKUP($A2,reformattedTable3RoB!$A$1:$WW$1800,17,FALSE), "NA")</f>
        <v>Amblysomus_hottentotus</v>
      </c>
      <c r="AS2" t="str">
        <f>IFERROR(VLOOKUP($A2,reformattedTable4olfactory_bulb!$A$1:$WV$1800,4,FALSE), "NA")</f>
        <v>NA</v>
      </c>
      <c r="AT2" t="str">
        <f>IFERROR(VLOOKUP($A2,reformattedTable4olfactory_bulb!$A$1:$WV$1800,5,FALSE), "NA")</f>
        <v>NA</v>
      </c>
      <c r="AU2" t="str">
        <f>IFERROR(VLOOKUP($A2,reformattedTable4olfactory_bulb!$A$1:$WV$1800,6,FALSE), "NA")</f>
        <v>NA</v>
      </c>
      <c r="AV2" t="str">
        <f>IFERROR(VLOOKUP($A2,reformattedTable4olfactory_bulb!$A$1:$WV$1800,7,FALSE), "NA")</f>
        <v>NA</v>
      </c>
      <c r="AW2" t="str">
        <f>IFERROR(VLOOKUP($A2,reformattedTable4olfactory_bulb!$A$1:$WV$1800,8,FALSE), "NA")</f>
        <v>NA</v>
      </c>
      <c r="AX2" t="str">
        <f>IFERROR(VLOOKUP($A2,reformattedTable4olfactory_bulb!$A$1:$WV$1800,9,FALSE), "NA")</f>
        <v>NA</v>
      </c>
      <c r="AY2" t="str">
        <f>IFERROR(VLOOKUP($A2,reformattedTable4olfactory_bulb!$A$1:$WV$1800,10,FALSE), "NA")</f>
        <v>NA</v>
      </c>
      <c r="AZ2" t="str">
        <f>IFERROR(VLOOKUP($A2,reformattedTable4olfactory_bulb!$A$1:$WV$1800,11,FALSE), "NA")</f>
        <v>NA</v>
      </c>
      <c r="BA2" t="str">
        <f>IFERROR(VLOOKUP($A2,reformattedTable4olfactory_bulb!$A$1:$WV$1800,12,FALSE), "NA")</f>
        <v>NA</v>
      </c>
      <c r="BB2" t="str">
        <f>IFERROR(VLOOKUP($A2,reformattedTable4olfactory_bulb!$A$1:$WV$1800,13,FALSE), "NA")</f>
        <v>NA</v>
      </c>
      <c r="BC2" t="str">
        <f>IFERROR(VLOOKUP($A2,reformattedTable4olfactory_bulb!$A$1:$WV$1800,14,FALSE), "NA")</f>
        <v>NA</v>
      </c>
      <c r="BD2" t="str">
        <f>IFERROR(VLOOKUP($A2,reformattedTable4olfactory_bulb!$A$1:$WV$1800,15,FALSE), "NA")</f>
        <v>NA</v>
      </c>
      <c r="BE2" t="str">
        <f>IFERROR(VLOOKUP($A2,reformattedTable4olfactory_bulb!$A$1:$WV$1800,16,FALSE), "NA")</f>
        <v>NA</v>
      </c>
      <c r="BF2" t="str">
        <f>IFERROR(VLOOKUP($A2,reformattedTable4olfactory_bulb!$A$1:$WV$1800,17,FALSE), "NA")</f>
        <v>NA</v>
      </c>
      <c r="BG2">
        <f>IFERROR(VLOOKUP($A2,reformattedTable5whole_brain!$A$1:$WV$1800,4,FALSE), "NA")</f>
        <v>79</v>
      </c>
      <c r="BH2" t="str">
        <f>IFERROR(VLOOKUP($A2,reformattedTable5whole_brain!$A$1:$WV$1800,5,FALSE), "NA")</f>
        <v>NA</v>
      </c>
      <c r="BI2">
        <f>IFERROR(VLOOKUP($A2,reformattedTable5whole_brain!$A$1:$WV$1800,6,FALSE), "NA")</f>
        <v>0.81200000000000006</v>
      </c>
      <c r="BJ2">
        <f>IFERROR(VLOOKUP($A2,reformattedTable5whole_brain!$A$1:$WV$1800,7,FALSE), "NA")</f>
        <v>4.3999999999999997E-2</v>
      </c>
      <c r="BK2">
        <f>IFERROR(VLOOKUP($A2,reformattedTable5whole_brain!$A$1:$WV$1800,8,FALSE), "NA")</f>
        <v>65074000</v>
      </c>
      <c r="BL2">
        <f>IFERROR(VLOOKUP($A2,reformattedTable5whole_brain!$A$1:$WV$1800,9,FALSE), "NA")</f>
        <v>2124000</v>
      </c>
      <c r="BM2">
        <f>IFERROR(VLOOKUP($A2,reformattedTable5whole_brain!$A$1:$WV$1800,10,FALSE), "NA")</f>
        <v>46631000</v>
      </c>
      <c r="BN2">
        <f>IFERROR(VLOOKUP($A2,reformattedTable5whole_brain!$A$1:$WV$1800,11,FALSE), "NA")</f>
        <v>527000</v>
      </c>
      <c r="BO2" t="str">
        <f>IFERROR(VLOOKUP($A2,reformattedTable5whole_brain!$A$1:$WV$1800,12,FALSE), "NA")</f>
        <v>NA</v>
      </c>
      <c r="BP2" t="str">
        <f>IFERROR(VLOOKUP($A2,reformattedTable5whole_brain!$A$1:$WV$1800,13,FALSE), "NA")</f>
        <v>NA</v>
      </c>
      <c r="BQ2" t="str">
        <f>IFERROR(VLOOKUP($A2,reformattedTable5whole_brain!$A$1:$WV$1800,14,FALSE), "NA")</f>
        <v>Neves et al., 2014</v>
      </c>
      <c r="BR2" t="str">
        <f>IFERROR(VLOOKUP($A2,reformattedTable5whole_brain!$A$1:$WV$1800,15,FALSE), "NA")</f>
        <v>Amblysomus_hottentotus</v>
      </c>
    </row>
    <row r="3" spans="1:70">
      <c r="A3" t="s">
        <v>91</v>
      </c>
      <c r="B3" t="s">
        <v>86</v>
      </c>
      <c r="C3">
        <f>IFERROR(VLOOKUP($A3,reformattedTable1cerebrum!$A$1:$WV$1800,4,FALSE), "NA")</f>
        <v>68.805999999999997</v>
      </c>
      <c r="D3" t="str">
        <f>IFERROR(VLOOKUP($A3,reformattedTable1cerebrum!$A$1:$WV$1800,5,FALSE), "NA")</f>
        <v>NA</v>
      </c>
      <c r="E3">
        <f>IFERROR(VLOOKUP($A3,reformattedTable1cerebrum!$A$1:$WV$1800,6,FALSE), "NA")</f>
        <v>396896159</v>
      </c>
      <c r="F3" t="str">
        <f>IFERROR(VLOOKUP($A3,reformattedTable1cerebrum!$A$1:$WV$1800,7,FALSE), "NA")</f>
        <v>NA</v>
      </c>
      <c r="G3">
        <f>IFERROR(VLOOKUP($A3,reformattedTable1cerebrum!$A$1:$WV$1800,8,FALSE), "NA")</f>
        <v>4126259275</v>
      </c>
      <c r="H3" t="str">
        <f>IFERROR(VLOOKUP($A3,reformattedTable1cerebrum!$A$1:$WV$1800,9,FALSE), "NA")</f>
        <v>NA</v>
      </c>
      <c r="I3">
        <f>IFERROR(VLOOKUP($A3,reformattedTable1cerebrum!$A$1:$WV$1800,10,FALSE), "NA")</f>
        <v>5768</v>
      </c>
      <c r="J3" t="str">
        <f>IFERROR(VLOOKUP($A3,reformattedTable1cerebrum!$A$1:$WV$1800,11,FALSE), "NA")</f>
        <v>NA</v>
      </c>
      <c r="K3">
        <f>IFERROR(VLOOKUP($A3,reformattedTable1cerebrum!$A$1:$WV$1800,12,FALSE), "NA")</f>
        <v>59969</v>
      </c>
      <c r="L3" t="str">
        <f>IFERROR(VLOOKUP($A3,reformattedTable1cerebrum!$A$1:$WV$1800,13,FALSE), "NA")</f>
        <v>NA</v>
      </c>
      <c r="M3">
        <f>IFERROR(VLOOKUP($A3,reformattedTable1cerebrum!$A$1:$WV$1800,14,FALSE), "NA")</f>
        <v>10.396000000000001</v>
      </c>
      <c r="N3" t="str">
        <f>IFERROR(VLOOKUP($A3,reformattedTable1cerebrum!$A$1:$WV$1800,15,FALSE), "NA")</f>
        <v>NA</v>
      </c>
      <c r="O3" t="str">
        <f>IFERROR(VLOOKUP($A3,reformattedTable1cerebrum!$A$1:$WV$1800,16,FALSE), "NA")</f>
        <v>Kazu et al., 2014</v>
      </c>
      <c r="P3" t="str">
        <f>IFERROR(VLOOKUP($A3,reformattedTable1cerebrum!$A$1:$WV$1800,17,FALSE), "NA")</f>
        <v>Antidorcas_marsupialis</v>
      </c>
      <c r="Q3">
        <f>IFERROR(VLOOKUP($A3,reformattedTable2cerebellum!$A$1:$WW$1800,4,FALSE), "NA")</f>
        <v>11.458</v>
      </c>
      <c r="R3" t="str">
        <f>IFERROR(VLOOKUP($A3,reformattedTable2cerebellum!$A$1:$WW$1800,5,FALSE), "NA")</f>
        <v>NA</v>
      </c>
      <c r="S3">
        <f>IFERROR(VLOOKUP($A3,reformattedTable2cerebellum!$A$1:$WW$1800,6,FALSE), "NA")</f>
        <v>2257214074</v>
      </c>
      <c r="T3" t="str">
        <f>IFERROR(VLOOKUP($A3,reformattedTable2cerebellum!$A$1:$WW$1800,7,FALSE), "NA")</f>
        <v>NA</v>
      </c>
      <c r="U3">
        <f>IFERROR(VLOOKUP($A3,reformattedTable2cerebellum!$A$1:$WW$1800,8,FALSE), "NA")</f>
        <v>467244676</v>
      </c>
      <c r="V3" t="str">
        <f>IFERROR(VLOOKUP($A3,reformattedTable2cerebellum!$A$1:$WW$1800,9,FALSE), "NA")</f>
        <v>NA</v>
      </c>
      <c r="W3">
        <f>IFERROR(VLOOKUP($A3,reformattedTable2cerebellum!$A$1:$WW$1800,10,FALSE), "NA")</f>
        <v>196999</v>
      </c>
      <c r="X3" t="str">
        <f>IFERROR(VLOOKUP($A3,reformattedTable2cerebellum!$A$1:$WW$1800,11,FALSE), "NA")</f>
        <v>NA</v>
      </c>
      <c r="Y3">
        <f>IFERROR(VLOOKUP($A3,reformattedTable2cerebellum!$A$1:$WW$1800,12,FALSE), "NA")</f>
        <v>40779</v>
      </c>
      <c r="Z3" t="str">
        <f>IFERROR(VLOOKUP($A3,reformattedTable2cerebellum!$A$1:$WW$1800,13,FALSE), "NA")</f>
        <v>NA</v>
      </c>
      <c r="AA3">
        <f>IFERROR(VLOOKUP($A3,reformattedTable2cerebellum!$A$1:$WW$1800,14,FALSE), "NA")</f>
        <v>0.20699999999999999</v>
      </c>
      <c r="AB3" t="str">
        <f>IFERROR(VLOOKUP($A3,reformattedTable2cerebellum!$A$1:$WW$1800,15,FALSE), "NA")</f>
        <v>NA</v>
      </c>
      <c r="AC3" t="str">
        <f>IFERROR(VLOOKUP($A3,reformattedTable2cerebellum!$A$1:$WW$1800,16,FALSE), "NA")</f>
        <v>Kazu et al., 2014</v>
      </c>
      <c r="AD3" t="str">
        <f>IFERROR(VLOOKUP($A3,reformattedTable2cerebellum!$A$1:$WW$1800,17,FALSE), "NA")</f>
        <v>Antidorcas_marsupialis</v>
      </c>
      <c r="AE3">
        <f>IFERROR(VLOOKUP($A3,reformattedTable3RoB!$A$1:$WW$1800,4,FALSE), "NA")</f>
        <v>25.81</v>
      </c>
      <c r="AF3" t="str">
        <f>IFERROR(VLOOKUP($A3,reformattedTable3RoB!$A$1:$WW$1800,5,FALSE), "NA")</f>
        <v>NA</v>
      </c>
      <c r="AG3">
        <f>IFERROR(VLOOKUP($A3,reformattedTable3RoB!$A$1:$WW$1800,6,FALSE), "NA")</f>
        <v>70485000</v>
      </c>
      <c r="AH3" t="str">
        <f>IFERROR(VLOOKUP($A3,reformattedTable3RoB!$A$1:$WW$1800,7,FALSE), "NA")</f>
        <v>NA</v>
      </c>
      <c r="AI3">
        <f>IFERROR(VLOOKUP($A3,reformattedTable3RoB!$A$1:$WW$1800,8,FALSE), "NA")</f>
        <v>1319280624</v>
      </c>
      <c r="AJ3" t="str">
        <f>IFERROR(VLOOKUP($A3,reformattedTable3RoB!$A$1:$WW$1800,9,FALSE), "NA")</f>
        <v>NA</v>
      </c>
      <c r="AK3">
        <f>IFERROR(VLOOKUP($A3,reformattedTable3RoB!$A$1:$WW$1800,10,FALSE), "NA")</f>
        <v>2731</v>
      </c>
      <c r="AL3" t="str">
        <f>IFERROR(VLOOKUP($A3,reformattedTable3RoB!$A$1:$WW$1800,11,FALSE), "NA")</f>
        <v>NA</v>
      </c>
      <c r="AM3">
        <f>IFERROR(VLOOKUP($A3,reformattedTable3RoB!$A$1:$WW$1800,12,FALSE), "NA")</f>
        <v>51115</v>
      </c>
      <c r="AN3" t="str">
        <f>IFERROR(VLOOKUP($A3,reformattedTable3RoB!$A$1:$WW$1800,13,FALSE), "NA")</f>
        <v>NA</v>
      </c>
      <c r="AO3">
        <f>IFERROR(VLOOKUP($A3,reformattedTable3RoB!$A$1:$WW$1800,14,FALSE), "NA")</f>
        <v>18.71</v>
      </c>
      <c r="AP3" t="str">
        <f>IFERROR(VLOOKUP($A3,reformattedTable3RoB!$A$1:$WW$1800,15,FALSE), "NA")</f>
        <v>NA</v>
      </c>
      <c r="AQ3" t="str">
        <f>IFERROR(VLOOKUP($A3,reformattedTable3RoB!$A$1:$WW$1800,16,FALSE), "NA")</f>
        <v>Kazu et al., 2014</v>
      </c>
      <c r="AR3" t="str">
        <f>IFERROR(VLOOKUP($A3,reformattedTable3RoB!$A$1:$WW$1800,17,FALSE), "NA")</f>
        <v>Antidorcas_marsupialis</v>
      </c>
      <c r="AS3">
        <f>IFERROR(VLOOKUP($A3,reformattedTable4olfactory_bulb!$A$1:$WV$1800,4,FALSE), "NA")</f>
        <v>1.2</v>
      </c>
      <c r="AT3" t="str">
        <f>IFERROR(VLOOKUP($A3,reformattedTable4olfactory_bulb!$A$1:$WV$1800,5,FALSE), "NA")</f>
        <v>NA</v>
      </c>
      <c r="AU3">
        <f>IFERROR(VLOOKUP($A3,reformattedTable4olfactory_bulb!$A$1:$WV$1800,6,FALSE), "NA")</f>
        <v>15998400</v>
      </c>
      <c r="AV3" t="str">
        <f>IFERROR(VLOOKUP($A3,reformattedTable4olfactory_bulb!$A$1:$WV$1800,7,FALSE), "NA")</f>
        <v>NA</v>
      </c>
      <c r="AW3">
        <f>IFERROR(VLOOKUP($A3,reformattedTable4olfactory_bulb!$A$1:$WV$1800,8,FALSE), "NA")</f>
        <v>105201600</v>
      </c>
      <c r="AX3" t="str">
        <f>IFERROR(VLOOKUP($A3,reformattedTable4olfactory_bulb!$A$1:$WV$1800,9,FALSE), "NA")</f>
        <v>NA</v>
      </c>
      <c r="AY3">
        <f>IFERROR(VLOOKUP($A3,reformattedTable4olfactory_bulb!$A$1:$WV$1800,10,FALSE), "NA")</f>
        <v>13332</v>
      </c>
      <c r="AZ3" t="str">
        <f>IFERROR(VLOOKUP($A3,reformattedTable4olfactory_bulb!$A$1:$WV$1800,11,FALSE), "NA")</f>
        <v>NA</v>
      </c>
      <c r="BA3">
        <f>IFERROR(VLOOKUP($A3,reformattedTable4olfactory_bulb!$A$1:$WV$1800,12,FALSE), "NA")</f>
        <v>87668</v>
      </c>
      <c r="BB3" t="str">
        <f>IFERROR(VLOOKUP($A3,reformattedTable4olfactory_bulb!$A$1:$WV$1800,13,FALSE), "NA")</f>
        <v>NA</v>
      </c>
      <c r="BC3">
        <f>IFERROR(VLOOKUP($A3,reformattedTable4olfactory_bulb!$A$1:$WV$1800,14,FALSE), "NA")</f>
        <v>6.5759999999999996</v>
      </c>
      <c r="BD3" t="str">
        <f>IFERROR(VLOOKUP($A3,reformattedTable4olfactory_bulb!$A$1:$WV$1800,15,FALSE), "NA")</f>
        <v>NA</v>
      </c>
      <c r="BE3" t="str">
        <f>IFERROR(VLOOKUP($A3,reformattedTable4olfactory_bulb!$A$1:$WV$1800,16,FALSE), "NA")</f>
        <v>Kazu et al., 2014</v>
      </c>
      <c r="BF3" t="str">
        <f>IFERROR(VLOOKUP($A3,reformattedTable4olfactory_bulb!$A$1:$WV$1800,17,FALSE), "NA")</f>
        <v>Antidorcas_marsupialis</v>
      </c>
      <c r="BG3">
        <f>IFERROR(VLOOKUP($A3,reformattedTable5whole_brain!$A$1:$WV$1800,4,FALSE), "NA")</f>
        <v>25000</v>
      </c>
      <c r="BH3" t="str">
        <f>IFERROR(VLOOKUP($A3,reformattedTable5whole_brain!$A$1:$WV$1800,5,FALSE), "NA")</f>
        <v>NA</v>
      </c>
      <c r="BI3">
        <f>IFERROR(VLOOKUP($A3,reformattedTable5whole_brain!$A$1:$WV$1800,6,FALSE), "NA")</f>
        <v>106.074</v>
      </c>
      <c r="BJ3" t="str">
        <f>IFERROR(VLOOKUP($A3,reformattedTable5whole_brain!$A$1:$WV$1800,7,FALSE), "NA")</f>
        <v>NA</v>
      </c>
      <c r="BK3">
        <f>IFERROR(VLOOKUP($A3,reformattedTable5whole_brain!$A$1:$WV$1800,8,FALSE), "NA")</f>
        <v>2724595233</v>
      </c>
      <c r="BL3" t="str">
        <f>IFERROR(VLOOKUP($A3,reformattedTable5whole_brain!$A$1:$WV$1800,9,FALSE), "NA")</f>
        <v>NA</v>
      </c>
      <c r="BM3">
        <f>IFERROR(VLOOKUP($A3,reformattedTable5whole_brain!$A$1:$WV$1800,10,FALSE), "NA")</f>
        <v>5912784575</v>
      </c>
      <c r="BN3" t="str">
        <f>IFERROR(VLOOKUP($A3,reformattedTable5whole_brain!$A$1:$WV$1800,11,FALSE), "NA")</f>
        <v>NA</v>
      </c>
      <c r="BO3">
        <f>IFERROR(VLOOKUP($A3,reformattedTable5whole_brain!$A$1:$WV$1800,12,FALSE), "NA")</f>
        <v>31.5</v>
      </c>
      <c r="BP3" t="str">
        <f>IFERROR(VLOOKUP($A3,reformattedTable5whole_brain!$A$1:$WV$1800,13,FALSE), "NA")</f>
        <v>NA</v>
      </c>
      <c r="BQ3" t="str">
        <f>IFERROR(VLOOKUP($A3,reformattedTable5whole_brain!$A$1:$WV$1800,14,FALSE), "NA")</f>
        <v>Kazu et al., 2014</v>
      </c>
      <c r="BR3" t="str">
        <f>IFERROR(VLOOKUP($A3,reformattedTable5whole_brain!$A$1:$WV$1800,15,FALSE), "NA")</f>
        <v>Antidorcas_marsupialis</v>
      </c>
    </row>
    <row r="4" spans="1:70">
      <c r="A4" t="s">
        <v>73</v>
      </c>
      <c r="B4" t="s">
        <v>44</v>
      </c>
      <c r="C4">
        <f>IFERROR(VLOOKUP($A4,reformattedTable1cerebrum!$A$1:$WV$1800,4,FALSE), "NA")</f>
        <v>10.617000000000001</v>
      </c>
      <c r="D4">
        <f>IFERROR(VLOOKUP($A4,reformattedTable1cerebrum!$A$1:$WV$1800,5,FALSE), "NA")</f>
        <v>0.61</v>
      </c>
      <c r="E4">
        <f>IFERROR(VLOOKUP($A4,reformattedTable1cerebrum!$A$1:$WV$1800,6,FALSE), "NA")</f>
        <v>441900000</v>
      </c>
      <c r="F4">
        <f>IFERROR(VLOOKUP($A4,reformattedTable1cerebrum!$A$1:$WV$1800,7,FALSE), "NA")</f>
        <v>111310000</v>
      </c>
      <c r="G4">
        <f>IFERROR(VLOOKUP($A4,reformattedTable1cerebrum!$A$1:$WV$1800,8,FALSE), "NA")</f>
        <v>695420000</v>
      </c>
      <c r="H4">
        <f>IFERROR(VLOOKUP($A4,reformattedTable1cerebrum!$A$1:$WV$1800,9,FALSE), "NA")</f>
        <v>130000000</v>
      </c>
      <c r="I4">
        <f>IFERROR(VLOOKUP($A4,reformattedTable1cerebrum!$A$1:$WV$1800,10,FALSE), "NA")</f>
        <v>41990</v>
      </c>
      <c r="J4">
        <f>IFERROR(VLOOKUP($A4,reformattedTable1cerebrum!$A$1:$WV$1800,11,FALSE), "NA")</f>
        <v>12900</v>
      </c>
      <c r="K4">
        <f>IFERROR(VLOOKUP($A4,reformattedTable1cerebrum!$A$1:$WV$1800,12,FALSE), "NA")</f>
        <v>65330</v>
      </c>
      <c r="L4">
        <f>IFERROR(VLOOKUP($A4,reformattedTable1cerebrum!$A$1:$WV$1800,13,FALSE), "NA")</f>
        <v>5950</v>
      </c>
      <c r="M4">
        <f>IFERROR(VLOOKUP($A4,reformattedTable1cerebrum!$A$1:$WV$1800,14,FALSE), "NA")</f>
        <v>1.5740000000000001</v>
      </c>
      <c r="N4" t="str">
        <f>IFERROR(VLOOKUP($A4,reformattedTable1cerebrum!$A$1:$WV$1800,15,FALSE), "NA")</f>
        <v>NA</v>
      </c>
      <c r="O4" t="str">
        <f>IFERROR(VLOOKUP($A4,reformattedTable1cerebrum!$A$1:$WV$1800,16,FALSE), "NA")</f>
        <v>Herculano-Houzel et al., 2007</v>
      </c>
      <c r="P4" t="str">
        <f>IFERROR(VLOOKUP($A4,reformattedTable1cerebrum!$A$1:$WV$1800,17,FALSE), "NA")</f>
        <v>Aotus_trivirgatus</v>
      </c>
      <c r="Q4">
        <f>IFERROR(VLOOKUP($A4,reformattedTable2cerebellum!$A$1:$WW$1800,4,FALSE), "NA")</f>
        <v>1.732</v>
      </c>
      <c r="R4">
        <f>IFERROR(VLOOKUP($A4,reformattedTable2cerebellum!$A$1:$WW$1800,5,FALSE), "NA")</f>
        <v>0.218</v>
      </c>
      <c r="S4">
        <f>IFERROR(VLOOKUP($A4,reformattedTable2cerebellum!$A$1:$WW$1800,6,FALSE), "NA")</f>
        <v>1040000000</v>
      </c>
      <c r="T4">
        <f>IFERROR(VLOOKUP($A4,reformattedTable2cerebellum!$A$1:$WW$1800,7,FALSE), "NA")</f>
        <v>20000000</v>
      </c>
      <c r="U4">
        <f>IFERROR(VLOOKUP($A4,reformattedTable2cerebellum!$A$1:$WW$1800,8,FALSE), "NA")</f>
        <v>145270000</v>
      </c>
      <c r="V4">
        <f>IFERROR(VLOOKUP($A4,reformattedTable2cerebellum!$A$1:$WW$1800,9,FALSE), "NA")</f>
        <v>45030000</v>
      </c>
      <c r="W4">
        <f>IFERROR(VLOOKUP($A4,reformattedTable2cerebellum!$A$1:$WW$1800,10,FALSE), "NA")</f>
        <v>605080</v>
      </c>
      <c r="X4">
        <f>IFERROR(VLOOKUP($A4,reformattedTable2cerebellum!$A$1:$WW$1800,11,FALSE), "NA")</f>
        <v>90570</v>
      </c>
      <c r="Y4">
        <f>IFERROR(VLOOKUP($A4,reformattedTable2cerebellum!$A$1:$WW$1800,12,FALSE), "NA")</f>
        <v>82890</v>
      </c>
      <c r="Z4">
        <f>IFERROR(VLOOKUP($A4,reformattedTable2cerebellum!$A$1:$WW$1800,13,FALSE), "NA")</f>
        <v>15580</v>
      </c>
      <c r="AA4">
        <f>IFERROR(VLOOKUP($A4,reformattedTable2cerebellum!$A$1:$WW$1800,14,FALSE), "NA")</f>
        <v>0.14000000000000001</v>
      </c>
      <c r="AB4" t="str">
        <f>IFERROR(VLOOKUP($A4,reformattedTable2cerebellum!$A$1:$WW$1800,15,FALSE), "NA")</f>
        <v>NA</v>
      </c>
      <c r="AC4" t="str">
        <f>IFERROR(VLOOKUP($A4,reformattedTable2cerebellum!$A$1:$WW$1800,16,FALSE), "NA")</f>
        <v>Herculano-Houzel et al., 2007</v>
      </c>
      <c r="AD4" t="str">
        <f>IFERROR(VLOOKUP($A4,reformattedTable2cerebellum!$A$1:$WW$1800,17,FALSE), "NA")</f>
        <v>Aotus_trivirgatus</v>
      </c>
      <c r="AE4">
        <f>IFERROR(VLOOKUP($A4,reformattedTable3RoB!$A$1:$WW$1800,4,FALSE), "NA")</f>
        <v>3.1040000000000001</v>
      </c>
      <c r="AF4" t="str">
        <f>IFERROR(VLOOKUP($A4,reformattedTable3RoB!$A$1:$WW$1800,5,FALSE), "NA")</f>
        <v>NA</v>
      </c>
      <c r="AG4">
        <f>IFERROR(VLOOKUP($A4,reformattedTable3RoB!$A$1:$WW$1800,6,FALSE), "NA")</f>
        <v>49340000</v>
      </c>
      <c r="AH4" t="str">
        <f>IFERROR(VLOOKUP($A4,reformattedTable3RoB!$A$1:$WW$1800,7,FALSE), "NA")</f>
        <v>NA</v>
      </c>
      <c r="AI4">
        <f>IFERROR(VLOOKUP($A4,reformattedTable3RoB!$A$1:$WW$1800,8,FALSE), "NA")</f>
        <v>313460000</v>
      </c>
      <c r="AJ4" t="str">
        <f>IFERROR(VLOOKUP($A4,reformattedTable3RoB!$A$1:$WW$1800,9,FALSE), "NA")</f>
        <v>NA</v>
      </c>
      <c r="AK4">
        <f>IFERROR(VLOOKUP($A4,reformattedTable3RoB!$A$1:$WW$1800,10,FALSE), "NA")</f>
        <v>15900</v>
      </c>
      <c r="AL4" t="str">
        <f>IFERROR(VLOOKUP($A4,reformattedTable3RoB!$A$1:$WW$1800,11,FALSE), "NA")</f>
        <v>NA</v>
      </c>
      <c r="AM4">
        <f>IFERROR(VLOOKUP($A4,reformattedTable3RoB!$A$1:$WW$1800,12,FALSE), "NA")</f>
        <v>100990</v>
      </c>
      <c r="AN4" t="str">
        <f>IFERROR(VLOOKUP($A4,reformattedTable3RoB!$A$1:$WW$1800,13,FALSE), "NA")</f>
        <v>NA</v>
      </c>
      <c r="AO4">
        <f>IFERROR(VLOOKUP($A4,reformattedTable3RoB!$A$1:$WW$1800,14,FALSE), "NA")</f>
        <v>6.3529999999999998</v>
      </c>
      <c r="AP4" t="str">
        <f>IFERROR(VLOOKUP($A4,reformattedTable3RoB!$A$1:$WW$1800,15,FALSE), "NA")</f>
        <v>NA</v>
      </c>
      <c r="AQ4" t="str">
        <f>IFERROR(VLOOKUP($A4,reformattedTable3RoB!$A$1:$WW$1800,16,FALSE), "NA")</f>
        <v>Herculano-Houzel et al., 2007</v>
      </c>
      <c r="AR4" t="str">
        <f>IFERROR(VLOOKUP($A4,reformattedTable3RoB!$A$1:$WW$1800,17,FALSE), "NA")</f>
        <v>Aotus_trivirgatus</v>
      </c>
      <c r="AS4">
        <f>IFERROR(VLOOKUP($A4,reformattedTable4olfactory_bulb!$A$1:$WV$1800,4,FALSE), "NA")</f>
        <v>0.05</v>
      </c>
      <c r="AT4">
        <f>IFERROR(VLOOKUP($A4,reformattedTable4olfactory_bulb!$A$1:$WV$1800,5,FALSE), "NA")</f>
        <v>1.2E-2</v>
      </c>
      <c r="AU4">
        <f>IFERROR(VLOOKUP($A4,reformattedTable4olfactory_bulb!$A$1:$WV$1800,6,FALSE), "NA")</f>
        <v>7925468</v>
      </c>
      <c r="AV4">
        <f>IFERROR(VLOOKUP($A4,reformattedTable4olfactory_bulb!$A$1:$WV$1800,7,FALSE), "NA")</f>
        <v>3114924</v>
      </c>
      <c r="AW4">
        <f>IFERROR(VLOOKUP($A4,reformattedTable4olfactory_bulb!$A$1:$WV$1800,8,FALSE), "NA")</f>
        <v>8360532</v>
      </c>
      <c r="AX4">
        <f>IFERROR(VLOOKUP($A4,reformattedTable4olfactory_bulb!$A$1:$WV$1800,9,FALSE), "NA")</f>
        <v>3213106</v>
      </c>
      <c r="AY4">
        <f>IFERROR(VLOOKUP($A4,reformattedTable4olfactory_bulb!$A$1:$WV$1800,10,FALSE), "NA")</f>
        <v>155879</v>
      </c>
      <c r="AZ4">
        <f>IFERROR(VLOOKUP($A4,reformattedTable4olfactory_bulb!$A$1:$WV$1800,11,FALSE), "NA")</f>
        <v>62241</v>
      </c>
      <c r="BA4">
        <f>IFERROR(VLOOKUP($A4,reformattedTable4olfactory_bulb!$A$1:$WV$1800,12,FALSE), "NA")</f>
        <v>162922</v>
      </c>
      <c r="BB4">
        <f>IFERROR(VLOOKUP($A4,reformattedTable4olfactory_bulb!$A$1:$WV$1800,13,FALSE), "NA")</f>
        <v>44209</v>
      </c>
      <c r="BC4">
        <f>IFERROR(VLOOKUP($A4,reformattedTable4olfactory_bulb!$A$1:$WV$1800,14,FALSE), "NA")</f>
        <v>1.0549999999999999</v>
      </c>
      <c r="BD4" t="str">
        <f>IFERROR(VLOOKUP($A4,reformattedTable4olfactory_bulb!$A$1:$WV$1800,15,FALSE), "NA")</f>
        <v>NA</v>
      </c>
      <c r="BE4" t="str">
        <f>IFERROR(VLOOKUP($A4,reformattedTable4olfactory_bulb!$A$1:$WV$1800,16,FALSE), "NA")</f>
        <v>Ribeiro et al., 2014</v>
      </c>
      <c r="BF4" t="str">
        <f>IFERROR(VLOOKUP($A4,reformattedTable4olfactory_bulb!$A$1:$WV$1800,17,FALSE), "NA")</f>
        <v>Aotus_trivirgatus</v>
      </c>
      <c r="BG4">
        <f>IFERROR(VLOOKUP($A4,reformattedTable5whole_brain!$A$1:$WV$1800,4,FALSE), "NA")</f>
        <v>925</v>
      </c>
      <c r="BH4">
        <f>IFERROR(VLOOKUP($A4,reformattedTable5whole_brain!$A$1:$WV$1800,5,FALSE), "NA")</f>
        <v>35</v>
      </c>
      <c r="BI4">
        <f>IFERROR(VLOOKUP($A4,reformattedTable5whole_brain!$A$1:$WV$1800,6,FALSE), "NA")</f>
        <v>15.73</v>
      </c>
      <c r="BJ4" t="str">
        <f>IFERROR(VLOOKUP($A4,reformattedTable5whole_brain!$A$1:$WV$1800,7,FALSE), "NA")</f>
        <v>NA</v>
      </c>
      <c r="BK4">
        <f>IFERROR(VLOOKUP($A4,reformattedTable5whole_brain!$A$1:$WV$1800,8,FALSE), "NA")</f>
        <v>1468410000</v>
      </c>
      <c r="BL4" t="str">
        <f>IFERROR(VLOOKUP($A4,reformattedTable5whole_brain!$A$1:$WV$1800,9,FALSE), "NA")</f>
        <v>NA</v>
      </c>
      <c r="BM4">
        <f>IFERROR(VLOOKUP($A4,reformattedTable5whole_brain!$A$1:$WV$1800,10,FALSE), "NA")</f>
        <v>1195130000</v>
      </c>
      <c r="BN4" t="str">
        <f>IFERROR(VLOOKUP($A4,reformattedTable5whole_brain!$A$1:$WV$1800,11,FALSE), "NA")</f>
        <v>NA</v>
      </c>
      <c r="BO4">
        <f>IFERROR(VLOOKUP($A4,reformattedTable5whole_brain!$A$1:$WV$1800,12,FALSE), "NA")</f>
        <v>55.1</v>
      </c>
      <c r="BP4" t="str">
        <f>IFERROR(VLOOKUP($A4,reformattedTable5whole_brain!$A$1:$WV$1800,13,FALSE), "NA")</f>
        <v>NA</v>
      </c>
      <c r="BQ4" t="str">
        <f>IFERROR(VLOOKUP($A4,reformattedTable5whole_brain!$A$1:$WV$1800,14,FALSE), "NA")</f>
        <v>Herculano-Houzel et al., 2007</v>
      </c>
      <c r="BR4" t="str">
        <f>IFERROR(VLOOKUP($A4,reformattedTable5whole_brain!$A$1:$WV$1800,15,FALSE), "NA")</f>
        <v>Aotus_trivirgatus</v>
      </c>
    </row>
    <row r="5" spans="1:70">
      <c r="A5" t="s">
        <v>22</v>
      </c>
      <c r="B5" t="s">
        <v>15</v>
      </c>
      <c r="C5">
        <f>IFERROR(VLOOKUP($A5,reformattedTable1cerebrum!$A$1:$WV$1800,4,FALSE), "NA")</f>
        <v>0.19700000000000001</v>
      </c>
      <c r="D5">
        <f>IFERROR(VLOOKUP($A5,reformattedTable1cerebrum!$A$1:$WV$1800,5,FALSE), "NA")</f>
        <v>1.2E-2</v>
      </c>
      <c r="E5">
        <f>IFERROR(VLOOKUP($A5,reformattedTable1cerebrum!$A$1:$WV$1800,6,FALSE), "NA")</f>
        <v>11876000</v>
      </c>
      <c r="F5">
        <f>IFERROR(VLOOKUP($A5,reformattedTable1cerebrum!$A$1:$WV$1800,7,FALSE), "NA")</f>
        <v>1569000</v>
      </c>
      <c r="G5">
        <f>IFERROR(VLOOKUP($A5,reformattedTable1cerebrum!$A$1:$WV$1800,8,FALSE), "NA")</f>
        <v>15820000</v>
      </c>
      <c r="H5">
        <f>IFERROR(VLOOKUP($A5,reformattedTable1cerebrum!$A$1:$WV$1800,9,FALSE), "NA")</f>
        <v>1158000</v>
      </c>
      <c r="I5">
        <f>IFERROR(VLOOKUP($A5,reformattedTable1cerebrum!$A$1:$WV$1800,10,FALSE), "NA")</f>
        <v>60214</v>
      </c>
      <c r="J5">
        <f>IFERROR(VLOOKUP($A5,reformattedTable1cerebrum!$A$1:$WV$1800,11,FALSE), "NA")</f>
        <v>4935</v>
      </c>
      <c r="K5">
        <f>IFERROR(VLOOKUP($A5,reformattedTable1cerebrum!$A$1:$WV$1800,12,FALSE), "NA")</f>
        <v>80729</v>
      </c>
      <c r="L5">
        <f>IFERROR(VLOOKUP($A5,reformattedTable1cerebrum!$A$1:$WV$1800,13,FALSE), "NA")</f>
        <v>8731</v>
      </c>
      <c r="M5">
        <f>IFERROR(VLOOKUP($A5,reformattedTable1cerebrum!$A$1:$WV$1800,14,FALSE), "NA")</f>
        <v>1.357</v>
      </c>
      <c r="N5">
        <f>IFERROR(VLOOKUP($A5,reformattedTable1cerebrum!$A$1:$WV$1800,15,FALSE), "NA")</f>
        <v>0.25</v>
      </c>
      <c r="O5" t="str">
        <f>IFERROR(VLOOKUP($A5,reformattedTable1cerebrum!$A$1:$WV$1800,16,FALSE), "NA")</f>
        <v>Sarko et al., 2009</v>
      </c>
      <c r="P5" t="str">
        <f>IFERROR(VLOOKUP($A5,reformattedTable1cerebrum!$A$1:$WV$1800,17,FALSE), "NA")</f>
        <v>Blarina_brevicauda</v>
      </c>
      <c r="Q5">
        <f>IFERROR(VLOOKUP($A5,reformattedTable2cerebellum!$A$1:$WW$1800,4,FALSE), "NA")</f>
        <v>3.6999999999999998E-2</v>
      </c>
      <c r="R5">
        <f>IFERROR(VLOOKUP($A5,reformattedTable2cerebellum!$A$1:$WW$1800,5,FALSE), "NA")</f>
        <v>5.0000000000000001E-3</v>
      </c>
      <c r="S5">
        <f>IFERROR(VLOOKUP($A5,reformattedTable2cerebellum!$A$1:$WW$1800,6,FALSE), "NA")</f>
        <v>33430000</v>
      </c>
      <c r="T5">
        <f>IFERROR(VLOOKUP($A5,reformattedTable2cerebellum!$A$1:$WW$1800,7,FALSE), "NA")</f>
        <v>5821000</v>
      </c>
      <c r="U5">
        <f>IFERROR(VLOOKUP($A5,reformattedTable2cerebellum!$A$1:$WW$1800,8,FALSE), "NA")</f>
        <v>4410000</v>
      </c>
      <c r="V5">
        <f>IFERROR(VLOOKUP($A5,reformattedTable2cerebellum!$A$1:$WW$1800,9,FALSE), "NA")</f>
        <v>1280000</v>
      </c>
      <c r="W5">
        <f>IFERROR(VLOOKUP($A5,reformattedTable2cerebellum!$A$1:$WW$1800,10,FALSE), "NA")</f>
        <v>919942</v>
      </c>
      <c r="X5">
        <f>IFERROR(VLOOKUP($A5,reformattedTable2cerebellum!$A$1:$WW$1800,11,FALSE), "NA")</f>
        <v>19721</v>
      </c>
      <c r="Y5">
        <f>IFERROR(VLOOKUP($A5,reformattedTable2cerebellum!$A$1:$WW$1800,12,FALSE), "NA")</f>
        <v>118736</v>
      </c>
      <c r="Z5">
        <f>IFERROR(VLOOKUP($A5,reformattedTable2cerebellum!$A$1:$WW$1800,13,FALSE), "NA")</f>
        <v>25620</v>
      </c>
      <c r="AA5">
        <f>IFERROR(VLOOKUP($A5,reformattedTable2cerebellum!$A$1:$WW$1800,14,FALSE), "NA")</f>
        <v>0.13200000000000001</v>
      </c>
      <c r="AB5" t="str">
        <f>IFERROR(VLOOKUP($A5,reformattedTable2cerebellum!$A$1:$WW$1800,15,FALSE), "NA")</f>
        <v>NA</v>
      </c>
      <c r="AC5" t="str">
        <f>IFERROR(VLOOKUP($A5,reformattedTable2cerebellum!$A$1:$WW$1800,16,FALSE), "NA")</f>
        <v>Sarko et al., 2009</v>
      </c>
      <c r="AD5" t="str">
        <f>IFERROR(VLOOKUP($A5,reformattedTable2cerebellum!$A$1:$WW$1800,17,FALSE), "NA")</f>
        <v>Blarina_brevicauda</v>
      </c>
      <c r="AE5">
        <f>IFERROR(VLOOKUP($A5,reformattedTable3RoB!$A$1:$WW$1800,4,FALSE), "NA")</f>
        <v>0.113</v>
      </c>
      <c r="AF5">
        <f>IFERROR(VLOOKUP($A5,reformattedTable3RoB!$A$1:$WW$1800,5,FALSE), "NA")</f>
        <v>8.9999999999999993E-3</v>
      </c>
      <c r="AG5">
        <f>IFERROR(VLOOKUP($A5,reformattedTable3RoB!$A$1:$WW$1800,6,FALSE), "NA")</f>
        <v>6340000</v>
      </c>
      <c r="AH5">
        <f>IFERROR(VLOOKUP($A5,reformattedTable3RoB!$A$1:$WW$1800,7,FALSE), "NA")</f>
        <v>636200</v>
      </c>
      <c r="AI5">
        <f>IFERROR(VLOOKUP($A5,reformattedTable3RoB!$A$1:$WW$1800,8,FALSE), "NA")</f>
        <v>13320000</v>
      </c>
      <c r="AJ5">
        <f>IFERROR(VLOOKUP($A5,reformattedTable3RoB!$A$1:$WW$1800,9,FALSE), "NA")</f>
        <v>1120000</v>
      </c>
      <c r="AK5">
        <f>IFERROR(VLOOKUP($A5,reformattedTable3RoB!$A$1:$WW$1800,10,FALSE), "NA")</f>
        <v>55924</v>
      </c>
      <c r="AL5">
        <f>IFERROR(VLOOKUP($A5,reformattedTable3RoB!$A$1:$WW$1800,11,FALSE), "NA")</f>
        <v>2130</v>
      </c>
      <c r="AM5">
        <f>IFERROR(VLOOKUP($A5,reformattedTable3RoB!$A$1:$WW$1800,12,FALSE), "NA")</f>
        <v>117736</v>
      </c>
      <c r="AN5">
        <f>IFERROR(VLOOKUP($A5,reformattedTable3RoB!$A$1:$WW$1800,13,FALSE), "NA")</f>
        <v>5840</v>
      </c>
      <c r="AO5">
        <f>IFERROR(VLOOKUP($A5,reformattedTable3RoB!$A$1:$WW$1800,14,FALSE), "NA")</f>
        <v>2.1019999999999999</v>
      </c>
      <c r="AP5">
        <f>IFERROR(VLOOKUP($A5,reformattedTable3RoB!$A$1:$WW$1800,15,FALSE), "NA")</f>
        <v>9.6000000000000002E-2</v>
      </c>
      <c r="AQ5" t="str">
        <f>IFERROR(VLOOKUP($A5,reformattedTable3RoB!$A$1:$WW$1800,16,FALSE), "NA")</f>
        <v>Sarko et al., 2009</v>
      </c>
      <c r="AR5" t="str">
        <f>IFERROR(VLOOKUP($A5,reformattedTable3RoB!$A$1:$WW$1800,17,FALSE), "NA")</f>
        <v>Blarina_brevicauda</v>
      </c>
      <c r="AS5">
        <f>IFERROR(VLOOKUP($A5,reformattedTable4olfactory_bulb!$A$1:$WV$1800,4,FALSE), "NA")</f>
        <v>2.5999999999999999E-2</v>
      </c>
      <c r="AT5">
        <f>IFERROR(VLOOKUP($A5,reformattedTable4olfactory_bulb!$A$1:$WV$1800,5,FALSE), "NA")</f>
        <v>3.0000000000000001E-3</v>
      </c>
      <c r="AU5">
        <f>IFERROR(VLOOKUP($A5,reformattedTable4olfactory_bulb!$A$1:$WV$1800,6,FALSE), "NA")</f>
        <v>8090000</v>
      </c>
      <c r="AV5">
        <f>IFERROR(VLOOKUP($A5,reformattedTable4olfactory_bulb!$A$1:$WV$1800,7,FALSE), "NA")</f>
        <v>935900</v>
      </c>
      <c r="AW5">
        <f>IFERROR(VLOOKUP($A5,reformattedTable4olfactory_bulb!$A$1:$WV$1800,8,FALSE), "NA")</f>
        <v>4910000</v>
      </c>
      <c r="AX5">
        <f>IFERROR(VLOOKUP($A5,reformattedTable4olfactory_bulb!$A$1:$WV$1800,9,FALSE), "NA")</f>
        <v>730000</v>
      </c>
      <c r="AY5">
        <f>IFERROR(VLOOKUP($A5,reformattedTable4olfactory_bulb!$A$1:$WV$1800,10,FALSE), "NA")</f>
        <v>318164</v>
      </c>
      <c r="AZ5">
        <f>IFERROR(VLOOKUP($A5,reformattedTable4olfactory_bulb!$A$1:$WV$1800,11,FALSE), "NA")</f>
        <v>34950</v>
      </c>
      <c r="BA5">
        <f>IFERROR(VLOOKUP($A5,reformattedTable4olfactory_bulb!$A$1:$WV$1800,12,FALSE), "NA")</f>
        <v>193631</v>
      </c>
      <c r="BB5">
        <f>IFERROR(VLOOKUP($A5,reformattedTable4olfactory_bulb!$A$1:$WV$1800,13,FALSE), "NA")</f>
        <v>31450</v>
      </c>
      <c r="BC5">
        <f>IFERROR(VLOOKUP($A5,reformattedTable4olfactory_bulb!$A$1:$WV$1800,14,FALSE), "NA")</f>
        <v>0.60699999999999998</v>
      </c>
      <c r="BD5">
        <f>IFERROR(VLOOKUP($A5,reformattedTable4olfactory_bulb!$A$1:$WV$1800,15,FALSE), "NA")</f>
        <v>0.125</v>
      </c>
      <c r="BE5" t="str">
        <f>IFERROR(VLOOKUP($A5,reformattedTable4olfactory_bulb!$A$1:$WV$1800,16,FALSE), "NA")</f>
        <v>Sarko et al., 2009</v>
      </c>
      <c r="BF5" t="str">
        <f>IFERROR(VLOOKUP($A5,reformattedTable4olfactory_bulb!$A$1:$WV$1800,17,FALSE), "NA")</f>
        <v>Blarina_brevicauda</v>
      </c>
      <c r="BG5">
        <f>IFERROR(VLOOKUP($A5,reformattedTable5whole_brain!$A$1:$WV$1800,4,FALSE), "NA")</f>
        <v>16.2</v>
      </c>
      <c r="BH5">
        <f>IFERROR(VLOOKUP($A5,reformattedTable5whole_brain!$A$1:$WV$1800,5,FALSE), "NA")</f>
        <v>1.6</v>
      </c>
      <c r="BI5">
        <f>IFERROR(VLOOKUP($A5,reformattedTable5whole_brain!$A$1:$WV$1800,6,FALSE), "NA")</f>
        <v>0.34699999999999998</v>
      </c>
      <c r="BJ5" t="str">
        <f>IFERROR(VLOOKUP($A5,reformattedTable5whole_brain!$A$1:$WV$1800,7,FALSE), "NA")</f>
        <v xml:space="preserve"> .0.018</v>
      </c>
      <c r="BK5">
        <f>IFERROR(VLOOKUP($A5,reformattedTable5whole_brain!$A$1:$WV$1800,8,FALSE), "NA")</f>
        <v>55190000</v>
      </c>
      <c r="BL5">
        <f>IFERROR(VLOOKUP($A5,reformattedTable5whole_brain!$A$1:$WV$1800,9,FALSE), "NA")</f>
        <v>6126000</v>
      </c>
      <c r="BM5">
        <f>IFERROR(VLOOKUP($A5,reformattedTable5whole_brain!$A$1:$WV$1800,10,FALSE), "NA")</f>
        <v>33550000</v>
      </c>
      <c r="BN5">
        <f>IFERROR(VLOOKUP($A5,reformattedTable5whole_brain!$A$1:$WV$1800,11,FALSE), "NA")</f>
        <v>1222000</v>
      </c>
      <c r="BO5">
        <f>IFERROR(VLOOKUP($A5,reformattedTable5whole_brain!$A$1:$WV$1800,12,FALSE), "NA")</f>
        <v>64.8</v>
      </c>
      <c r="BP5">
        <f>IFERROR(VLOOKUP($A5,reformattedTable5whole_brain!$A$1:$WV$1800,13,FALSE), "NA")</f>
        <v>2.2999999999999998</v>
      </c>
      <c r="BQ5" t="str">
        <f>IFERROR(VLOOKUP($A5,reformattedTable5whole_brain!$A$1:$WV$1800,14,FALSE), "NA")</f>
        <v>Sarko et al., 2009</v>
      </c>
      <c r="BR5" t="str">
        <f>IFERROR(VLOOKUP($A5,reformattedTable5whole_brain!$A$1:$WV$1800,15,FALSE), "NA")</f>
        <v>Blarina_brevicauda</v>
      </c>
    </row>
    <row r="6" spans="1:70">
      <c r="A6" t="s">
        <v>75</v>
      </c>
      <c r="B6" t="s">
        <v>44</v>
      </c>
      <c r="C6">
        <f>IFERROR(VLOOKUP($A6,reformattedTable1cerebrum!$A$1:$WV$1800,4,FALSE), "NA")</f>
        <v>12.984</v>
      </c>
      <c r="D6" t="str">
        <f>IFERROR(VLOOKUP($A6,reformattedTable1cerebrum!$A$1:$WV$1800,5,FALSE), "NA")</f>
        <v>NA</v>
      </c>
      <c r="E6">
        <f>IFERROR(VLOOKUP($A6,reformattedTable1cerebrum!$A$1:$WV$1800,6,FALSE), "NA")</f>
        <v>357129180</v>
      </c>
      <c r="F6" t="str">
        <f>IFERROR(VLOOKUP($A6,reformattedTable1cerebrum!$A$1:$WV$1800,7,FALSE), "NA")</f>
        <v>NA</v>
      </c>
      <c r="G6">
        <f>IFERROR(VLOOKUP($A6,reformattedTable1cerebrum!$A$1:$WV$1800,8,FALSE), "NA")</f>
        <v>715330820</v>
      </c>
      <c r="H6" t="str">
        <f>IFERROR(VLOOKUP($A6,reformattedTable1cerebrum!$A$1:$WV$1800,9,FALSE), "NA")</f>
        <v>NA</v>
      </c>
      <c r="I6">
        <f>IFERROR(VLOOKUP($A6,reformattedTable1cerebrum!$A$1:$WV$1800,10,FALSE), "NA")</f>
        <v>27505</v>
      </c>
      <c r="J6" t="str">
        <f>IFERROR(VLOOKUP($A6,reformattedTable1cerebrum!$A$1:$WV$1800,11,FALSE), "NA")</f>
        <v>NA</v>
      </c>
      <c r="K6">
        <f>IFERROR(VLOOKUP($A6,reformattedTable1cerebrum!$A$1:$WV$1800,12,FALSE), "NA")</f>
        <v>55093</v>
      </c>
      <c r="L6" t="str">
        <f>IFERROR(VLOOKUP($A6,reformattedTable1cerebrum!$A$1:$WV$1800,13,FALSE), "NA")</f>
        <v>NA</v>
      </c>
      <c r="M6">
        <f>IFERROR(VLOOKUP($A6,reformattedTable1cerebrum!$A$1:$WV$1800,14,FALSE), "NA")</f>
        <v>2.0030000000000001</v>
      </c>
      <c r="N6" t="str">
        <f>IFERROR(VLOOKUP($A6,reformattedTable1cerebrum!$A$1:$WV$1800,15,FALSE), "NA")</f>
        <v>NA</v>
      </c>
      <c r="O6" t="str">
        <f>IFERROR(VLOOKUP($A6,reformattedTable1cerebrum!$A$1:$WV$1800,16,FALSE), "NA")</f>
        <v>Gabi et al., 2010</v>
      </c>
      <c r="P6" t="str">
        <f>IFERROR(VLOOKUP($A6,reformattedTable1cerebrum!$A$1:$WV$1800,17,FALSE), "NA")</f>
        <v>Callimico_goeldii</v>
      </c>
      <c r="Q6" t="str">
        <f>IFERROR(VLOOKUP($A6,reformattedTable2cerebellum!$A$1:$WW$1800,4,FALSE), "NA")</f>
        <v>NA</v>
      </c>
      <c r="R6" t="str">
        <f>IFERROR(VLOOKUP($A6,reformattedTable2cerebellum!$A$1:$WW$1800,5,FALSE), "NA")</f>
        <v>NA</v>
      </c>
      <c r="S6" t="str">
        <f>IFERROR(VLOOKUP($A6,reformattedTable2cerebellum!$A$1:$WW$1800,6,FALSE), "NA")</f>
        <v>NA</v>
      </c>
      <c r="T6" t="str">
        <f>IFERROR(VLOOKUP($A6,reformattedTable2cerebellum!$A$1:$WW$1800,7,FALSE), "NA")</f>
        <v>NA</v>
      </c>
      <c r="U6" t="str">
        <f>IFERROR(VLOOKUP($A6,reformattedTable2cerebellum!$A$1:$WW$1800,8,FALSE), "NA")</f>
        <v>NA</v>
      </c>
      <c r="V6" t="str">
        <f>IFERROR(VLOOKUP($A6,reformattedTable2cerebellum!$A$1:$WW$1800,9,FALSE), "NA")</f>
        <v>NA</v>
      </c>
      <c r="W6" t="str">
        <f>IFERROR(VLOOKUP($A6,reformattedTable2cerebellum!$A$1:$WW$1800,10,FALSE), "NA")</f>
        <v>NA</v>
      </c>
      <c r="X6" t="str">
        <f>IFERROR(VLOOKUP($A6,reformattedTable2cerebellum!$A$1:$WW$1800,11,FALSE), "NA")</f>
        <v>NA</v>
      </c>
      <c r="Y6" t="str">
        <f>IFERROR(VLOOKUP($A6,reformattedTable2cerebellum!$A$1:$WW$1800,12,FALSE), "NA")</f>
        <v>NA</v>
      </c>
      <c r="Z6" t="str">
        <f>IFERROR(VLOOKUP($A6,reformattedTable2cerebellum!$A$1:$WW$1800,13,FALSE), "NA")</f>
        <v>NA</v>
      </c>
      <c r="AA6" t="str">
        <f>IFERROR(VLOOKUP($A6,reformattedTable2cerebellum!$A$1:$WW$1800,14,FALSE), "NA")</f>
        <v>NA</v>
      </c>
      <c r="AB6" t="str">
        <f>IFERROR(VLOOKUP($A6,reformattedTable2cerebellum!$A$1:$WW$1800,15,FALSE), "NA")</f>
        <v>NA</v>
      </c>
      <c r="AC6" t="str">
        <f>IFERROR(VLOOKUP($A6,reformattedTable2cerebellum!$A$1:$WW$1800,16,FALSE), "NA")</f>
        <v>NA</v>
      </c>
      <c r="AD6" t="str">
        <f>IFERROR(VLOOKUP($A6,reformattedTable2cerebellum!$A$1:$WW$1800,17,FALSE), "NA")</f>
        <v>NA</v>
      </c>
      <c r="AE6">
        <f>IFERROR(VLOOKUP($A6,reformattedTable3RoB!$A$1:$WW$1800,4,FALSE), "NA")</f>
        <v>2.0859999999999999</v>
      </c>
      <c r="AF6" t="str">
        <f>IFERROR(VLOOKUP($A6,reformattedTable3RoB!$A$1:$WW$1800,5,FALSE), "NA")</f>
        <v>NA</v>
      </c>
      <c r="AG6">
        <f>IFERROR(VLOOKUP($A6,reformattedTable3RoB!$A$1:$WW$1800,6,FALSE), "NA")</f>
        <v>53911480</v>
      </c>
      <c r="AH6" t="str">
        <f>IFERROR(VLOOKUP($A6,reformattedTable3RoB!$A$1:$WW$1800,7,FALSE), "NA")</f>
        <v>NA</v>
      </c>
      <c r="AI6">
        <f>IFERROR(VLOOKUP($A6,reformattedTable3RoB!$A$1:$WW$1800,8,FALSE), "NA")</f>
        <v>194528520</v>
      </c>
      <c r="AJ6" t="str">
        <f>IFERROR(VLOOKUP($A6,reformattedTable3RoB!$A$1:$WW$1800,9,FALSE), "NA")</f>
        <v>NA</v>
      </c>
      <c r="AK6">
        <f>IFERROR(VLOOKUP($A6,reformattedTable3RoB!$A$1:$WW$1800,10,FALSE), "NA")</f>
        <v>25844</v>
      </c>
      <c r="AL6" t="str">
        <f>IFERROR(VLOOKUP($A6,reformattedTable3RoB!$A$1:$WW$1800,11,FALSE), "NA")</f>
        <v>NA</v>
      </c>
      <c r="AM6">
        <f>IFERROR(VLOOKUP($A6,reformattedTable3RoB!$A$1:$WW$1800,12,FALSE), "NA")</f>
        <v>93254</v>
      </c>
      <c r="AN6" t="str">
        <f>IFERROR(VLOOKUP($A6,reformattedTable3RoB!$A$1:$WW$1800,13,FALSE), "NA")</f>
        <v>NA</v>
      </c>
      <c r="AO6">
        <f>IFERROR(VLOOKUP($A6,reformattedTable3RoB!$A$1:$WW$1800,14,FALSE), "NA")</f>
        <v>3.6080000000000001</v>
      </c>
      <c r="AP6" t="str">
        <f>IFERROR(VLOOKUP($A6,reformattedTable3RoB!$A$1:$WW$1800,15,FALSE), "NA")</f>
        <v>NA</v>
      </c>
      <c r="AQ6" t="str">
        <f>IFERROR(VLOOKUP($A6,reformattedTable3RoB!$A$1:$WW$1800,16,FALSE), "NA")</f>
        <v>Gabi et al., 2010</v>
      </c>
      <c r="AR6" t="str">
        <f>IFERROR(VLOOKUP($A6,reformattedTable3RoB!$A$1:$WW$1800,17,FALSE), "NA")</f>
        <v>Callimico_goeldii</v>
      </c>
      <c r="AS6" t="str">
        <f>IFERROR(VLOOKUP($A6,reformattedTable4olfactory_bulb!$A$1:$WV$1800,4,FALSE), "NA")</f>
        <v>NA</v>
      </c>
      <c r="AT6" t="str">
        <f>IFERROR(VLOOKUP($A6,reformattedTable4olfactory_bulb!$A$1:$WV$1800,5,FALSE), "NA")</f>
        <v>NA</v>
      </c>
      <c r="AU6" t="str">
        <f>IFERROR(VLOOKUP($A6,reformattedTable4olfactory_bulb!$A$1:$WV$1800,6,FALSE), "NA")</f>
        <v>NA</v>
      </c>
      <c r="AV6" t="str">
        <f>IFERROR(VLOOKUP($A6,reformattedTable4olfactory_bulb!$A$1:$WV$1800,7,FALSE), "NA")</f>
        <v>NA</v>
      </c>
      <c r="AW6" t="str">
        <f>IFERROR(VLOOKUP($A6,reformattedTable4olfactory_bulb!$A$1:$WV$1800,8,FALSE), "NA")</f>
        <v>NA</v>
      </c>
      <c r="AX6" t="str">
        <f>IFERROR(VLOOKUP($A6,reformattedTable4olfactory_bulb!$A$1:$WV$1800,9,FALSE), "NA")</f>
        <v>NA</v>
      </c>
      <c r="AY6" t="str">
        <f>IFERROR(VLOOKUP($A6,reformattedTable4olfactory_bulb!$A$1:$WV$1800,10,FALSE), "NA")</f>
        <v>NA</v>
      </c>
      <c r="AZ6" t="str">
        <f>IFERROR(VLOOKUP($A6,reformattedTable4olfactory_bulb!$A$1:$WV$1800,11,FALSE), "NA")</f>
        <v>NA</v>
      </c>
      <c r="BA6" t="str">
        <f>IFERROR(VLOOKUP($A6,reformattedTable4olfactory_bulb!$A$1:$WV$1800,12,FALSE), "NA")</f>
        <v>NA</v>
      </c>
      <c r="BB6" t="str">
        <f>IFERROR(VLOOKUP($A6,reformattedTable4olfactory_bulb!$A$1:$WV$1800,13,FALSE), "NA")</f>
        <v>NA</v>
      </c>
      <c r="BC6" t="str">
        <f>IFERROR(VLOOKUP($A6,reformattedTable4olfactory_bulb!$A$1:$WV$1800,14,FALSE), "NA")</f>
        <v>NA</v>
      </c>
      <c r="BD6" t="str">
        <f>IFERROR(VLOOKUP($A6,reformattedTable4olfactory_bulb!$A$1:$WV$1800,15,FALSE), "NA")</f>
        <v>NA</v>
      </c>
      <c r="BE6" t="str">
        <f>IFERROR(VLOOKUP($A6,reformattedTable4olfactory_bulb!$A$1:$WV$1800,16,FALSE), "NA")</f>
        <v>NA</v>
      </c>
      <c r="BF6" t="str">
        <f>IFERROR(VLOOKUP($A6,reformattedTable4olfactory_bulb!$A$1:$WV$1800,17,FALSE), "NA")</f>
        <v>NA</v>
      </c>
      <c r="BG6" t="str">
        <f>IFERROR(VLOOKUP($A6,reformattedTable5whole_brain!$A$1:$WV$1800,4,FALSE), "NA")</f>
        <v>NA</v>
      </c>
      <c r="BH6" t="str">
        <f>IFERROR(VLOOKUP($A6,reformattedTable5whole_brain!$A$1:$WV$1800,5,FALSE), "NA")</f>
        <v>NA</v>
      </c>
      <c r="BI6" t="str">
        <f>IFERROR(VLOOKUP($A6,reformattedTable5whole_brain!$A$1:$WV$1800,6,FALSE), "NA")</f>
        <v>NA</v>
      </c>
      <c r="BJ6" t="str">
        <f>IFERROR(VLOOKUP($A6,reformattedTable5whole_brain!$A$1:$WV$1800,7,FALSE), "NA")</f>
        <v>NA</v>
      </c>
      <c r="BK6" t="str">
        <f>IFERROR(VLOOKUP($A6,reformattedTable5whole_brain!$A$1:$WV$1800,8,FALSE), "NA")</f>
        <v>NA</v>
      </c>
      <c r="BL6" t="str">
        <f>IFERROR(VLOOKUP($A6,reformattedTable5whole_brain!$A$1:$WV$1800,9,FALSE), "NA")</f>
        <v>NA</v>
      </c>
      <c r="BM6" t="str">
        <f>IFERROR(VLOOKUP($A6,reformattedTable5whole_brain!$A$1:$WV$1800,10,FALSE), "NA")</f>
        <v>NA</v>
      </c>
      <c r="BN6" t="str">
        <f>IFERROR(VLOOKUP($A6,reformattedTable5whole_brain!$A$1:$WV$1800,11,FALSE), "NA")</f>
        <v>NA</v>
      </c>
      <c r="BO6" t="str">
        <f>IFERROR(VLOOKUP($A6,reformattedTable5whole_brain!$A$1:$WV$1800,12,FALSE), "NA")</f>
        <v>NA</v>
      </c>
      <c r="BP6" t="str">
        <f>IFERROR(VLOOKUP($A6,reformattedTable5whole_brain!$A$1:$WV$1800,13,FALSE), "NA")</f>
        <v>NA</v>
      </c>
      <c r="BQ6" t="str">
        <f>IFERROR(VLOOKUP($A6,reformattedTable5whole_brain!$A$1:$WV$1800,14,FALSE), "NA")</f>
        <v>NA</v>
      </c>
      <c r="BR6" t="str">
        <f>IFERROR(VLOOKUP($A6,reformattedTable5whole_brain!$A$1:$WV$1800,15,FALSE), "NA")</f>
        <v>NA</v>
      </c>
    </row>
    <row r="7" spans="1:70">
      <c r="A7" t="s">
        <v>63</v>
      </c>
      <c r="B7" t="s">
        <v>44</v>
      </c>
      <c r="C7">
        <f>IFERROR(VLOOKUP($A7,reformattedTable1cerebrum!$A$1:$WV$1800,4,FALSE), "NA")</f>
        <v>5.5609999999999999</v>
      </c>
      <c r="D7">
        <f>IFERROR(VLOOKUP($A7,reformattedTable1cerebrum!$A$1:$WV$1800,5,FALSE), "NA")</f>
        <v>0.443</v>
      </c>
      <c r="E7">
        <f>IFERROR(VLOOKUP($A7,reformattedTable1cerebrum!$A$1:$WV$1800,6,FALSE), "NA")</f>
        <v>244720000</v>
      </c>
      <c r="F7">
        <f>IFERROR(VLOOKUP($A7,reformattedTable1cerebrum!$A$1:$WV$1800,7,FALSE), "NA")</f>
        <v>81180000</v>
      </c>
      <c r="G7">
        <f>IFERROR(VLOOKUP($A7,reformattedTable1cerebrum!$A$1:$WV$1800,8,FALSE), "NA")</f>
        <v>395340000</v>
      </c>
      <c r="H7">
        <f>IFERROR(VLOOKUP($A7,reformattedTable1cerebrum!$A$1:$WV$1800,9,FALSE), "NA")</f>
        <v>58790000</v>
      </c>
      <c r="I7">
        <f>IFERROR(VLOOKUP($A7,reformattedTable1cerebrum!$A$1:$WV$1800,10,FALSE), "NA")</f>
        <v>44280</v>
      </c>
      <c r="J7">
        <f>IFERROR(VLOOKUP($A7,reformattedTable1cerebrum!$A$1:$WV$1800,11,FALSE), "NA")</f>
        <v>15900</v>
      </c>
      <c r="K7">
        <f>IFERROR(VLOOKUP($A7,reformattedTable1cerebrum!$A$1:$WV$1800,12,FALSE), "NA")</f>
        <v>71800</v>
      </c>
      <c r="L7">
        <f>IFERROR(VLOOKUP($A7,reformattedTable1cerebrum!$A$1:$WV$1800,13,FALSE), "NA")</f>
        <v>14880</v>
      </c>
      <c r="M7">
        <f>IFERROR(VLOOKUP($A7,reformattedTable1cerebrum!$A$1:$WV$1800,14,FALSE), "NA")</f>
        <v>1.615</v>
      </c>
      <c r="N7" t="str">
        <f>IFERROR(VLOOKUP($A7,reformattedTable1cerebrum!$A$1:$WV$1800,15,FALSE), "NA")</f>
        <v>NA</v>
      </c>
      <c r="O7" t="str">
        <f>IFERROR(VLOOKUP($A7,reformattedTable1cerebrum!$A$1:$WV$1800,16,FALSE), "NA")</f>
        <v>Herculano-Houzel et al., 2007</v>
      </c>
      <c r="P7" t="str">
        <f>IFERROR(VLOOKUP($A7,reformattedTable1cerebrum!$A$1:$WV$1800,17,FALSE), "NA")</f>
        <v>Callithrix_jacchus</v>
      </c>
      <c r="Q7">
        <f>IFERROR(VLOOKUP($A7,reformattedTable2cerebellum!$A$1:$WW$1800,4,FALSE), "NA")</f>
        <v>0.73</v>
      </c>
      <c r="R7">
        <f>IFERROR(VLOOKUP($A7,reformattedTable2cerebellum!$A$1:$WW$1800,5,FALSE), "NA")</f>
        <v>3.9E-2</v>
      </c>
      <c r="S7">
        <f>IFERROR(VLOOKUP($A7,reformattedTable2cerebellum!$A$1:$WW$1800,6,FALSE), "NA")</f>
        <v>361370000</v>
      </c>
      <c r="T7">
        <f>IFERROR(VLOOKUP($A7,reformattedTable2cerebellum!$A$1:$WW$1800,7,FALSE), "NA")</f>
        <v>28530000</v>
      </c>
      <c r="U7">
        <f>IFERROR(VLOOKUP($A7,reformattedTable2cerebellum!$A$1:$WW$1800,8,FALSE), "NA")</f>
        <v>49490000</v>
      </c>
      <c r="V7">
        <f>IFERROR(VLOOKUP($A7,reformattedTable2cerebellum!$A$1:$WW$1800,9,FALSE), "NA")</f>
        <v>6770000</v>
      </c>
      <c r="W7">
        <f>IFERROR(VLOOKUP($A7,reformattedTable2cerebellum!$A$1:$WW$1800,10,FALSE), "NA")</f>
        <v>494970</v>
      </c>
      <c r="X7">
        <f>IFERROR(VLOOKUP($A7,reformattedTable2cerebellum!$A$1:$WW$1800,11,FALSE), "NA")</f>
        <v>25740</v>
      </c>
      <c r="Y7">
        <f>IFERROR(VLOOKUP($A7,reformattedTable2cerebellum!$A$1:$WW$1800,12,FALSE), "NA")</f>
        <v>68170</v>
      </c>
      <c r="Z7">
        <f>IFERROR(VLOOKUP($A7,reformattedTable2cerebellum!$A$1:$WW$1800,13,FALSE), "NA")</f>
        <v>12210</v>
      </c>
      <c r="AA7">
        <f>IFERROR(VLOOKUP($A7,reformattedTable2cerebellum!$A$1:$WW$1800,14,FALSE), "NA")</f>
        <v>0.13700000000000001</v>
      </c>
      <c r="AB7" t="str">
        <f>IFERROR(VLOOKUP($A7,reformattedTable2cerebellum!$A$1:$WW$1800,15,FALSE), "NA")</f>
        <v>NA</v>
      </c>
      <c r="AC7" t="str">
        <f>IFERROR(VLOOKUP($A7,reformattedTable2cerebellum!$A$1:$WW$1800,16,FALSE), "NA")</f>
        <v>Herculano-Houzel et al., 2007</v>
      </c>
      <c r="AD7" t="str">
        <f>IFERROR(VLOOKUP($A7,reformattedTable2cerebellum!$A$1:$WW$1800,17,FALSE), "NA")</f>
        <v>Callithrix_jacchus</v>
      </c>
      <c r="AE7">
        <f>IFERROR(VLOOKUP($A7,reformattedTable3RoB!$A$1:$WW$1800,4,FALSE), "NA")</f>
        <v>1.4890000000000001</v>
      </c>
      <c r="AF7">
        <f>IFERROR(VLOOKUP($A7,reformattedTable3RoB!$A$1:$WW$1800,5,FALSE), "NA")</f>
        <v>0.317</v>
      </c>
      <c r="AG7">
        <f>IFERROR(VLOOKUP($A7,reformattedTable3RoB!$A$1:$WW$1800,6,FALSE), "NA")</f>
        <v>29720000</v>
      </c>
      <c r="AH7">
        <f>IFERROR(VLOOKUP($A7,reformattedTable3RoB!$A$1:$WW$1800,7,FALSE), "NA")</f>
        <v>9350000</v>
      </c>
      <c r="AI7">
        <f>IFERROR(VLOOKUP($A7,reformattedTable3RoB!$A$1:$WW$1800,8,FALSE), "NA")</f>
        <v>145910000</v>
      </c>
      <c r="AJ7">
        <f>IFERROR(VLOOKUP($A7,reformattedTable3RoB!$A$1:$WW$1800,9,FALSE), "NA")</f>
        <v>27830000</v>
      </c>
      <c r="AK7">
        <f>IFERROR(VLOOKUP($A7,reformattedTable3RoB!$A$1:$WW$1800,10,FALSE), "NA")</f>
        <v>19650</v>
      </c>
      <c r="AL7">
        <f>IFERROR(VLOOKUP($A7,reformattedTable3RoB!$A$1:$WW$1800,11,FALSE), "NA")</f>
        <v>2840</v>
      </c>
      <c r="AM7">
        <f>IFERROR(VLOOKUP($A7,reformattedTable3RoB!$A$1:$WW$1800,12,FALSE), "NA")</f>
        <v>98370</v>
      </c>
      <c r="AN7" t="str">
        <f>IFERROR(VLOOKUP($A7,reformattedTable3RoB!$A$1:$WW$1800,13,FALSE), "NA")</f>
        <v>NA</v>
      </c>
      <c r="AO7">
        <f>IFERROR(VLOOKUP($A7,reformattedTable3RoB!$A$1:$WW$1800,14,FALSE), "NA")</f>
        <v>4.9089999999999998</v>
      </c>
      <c r="AP7" t="str">
        <f>IFERROR(VLOOKUP($A7,reformattedTable3RoB!$A$1:$WW$1800,15,FALSE), "NA")</f>
        <v>NA</v>
      </c>
      <c r="AQ7" t="str">
        <f>IFERROR(VLOOKUP($A7,reformattedTable3RoB!$A$1:$WW$1800,16,FALSE), "NA")</f>
        <v>Herculano-Houzel et al., 2007</v>
      </c>
      <c r="AR7" t="str">
        <f>IFERROR(VLOOKUP($A7,reformattedTable3RoB!$A$1:$WW$1800,17,FALSE), "NA")</f>
        <v>Callithrix_jacchus</v>
      </c>
      <c r="AS7">
        <f>IFERROR(VLOOKUP($A7,reformattedTable4olfactory_bulb!$A$1:$WV$1800,4,FALSE), "NA")</f>
        <v>8.0000000000000002E-3</v>
      </c>
      <c r="AT7">
        <f>IFERROR(VLOOKUP($A7,reformattedTable4olfactory_bulb!$A$1:$WV$1800,5,FALSE), "NA")</f>
        <v>1.4E-2</v>
      </c>
      <c r="AU7">
        <f>IFERROR(VLOOKUP($A7,reformattedTable4olfactory_bulb!$A$1:$WV$1800,6,FALSE), "NA")</f>
        <v>2108078</v>
      </c>
      <c r="AV7">
        <f>IFERROR(VLOOKUP($A7,reformattedTable4olfactory_bulb!$A$1:$WV$1800,7,FALSE), "NA")</f>
        <v>983420</v>
      </c>
      <c r="AW7">
        <f>IFERROR(VLOOKUP($A7,reformattedTable4olfactory_bulb!$A$1:$WV$1800,8,FALSE), "NA")</f>
        <v>2547922</v>
      </c>
      <c r="AX7">
        <f>IFERROR(VLOOKUP($A7,reformattedTable4olfactory_bulb!$A$1:$WV$1800,9,FALSE), "NA")</f>
        <v>960104</v>
      </c>
      <c r="AY7">
        <f>IFERROR(VLOOKUP($A7,reformattedTable4olfactory_bulb!$A$1:$WV$1800,10,FALSE), "NA")</f>
        <v>232309</v>
      </c>
      <c r="AZ7">
        <f>IFERROR(VLOOKUP($A7,reformattedTable4olfactory_bulb!$A$1:$WV$1800,11,FALSE), "NA")</f>
        <v>137605</v>
      </c>
      <c r="BA7">
        <f>IFERROR(VLOOKUP($A7,reformattedTable4olfactory_bulb!$A$1:$WV$1800,12,FALSE), "NA")</f>
        <v>269383</v>
      </c>
      <c r="BB7">
        <f>IFERROR(VLOOKUP($A7,reformattedTable4olfactory_bulb!$A$1:$WV$1800,13,FALSE), "NA")</f>
        <v>105563</v>
      </c>
      <c r="BC7">
        <f>IFERROR(VLOOKUP($A7,reformattedTable4olfactory_bulb!$A$1:$WV$1800,14,FALSE), "NA")</f>
        <v>1.2090000000000001</v>
      </c>
      <c r="BD7" t="str">
        <f>IFERROR(VLOOKUP($A7,reformattedTable4olfactory_bulb!$A$1:$WV$1800,15,FALSE), "NA")</f>
        <v>NA</v>
      </c>
      <c r="BE7" t="str">
        <f>IFERROR(VLOOKUP($A7,reformattedTable4olfactory_bulb!$A$1:$WV$1800,16,FALSE), "NA")</f>
        <v>Ribeiro et al., 2014</v>
      </c>
      <c r="BF7" t="str">
        <f>IFERROR(VLOOKUP($A7,reformattedTable4olfactory_bulb!$A$1:$WV$1800,17,FALSE), "NA")</f>
        <v>Callithrix_jacchus</v>
      </c>
      <c r="BG7">
        <f>IFERROR(VLOOKUP($A7,reformattedTable5whole_brain!$A$1:$WV$1800,4,FALSE), "NA")</f>
        <v>361</v>
      </c>
      <c r="BH7">
        <f>IFERROR(VLOOKUP($A7,reformattedTable5whole_brain!$A$1:$WV$1800,5,FALSE), "NA")</f>
        <v>1.4</v>
      </c>
      <c r="BI7">
        <f>IFERROR(VLOOKUP($A7,reformattedTable5whole_brain!$A$1:$WV$1800,6,FALSE), "NA")</f>
        <v>7.78</v>
      </c>
      <c r="BJ7">
        <f>IFERROR(VLOOKUP($A7,reformattedTable5whole_brain!$A$1:$WV$1800,7,FALSE), "NA")</f>
        <v>0.65400000000000003</v>
      </c>
      <c r="BK7">
        <f>IFERROR(VLOOKUP($A7,reformattedTable5whole_brain!$A$1:$WV$1800,8,FALSE), "NA")</f>
        <v>635800000</v>
      </c>
      <c r="BL7">
        <f>IFERROR(VLOOKUP($A7,reformattedTable5whole_brain!$A$1:$WV$1800,9,FALSE), "NA")</f>
        <v>115730000</v>
      </c>
      <c r="BM7">
        <f>IFERROR(VLOOKUP($A7,reformattedTable5whole_brain!$A$1:$WV$1800,10,FALSE), "NA")</f>
        <v>590740000</v>
      </c>
      <c r="BN7">
        <f>IFERROR(VLOOKUP($A7,reformattedTable5whole_brain!$A$1:$WV$1800,11,FALSE), "NA")</f>
        <v>70810000</v>
      </c>
      <c r="BO7">
        <f>IFERROR(VLOOKUP($A7,reformattedTable5whole_brain!$A$1:$WV$1800,12,FALSE), "NA")</f>
        <v>51.7</v>
      </c>
      <c r="BP7" t="str">
        <f>IFERROR(VLOOKUP($A7,reformattedTable5whole_brain!$A$1:$WV$1800,13,FALSE), "NA")</f>
        <v>NA</v>
      </c>
      <c r="BQ7" t="str">
        <f>IFERROR(VLOOKUP($A7,reformattedTable5whole_brain!$A$1:$WV$1800,14,FALSE), "NA")</f>
        <v>Herculano-Houzel et al., 2007</v>
      </c>
      <c r="BR7" t="str">
        <f>IFERROR(VLOOKUP($A7,reformattedTable5whole_brain!$A$1:$WV$1800,15,FALSE), "NA")</f>
        <v>Callithrix_jacchus</v>
      </c>
    </row>
    <row r="8" spans="1:70">
      <c r="A8" t="s">
        <v>55</v>
      </c>
      <c r="B8" t="s">
        <v>19</v>
      </c>
      <c r="C8">
        <f>IFERROR(VLOOKUP($A8,reformattedTable1cerebrum!$A$1:$WV$1800,4,FALSE), "NA")</f>
        <v>1.9379999999999999</v>
      </c>
      <c r="D8">
        <f>IFERROR(VLOOKUP($A8,reformattedTable1cerebrum!$A$1:$WV$1800,5,FALSE), "NA")</f>
        <v>0.23100000000000001</v>
      </c>
      <c r="E8">
        <f>IFERROR(VLOOKUP($A8,reformattedTable1cerebrum!$A$1:$WV$1800,6,FALSE), "NA")</f>
        <v>43510525</v>
      </c>
      <c r="F8">
        <f>IFERROR(VLOOKUP($A8,reformattedTable1cerebrum!$A$1:$WV$1800,7,FALSE), "NA")</f>
        <v>3169924</v>
      </c>
      <c r="G8">
        <f>IFERROR(VLOOKUP($A8,reformattedTable1cerebrum!$A$1:$WV$1800,8,FALSE), "NA")</f>
        <v>108614475</v>
      </c>
      <c r="H8">
        <f>IFERROR(VLOOKUP($A8,reformattedTable1cerebrum!$A$1:$WV$1800,9,FALSE), "NA")</f>
        <v>12775334</v>
      </c>
      <c r="I8">
        <f>IFERROR(VLOOKUP($A8,reformattedTable1cerebrum!$A$1:$WV$1800,10,FALSE), "NA")</f>
        <v>22508</v>
      </c>
      <c r="J8">
        <f>IFERROR(VLOOKUP($A8,reformattedTable1cerebrum!$A$1:$WV$1800,11,FALSE), "NA")</f>
        <v>1050</v>
      </c>
      <c r="K8">
        <f>IFERROR(VLOOKUP($A8,reformattedTable1cerebrum!$A$1:$WV$1800,12,FALSE), "NA")</f>
        <v>56036</v>
      </c>
      <c r="L8">
        <f>IFERROR(VLOOKUP($A8,reformattedTable1cerebrum!$A$1:$WV$1800,13,FALSE), "NA")</f>
        <v>93</v>
      </c>
      <c r="M8">
        <f>IFERROR(VLOOKUP($A8,reformattedTable1cerebrum!$A$1:$WV$1800,14,FALSE), "NA")</f>
        <v>2.492</v>
      </c>
      <c r="N8">
        <f>IFERROR(VLOOKUP($A8,reformattedTable1cerebrum!$A$1:$WV$1800,15,FALSE), "NA")</f>
        <v>0.112</v>
      </c>
      <c r="O8" t="str">
        <f>IFERROR(VLOOKUP($A8,reformattedTable1cerebrum!$A$1:$WV$1800,16,FALSE), "NA")</f>
        <v>Herculano-Houzel et al., 2006</v>
      </c>
      <c r="P8" t="str">
        <f>IFERROR(VLOOKUP($A8,reformattedTable1cerebrum!$A$1:$WV$1800,17,FALSE), "NA")</f>
        <v>Cavia_porcellus</v>
      </c>
      <c r="Q8">
        <f>IFERROR(VLOOKUP($A8,reformattedTable2cerebellum!$A$1:$WW$1800,4,FALSE), "NA")</f>
        <v>0.5</v>
      </c>
      <c r="R8">
        <f>IFERROR(VLOOKUP($A8,reformattedTable2cerebellum!$A$1:$WW$1800,5,FALSE), "NA")</f>
        <v>7.6999999999999999E-2</v>
      </c>
      <c r="S8">
        <f>IFERROR(VLOOKUP($A8,reformattedTable2cerebellum!$A$1:$WW$1800,6,FALSE), "NA")</f>
        <v>167854925</v>
      </c>
      <c r="T8">
        <f>IFERROR(VLOOKUP($A8,reformattedTable2cerebellum!$A$1:$WW$1800,7,FALSE), "NA")</f>
        <v>2175973</v>
      </c>
      <c r="U8">
        <f>IFERROR(VLOOKUP($A8,reformattedTable2cerebellum!$A$1:$WW$1800,8,FALSE), "NA")</f>
        <v>36290075</v>
      </c>
      <c r="V8">
        <f>IFERROR(VLOOKUP($A8,reformattedTable2cerebellum!$A$1:$WW$1800,9,FALSE), "NA")</f>
        <v>4506186</v>
      </c>
      <c r="W8">
        <f>IFERROR(VLOOKUP($A8,reformattedTable2cerebellum!$A$1:$WW$1800,10,FALSE), "NA")</f>
        <v>339755</v>
      </c>
      <c r="X8">
        <f>IFERROR(VLOOKUP($A8,reformattedTable2cerebellum!$A$1:$WW$1800,11,FALSE), "NA")</f>
        <v>48069</v>
      </c>
      <c r="Y8">
        <f>IFERROR(VLOOKUP($A8,reformattedTable2cerebellum!$A$1:$WW$1800,12,FALSE), "NA")</f>
        <v>72824</v>
      </c>
      <c r="Z8">
        <f>IFERROR(VLOOKUP($A8,reformattedTable2cerebellum!$A$1:$WW$1800,13,FALSE), "NA")</f>
        <v>2216</v>
      </c>
      <c r="AA8">
        <f>IFERROR(VLOOKUP($A8,reformattedTable2cerebellum!$A$1:$WW$1800,14,FALSE), "NA")</f>
        <v>0.216</v>
      </c>
      <c r="AB8">
        <f>IFERROR(VLOOKUP($A8,reformattedTable2cerebellum!$A$1:$WW$1800,15,FALSE), "NA")</f>
        <v>2.4E-2</v>
      </c>
      <c r="AC8" t="str">
        <f>IFERROR(VLOOKUP($A8,reformattedTable2cerebellum!$A$1:$WW$1800,16,FALSE), "NA")</f>
        <v>Herculano-Houzel et al., 2006</v>
      </c>
      <c r="AD8" t="str">
        <f>IFERROR(VLOOKUP($A8,reformattedTable2cerebellum!$A$1:$WW$1800,17,FALSE), "NA")</f>
        <v>Cavia_porcellus</v>
      </c>
      <c r="AE8">
        <f>IFERROR(VLOOKUP($A8,reformattedTable3RoB!$A$1:$WW$1800,4,FALSE), "NA")</f>
        <v>1.218</v>
      </c>
      <c r="AF8">
        <f>IFERROR(VLOOKUP($A8,reformattedTable3RoB!$A$1:$WW$1800,5,FALSE), "NA")</f>
        <v>0.17799999999999999</v>
      </c>
      <c r="AG8">
        <f>IFERROR(VLOOKUP($A8,reformattedTable3RoB!$A$1:$WW$1800,6,FALSE), "NA")</f>
        <v>22191825</v>
      </c>
      <c r="AH8">
        <f>IFERROR(VLOOKUP($A8,reformattedTable3RoB!$A$1:$WW$1800,7,FALSE), "NA")</f>
        <v>9431638</v>
      </c>
      <c r="AI8">
        <f>IFERROR(VLOOKUP($A8,reformattedTable3RoB!$A$1:$WW$1800,8,FALSE), "NA")</f>
        <v>83183175</v>
      </c>
      <c r="AJ8">
        <f>IFERROR(VLOOKUP($A8,reformattedTable3RoB!$A$1:$WW$1800,9,FALSE), "NA")</f>
        <v>8139966</v>
      </c>
      <c r="AK8">
        <f>IFERROR(VLOOKUP($A8,reformattedTable3RoB!$A$1:$WW$1800,10,FALSE), "NA")</f>
        <v>18990</v>
      </c>
      <c r="AL8">
        <f>IFERROR(VLOOKUP($A8,reformattedTable3RoB!$A$1:$WW$1800,11,FALSE), "NA")</f>
        <v>10522</v>
      </c>
      <c r="AM8">
        <f>IFERROR(VLOOKUP($A8,reformattedTable3RoB!$A$1:$WW$1800,12,FALSE), "NA")</f>
        <v>69528</v>
      </c>
      <c r="AN8">
        <f>IFERROR(VLOOKUP($A8,reformattedTable3RoB!$A$1:$WW$1800,13,FALSE), "NA")</f>
        <v>16855</v>
      </c>
      <c r="AO8">
        <f>IFERROR(VLOOKUP($A8,reformattedTable3RoB!$A$1:$WW$1800,14,FALSE), "NA")</f>
        <v>4.0350000000000001</v>
      </c>
      <c r="AP8" t="str">
        <f>IFERROR(VLOOKUP($A8,reformattedTable3RoB!$A$1:$WW$1800,15,FALSE), "NA")</f>
        <v>NA</v>
      </c>
      <c r="AQ8" t="str">
        <f>IFERROR(VLOOKUP($A8,reformattedTable3RoB!$A$1:$WW$1800,16,FALSE), "NA")</f>
        <v>Herculano-Houzel et al., 2006</v>
      </c>
      <c r="AR8" t="str">
        <f>IFERROR(VLOOKUP($A8,reformattedTable3RoB!$A$1:$WW$1800,17,FALSE), "NA")</f>
        <v>Cavia_porcellus</v>
      </c>
      <c r="AS8">
        <f>IFERROR(VLOOKUP($A8,reformattedTable4olfactory_bulb!$A$1:$WV$1800,4,FALSE), "NA")</f>
        <v>0.10299999999999999</v>
      </c>
      <c r="AT8">
        <f>IFERROR(VLOOKUP($A8,reformattedTable4olfactory_bulb!$A$1:$WV$1800,5,FALSE), "NA")</f>
        <v>1.2999999999999999E-2</v>
      </c>
      <c r="AU8">
        <f>IFERROR(VLOOKUP($A8,reformattedTable4olfactory_bulb!$A$1:$WV$1800,6,FALSE), "NA")</f>
        <v>6065700</v>
      </c>
      <c r="AV8">
        <f>IFERROR(VLOOKUP($A8,reformattedTable4olfactory_bulb!$A$1:$WV$1800,7,FALSE), "NA")</f>
        <v>1295335</v>
      </c>
      <c r="AW8">
        <f>IFERROR(VLOOKUP($A8,reformattedTable4olfactory_bulb!$A$1:$WV$1800,8,FALSE), "NA")</f>
        <v>10154300</v>
      </c>
      <c r="AX8">
        <f>IFERROR(VLOOKUP($A8,reformattedTable4olfactory_bulb!$A$1:$WV$1800,9,FALSE), "NA")</f>
        <v>4220098</v>
      </c>
      <c r="AY8">
        <f>IFERROR(VLOOKUP($A8,reformattedTable4olfactory_bulb!$A$1:$WV$1800,10,FALSE), "NA")</f>
        <v>58560</v>
      </c>
      <c r="AZ8">
        <f>IFERROR(VLOOKUP($A8,reformattedTable4olfactory_bulb!$A$1:$WV$1800,11,FALSE), "NA")</f>
        <v>5340</v>
      </c>
      <c r="BA8">
        <f>IFERROR(VLOOKUP($A8,reformattedTable4olfactory_bulb!$A$1:$WV$1800,12,FALSE), "NA")</f>
        <v>96793</v>
      </c>
      <c r="BB8">
        <f>IFERROR(VLOOKUP($A8,reformattedTable4olfactory_bulb!$A$1:$WV$1800,13,FALSE), "NA")</f>
        <v>29011</v>
      </c>
      <c r="BC8">
        <f>IFERROR(VLOOKUP($A8,reformattedTable4olfactory_bulb!$A$1:$WV$1800,14,FALSE), "NA")</f>
        <v>1.637</v>
      </c>
      <c r="BD8">
        <f>IFERROR(VLOOKUP($A8,reformattedTable4olfactory_bulb!$A$1:$WV$1800,15,FALSE), "NA")</f>
        <v>0.34599999999999997</v>
      </c>
      <c r="BE8" t="str">
        <f>IFERROR(VLOOKUP($A8,reformattedTable4olfactory_bulb!$A$1:$WV$1800,16,FALSE), "NA")</f>
        <v>Herculano-Houzel et al., 2006</v>
      </c>
      <c r="BF8" t="str">
        <f>IFERROR(VLOOKUP($A8,reformattedTable4olfactory_bulb!$A$1:$WV$1800,17,FALSE), "NA")</f>
        <v>Cavia_porcellus</v>
      </c>
      <c r="BG8">
        <f>IFERROR(VLOOKUP($A8,reformattedTable5whole_brain!$A$1:$WV$1800,4,FALSE), "NA")</f>
        <v>311</v>
      </c>
      <c r="BH8">
        <f>IFERROR(VLOOKUP($A8,reformattedTable5whole_brain!$A$1:$WV$1800,5,FALSE), "NA")</f>
        <v>49.1</v>
      </c>
      <c r="BI8">
        <f>IFERROR(VLOOKUP($A8,reformattedTable5whole_brain!$A$1:$WV$1800,6,FALSE), "NA")</f>
        <v>3.6560000000000001</v>
      </c>
      <c r="BJ8">
        <f>IFERROR(VLOOKUP($A8,reformattedTable5whole_brain!$A$1:$WV$1800,7,FALSE), "NA")</f>
        <v>0.48599999999999999</v>
      </c>
      <c r="BK8">
        <f>IFERROR(VLOOKUP($A8,reformattedTable5whole_brain!$A$1:$WV$1800,8,FALSE), "NA")</f>
        <v>233557275</v>
      </c>
      <c r="BL8">
        <f>IFERROR(VLOOKUP($A8,reformattedTable5whole_brain!$A$1:$WV$1800,9,FALSE), "NA")</f>
        <v>4085741</v>
      </c>
      <c r="BM8">
        <f>IFERROR(VLOOKUP($A8,reformattedTable5whole_brain!$A$1:$WV$1800,10,FALSE), "NA")</f>
        <v>228087725</v>
      </c>
      <c r="BN8">
        <f>IFERROR(VLOOKUP($A8,reformattedTable5whole_brain!$A$1:$WV$1800,11,FALSE), "NA")</f>
        <v>9141554</v>
      </c>
      <c r="BO8">
        <f>IFERROR(VLOOKUP($A8,reformattedTable5whole_brain!$A$1:$WV$1800,12,FALSE), "NA")</f>
        <v>50.6</v>
      </c>
      <c r="BP8">
        <f>IFERROR(VLOOKUP($A8,reformattedTable5whole_brain!$A$1:$WV$1800,13,FALSE), "NA")</f>
        <v>1.4</v>
      </c>
      <c r="BQ8" t="str">
        <f>IFERROR(VLOOKUP($A8,reformattedTable5whole_brain!$A$1:$WV$1800,14,FALSE), "NA")</f>
        <v>Herculano-Houzel et al., 2006</v>
      </c>
      <c r="BR8" t="str">
        <f>IFERROR(VLOOKUP($A8,reformattedTable5whole_brain!$A$1:$WV$1800,15,FALSE), "NA")</f>
        <v>Cavia_porcellus</v>
      </c>
    </row>
    <row r="9" spans="1:70">
      <c r="A9" t="s">
        <v>81</v>
      </c>
      <c r="B9" t="s">
        <v>44</v>
      </c>
      <c r="C9">
        <f>IFERROR(VLOOKUP($A9,reformattedTable1cerebrum!$A$1:$WV$1800,4,FALSE), "NA")</f>
        <v>39.177999999999997</v>
      </c>
      <c r="D9" t="str">
        <f>IFERROR(VLOOKUP($A9,reformattedTable1cerebrum!$A$1:$WV$1800,5,FALSE), "NA")</f>
        <v>NA</v>
      </c>
      <c r="E9">
        <f>IFERROR(VLOOKUP($A9,reformattedTable1cerebrum!$A$1:$WV$1800,6,FALSE), "NA")</f>
        <v>1140000000</v>
      </c>
      <c r="F9" t="str">
        <f>IFERROR(VLOOKUP($A9,reformattedTable1cerebrum!$A$1:$WV$1800,7,FALSE), "NA")</f>
        <v>NA</v>
      </c>
      <c r="G9">
        <f>IFERROR(VLOOKUP($A9,reformattedTable1cerebrum!$A$1:$WV$1800,8,FALSE), "NA")</f>
        <v>2550000000</v>
      </c>
      <c r="H9" t="str">
        <f>IFERROR(VLOOKUP($A9,reformattedTable1cerebrum!$A$1:$WV$1800,9,FALSE), "NA")</f>
        <v>NA</v>
      </c>
      <c r="I9">
        <f>IFERROR(VLOOKUP($A9,reformattedTable1cerebrum!$A$1:$WV$1800,10,FALSE), "NA")</f>
        <v>29180</v>
      </c>
      <c r="J9" t="str">
        <f>IFERROR(VLOOKUP($A9,reformattedTable1cerebrum!$A$1:$WV$1800,11,FALSE), "NA")</f>
        <v>NA</v>
      </c>
      <c r="K9">
        <f>IFERROR(VLOOKUP($A9,reformattedTable1cerebrum!$A$1:$WV$1800,12,FALSE), "NA")</f>
        <v>64980</v>
      </c>
      <c r="L9" t="str">
        <f>IFERROR(VLOOKUP($A9,reformattedTable1cerebrum!$A$1:$WV$1800,13,FALSE), "NA")</f>
        <v>NA</v>
      </c>
      <c r="M9">
        <f>IFERROR(VLOOKUP($A9,reformattedTable1cerebrum!$A$1:$WV$1800,14,FALSE), "NA")</f>
        <v>2.2370000000000001</v>
      </c>
      <c r="N9" t="str">
        <f>IFERROR(VLOOKUP($A9,reformattedTable1cerebrum!$A$1:$WV$1800,15,FALSE), "NA")</f>
        <v>NA</v>
      </c>
      <c r="O9" t="str">
        <f>IFERROR(VLOOKUP($A9,reformattedTable1cerebrum!$A$1:$WV$1800,16,FALSE), "NA")</f>
        <v>Herculano-Houzel et al., 2007</v>
      </c>
      <c r="P9" t="str">
        <f>IFERROR(VLOOKUP($A9,reformattedTable1cerebrum!$A$1:$WV$1800,17,FALSE), "NA")</f>
        <v>Cebus_apella</v>
      </c>
      <c r="Q9">
        <f>IFERROR(VLOOKUP($A9,reformattedTable2cerebellum!$A$1:$WW$1800,4,FALSE), "NA")</f>
        <v>4.5999999999999996</v>
      </c>
      <c r="R9" t="str">
        <f>IFERROR(VLOOKUP($A9,reformattedTable2cerebellum!$A$1:$WW$1800,5,FALSE), "NA")</f>
        <v>NA</v>
      </c>
      <c r="S9">
        <f>IFERROR(VLOOKUP($A9,reformattedTable2cerebellum!$A$1:$WW$1800,6,FALSE), "NA")</f>
        <v>2490000000</v>
      </c>
      <c r="T9" t="str">
        <f>IFERROR(VLOOKUP($A9,reformattedTable2cerebellum!$A$1:$WW$1800,7,FALSE), "NA")</f>
        <v>NA</v>
      </c>
      <c r="U9">
        <f>IFERROR(VLOOKUP($A9,reformattedTable2cerebellum!$A$1:$WW$1800,8,FALSE), "NA")</f>
        <v>245810000</v>
      </c>
      <c r="V9" t="str">
        <f>IFERROR(VLOOKUP($A9,reformattedTable2cerebellum!$A$1:$WW$1800,9,FALSE), "NA")</f>
        <v>NA</v>
      </c>
      <c r="W9">
        <f>IFERROR(VLOOKUP($A9,reformattedTable2cerebellum!$A$1:$WW$1800,10,FALSE), "NA")</f>
        <v>540310</v>
      </c>
      <c r="X9" t="str">
        <f>IFERROR(VLOOKUP($A9,reformattedTable2cerebellum!$A$1:$WW$1800,11,FALSE), "NA")</f>
        <v>NA</v>
      </c>
      <c r="Y9">
        <f>IFERROR(VLOOKUP($A9,reformattedTable2cerebellum!$A$1:$WW$1800,12,FALSE), "NA")</f>
        <v>53440</v>
      </c>
      <c r="Z9" t="str">
        <f>IFERROR(VLOOKUP($A9,reformattedTable2cerebellum!$A$1:$WW$1800,13,FALSE), "NA")</f>
        <v>NA</v>
      </c>
      <c r="AA9">
        <f>IFERROR(VLOOKUP($A9,reformattedTable2cerebellum!$A$1:$WW$1800,14,FALSE), "NA")</f>
        <v>9.9000000000000005E-2</v>
      </c>
      <c r="AB9" t="str">
        <f>IFERROR(VLOOKUP($A9,reformattedTable2cerebellum!$A$1:$WW$1800,15,FALSE), "NA")</f>
        <v>NA</v>
      </c>
      <c r="AC9" t="str">
        <f>IFERROR(VLOOKUP($A9,reformattedTable2cerebellum!$A$1:$WW$1800,16,FALSE), "NA")</f>
        <v>Herculano-Houzel et al., 2007</v>
      </c>
      <c r="AD9" t="str">
        <f>IFERROR(VLOOKUP($A9,reformattedTable2cerebellum!$A$1:$WW$1800,17,FALSE), "NA")</f>
        <v>Cebus_apella</v>
      </c>
      <c r="AE9">
        <f>IFERROR(VLOOKUP($A9,reformattedTable3RoB!$A$1:$WW$1800,4,FALSE), "NA")</f>
        <v>8.43</v>
      </c>
      <c r="AF9" t="str">
        <f>IFERROR(VLOOKUP($A9,reformattedTable3RoB!$A$1:$WW$1800,5,FALSE), "NA")</f>
        <v>NA</v>
      </c>
      <c r="AG9">
        <f>IFERROR(VLOOKUP($A9,reformattedTable3RoB!$A$1:$WW$1800,6,FALSE), "NA")</f>
        <v>61850000</v>
      </c>
      <c r="AH9" t="str">
        <f>IFERROR(VLOOKUP($A9,reformattedTable3RoB!$A$1:$WW$1800,7,FALSE), "NA")</f>
        <v>NA</v>
      </c>
      <c r="AI9">
        <f>IFERROR(VLOOKUP($A9,reformattedTable3RoB!$A$1:$WW$1800,8,FALSE), "NA")</f>
        <v>506110000</v>
      </c>
      <c r="AJ9" t="str">
        <f>IFERROR(VLOOKUP($A9,reformattedTable3RoB!$A$1:$WW$1800,9,FALSE), "NA")</f>
        <v>NA</v>
      </c>
      <c r="AK9">
        <f>IFERROR(VLOOKUP($A9,reformattedTable3RoB!$A$1:$WW$1800,10,FALSE), "NA")</f>
        <v>7340</v>
      </c>
      <c r="AL9" t="str">
        <f>IFERROR(VLOOKUP($A9,reformattedTable3RoB!$A$1:$WW$1800,11,FALSE), "NA")</f>
        <v>NA</v>
      </c>
      <c r="AM9">
        <f>IFERROR(VLOOKUP($A9,reformattedTable3RoB!$A$1:$WW$1800,12,FALSE), "NA")</f>
        <v>60040</v>
      </c>
      <c r="AN9" t="str">
        <f>IFERROR(VLOOKUP($A9,reformattedTable3RoB!$A$1:$WW$1800,13,FALSE), "NA")</f>
        <v>NA</v>
      </c>
      <c r="AO9">
        <f>IFERROR(VLOOKUP($A9,reformattedTable3RoB!$A$1:$WW$1800,14,FALSE), "NA")</f>
        <v>8.1829999999999998</v>
      </c>
      <c r="AP9" t="str">
        <f>IFERROR(VLOOKUP($A9,reformattedTable3RoB!$A$1:$WW$1800,15,FALSE), "NA")</f>
        <v>NA</v>
      </c>
      <c r="AQ9" t="str">
        <f>IFERROR(VLOOKUP($A9,reformattedTable3RoB!$A$1:$WW$1800,16,FALSE), "NA")</f>
        <v>Herculano-Houzel et al., 2007</v>
      </c>
      <c r="AR9" t="str">
        <f>IFERROR(VLOOKUP($A9,reformattedTable3RoB!$A$1:$WW$1800,17,FALSE), "NA")</f>
        <v>Cebus_apella</v>
      </c>
      <c r="AS9" t="str">
        <f>IFERROR(VLOOKUP($A9,reformattedTable4olfactory_bulb!$A$1:$WV$1800,4,FALSE), "NA")</f>
        <v>NA</v>
      </c>
      <c r="AT9" t="str">
        <f>IFERROR(VLOOKUP($A9,reformattedTable4olfactory_bulb!$A$1:$WV$1800,5,FALSE), "NA")</f>
        <v>NA</v>
      </c>
      <c r="AU9" t="str">
        <f>IFERROR(VLOOKUP($A9,reformattedTable4olfactory_bulb!$A$1:$WV$1800,6,FALSE), "NA")</f>
        <v>NA</v>
      </c>
      <c r="AV9" t="str">
        <f>IFERROR(VLOOKUP($A9,reformattedTable4olfactory_bulb!$A$1:$WV$1800,7,FALSE), "NA")</f>
        <v>NA</v>
      </c>
      <c r="AW9" t="str">
        <f>IFERROR(VLOOKUP($A9,reformattedTable4olfactory_bulb!$A$1:$WV$1800,8,FALSE), "NA")</f>
        <v>NA</v>
      </c>
      <c r="AX9" t="str">
        <f>IFERROR(VLOOKUP($A9,reformattedTable4olfactory_bulb!$A$1:$WV$1800,9,FALSE), "NA")</f>
        <v>NA</v>
      </c>
      <c r="AY9" t="str">
        <f>IFERROR(VLOOKUP($A9,reformattedTable4olfactory_bulb!$A$1:$WV$1800,10,FALSE), "NA")</f>
        <v>NA</v>
      </c>
      <c r="AZ9" t="str">
        <f>IFERROR(VLOOKUP($A9,reformattedTable4olfactory_bulb!$A$1:$WV$1800,11,FALSE), "NA")</f>
        <v>NA</v>
      </c>
      <c r="BA9" t="str">
        <f>IFERROR(VLOOKUP($A9,reformattedTable4olfactory_bulb!$A$1:$WV$1800,12,FALSE), "NA")</f>
        <v>NA</v>
      </c>
      <c r="BB9" t="str">
        <f>IFERROR(VLOOKUP($A9,reformattedTable4olfactory_bulb!$A$1:$WV$1800,13,FALSE), "NA")</f>
        <v>NA</v>
      </c>
      <c r="BC9" t="str">
        <f>IFERROR(VLOOKUP($A9,reformattedTable4olfactory_bulb!$A$1:$WV$1800,14,FALSE), "NA")</f>
        <v>NA</v>
      </c>
      <c r="BD9" t="str">
        <f>IFERROR(VLOOKUP($A9,reformattedTable4olfactory_bulb!$A$1:$WV$1800,15,FALSE), "NA")</f>
        <v>NA</v>
      </c>
      <c r="BE9" t="str">
        <f>IFERROR(VLOOKUP($A9,reformattedTable4olfactory_bulb!$A$1:$WV$1800,16,FALSE), "NA")</f>
        <v>NA</v>
      </c>
      <c r="BF9" t="str">
        <f>IFERROR(VLOOKUP($A9,reformattedTable4olfactory_bulb!$A$1:$WV$1800,17,FALSE), "NA")</f>
        <v>NA</v>
      </c>
      <c r="BG9">
        <f>IFERROR(VLOOKUP($A9,reformattedTable5whole_brain!$A$1:$WV$1800,4,FALSE), "NA")</f>
        <v>3340</v>
      </c>
      <c r="BH9" t="str">
        <f>IFERROR(VLOOKUP($A9,reformattedTable5whole_brain!$A$1:$WV$1800,5,FALSE), "NA")</f>
        <v>NA</v>
      </c>
      <c r="BI9">
        <f>IFERROR(VLOOKUP($A9,reformattedTable5whole_brain!$A$1:$WV$1800,6,FALSE), "NA")</f>
        <v>52.207999999999998</v>
      </c>
      <c r="BJ9" t="str">
        <f>IFERROR(VLOOKUP($A9,reformattedTable5whole_brain!$A$1:$WV$1800,7,FALSE), "NA")</f>
        <v>NA</v>
      </c>
      <c r="BK9">
        <f>IFERROR(VLOOKUP($A9,reformattedTable5whole_brain!$A$1:$WV$1800,8,FALSE), "NA")</f>
        <v>3690520000</v>
      </c>
      <c r="BL9" t="str">
        <f>IFERROR(VLOOKUP($A9,reformattedTable5whole_brain!$A$1:$WV$1800,9,FALSE), "NA")</f>
        <v>NA</v>
      </c>
      <c r="BM9">
        <f>IFERROR(VLOOKUP($A9,reformattedTable5whole_brain!$A$1:$WV$1800,10,FALSE), "NA")</f>
        <v>3297740000</v>
      </c>
      <c r="BN9" t="str">
        <f>IFERROR(VLOOKUP($A9,reformattedTable5whole_brain!$A$1:$WV$1800,11,FALSE), "NA")</f>
        <v>NA</v>
      </c>
      <c r="BO9">
        <f>IFERROR(VLOOKUP($A9,reformattedTable5whole_brain!$A$1:$WV$1800,12,FALSE), "NA")</f>
        <v>52.8</v>
      </c>
      <c r="BP9" t="str">
        <f>IFERROR(VLOOKUP($A9,reformattedTable5whole_brain!$A$1:$WV$1800,13,FALSE), "NA")</f>
        <v>NA</v>
      </c>
      <c r="BQ9" t="str">
        <f>IFERROR(VLOOKUP($A9,reformattedTable5whole_brain!$A$1:$WV$1800,14,FALSE), "NA")</f>
        <v>Herculano-Houzel et al., 2007</v>
      </c>
      <c r="BR9" t="str">
        <f>IFERROR(VLOOKUP($A9,reformattedTable5whole_brain!$A$1:$WV$1800,15,FALSE), "NA")</f>
        <v>Cebus_apella</v>
      </c>
    </row>
    <row r="10" spans="1:70">
      <c r="A10" t="s">
        <v>27</v>
      </c>
      <c r="B10" t="s">
        <v>15</v>
      </c>
      <c r="C10">
        <f>IFERROR(VLOOKUP($A10,reformattedTable1cerebrum!$A$1:$WV$1800,4,FALSE), "NA")</f>
        <v>0.42</v>
      </c>
      <c r="D10">
        <f>IFERROR(VLOOKUP($A10,reformattedTable1cerebrum!$A$1:$WV$1800,5,FALSE), "NA")</f>
        <v>2.4E-2</v>
      </c>
      <c r="E10">
        <f>IFERROR(VLOOKUP($A10,reformattedTable1cerebrum!$A$1:$WV$1800,6,FALSE), "NA")</f>
        <v>17250000</v>
      </c>
      <c r="F10">
        <f>IFERROR(VLOOKUP($A10,reformattedTable1cerebrum!$A$1:$WV$1800,7,FALSE), "NA")</f>
        <v>3105000</v>
      </c>
      <c r="G10">
        <f>IFERROR(VLOOKUP($A10,reformattedTable1cerebrum!$A$1:$WV$1800,8,FALSE), "NA")</f>
        <v>32010000</v>
      </c>
      <c r="H10">
        <f>IFERROR(VLOOKUP($A10,reformattedTable1cerebrum!$A$1:$WV$1800,9,FALSE), "NA")</f>
        <v>8822000</v>
      </c>
      <c r="I10">
        <f>IFERROR(VLOOKUP($A10,reformattedTable1cerebrum!$A$1:$WV$1800,10,FALSE), "NA")</f>
        <v>40777</v>
      </c>
      <c r="J10">
        <f>IFERROR(VLOOKUP($A10,reformattedTable1cerebrum!$A$1:$WV$1800,11,FALSE), "NA")</f>
        <v>5145</v>
      </c>
      <c r="K10">
        <f>IFERROR(VLOOKUP($A10,reformattedTable1cerebrum!$A$1:$WV$1800,12,FALSE), "NA")</f>
        <v>76995</v>
      </c>
      <c r="L10">
        <f>IFERROR(VLOOKUP($A10,reformattedTable1cerebrum!$A$1:$WV$1800,13,FALSE), "NA")</f>
        <v>25019</v>
      </c>
      <c r="M10">
        <f>IFERROR(VLOOKUP($A10,reformattedTable1cerebrum!$A$1:$WV$1800,14,FALSE), "NA")</f>
        <v>1.966</v>
      </c>
      <c r="N10">
        <f>IFERROR(VLOOKUP($A10,reformattedTable1cerebrum!$A$1:$WV$1800,15,FALSE), "NA")</f>
        <v>0.92400000000000004</v>
      </c>
      <c r="O10" t="str">
        <f>IFERROR(VLOOKUP($A10,reformattedTable1cerebrum!$A$1:$WV$1800,16,FALSE), "NA")</f>
        <v>Sarko et al., 2009</v>
      </c>
      <c r="P10" t="str">
        <f>IFERROR(VLOOKUP($A10,reformattedTable1cerebrum!$A$1:$WV$1800,17,FALSE), "NA")</f>
        <v>Condylura_cristata</v>
      </c>
      <c r="Q10">
        <f>IFERROR(VLOOKUP($A10,reformattedTable2cerebellum!$A$1:$WW$1800,4,FALSE), "NA")</f>
        <v>0.13800000000000001</v>
      </c>
      <c r="R10">
        <f>IFERROR(VLOOKUP($A10,reformattedTable2cerebellum!$A$1:$WW$1800,5,FALSE), "NA")</f>
        <v>1.2E-2</v>
      </c>
      <c r="S10">
        <f>IFERROR(VLOOKUP($A10,reformattedTable2cerebellum!$A$1:$WW$1800,6,FALSE), "NA")</f>
        <v>105920000</v>
      </c>
      <c r="T10">
        <f>IFERROR(VLOOKUP($A10,reformattedTable2cerebellum!$A$1:$WW$1800,7,FALSE), "NA")</f>
        <v>22100000</v>
      </c>
      <c r="U10">
        <f>IFERROR(VLOOKUP($A10,reformattedTable2cerebellum!$A$1:$WW$1800,8,FALSE), "NA")</f>
        <v>19480000</v>
      </c>
      <c r="V10">
        <f>IFERROR(VLOOKUP($A10,reformattedTable2cerebellum!$A$1:$WW$1800,9,FALSE), "NA")</f>
        <v>6420000</v>
      </c>
      <c r="W10">
        <f>IFERROR(VLOOKUP($A10,reformattedTable2cerebellum!$A$1:$WW$1800,10,FALSE), "NA")</f>
        <v>776460</v>
      </c>
      <c r="X10">
        <f>IFERROR(VLOOKUP($A10,reformattedTable2cerebellum!$A$1:$WW$1800,11,FALSE), "NA")</f>
        <v>181530</v>
      </c>
      <c r="Y10">
        <f>IFERROR(VLOOKUP($A10,reformattedTable2cerebellum!$A$1:$WW$1800,12,FALSE), "NA")</f>
        <v>139912</v>
      </c>
      <c r="Z10">
        <f>IFERROR(VLOOKUP($A10,reformattedTable2cerebellum!$A$1:$WW$1800,13,FALSE), "NA")</f>
        <v>39720</v>
      </c>
      <c r="AA10">
        <f>IFERROR(VLOOKUP($A10,reformattedTable2cerebellum!$A$1:$WW$1800,14,FALSE), "NA")</f>
        <v>0.184</v>
      </c>
      <c r="AB10" t="str">
        <f>IFERROR(VLOOKUP($A10,reformattedTable2cerebellum!$A$1:$WW$1800,15,FALSE), "NA")</f>
        <v>NA</v>
      </c>
      <c r="AC10" t="str">
        <f>IFERROR(VLOOKUP($A10,reformattedTable2cerebellum!$A$1:$WW$1800,16,FALSE), "NA")</f>
        <v>Sarko et al., 2009</v>
      </c>
      <c r="AD10" t="str">
        <f>IFERROR(VLOOKUP($A10,reformattedTable2cerebellum!$A$1:$WW$1800,17,FALSE), "NA")</f>
        <v>Condylura_cristata</v>
      </c>
      <c r="AE10">
        <f>IFERROR(VLOOKUP($A10,reformattedTable3RoB!$A$1:$WW$1800,4,FALSE), "NA")</f>
        <v>0.24399999999999999</v>
      </c>
      <c r="AF10">
        <f>IFERROR(VLOOKUP($A10,reformattedTable3RoB!$A$1:$WW$1800,5,FALSE), "NA")</f>
        <v>2.5999999999999999E-2</v>
      </c>
      <c r="AG10">
        <f>IFERROR(VLOOKUP($A10,reformattedTable3RoB!$A$1:$WW$1800,6,FALSE), "NA")</f>
        <v>8160000</v>
      </c>
      <c r="AH10">
        <f>IFERROR(VLOOKUP($A10,reformattedTable3RoB!$A$1:$WW$1800,7,FALSE), "NA")</f>
        <v>2180000</v>
      </c>
      <c r="AI10">
        <f>IFERROR(VLOOKUP($A10,reformattedTable3RoB!$A$1:$WW$1800,8,FALSE), "NA")</f>
        <v>31550000</v>
      </c>
      <c r="AJ10">
        <f>IFERROR(VLOOKUP($A10,reformattedTable3RoB!$A$1:$WW$1800,9,FALSE), "NA")</f>
        <v>5950000</v>
      </c>
      <c r="AK10">
        <f>IFERROR(VLOOKUP($A10,reformattedTable3RoB!$A$1:$WW$1800,10,FALSE), "NA")</f>
        <v>33475</v>
      </c>
      <c r="AL10">
        <f>IFERROR(VLOOKUP($A10,reformattedTable3RoB!$A$1:$WW$1800,11,FALSE), "NA")</f>
        <v>8560</v>
      </c>
      <c r="AM10">
        <f>IFERROR(VLOOKUP($A10,reformattedTable3RoB!$A$1:$WW$1800,12,FALSE), "NA")</f>
        <v>128990</v>
      </c>
      <c r="AN10">
        <f>IFERROR(VLOOKUP($A10,reformattedTable3RoB!$A$1:$WW$1800,13,FALSE), "NA")</f>
        <v>17820</v>
      </c>
      <c r="AO10">
        <f>IFERROR(VLOOKUP($A10,reformattedTable3RoB!$A$1:$WW$1800,14,FALSE), "NA")</f>
        <v>3.8660000000000001</v>
      </c>
      <c r="AP10">
        <f>IFERROR(VLOOKUP($A10,reformattedTable3RoB!$A$1:$WW$1800,15,FALSE), "NA")</f>
        <v>1.6919999999999999</v>
      </c>
      <c r="AQ10" t="str">
        <f>IFERROR(VLOOKUP($A10,reformattedTable3RoB!$A$1:$WW$1800,16,FALSE), "NA")</f>
        <v>Sarko et al., 2009</v>
      </c>
      <c r="AR10" t="str">
        <f>IFERROR(VLOOKUP($A10,reformattedTable3RoB!$A$1:$WW$1800,17,FALSE), "NA")</f>
        <v>Condylura_cristata</v>
      </c>
      <c r="AS10">
        <f>IFERROR(VLOOKUP($A10,reformattedTable4olfactory_bulb!$A$1:$WV$1800,4,FALSE), "NA")</f>
        <v>0.04</v>
      </c>
      <c r="AT10">
        <f>IFERROR(VLOOKUP($A10,reformattedTable4olfactory_bulb!$A$1:$WV$1800,5,FALSE), "NA")</f>
        <v>5.0000000000000001E-3</v>
      </c>
      <c r="AU10">
        <f>IFERROR(VLOOKUP($A10,reformattedTable4olfactory_bulb!$A$1:$WV$1800,6,FALSE), "NA")</f>
        <v>10550000</v>
      </c>
      <c r="AV10">
        <f>IFERROR(VLOOKUP($A10,reformattedTable4olfactory_bulb!$A$1:$WV$1800,7,FALSE), "NA")</f>
        <v>4290000</v>
      </c>
      <c r="AW10">
        <f>IFERROR(VLOOKUP($A10,reformattedTable4olfactory_bulb!$A$1:$WV$1800,8,FALSE), "NA")</f>
        <v>7470000</v>
      </c>
      <c r="AX10">
        <f>IFERROR(VLOOKUP($A10,reformattedTable4olfactory_bulb!$A$1:$WV$1800,9,FALSE), "NA")</f>
        <v>970000</v>
      </c>
      <c r="AY10">
        <f>IFERROR(VLOOKUP($A10,reformattedTable4olfactory_bulb!$A$1:$WV$1800,10,FALSE), "NA")</f>
        <v>254720</v>
      </c>
      <c r="AZ10">
        <f>IFERROR(VLOOKUP($A10,reformattedTable4olfactory_bulb!$A$1:$WV$1800,11,FALSE), "NA")</f>
        <v>74620</v>
      </c>
      <c r="BA10">
        <f>IFERROR(VLOOKUP($A10,reformattedTable4olfactory_bulb!$A$1:$WV$1800,12,FALSE), "NA")</f>
        <v>185124</v>
      </c>
      <c r="BB10">
        <f>IFERROR(VLOOKUP($A10,reformattedTable4olfactory_bulb!$A$1:$WV$1800,13,FALSE), "NA")</f>
        <v>19370</v>
      </c>
      <c r="BC10">
        <f>IFERROR(VLOOKUP($A10,reformattedTable4olfactory_bulb!$A$1:$WV$1800,14,FALSE), "NA")</f>
        <v>0.70799999999999996</v>
      </c>
      <c r="BD10">
        <f>IFERROR(VLOOKUP($A10,reformattedTable4olfactory_bulb!$A$1:$WV$1800,15,FALSE), "NA")</f>
        <v>0.32800000000000001</v>
      </c>
      <c r="BE10" t="str">
        <f>IFERROR(VLOOKUP($A10,reformattedTable4olfactory_bulb!$A$1:$WV$1800,16,FALSE), "NA")</f>
        <v>Sarko et al., 2009</v>
      </c>
      <c r="BF10" t="str">
        <f>IFERROR(VLOOKUP($A10,reformattedTable4olfactory_bulb!$A$1:$WV$1800,17,FALSE), "NA")</f>
        <v>Condylura_cristata</v>
      </c>
      <c r="BG10">
        <f>IFERROR(VLOOKUP($A10,reformattedTable5whole_brain!$A$1:$WV$1800,4,FALSE), "NA")</f>
        <v>41.1</v>
      </c>
      <c r="BH10">
        <f>IFERROR(VLOOKUP($A10,reformattedTable5whole_brain!$A$1:$WV$1800,5,FALSE), "NA")</f>
        <v>4.7</v>
      </c>
      <c r="BI10">
        <f>IFERROR(VLOOKUP($A10,reformattedTable5whole_brain!$A$1:$WV$1800,6,FALSE), "NA")</f>
        <v>0.80200000000000005</v>
      </c>
      <c r="BJ10">
        <f>IFERROR(VLOOKUP($A10,reformattedTable5whole_brain!$A$1:$WV$1800,7,FALSE), "NA")</f>
        <v>4.5999999999999999E-2</v>
      </c>
      <c r="BK10">
        <f>IFERROR(VLOOKUP($A10,reformattedTable5whole_brain!$A$1:$WV$1800,8,FALSE), "NA")</f>
        <v>131330000</v>
      </c>
      <c r="BL10">
        <f>IFERROR(VLOOKUP($A10,reformattedTable5whole_brain!$A$1:$WV$1800,9,FALSE), "NA")</f>
        <v>21229000</v>
      </c>
      <c r="BM10">
        <f>IFERROR(VLOOKUP($A10,reformattedTable5whole_brain!$A$1:$WV$1800,10,FALSE), "NA")</f>
        <v>83040000</v>
      </c>
      <c r="BN10">
        <f>IFERROR(VLOOKUP($A10,reformattedTable5whole_brain!$A$1:$WV$1800,11,FALSE), "NA")</f>
        <v>19046000</v>
      </c>
      <c r="BO10">
        <f>IFERROR(VLOOKUP($A10,reformattedTable5whole_brain!$A$1:$WV$1800,12,FALSE), "NA")</f>
        <v>61.3</v>
      </c>
      <c r="BP10">
        <f>IFERROR(VLOOKUP($A10,reformattedTable5whole_brain!$A$1:$WV$1800,13,FALSE), "NA")</f>
        <v>6.3</v>
      </c>
      <c r="BQ10" t="str">
        <f>IFERROR(VLOOKUP($A10,reformattedTable5whole_brain!$A$1:$WV$1800,14,FALSE), "NA")</f>
        <v>Sarko et al., 2009</v>
      </c>
      <c r="BR10" t="str">
        <f>IFERROR(VLOOKUP($A10,reformattedTable5whole_brain!$A$1:$WV$1800,15,FALSE), "NA")</f>
        <v>Condylura_cristata</v>
      </c>
    </row>
    <row r="11" spans="1:70">
      <c r="A11" t="s">
        <v>57</v>
      </c>
      <c r="B11" t="s">
        <v>19</v>
      </c>
      <c r="C11">
        <f>IFERROR(VLOOKUP($A11,reformattedTable1cerebrum!$A$1:$WV$1800,4,FALSE), "NA")</f>
        <v>2.5859999999999999</v>
      </c>
      <c r="D11">
        <f>IFERROR(VLOOKUP($A11,reformattedTable1cerebrum!$A$1:$WV$1800,5,FALSE), "NA")</f>
        <v>0.109</v>
      </c>
      <c r="E11">
        <f>IFERROR(VLOOKUP($A11,reformattedTable1cerebrum!$A$1:$WV$1800,6,FALSE), "NA")</f>
        <v>53768353</v>
      </c>
      <c r="F11">
        <f>IFERROR(VLOOKUP($A11,reformattedTable1cerebrum!$A$1:$WV$1800,7,FALSE), "NA")</f>
        <v>6044322</v>
      </c>
      <c r="G11">
        <f>IFERROR(VLOOKUP($A11,reformattedTable1cerebrum!$A$1:$WV$1800,8,FALSE), "NA")</f>
        <v>183451647</v>
      </c>
      <c r="H11">
        <f>IFERROR(VLOOKUP($A11,reformattedTable1cerebrum!$A$1:$WV$1800,9,FALSE), "NA")</f>
        <v>17959104</v>
      </c>
      <c r="I11">
        <f>IFERROR(VLOOKUP($A11,reformattedTable1cerebrum!$A$1:$WV$1800,10,FALSE), "NA")</f>
        <v>20866</v>
      </c>
      <c r="J11">
        <f>IFERROR(VLOOKUP($A11,reformattedTable1cerebrum!$A$1:$WV$1800,11,FALSE), "NA")</f>
        <v>3113</v>
      </c>
      <c r="K11">
        <f>IFERROR(VLOOKUP($A11,reformattedTable1cerebrum!$A$1:$WV$1800,12,FALSE), "NA")</f>
        <v>71202</v>
      </c>
      <c r="L11">
        <f>IFERROR(VLOOKUP($A11,reformattedTable1cerebrum!$A$1:$WV$1800,13,FALSE), "NA")</f>
        <v>9677</v>
      </c>
      <c r="M11">
        <f>IFERROR(VLOOKUP($A11,reformattedTable1cerebrum!$A$1:$WV$1800,14,FALSE), "NA")</f>
        <v>3.4319999999999999</v>
      </c>
      <c r="N11">
        <f>IFERROR(VLOOKUP($A11,reformattedTable1cerebrum!$A$1:$WV$1800,15,FALSE), "NA")</f>
        <v>0.433</v>
      </c>
      <c r="O11" t="str">
        <f>IFERROR(VLOOKUP($A11,reformattedTable1cerebrum!$A$1:$WV$1800,16,FALSE), "NA")</f>
        <v>Herculano-Houzel et al., 2011</v>
      </c>
      <c r="P11" t="str">
        <f>IFERROR(VLOOKUP($A11,reformattedTable1cerebrum!$A$1:$WV$1800,17,FALSE), "NA")</f>
        <v>Cynomys_sp.</v>
      </c>
      <c r="Q11">
        <f>IFERROR(VLOOKUP($A11,reformattedTable2cerebellum!$A$1:$WW$1800,4,FALSE), "NA")</f>
        <v>0.78900000000000003</v>
      </c>
      <c r="R11">
        <f>IFERROR(VLOOKUP($A11,reformattedTable2cerebellum!$A$1:$WW$1800,5,FALSE), "NA")</f>
        <v>9.2999999999999999E-2</v>
      </c>
      <c r="S11">
        <f>IFERROR(VLOOKUP($A11,reformattedTable2cerebellum!$A$1:$WW$1800,6,FALSE), "NA")</f>
        <v>350084813</v>
      </c>
      <c r="T11">
        <f>IFERROR(VLOOKUP($A11,reformattedTable2cerebellum!$A$1:$WW$1800,7,FALSE), "NA")</f>
        <v>72177851</v>
      </c>
      <c r="U11">
        <f>IFERROR(VLOOKUP($A11,reformattedTable2cerebellum!$A$1:$WW$1800,8,FALSE), "NA")</f>
        <v>66155187</v>
      </c>
      <c r="V11">
        <f>IFERROR(VLOOKUP($A11,reformattedTable2cerebellum!$A$1:$WW$1800,9,FALSE), "NA")</f>
        <v>39268821</v>
      </c>
      <c r="W11">
        <f>IFERROR(VLOOKUP($A11,reformattedTable2cerebellum!$A$1:$WW$1800,10,FALSE), "NA")</f>
        <v>440658</v>
      </c>
      <c r="X11">
        <f>IFERROR(VLOOKUP($A11,reformattedTable2cerebellum!$A$1:$WW$1800,11,FALSE), "NA")</f>
        <v>39554</v>
      </c>
      <c r="Y11">
        <f>IFERROR(VLOOKUP($A11,reformattedTable2cerebellum!$A$1:$WW$1800,12,FALSE), "NA")</f>
        <v>84802</v>
      </c>
      <c r="Z11">
        <f>IFERROR(VLOOKUP($A11,reformattedTable2cerebellum!$A$1:$WW$1800,13,FALSE), "NA")</f>
        <v>54286</v>
      </c>
      <c r="AA11">
        <f>IFERROR(VLOOKUP($A11,reformattedTable2cerebellum!$A$1:$WW$1800,14,FALSE), "NA")</f>
        <v>0.192</v>
      </c>
      <c r="AB11">
        <f>IFERROR(VLOOKUP($A11,reformattedTable2cerebellum!$A$1:$WW$1800,15,FALSE), "NA")</f>
        <v>0.123</v>
      </c>
      <c r="AC11" t="str">
        <f>IFERROR(VLOOKUP($A11,reformattedTable2cerebellum!$A$1:$WW$1800,16,FALSE), "NA")</f>
        <v>Herculano-Houzel et al., 2011</v>
      </c>
      <c r="AD11" t="str">
        <f>IFERROR(VLOOKUP($A11,reformattedTable2cerebellum!$A$1:$WW$1800,17,FALSE), "NA")</f>
        <v>Cynomys_sp.</v>
      </c>
      <c r="AE11">
        <f>IFERROR(VLOOKUP($A11,reformattedTable3RoB!$A$1:$WW$1800,4,FALSE), "NA")</f>
        <v>1.9450000000000001</v>
      </c>
      <c r="AF11">
        <f>IFERROR(VLOOKUP($A11,reformattedTable3RoB!$A$1:$WW$1800,5,FALSE), "NA")</f>
        <v>0.14599999999999999</v>
      </c>
      <c r="AG11">
        <f>IFERROR(VLOOKUP($A11,reformattedTable3RoB!$A$1:$WW$1800,6,FALSE), "NA")</f>
        <v>34090600</v>
      </c>
      <c r="AH11">
        <f>IFERROR(VLOOKUP($A11,reformattedTable3RoB!$A$1:$WW$1800,7,FALSE), "NA")</f>
        <v>589361</v>
      </c>
      <c r="AI11">
        <f>IFERROR(VLOOKUP($A11,reformattedTable3RoB!$A$1:$WW$1800,8,FALSE), "NA")</f>
        <v>167742733</v>
      </c>
      <c r="AJ11">
        <f>IFERROR(VLOOKUP($A11,reformattedTable3RoB!$A$1:$WW$1800,9,FALSE), "NA")</f>
        <v>5025290</v>
      </c>
      <c r="AK11">
        <f>IFERROR(VLOOKUP($A11,reformattedTable3RoB!$A$1:$WW$1800,10,FALSE), "NA")</f>
        <v>17590</v>
      </c>
      <c r="AL11">
        <f>IFERROR(VLOOKUP($A11,reformattedTable3RoB!$A$1:$WW$1800,11,FALSE), "NA")</f>
        <v>1335</v>
      </c>
      <c r="AM11">
        <f>IFERROR(VLOOKUP($A11,reformattedTable3RoB!$A$1:$WW$1800,12,FALSE), "NA")</f>
        <v>86542</v>
      </c>
      <c r="AN11">
        <f>IFERROR(VLOOKUP($A11,reformattedTable3RoB!$A$1:$WW$1800,13,FALSE), "NA")</f>
        <v>6793</v>
      </c>
      <c r="AO11">
        <f>IFERROR(VLOOKUP($A11,reformattedTable3RoB!$A$1:$WW$1800,14,FALSE), "NA")</f>
        <v>4.923</v>
      </c>
      <c r="AP11" t="str">
        <f>IFERROR(VLOOKUP($A11,reformattedTable3RoB!$A$1:$WW$1800,15,FALSE), "NA")</f>
        <v>NA</v>
      </c>
      <c r="AQ11" t="str">
        <f>IFERROR(VLOOKUP($A11,reformattedTable3RoB!$A$1:$WW$1800,16,FALSE), "NA")</f>
        <v>Herculano-Houzel et al., 2011</v>
      </c>
      <c r="AR11" t="str">
        <f>IFERROR(VLOOKUP($A11,reformattedTable3RoB!$A$1:$WW$1800,17,FALSE), "NA")</f>
        <v>Cynomys_sp.</v>
      </c>
      <c r="AS11" t="str">
        <f>IFERROR(VLOOKUP($A11,reformattedTable4olfactory_bulb!$A$1:$WV$1800,4,FALSE), "NA")</f>
        <v>NA</v>
      </c>
      <c r="AT11" t="str">
        <f>IFERROR(VLOOKUP($A11,reformattedTable4olfactory_bulb!$A$1:$WV$1800,5,FALSE), "NA")</f>
        <v>NA</v>
      </c>
      <c r="AU11" t="str">
        <f>IFERROR(VLOOKUP($A11,reformattedTable4olfactory_bulb!$A$1:$WV$1800,6,FALSE), "NA")</f>
        <v>NA</v>
      </c>
      <c r="AV11" t="str">
        <f>IFERROR(VLOOKUP($A11,reformattedTable4olfactory_bulb!$A$1:$WV$1800,7,FALSE), "NA")</f>
        <v>NA</v>
      </c>
      <c r="AW11" t="str">
        <f>IFERROR(VLOOKUP($A11,reformattedTable4olfactory_bulb!$A$1:$WV$1800,8,FALSE), "NA")</f>
        <v>NA</v>
      </c>
      <c r="AX11" t="str">
        <f>IFERROR(VLOOKUP($A11,reformattedTable4olfactory_bulb!$A$1:$WV$1800,9,FALSE), "NA")</f>
        <v>NA</v>
      </c>
      <c r="AY11" t="str">
        <f>IFERROR(VLOOKUP($A11,reformattedTable4olfactory_bulb!$A$1:$WV$1800,10,FALSE), "NA")</f>
        <v>NA</v>
      </c>
      <c r="AZ11" t="str">
        <f>IFERROR(VLOOKUP($A11,reformattedTable4olfactory_bulb!$A$1:$WV$1800,11,FALSE), "NA")</f>
        <v>NA</v>
      </c>
      <c r="BA11" t="str">
        <f>IFERROR(VLOOKUP($A11,reformattedTable4olfactory_bulb!$A$1:$WV$1800,12,FALSE), "NA")</f>
        <v>NA</v>
      </c>
      <c r="BB11" t="str">
        <f>IFERROR(VLOOKUP($A11,reformattedTable4olfactory_bulb!$A$1:$WV$1800,13,FALSE), "NA")</f>
        <v>NA</v>
      </c>
      <c r="BC11" t="str">
        <f>IFERROR(VLOOKUP($A11,reformattedTable4olfactory_bulb!$A$1:$WV$1800,14,FALSE), "NA")</f>
        <v>NA</v>
      </c>
      <c r="BD11" t="str">
        <f>IFERROR(VLOOKUP($A11,reformattedTable4olfactory_bulb!$A$1:$WV$1800,15,FALSE), "NA")</f>
        <v>NA</v>
      </c>
      <c r="BE11" t="str">
        <f>IFERROR(VLOOKUP($A11,reformattedTable4olfactory_bulb!$A$1:$WV$1800,16,FALSE), "NA")</f>
        <v>NA</v>
      </c>
      <c r="BF11" t="str">
        <f>IFERROR(VLOOKUP($A11,reformattedTable4olfactory_bulb!$A$1:$WV$1800,17,FALSE), "NA")</f>
        <v>NA</v>
      </c>
      <c r="BG11">
        <f>IFERROR(VLOOKUP($A11,reformattedTable5whole_brain!$A$1:$WV$1800,4,FALSE), "NA")</f>
        <v>1515</v>
      </c>
      <c r="BH11">
        <f>IFERROR(VLOOKUP($A11,reformattedTable5whole_brain!$A$1:$WV$1800,5,FALSE), "NA")</f>
        <v>230.6</v>
      </c>
      <c r="BI11">
        <f>IFERROR(VLOOKUP($A11,reformattedTable5whole_brain!$A$1:$WV$1800,6,FALSE), "NA")</f>
        <v>5.3209999999999997</v>
      </c>
      <c r="BJ11">
        <f>IFERROR(VLOOKUP($A11,reformattedTable5whole_brain!$A$1:$WV$1800,7,FALSE), "NA")</f>
        <v>0.19700000000000001</v>
      </c>
      <c r="BK11">
        <f>IFERROR(VLOOKUP($A11,reformattedTable5whole_brain!$A$1:$WV$1800,8,FALSE), "NA")</f>
        <v>437943767</v>
      </c>
      <c r="BL11">
        <f>IFERROR(VLOOKUP($A11,reformattedTable5whole_brain!$A$1:$WV$1800,9,FALSE), "NA")</f>
        <v>78742230</v>
      </c>
      <c r="BM11">
        <f>IFERROR(VLOOKUP($A11,reformattedTable5whole_brain!$A$1:$WV$1800,10,FALSE), "NA")</f>
        <v>417349567</v>
      </c>
      <c r="BN11">
        <f>IFERROR(VLOOKUP($A11,reformattedTable5whole_brain!$A$1:$WV$1800,11,FALSE), "NA")</f>
        <v>27350023</v>
      </c>
      <c r="BO11">
        <f>IFERROR(VLOOKUP($A11,reformattedTable5whole_brain!$A$1:$WV$1800,12,FALSE), "NA")</f>
        <v>51</v>
      </c>
      <c r="BP11">
        <f>IFERROR(VLOOKUP($A11,reformattedTable5whole_brain!$A$1:$WV$1800,13,FALSE), "NA")</f>
        <v>4.2</v>
      </c>
      <c r="BQ11" t="str">
        <f>IFERROR(VLOOKUP($A11,reformattedTable5whole_brain!$A$1:$WV$1800,14,FALSE), "NA")</f>
        <v>Herculano-Houzel et al., 2011</v>
      </c>
      <c r="BR11" t="str">
        <f>IFERROR(VLOOKUP($A11,reformattedTable5whole_brain!$A$1:$WV$1800,15,FALSE), "NA")</f>
        <v>Cynomys_sp.</v>
      </c>
    </row>
    <row r="12" spans="1:70">
      <c r="A12" t="s">
        <v>95</v>
      </c>
      <c r="B12" t="s">
        <v>86</v>
      </c>
      <c r="C12">
        <f>IFERROR(VLOOKUP($A12,reformattedTable1cerebrum!$A$1:$WV$1800,4,FALSE), "NA")</f>
        <v>111.31</v>
      </c>
      <c r="D12" t="str">
        <f>IFERROR(VLOOKUP($A12,reformattedTable1cerebrum!$A$1:$WV$1800,5,FALSE), "NA")</f>
        <v>NA</v>
      </c>
      <c r="E12">
        <f>IFERROR(VLOOKUP($A12,reformattedTable1cerebrum!$A$1:$WV$1800,6,FALSE), "NA")</f>
        <v>570673431</v>
      </c>
      <c r="F12" t="str">
        <f>IFERROR(VLOOKUP($A12,reformattedTable1cerebrum!$A$1:$WV$1800,7,FALSE), "NA")</f>
        <v>NA</v>
      </c>
      <c r="G12">
        <f>IFERROR(VLOOKUP($A12,reformattedTable1cerebrum!$A$1:$WV$1800,8,FALSE), "NA")</f>
        <v>6762256227</v>
      </c>
      <c r="H12" t="str">
        <f>IFERROR(VLOOKUP($A12,reformattedTable1cerebrum!$A$1:$WV$1800,9,FALSE), "NA")</f>
        <v>NA</v>
      </c>
      <c r="I12">
        <f>IFERROR(VLOOKUP($A12,reformattedTable1cerebrum!$A$1:$WV$1800,10,FALSE), "NA")</f>
        <v>5127</v>
      </c>
      <c r="J12" t="str">
        <f>IFERROR(VLOOKUP($A12,reformattedTable1cerebrum!$A$1:$WV$1800,11,FALSE), "NA")</f>
        <v>NA</v>
      </c>
      <c r="K12">
        <f>IFERROR(VLOOKUP($A12,reformattedTable1cerebrum!$A$1:$WV$1800,12,FALSE), "NA")</f>
        <v>60760</v>
      </c>
      <c r="L12" t="str">
        <f>IFERROR(VLOOKUP($A12,reformattedTable1cerebrum!$A$1:$WV$1800,13,FALSE), "NA")</f>
        <v>NA</v>
      </c>
      <c r="M12">
        <f>IFERROR(VLOOKUP($A12,reformattedTable1cerebrum!$A$1:$WV$1800,14,FALSE), "NA")</f>
        <v>11.851000000000001</v>
      </c>
      <c r="N12" t="str">
        <f>IFERROR(VLOOKUP($A12,reformattedTable1cerebrum!$A$1:$WV$1800,15,FALSE), "NA")</f>
        <v>NA</v>
      </c>
      <c r="O12" t="str">
        <f>IFERROR(VLOOKUP($A12,reformattedTable1cerebrum!$A$1:$WV$1800,16,FALSE), "NA")</f>
        <v>Kazu et al., 2014</v>
      </c>
      <c r="P12" t="str">
        <f>IFERROR(VLOOKUP($A12,reformattedTable1cerebrum!$A$1:$WV$1800,17,FALSE), "NA")</f>
        <v>Damaliscus_dorcas_phillipsi</v>
      </c>
      <c r="Q12">
        <f>IFERROR(VLOOKUP($A12,reformattedTable2cerebellum!$A$1:$WW$1800,4,FALSE), "NA")</f>
        <v>13.401999999999999</v>
      </c>
      <c r="R12" t="str">
        <f>IFERROR(VLOOKUP($A12,reformattedTable2cerebellum!$A$1:$WW$1800,5,FALSE), "NA")</f>
        <v>NA</v>
      </c>
      <c r="S12">
        <f>IFERROR(VLOOKUP($A12,reformattedTable2cerebellum!$A$1:$WW$1800,6,FALSE), "NA")</f>
        <v>2401712670</v>
      </c>
      <c r="T12" t="str">
        <f>IFERROR(VLOOKUP($A12,reformattedTable2cerebellum!$A$1:$WW$1800,7,FALSE), "NA")</f>
        <v>NA</v>
      </c>
      <c r="U12">
        <f>IFERROR(VLOOKUP($A12,reformattedTable2cerebellum!$A$1:$WW$1800,8,FALSE), "NA")</f>
        <v>443918456</v>
      </c>
      <c r="V12" t="str">
        <f>IFERROR(VLOOKUP($A12,reformattedTable2cerebellum!$A$1:$WW$1800,9,FALSE), "NA")</f>
        <v>NA</v>
      </c>
      <c r="W12">
        <f>IFERROR(VLOOKUP($A12,reformattedTable2cerebellum!$A$1:$WW$1800,10,FALSE), "NA")</f>
        <v>179206</v>
      </c>
      <c r="X12" t="str">
        <f>IFERROR(VLOOKUP($A12,reformattedTable2cerebellum!$A$1:$WW$1800,11,FALSE), "NA")</f>
        <v>NA</v>
      </c>
      <c r="Y12">
        <f>IFERROR(VLOOKUP($A12,reformattedTable2cerebellum!$A$1:$WW$1800,12,FALSE), "NA")</f>
        <v>33123</v>
      </c>
      <c r="Z12" t="str">
        <f>IFERROR(VLOOKUP($A12,reformattedTable2cerebellum!$A$1:$WW$1800,13,FALSE), "NA")</f>
        <v>NA</v>
      </c>
      <c r="AA12">
        <f>IFERROR(VLOOKUP($A12,reformattedTable2cerebellum!$A$1:$WW$1800,14,FALSE), "NA")</f>
        <v>0.184</v>
      </c>
      <c r="AB12" t="str">
        <f>IFERROR(VLOOKUP($A12,reformattedTable2cerebellum!$A$1:$WW$1800,15,FALSE), "NA")</f>
        <v>NA</v>
      </c>
      <c r="AC12" t="str">
        <f>IFERROR(VLOOKUP($A12,reformattedTable2cerebellum!$A$1:$WW$1800,16,FALSE), "NA")</f>
        <v>Kazu et al., 2014</v>
      </c>
      <c r="AD12" t="str">
        <f>IFERROR(VLOOKUP($A12,reformattedTable2cerebellum!$A$1:$WW$1800,17,FALSE), "NA")</f>
        <v>Damaliscus_dorcas_phillipsi</v>
      </c>
      <c r="AE12">
        <f>IFERROR(VLOOKUP($A12,reformattedTable3RoB!$A$1:$WW$1800,4,FALSE), "NA")</f>
        <v>30.006</v>
      </c>
      <c r="AF12" t="str">
        <f>IFERROR(VLOOKUP($A12,reformattedTable3RoB!$A$1:$WW$1800,5,FALSE), "NA")</f>
        <v>NA</v>
      </c>
      <c r="AG12">
        <f>IFERROR(VLOOKUP($A12,reformattedTable3RoB!$A$1:$WW$1800,6,FALSE), "NA")</f>
        <v>86428126</v>
      </c>
      <c r="AH12" t="str">
        <f>IFERROR(VLOOKUP($A12,reformattedTable3RoB!$A$1:$WW$1800,7,FALSE), "NA")</f>
        <v>NA</v>
      </c>
      <c r="AI12">
        <f>IFERROR(VLOOKUP($A12,reformattedTable3RoB!$A$1:$WW$1800,8,FALSE), "NA")</f>
        <v>2136071876</v>
      </c>
      <c r="AJ12" t="str">
        <f>IFERROR(VLOOKUP($A12,reformattedTable3RoB!$A$1:$WW$1800,9,FALSE), "NA")</f>
        <v>NA</v>
      </c>
      <c r="AK12">
        <f>IFERROR(VLOOKUP($A12,reformattedTable3RoB!$A$1:$WW$1800,10,FALSE), "NA")</f>
        <v>2880</v>
      </c>
      <c r="AL12" t="str">
        <f>IFERROR(VLOOKUP($A12,reformattedTable3RoB!$A$1:$WW$1800,11,FALSE), "NA")</f>
        <v>NA</v>
      </c>
      <c r="AM12">
        <f>IFERROR(VLOOKUP($A12,reformattedTable3RoB!$A$1:$WW$1800,12,FALSE), "NA")</f>
        <v>71188</v>
      </c>
      <c r="AN12" t="str">
        <f>IFERROR(VLOOKUP($A12,reformattedTable3RoB!$A$1:$WW$1800,13,FALSE), "NA")</f>
        <v>NA</v>
      </c>
      <c r="AO12">
        <f>IFERROR(VLOOKUP($A12,reformattedTable3RoB!$A$1:$WW$1800,14,FALSE), "NA")</f>
        <v>24.718</v>
      </c>
      <c r="AP12" t="str">
        <f>IFERROR(VLOOKUP($A12,reformattedTable3RoB!$A$1:$WW$1800,15,FALSE), "NA")</f>
        <v>NA</v>
      </c>
      <c r="AQ12" t="str">
        <f>IFERROR(VLOOKUP($A12,reformattedTable3RoB!$A$1:$WW$1800,16,FALSE), "NA")</f>
        <v>Kazu et al., 2014</v>
      </c>
      <c r="AR12" t="str">
        <f>IFERROR(VLOOKUP($A12,reformattedTable3RoB!$A$1:$WW$1800,17,FALSE), "NA")</f>
        <v>Damaliscus_dorcas_phillipsi</v>
      </c>
      <c r="AS12" t="str">
        <f>IFERROR(VLOOKUP($A12,reformattedTable4olfactory_bulb!$A$1:$WV$1800,4,FALSE), "NA")</f>
        <v>NA</v>
      </c>
      <c r="AT12" t="str">
        <f>IFERROR(VLOOKUP($A12,reformattedTable4olfactory_bulb!$A$1:$WV$1800,5,FALSE), "NA")</f>
        <v>NA</v>
      </c>
      <c r="AU12" t="str">
        <f>IFERROR(VLOOKUP($A12,reformattedTable4olfactory_bulb!$A$1:$WV$1800,6,FALSE), "NA")</f>
        <v>NA</v>
      </c>
      <c r="AV12" t="str">
        <f>IFERROR(VLOOKUP($A12,reformattedTable4olfactory_bulb!$A$1:$WV$1800,7,FALSE), "NA")</f>
        <v>NA</v>
      </c>
      <c r="AW12" t="str">
        <f>IFERROR(VLOOKUP($A12,reformattedTable4olfactory_bulb!$A$1:$WV$1800,8,FALSE), "NA")</f>
        <v>NA</v>
      </c>
      <c r="AX12" t="str">
        <f>IFERROR(VLOOKUP($A12,reformattedTable4olfactory_bulb!$A$1:$WV$1800,9,FALSE), "NA")</f>
        <v>NA</v>
      </c>
      <c r="AY12" t="str">
        <f>IFERROR(VLOOKUP($A12,reformattedTable4olfactory_bulb!$A$1:$WV$1800,10,FALSE), "NA")</f>
        <v>NA</v>
      </c>
      <c r="AZ12" t="str">
        <f>IFERROR(VLOOKUP($A12,reformattedTable4olfactory_bulb!$A$1:$WV$1800,11,FALSE), "NA")</f>
        <v>NA</v>
      </c>
      <c r="BA12" t="str">
        <f>IFERROR(VLOOKUP($A12,reformattedTable4olfactory_bulb!$A$1:$WV$1800,12,FALSE), "NA")</f>
        <v>NA</v>
      </c>
      <c r="BB12" t="str">
        <f>IFERROR(VLOOKUP($A12,reformattedTable4olfactory_bulb!$A$1:$WV$1800,13,FALSE), "NA")</f>
        <v>NA</v>
      </c>
      <c r="BC12" t="str">
        <f>IFERROR(VLOOKUP($A12,reformattedTable4olfactory_bulb!$A$1:$WV$1800,14,FALSE), "NA")</f>
        <v>NA</v>
      </c>
      <c r="BD12" t="str">
        <f>IFERROR(VLOOKUP($A12,reformattedTable4olfactory_bulb!$A$1:$WV$1800,15,FALSE), "NA")</f>
        <v>NA</v>
      </c>
      <c r="BE12" t="str">
        <f>IFERROR(VLOOKUP($A12,reformattedTable4olfactory_bulb!$A$1:$WV$1800,16,FALSE), "NA")</f>
        <v>NA</v>
      </c>
      <c r="BF12" t="str">
        <f>IFERROR(VLOOKUP($A12,reformattedTable4olfactory_bulb!$A$1:$WV$1800,17,FALSE), "NA")</f>
        <v>NA</v>
      </c>
      <c r="BG12">
        <f>IFERROR(VLOOKUP($A12,reformattedTable5whole_brain!$A$1:$WV$1800,4,FALSE), "NA")</f>
        <v>60000</v>
      </c>
      <c r="BH12" t="str">
        <f>IFERROR(VLOOKUP($A12,reformattedTable5whole_brain!$A$1:$WV$1800,5,FALSE), "NA")</f>
        <v>NA</v>
      </c>
      <c r="BI12">
        <f>IFERROR(VLOOKUP($A12,reformattedTable5whole_brain!$A$1:$WV$1800,6,FALSE), "NA")</f>
        <v>154.71799999999999</v>
      </c>
      <c r="BJ12" t="str">
        <f>IFERROR(VLOOKUP($A12,reformattedTable5whole_brain!$A$1:$WV$1800,7,FALSE), "NA")</f>
        <v>NA</v>
      </c>
      <c r="BK12">
        <f>IFERROR(VLOOKUP($A12,reformattedTable5whole_brain!$A$1:$WV$1800,8,FALSE), "NA")</f>
        <v>3058814227</v>
      </c>
      <c r="BL12" t="str">
        <f>IFERROR(VLOOKUP($A12,reformattedTable5whole_brain!$A$1:$WV$1800,9,FALSE), "NA")</f>
        <v>NA</v>
      </c>
      <c r="BM12">
        <f>IFERROR(VLOOKUP($A12,reformattedTable5whole_brain!$A$1:$WV$1800,10,FALSE), "NA")</f>
        <v>9343246559</v>
      </c>
      <c r="BN12" t="str">
        <f>IFERROR(VLOOKUP($A12,reformattedTable5whole_brain!$A$1:$WV$1800,11,FALSE), "NA")</f>
        <v>NA</v>
      </c>
      <c r="BO12">
        <f>IFERROR(VLOOKUP($A12,reformattedTable5whole_brain!$A$1:$WV$1800,12,FALSE), "NA")</f>
        <v>24.7</v>
      </c>
      <c r="BP12" t="str">
        <f>IFERROR(VLOOKUP($A12,reformattedTable5whole_brain!$A$1:$WV$1800,13,FALSE), "NA")</f>
        <v>NA</v>
      </c>
      <c r="BQ12" t="str">
        <f>IFERROR(VLOOKUP($A12,reformattedTable5whole_brain!$A$1:$WV$1800,14,FALSE), "NA")</f>
        <v>Kazu et al., 2014</v>
      </c>
      <c r="BR12" t="str">
        <f>IFERROR(VLOOKUP($A12,reformattedTable5whole_brain!$A$1:$WV$1800,15,FALSE), "NA")</f>
        <v>Damaliscus_dorcas_phillipsi</v>
      </c>
    </row>
    <row r="13" spans="1:70">
      <c r="A13" t="s">
        <v>69</v>
      </c>
      <c r="B13" t="s">
        <v>19</v>
      </c>
      <c r="C13">
        <f>IFERROR(VLOOKUP($A13,reformattedTable1cerebrum!$A$1:$WV$1800,4,FALSE), "NA")</f>
        <v>8.9130000000000003</v>
      </c>
      <c r="D13">
        <f>IFERROR(VLOOKUP($A13,reformattedTable1cerebrum!$A$1:$WV$1800,5,FALSE), "NA")</f>
        <v>1.214</v>
      </c>
      <c r="E13">
        <f>IFERROR(VLOOKUP($A13,reformattedTable1cerebrum!$A$1:$WV$1800,6,FALSE), "NA")</f>
        <v>110641950</v>
      </c>
      <c r="F13">
        <f>IFERROR(VLOOKUP($A13,reformattedTable1cerebrum!$A$1:$WV$1800,7,FALSE), "NA")</f>
        <v>2576768</v>
      </c>
      <c r="G13">
        <f>IFERROR(VLOOKUP($A13,reformattedTable1cerebrum!$A$1:$WV$1800,8,FALSE), "NA")</f>
        <v>416208050</v>
      </c>
      <c r="H13">
        <f>IFERROR(VLOOKUP($A13,reformattedTable1cerebrum!$A$1:$WV$1800,9,FALSE), "NA")</f>
        <v>950422</v>
      </c>
      <c r="I13">
        <f>IFERROR(VLOOKUP($A13,reformattedTable1cerebrum!$A$1:$WV$1800,10,FALSE), "NA")</f>
        <v>13250</v>
      </c>
      <c r="J13">
        <f>IFERROR(VLOOKUP($A13,reformattedTable1cerebrum!$A$1:$WV$1800,11,FALSE), "NA")</f>
        <v>1633</v>
      </c>
      <c r="K13">
        <f>IFERROR(VLOOKUP($A13,reformattedTable1cerebrum!$A$1:$WV$1800,12,FALSE), "NA")</f>
        <v>49939</v>
      </c>
      <c r="L13">
        <f>IFERROR(VLOOKUP($A13,reformattedTable1cerebrum!$A$1:$WV$1800,13,FALSE), "NA")</f>
        <v>7422</v>
      </c>
      <c r="M13">
        <f>IFERROR(VLOOKUP($A13,reformattedTable1cerebrum!$A$1:$WV$1800,14,FALSE), "NA")</f>
        <v>3.7629999999999999</v>
      </c>
      <c r="N13">
        <f>IFERROR(VLOOKUP($A13,reformattedTable1cerebrum!$A$1:$WV$1800,15,FALSE), "NA")</f>
        <v>9.6000000000000002E-2</v>
      </c>
      <c r="O13" t="str">
        <f>IFERROR(VLOOKUP($A13,reformattedTable1cerebrum!$A$1:$WV$1800,16,FALSE), "NA")</f>
        <v>Herculano-Houzel et al., 2006</v>
      </c>
      <c r="P13" t="str">
        <f>IFERROR(VLOOKUP($A13,reformattedTable1cerebrum!$A$1:$WV$1800,17,FALSE), "NA")</f>
        <v>Dasyprocta_prymnolopha</v>
      </c>
      <c r="Q13">
        <f>IFERROR(VLOOKUP($A13,reformattedTable2cerebellum!$A$1:$WW$1800,4,FALSE), "NA")</f>
        <v>2.742</v>
      </c>
      <c r="R13" t="str">
        <f>IFERROR(VLOOKUP($A13,reformattedTable2cerebellum!$A$1:$WW$1800,5,FALSE), "NA")</f>
        <v>NA</v>
      </c>
      <c r="S13">
        <f>IFERROR(VLOOKUP($A13,reformattedTable2cerebellum!$A$1:$WW$1800,6,FALSE), "NA")</f>
        <v>673488085</v>
      </c>
      <c r="T13">
        <f>IFERROR(VLOOKUP($A13,reformattedTable2cerebellum!$A$1:$WW$1800,7,FALSE), "NA")</f>
        <v>48145960</v>
      </c>
      <c r="U13">
        <f>IFERROR(VLOOKUP($A13,reformattedTable2cerebellum!$A$1:$WW$1800,8,FALSE), "NA")</f>
        <v>155986915</v>
      </c>
      <c r="V13">
        <f>IFERROR(VLOOKUP($A13,reformattedTable2cerebellum!$A$1:$WW$1800,9,FALSE), "NA")</f>
        <v>32978520</v>
      </c>
      <c r="W13">
        <f>IFERROR(VLOOKUP($A13,reformattedTable2cerebellum!$A$1:$WW$1800,10,FALSE), "NA")</f>
        <v>253208</v>
      </c>
      <c r="X13">
        <f>IFERROR(VLOOKUP($A13,reformattedTable2cerebellum!$A$1:$WW$1800,11,FALSE), "NA")</f>
        <v>39447</v>
      </c>
      <c r="Y13">
        <f>IFERROR(VLOOKUP($A13,reformattedTable2cerebellum!$A$1:$WW$1800,12,FALSE), "NA")</f>
        <v>57945</v>
      </c>
      <c r="Z13">
        <f>IFERROR(VLOOKUP($A13,reformattedTable2cerebellum!$A$1:$WW$1800,13,FALSE), "NA")</f>
        <v>7405</v>
      </c>
      <c r="AA13">
        <f>IFERROR(VLOOKUP($A13,reformattedTable2cerebellum!$A$1:$WW$1800,14,FALSE), "NA")</f>
        <v>0.23400000000000001</v>
      </c>
      <c r="AB13">
        <f>IFERROR(VLOOKUP($A13,reformattedTable2cerebellum!$A$1:$WW$1800,15,FALSE), "NA")</f>
        <v>6.6000000000000003E-2</v>
      </c>
      <c r="AC13" t="str">
        <f>IFERROR(VLOOKUP($A13,reformattedTable2cerebellum!$A$1:$WW$1800,16,FALSE), "NA")</f>
        <v>Herculano-Houzel et al., 2006</v>
      </c>
      <c r="AD13" t="str">
        <f>IFERROR(VLOOKUP($A13,reformattedTable2cerebellum!$A$1:$WW$1800,17,FALSE), "NA")</f>
        <v>Dasyprocta_prymnolopha</v>
      </c>
      <c r="AE13">
        <f>IFERROR(VLOOKUP($A13,reformattedTable3RoB!$A$1:$WW$1800,4,FALSE), "NA")</f>
        <v>5.9720000000000004</v>
      </c>
      <c r="AF13">
        <f>IFERROR(VLOOKUP($A13,reformattedTable3RoB!$A$1:$WW$1800,5,FALSE), "NA")</f>
        <v>0.51400000000000001</v>
      </c>
      <c r="AG13">
        <f>IFERROR(VLOOKUP($A13,reformattedTable3RoB!$A$1:$WW$1800,6,FALSE), "NA")</f>
        <v>43204320</v>
      </c>
      <c r="AH13" t="str">
        <f>IFERROR(VLOOKUP($A13,reformattedTable3RoB!$A$1:$WW$1800,7,FALSE), "NA")</f>
        <v>NA</v>
      </c>
      <c r="AI13">
        <f>IFERROR(VLOOKUP($A13,reformattedTable3RoB!$A$1:$WW$1800,8,FALSE), "NA")</f>
        <v>356835680</v>
      </c>
      <c r="AJ13" t="str">
        <f>IFERROR(VLOOKUP($A13,reformattedTable3RoB!$A$1:$WW$1800,9,FALSE), "NA")</f>
        <v>NA</v>
      </c>
      <c r="AK13">
        <f>IFERROR(VLOOKUP($A13,reformattedTable3RoB!$A$1:$WW$1800,10,FALSE), "NA")</f>
        <v>6830</v>
      </c>
      <c r="AL13" t="str">
        <f>IFERROR(VLOOKUP($A13,reformattedTable3RoB!$A$1:$WW$1800,11,FALSE), "NA")</f>
        <v>NA</v>
      </c>
      <c r="AM13">
        <f>IFERROR(VLOOKUP($A13,reformattedTable3RoB!$A$1:$WW$1800,12,FALSE), "NA")</f>
        <v>56408</v>
      </c>
      <c r="AN13" t="str">
        <f>IFERROR(VLOOKUP($A13,reformattedTable3RoB!$A$1:$WW$1800,13,FALSE), "NA")</f>
        <v>NA</v>
      </c>
      <c r="AO13" t="str">
        <f>IFERROR(VLOOKUP($A13,reformattedTable3RoB!$A$1:$WW$1800,14,FALSE), "NA")</f>
        <v>NA</v>
      </c>
      <c r="AP13" t="str">
        <f>IFERROR(VLOOKUP($A13,reformattedTable3RoB!$A$1:$WW$1800,15,FALSE), "NA")</f>
        <v>NA</v>
      </c>
      <c r="AQ13" t="str">
        <f>IFERROR(VLOOKUP($A13,reformattedTable3RoB!$A$1:$WW$1800,16,FALSE), "NA")</f>
        <v>Herculano-Houzel et al., 2006</v>
      </c>
      <c r="AR13" t="str">
        <f>IFERROR(VLOOKUP($A13,reformattedTable3RoB!$A$1:$WW$1800,17,FALSE), "NA")</f>
        <v>Dasyprocta_prymnolopha</v>
      </c>
      <c r="AS13">
        <f>IFERROR(VLOOKUP($A13,reformattedTable4olfactory_bulb!$A$1:$WV$1800,4,FALSE), "NA")</f>
        <v>0.73699999999999999</v>
      </c>
      <c r="AT13">
        <f>IFERROR(VLOOKUP($A13,reformattedTable4olfactory_bulb!$A$1:$WV$1800,5,FALSE), "NA")</f>
        <v>0.16200000000000001</v>
      </c>
      <c r="AU13">
        <f>IFERROR(VLOOKUP($A13,reformattedTable4olfactory_bulb!$A$1:$WV$1800,6,FALSE), "NA")</f>
        <v>58124085</v>
      </c>
      <c r="AV13">
        <f>IFERROR(VLOOKUP($A13,reformattedTable4olfactory_bulb!$A$1:$WV$1800,7,FALSE), "NA")</f>
        <v>4952795</v>
      </c>
      <c r="AW13">
        <f>IFERROR(VLOOKUP($A13,reformattedTable4olfactory_bulb!$A$1:$WV$1800,8,FALSE), "NA")</f>
        <v>72595915</v>
      </c>
      <c r="AX13">
        <f>IFERROR(VLOOKUP($A13,reformattedTable4olfactory_bulb!$A$1:$WV$1800,9,FALSE), "NA")</f>
        <v>19682805</v>
      </c>
      <c r="AY13">
        <f>IFERROR(VLOOKUP($A13,reformattedTable4olfactory_bulb!$A$1:$WV$1800,10,FALSE), "NA")</f>
        <v>88008</v>
      </c>
      <c r="AZ13">
        <f>IFERROR(VLOOKUP($A13,reformattedTable4olfactory_bulb!$A$1:$WV$1800,11,FALSE), "NA")</f>
        <v>14973</v>
      </c>
      <c r="BA13">
        <f>IFERROR(VLOOKUP($A13,reformattedTable4olfactory_bulb!$A$1:$WV$1800,12,FALSE), "NA")</f>
        <v>107301</v>
      </c>
      <c r="BB13">
        <f>IFERROR(VLOOKUP($A13,reformattedTable4olfactory_bulb!$A$1:$WV$1800,13,FALSE), "NA")</f>
        <v>1958</v>
      </c>
      <c r="BC13">
        <f>IFERROR(VLOOKUP($A13,reformattedTable4olfactory_bulb!$A$1:$WV$1800,14,FALSE), "NA")</f>
        <v>1.2390000000000001</v>
      </c>
      <c r="BD13">
        <f>IFERROR(VLOOKUP($A13,reformattedTable4olfactory_bulb!$A$1:$WV$1800,15,FALSE), "NA")</f>
        <v>0.23300000000000001</v>
      </c>
      <c r="BE13" t="str">
        <f>IFERROR(VLOOKUP($A13,reformattedTable4olfactory_bulb!$A$1:$WV$1800,16,FALSE), "NA")</f>
        <v>Herculano-Houzel et al., 2006</v>
      </c>
      <c r="BF13" t="str">
        <f>IFERROR(VLOOKUP($A13,reformattedTable4olfactory_bulb!$A$1:$WV$1800,17,FALSE), "NA")</f>
        <v>Dasyprocta_prymnolopha</v>
      </c>
      <c r="BG13">
        <f>IFERROR(VLOOKUP($A13,reformattedTable5whole_brain!$A$1:$WV$1800,4,FALSE), "NA")</f>
        <v>2843</v>
      </c>
      <c r="BH13">
        <f>IFERROR(VLOOKUP($A13,reformattedTable5whole_brain!$A$1:$WV$1800,5,FALSE), "NA")</f>
        <v>196</v>
      </c>
      <c r="BI13">
        <f>IFERROR(VLOOKUP($A13,reformattedTable5whole_brain!$A$1:$WV$1800,6,FALSE), "NA")</f>
        <v>17.628</v>
      </c>
      <c r="BJ13">
        <f>IFERROR(VLOOKUP($A13,reformattedTable5whole_brain!$A$1:$WV$1800,7,FALSE), "NA")</f>
        <v>1.9</v>
      </c>
      <c r="BK13">
        <f>IFERROR(VLOOKUP($A13,reformattedTable5whole_brain!$A$1:$WV$1800,8,FALSE), "NA")</f>
        <v>795112070</v>
      </c>
      <c r="BL13" t="str">
        <f>IFERROR(VLOOKUP($A13,reformattedTable5whole_brain!$A$1:$WV$1800,9,FALSE), "NA")</f>
        <v>NA</v>
      </c>
      <c r="BM13">
        <f>IFERROR(VLOOKUP($A13,reformattedTable5whole_brain!$A$1:$WV$1800,10,FALSE), "NA")</f>
        <v>951677930</v>
      </c>
      <c r="BN13" t="str">
        <f>IFERROR(VLOOKUP($A13,reformattedTable5whole_brain!$A$1:$WV$1800,11,FALSE), "NA")</f>
        <v>NA</v>
      </c>
      <c r="BO13">
        <f>IFERROR(VLOOKUP($A13,reformattedTable5whole_brain!$A$1:$WV$1800,12,FALSE), "NA")</f>
        <v>45.5</v>
      </c>
      <c r="BP13" t="str">
        <f>IFERROR(VLOOKUP($A13,reformattedTable5whole_brain!$A$1:$WV$1800,13,FALSE), "NA")</f>
        <v>NA</v>
      </c>
      <c r="BQ13" t="str">
        <f>IFERROR(VLOOKUP($A13,reformattedTable5whole_brain!$A$1:$WV$1800,14,FALSE), "NA")</f>
        <v>Herculano-Houzel et al., 2006</v>
      </c>
      <c r="BR13" t="str">
        <f>IFERROR(VLOOKUP($A13,reformattedTable5whole_brain!$A$1:$WV$1800,15,FALSE), "NA")</f>
        <v>Dasyprocta_prymnolopha</v>
      </c>
    </row>
    <row r="14" spans="1:70">
      <c r="A14" t="s">
        <v>67</v>
      </c>
      <c r="B14" t="s">
        <v>32</v>
      </c>
      <c r="C14">
        <f>IFERROR(VLOOKUP($A14,reformattedTable1cerebrum!$A$1:$WV$1800,4,FALSE), "NA")</f>
        <v>7.56</v>
      </c>
      <c r="D14" t="str">
        <f>IFERROR(VLOOKUP($A14,reformattedTable1cerebrum!$A$1:$WV$1800,5,FALSE), "NA")</f>
        <v>NA</v>
      </c>
      <c r="E14">
        <f>IFERROR(VLOOKUP($A14,reformattedTable1cerebrum!$A$1:$WV$1800,6,FALSE), "NA")</f>
        <v>98960000</v>
      </c>
      <c r="F14" t="str">
        <f>IFERROR(VLOOKUP($A14,reformattedTable1cerebrum!$A$1:$WV$1800,7,FALSE), "NA")</f>
        <v>NA</v>
      </c>
      <c r="G14">
        <f>IFERROR(VLOOKUP($A14,reformattedTable1cerebrum!$A$1:$WV$1800,8,FALSE), "NA")</f>
        <v>183540000</v>
      </c>
      <c r="H14" t="str">
        <f>IFERROR(VLOOKUP($A14,reformattedTable1cerebrum!$A$1:$WV$1800,9,FALSE), "NA")</f>
        <v>NA</v>
      </c>
      <c r="I14">
        <f>IFERROR(VLOOKUP($A14,reformattedTable1cerebrum!$A$1:$WV$1800,10,FALSE), "NA")</f>
        <v>13098</v>
      </c>
      <c r="J14" t="str">
        <f>IFERROR(VLOOKUP($A14,reformattedTable1cerebrum!$A$1:$WV$1800,11,FALSE), "NA")</f>
        <v>NA</v>
      </c>
      <c r="K14">
        <f>IFERROR(VLOOKUP($A14,reformattedTable1cerebrum!$A$1:$WV$1800,12,FALSE), "NA")</f>
        <v>24291</v>
      </c>
      <c r="L14" t="str">
        <f>IFERROR(VLOOKUP($A14,reformattedTable1cerebrum!$A$1:$WV$1800,13,FALSE), "NA")</f>
        <v>NA</v>
      </c>
      <c r="M14">
        <f>IFERROR(VLOOKUP($A14,reformattedTable1cerebrum!$A$1:$WV$1800,14,FALSE), "NA")</f>
        <v>1.855</v>
      </c>
      <c r="N14" t="str">
        <f>IFERROR(VLOOKUP($A14,reformattedTable1cerebrum!$A$1:$WV$1800,15,FALSE), "NA")</f>
        <v>NA</v>
      </c>
      <c r="O14" t="str">
        <f>IFERROR(VLOOKUP($A14,reformattedTable1cerebrum!$A$1:$WV$1800,16,FALSE), "NA")</f>
        <v>Neves et al., 2014</v>
      </c>
      <c r="P14" t="str">
        <f>IFERROR(VLOOKUP($A14,reformattedTable1cerebrum!$A$1:$WV$1800,17,FALSE), "NA")</f>
        <v>Dendrohyrax_dorsalis</v>
      </c>
      <c r="Q14">
        <f>IFERROR(VLOOKUP($A14,reformattedTable2cerebellum!$A$1:$WW$1800,4,FALSE), "NA")</f>
        <v>1.9179999999999999</v>
      </c>
      <c r="R14" t="str">
        <f>IFERROR(VLOOKUP($A14,reformattedTable2cerebellum!$A$1:$WW$1800,5,FALSE), "NA")</f>
        <v>NA</v>
      </c>
      <c r="S14">
        <f>IFERROR(VLOOKUP($A14,reformattedTable2cerebellum!$A$1:$WW$1800,6,FALSE), "NA")</f>
        <v>360929350</v>
      </c>
      <c r="T14" t="str">
        <f>IFERROR(VLOOKUP($A14,reformattedTable2cerebellum!$A$1:$WW$1800,7,FALSE), "NA")</f>
        <v>NA</v>
      </c>
      <c r="U14">
        <f>IFERROR(VLOOKUP($A14,reformattedTable2cerebellum!$A$1:$WW$1800,8,FALSE), "NA")</f>
        <v>77570650</v>
      </c>
      <c r="V14" t="str">
        <f>IFERROR(VLOOKUP($A14,reformattedTable2cerebellum!$A$1:$WW$1800,9,FALSE), "NA")</f>
        <v>NA</v>
      </c>
      <c r="W14">
        <f>IFERROR(VLOOKUP($A14,reformattedTable2cerebellum!$A$1:$WW$1800,10,FALSE), "NA")</f>
        <v>188180</v>
      </c>
      <c r="X14" t="str">
        <f>IFERROR(VLOOKUP($A14,reformattedTable2cerebellum!$A$1:$WW$1800,11,FALSE), "NA")</f>
        <v>NA</v>
      </c>
      <c r="Y14">
        <f>IFERROR(VLOOKUP($A14,reformattedTable2cerebellum!$A$1:$WW$1800,12,FALSE), "NA")</f>
        <v>40444</v>
      </c>
      <c r="Z14" t="str">
        <f>IFERROR(VLOOKUP($A14,reformattedTable2cerebellum!$A$1:$WW$1800,13,FALSE), "NA")</f>
        <v>NA</v>
      </c>
      <c r="AA14">
        <f>IFERROR(VLOOKUP($A14,reformattedTable2cerebellum!$A$1:$WW$1800,14,FALSE), "NA")</f>
        <v>0.215</v>
      </c>
      <c r="AB14" t="str">
        <f>IFERROR(VLOOKUP($A14,reformattedTable2cerebellum!$A$1:$WW$1800,15,FALSE), "NA")</f>
        <v>NA</v>
      </c>
      <c r="AC14" t="str">
        <f>IFERROR(VLOOKUP($A14,reformattedTable2cerebellum!$A$1:$WW$1800,16,FALSE), "NA")</f>
        <v>Neves et al., 2014</v>
      </c>
      <c r="AD14" t="str">
        <f>IFERROR(VLOOKUP($A14,reformattedTable2cerebellum!$A$1:$WW$1800,17,FALSE), "NA")</f>
        <v>Dendrohyrax_dorsalis</v>
      </c>
      <c r="AE14">
        <f>IFERROR(VLOOKUP($A14,reformattedTable3RoB!$A$1:$WW$1800,4,FALSE), "NA")</f>
        <v>3.3279999999999998</v>
      </c>
      <c r="AF14" t="str">
        <f>IFERROR(VLOOKUP($A14,reformattedTable3RoB!$A$1:$WW$1800,5,FALSE), "NA")</f>
        <v>NA</v>
      </c>
      <c r="AG14">
        <f>IFERROR(VLOOKUP($A14,reformattedTable3RoB!$A$1:$WW$1800,6,FALSE), "NA")</f>
        <v>44671471</v>
      </c>
      <c r="AH14" t="str">
        <f>IFERROR(VLOOKUP($A14,reformattedTable3RoB!$A$1:$WW$1800,7,FALSE), "NA")</f>
        <v>NA</v>
      </c>
      <c r="AI14">
        <f>IFERROR(VLOOKUP($A14,reformattedTable3RoB!$A$1:$WW$1800,8,FALSE), "NA")</f>
        <v>152466529</v>
      </c>
      <c r="AJ14" t="str">
        <f>IFERROR(VLOOKUP($A14,reformattedTable3RoB!$A$1:$WW$1800,9,FALSE), "NA")</f>
        <v>NA</v>
      </c>
      <c r="AK14">
        <f>IFERROR(VLOOKUP($A14,reformattedTable3RoB!$A$1:$WW$1800,10,FALSE), "NA")</f>
        <v>13423</v>
      </c>
      <c r="AL14" t="str">
        <f>IFERROR(VLOOKUP($A14,reformattedTable3RoB!$A$1:$WW$1800,11,FALSE), "NA")</f>
        <v>NA</v>
      </c>
      <c r="AM14">
        <f>IFERROR(VLOOKUP($A14,reformattedTable3RoB!$A$1:$WW$1800,12,FALSE), "NA")</f>
        <v>45813</v>
      </c>
      <c r="AN14" t="str">
        <f>IFERROR(VLOOKUP($A14,reformattedTable3RoB!$A$1:$WW$1800,13,FALSE), "NA")</f>
        <v>NA</v>
      </c>
      <c r="AO14">
        <f>IFERROR(VLOOKUP($A14,reformattedTable3RoB!$A$1:$WW$1800,14,FALSE), "NA")</f>
        <v>3.4129999999999998</v>
      </c>
      <c r="AP14" t="str">
        <f>IFERROR(VLOOKUP($A14,reformattedTable3RoB!$A$1:$WW$1800,15,FALSE), "NA")</f>
        <v>NA</v>
      </c>
      <c r="AQ14" t="str">
        <f>IFERROR(VLOOKUP($A14,reformattedTable3RoB!$A$1:$WW$1800,16,FALSE), "NA")</f>
        <v>Neves et al., 2014</v>
      </c>
      <c r="AR14" t="str">
        <f>IFERROR(VLOOKUP($A14,reformattedTable3RoB!$A$1:$WW$1800,17,FALSE), "NA")</f>
        <v>Dendrohyrax_dorsalis</v>
      </c>
      <c r="AS14" t="str">
        <f>IFERROR(VLOOKUP($A14,reformattedTable4olfactory_bulb!$A$1:$WV$1800,4,FALSE), "NA")</f>
        <v>NA</v>
      </c>
      <c r="AT14" t="str">
        <f>IFERROR(VLOOKUP($A14,reformattedTable4olfactory_bulb!$A$1:$WV$1800,5,FALSE), "NA")</f>
        <v>NA</v>
      </c>
      <c r="AU14" t="str">
        <f>IFERROR(VLOOKUP($A14,reformattedTable4olfactory_bulb!$A$1:$WV$1800,6,FALSE), "NA")</f>
        <v>NA</v>
      </c>
      <c r="AV14" t="str">
        <f>IFERROR(VLOOKUP($A14,reformattedTable4olfactory_bulb!$A$1:$WV$1800,7,FALSE), "NA")</f>
        <v>NA</v>
      </c>
      <c r="AW14" t="str">
        <f>IFERROR(VLOOKUP($A14,reformattedTable4olfactory_bulb!$A$1:$WV$1800,8,FALSE), "NA")</f>
        <v>NA</v>
      </c>
      <c r="AX14" t="str">
        <f>IFERROR(VLOOKUP($A14,reformattedTable4olfactory_bulb!$A$1:$WV$1800,9,FALSE), "NA")</f>
        <v>NA</v>
      </c>
      <c r="AY14" t="str">
        <f>IFERROR(VLOOKUP($A14,reformattedTable4olfactory_bulb!$A$1:$WV$1800,10,FALSE), "NA")</f>
        <v>NA</v>
      </c>
      <c r="AZ14" t="str">
        <f>IFERROR(VLOOKUP($A14,reformattedTable4olfactory_bulb!$A$1:$WV$1800,11,FALSE), "NA")</f>
        <v>NA</v>
      </c>
      <c r="BA14" t="str">
        <f>IFERROR(VLOOKUP($A14,reformattedTable4olfactory_bulb!$A$1:$WV$1800,12,FALSE), "NA")</f>
        <v>NA</v>
      </c>
      <c r="BB14" t="str">
        <f>IFERROR(VLOOKUP($A14,reformattedTable4olfactory_bulb!$A$1:$WV$1800,13,FALSE), "NA")</f>
        <v>NA</v>
      </c>
      <c r="BC14" t="str">
        <f>IFERROR(VLOOKUP($A14,reformattedTable4olfactory_bulb!$A$1:$WV$1800,14,FALSE), "NA")</f>
        <v>NA</v>
      </c>
      <c r="BD14" t="str">
        <f>IFERROR(VLOOKUP($A14,reformattedTable4olfactory_bulb!$A$1:$WV$1800,15,FALSE), "NA")</f>
        <v>NA</v>
      </c>
      <c r="BE14" t="str">
        <f>IFERROR(VLOOKUP($A14,reformattedTable4olfactory_bulb!$A$1:$WV$1800,16,FALSE), "NA")</f>
        <v>NA</v>
      </c>
      <c r="BF14" t="str">
        <f>IFERROR(VLOOKUP($A14,reformattedTable4olfactory_bulb!$A$1:$WV$1800,17,FALSE), "NA")</f>
        <v>NA</v>
      </c>
      <c r="BG14">
        <f>IFERROR(VLOOKUP($A14,reformattedTable5whole_brain!$A$1:$WV$1800,4,FALSE), "NA")</f>
        <v>1150</v>
      </c>
      <c r="BH14" t="str">
        <f>IFERROR(VLOOKUP($A14,reformattedTable5whole_brain!$A$1:$WV$1800,5,FALSE), "NA")</f>
        <v>NA</v>
      </c>
      <c r="BI14">
        <f>IFERROR(VLOOKUP($A14,reformattedTable5whole_brain!$A$1:$WV$1800,6,FALSE), "NA")</f>
        <v>12.8</v>
      </c>
      <c r="BJ14" t="str">
        <f>IFERROR(VLOOKUP($A14,reformattedTable5whole_brain!$A$1:$WV$1800,7,FALSE), "NA")</f>
        <v>NA</v>
      </c>
      <c r="BK14">
        <f>IFERROR(VLOOKUP($A14,reformattedTable5whole_brain!$A$1:$WV$1800,8,FALSE), "NA")</f>
        <v>504572834</v>
      </c>
      <c r="BL14" t="str">
        <f>IFERROR(VLOOKUP($A14,reformattedTable5whole_brain!$A$1:$WV$1800,9,FALSE), "NA")</f>
        <v>NA</v>
      </c>
      <c r="BM14">
        <f>IFERROR(VLOOKUP($A14,reformattedTable5whole_brain!$A$1:$WV$1800,10,FALSE), "NA")</f>
        <v>413574000</v>
      </c>
      <c r="BN14" t="str">
        <f>IFERROR(VLOOKUP($A14,reformattedTable5whole_brain!$A$1:$WV$1800,11,FALSE), "NA")</f>
        <v>NA</v>
      </c>
      <c r="BO14" t="str">
        <f>IFERROR(VLOOKUP($A14,reformattedTable5whole_brain!$A$1:$WV$1800,12,FALSE), "NA")</f>
        <v>NA</v>
      </c>
      <c r="BP14" t="str">
        <f>IFERROR(VLOOKUP($A14,reformattedTable5whole_brain!$A$1:$WV$1800,13,FALSE), "NA")</f>
        <v>NA</v>
      </c>
      <c r="BQ14" t="str">
        <f>IFERROR(VLOOKUP($A14,reformattedTable5whole_brain!$A$1:$WV$1800,14,FALSE), "NA")</f>
        <v>Neves et al., 2014</v>
      </c>
      <c r="BR14" t="str">
        <f>IFERROR(VLOOKUP($A14,reformattedTable5whole_brain!$A$1:$WV$1800,15,FALSE), "NA")</f>
        <v>Dendrohyrax_dorsalis</v>
      </c>
    </row>
    <row r="15" spans="1:70">
      <c r="A15" t="s">
        <v>37</v>
      </c>
      <c r="B15" t="s">
        <v>32</v>
      </c>
      <c r="C15">
        <f>IFERROR(VLOOKUP($A15,reformattedTable1cerebrum!$A$1:$WV$1800,4,FALSE), "NA")</f>
        <v>0.47099999999999997</v>
      </c>
      <c r="D15">
        <f>IFERROR(VLOOKUP($A15,reformattedTable1cerebrum!$A$1:$WV$1800,5,FALSE), "NA")</f>
        <v>2.1000000000000001E-2</v>
      </c>
      <c r="E15">
        <f>IFERROR(VLOOKUP($A15,reformattedTable1cerebrum!$A$1:$WV$1800,6,FALSE), "NA")</f>
        <v>25865000</v>
      </c>
      <c r="F15">
        <f>IFERROR(VLOOKUP($A15,reformattedTable1cerebrum!$A$1:$WV$1800,7,FALSE), "NA")</f>
        <v>4020000</v>
      </c>
      <c r="G15">
        <f>IFERROR(VLOOKUP($A15,reformattedTable1cerebrum!$A$1:$WV$1800,8,FALSE), "NA")</f>
        <v>26229000</v>
      </c>
      <c r="H15">
        <f>IFERROR(VLOOKUP($A15,reformattedTable1cerebrum!$A$1:$WV$1800,9,FALSE), "NA")</f>
        <v>1104000</v>
      </c>
      <c r="I15">
        <f>IFERROR(VLOOKUP($A15,reformattedTable1cerebrum!$A$1:$WV$1800,10,FALSE), "NA")</f>
        <v>54644</v>
      </c>
      <c r="J15">
        <f>IFERROR(VLOOKUP($A15,reformattedTable1cerebrum!$A$1:$WV$1800,11,FALSE), "NA")</f>
        <v>6098</v>
      </c>
      <c r="K15">
        <f>IFERROR(VLOOKUP($A15,reformattedTable1cerebrum!$A$1:$WV$1800,12,FALSE), "NA")</f>
        <v>55693</v>
      </c>
      <c r="L15">
        <f>IFERROR(VLOOKUP($A15,reformattedTable1cerebrum!$A$1:$WV$1800,13,FALSE), "NA")</f>
        <v>138</v>
      </c>
      <c r="M15">
        <f>IFERROR(VLOOKUP($A15,reformattedTable1cerebrum!$A$1:$WV$1800,14,FALSE), "NA")</f>
        <v>1.032</v>
      </c>
      <c r="N15">
        <f>IFERROR(VLOOKUP($A15,reformattedTable1cerebrum!$A$1:$WV$1800,15,FALSE), "NA")</f>
        <v>0.11899999999999999</v>
      </c>
      <c r="O15" t="str">
        <f>IFERROR(VLOOKUP($A15,reformattedTable1cerebrum!$A$1:$WV$1800,16,FALSE), "NA")</f>
        <v>Neves et al., 2014</v>
      </c>
      <c r="P15" t="str">
        <f>IFERROR(VLOOKUP($A15,reformattedTable1cerebrum!$A$1:$WV$1800,17,FALSE), "NA")</f>
        <v>Elephantulus_myurus</v>
      </c>
      <c r="Q15">
        <f>IFERROR(VLOOKUP($A15,reformattedTable2cerebellum!$A$1:$WW$1800,4,FALSE), "NA")</f>
        <v>0.16800000000000001</v>
      </c>
      <c r="R15" t="str">
        <f>IFERROR(VLOOKUP($A15,reformattedTable2cerebellum!$A$1:$WW$1800,5,FALSE), "NA")</f>
        <v>NA</v>
      </c>
      <c r="S15">
        <f>IFERROR(VLOOKUP($A15,reformattedTable2cerebellum!$A$1:$WW$1800,6,FALSE), "NA")</f>
        <v>89312372</v>
      </c>
      <c r="T15">
        <f>IFERROR(VLOOKUP($A15,reformattedTable2cerebellum!$A$1:$WW$1800,7,FALSE), "NA")</f>
        <v>2852000</v>
      </c>
      <c r="U15">
        <f>IFERROR(VLOOKUP($A15,reformattedTable2cerebellum!$A$1:$WW$1800,8,FALSE), "NA")</f>
        <v>23368628</v>
      </c>
      <c r="V15">
        <f>IFERROR(VLOOKUP($A15,reformattedTable2cerebellum!$A$1:$WW$1800,9,FALSE), "NA")</f>
        <v>1279000</v>
      </c>
      <c r="W15">
        <f>IFERROR(VLOOKUP($A15,reformattedTable2cerebellum!$A$1:$WW$1800,10,FALSE), "NA")</f>
        <v>531494</v>
      </c>
      <c r="X15">
        <f>IFERROR(VLOOKUP($A15,reformattedTable2cerebellum!$A$1:$WW$1800,11,FALSE), "NA")</f>
        <v>10651</v>
      </c>
      <c r="Y15">
        <f>IFERROR(VLOOKUP($A15,reformattedTable2cerebellum!$A$1:$WW$1800,12,FALSE), "NA")</f>
        <v>139028</v>
      </c>
      <c r="Z15">
        <f>IFERROR(VLOOKUP($A15,reformattedTable2cerebellum!$A$1:$WW$1800,13,FALSE), "NA")</f>
        <v>5956</v>
      </c>
      <c r="AA15">
        <f>IFERROR(VLOOKUP($A15,reformattedTable2cerebellum!$A$1:$WW$1800,14,FALSE), "NA")</f>
        <v>0.26100000000000001</v>
      </c>
      <c r="AB15">
        <f>IFERROR(VLOOKUP($A15,reformattedTable2cerebellum!$A$1:$WW$1800,15,FALSE), "NA")</f>
        <v>5.0000000000000001E-3</v>
      </c>
      <c r="AC15" t="str">
        <f>IFERROR(VLOOKUP($A15,reformattedTable2cerebellum!$A$1:$WW$1800,16,FALSE), "NA")</f>
        <v>Neves et al., 2014</v>
      </c>
      <c r="AD15" t="str">
        <f>IFERROR(VLOOKUP($A15,reformattedTable2cerebellum!$A$1:$WW$1800,17,FALSE), "NA")</f>
        <v>Elephantulus_myurus</v>
      </c>
      <c r="AE15">
        <f>IFERROR(VLOOKUP($A15,reformattedTable3RoB!$A$1:$WW$1800,4,FALSE), "NA")</f>
        <v>0.40100000000000002</v>
      </c>
      <c r="AF15">
        <f>IFERROR(VLOOKUP($A15,reformattedTable3RoB!$A$1:$WW$1800,5,FALSE), "NA")</f>
        <v>6.3E-2</v>
      </c>
      <c r="AG15">
        <f>IFERROR(VLOOKUP($A15,reformattedTable3RoB!$A$1:$WW$1800,6,FALSE), "NA")</f>
        <v>14012533</v>
      </c>
      <c r="AH15">
        <f>IFERROR(VLOOKUP($A15,reformattedTable3RoB!$A$1:$WW$1800,7,FALSE), "NA")</f>
        <v>3258000</v>
      </c>
      <c r="AI15">
        <f>IFERROR(VLOOKUP($A15,reformattedTable3RoB!$A$1:$WW$1800,8,FALSE), "NA")</f>
        <v>28997467</v>
      </c>
      <c r="AJ15">
        <f>IFERROR(VLOOKUP($A15,reformattedTable3RoB!$A$1:$WW$1800,9,FALSE), "NA")</f>
        <v>7906000</v>
      </c>
      <c r="AK15">
        <f>IFERROR(VLOOKUP($A15,reformattedTable3RoB!$A$1:$WW$1800,10,FALSE), "NA")</f>
        <v>34520</v>
      </c>
      <c r="AL15">
        <f>IFERROR(VLOOKUP($A15,reformattedTable3RoB!$A$1:$WW$1800,11,FALSE), "NA")</f>
        <v>2702</v>
      </c>
      <c r="AM15">
        <f>IFERROR(VLOOKUP($A15,reformattedTable3RoB!$A$1:$WW$1800,12,FALSE), "NA")</f>
        <v>70967</v>
      </c>
      <c r="AN15">
        <f>IFERROR(VLOOKUP($A15,reformattedTable3RoB!$A$1:$WW$1800,13,FALSE), "NA")</f>
        <v>8566</v>
      </c>
      <c r="AO15">
        <f>IFERROR(VLOOKUP($A15,reformattedTable3RoB!$A$1:$WW$1800,14,FALSE), "NA")</f>
        <v>2.048</v>
      </c>
      <c r="AP15">
        <f>IFERROR(VLOOKUP($A15,reformattedTable3RoB!$A$1:$WW$1800,15,FALSE), "NA")</f>
        <v>8.7999999999999995E-2</v>
      </c>
      <c r="AQ15" t="str">
        <f>IFERROR(VLOOKUP($A15,reformattedTable3RoB!$A$1:$WW$1800,16,FALSE), "NA")</f>
        <v>Neves et al., 2014</v>
      </c>
      <c r="AR15" t="str">
        <f>IFERROR(VLOOKUP($A15,reformattedTable3RoB!$A$1:$WW$1800,17,FALSE), "NA")</f>
        <v>Elephantulus_myurus</v>
      </c>
      <c r="AS15">
        <f>IFERROR(VLOOKUP($A15,reformattedTable4olfactory_bulb!$A$1:$WV$1800,4,FALSE), "NA")</f>
        <v>0.05</v>
      </c>
      <c r="AT15">
        <f>IFERROR(VLOOKUP($A15,reformattedTable4olfactory_bulb!$A$1:$WV$1800,5,FALSE), "NA")</f>
        <v>0.01</v>
      </c>
      <c r="AU15">
        <f>IFERROR(VLOOKUP($A15,reformattedTable4olfactory_bulb!$A$1:$WV$1800,6,FALSE), "NA")</f>
        <v>9693534</v>
      </c>
      <c r="AV15">
        <f>IFERROR(VLOOKUP($A15,reformattedTable4olfactory_bulb!$A$1:$WV$1800,7,FALSE), "NA")</f>
        <v>1745000</v>
      </c>
      <c r="AW15">
        <f>IFERROR(VLOOKUP($A15,reformattedTable4olfactory_bulb!$A$1:$WV$1800,8,FALSE), "NA")</f>
        <v>4919466</v>
      </c>
      <c r="AX15" t="str">
        <f>IFERROR(VLOOKUP($A15,reformattedTable4olfactory_bulb!$A$1:$WV$1800,9,FALSE), "NA")</f>
        <v>NA</v>
      </c>
      <c r="AY15">
        <f>IFERROR(VLOOKUP($A15,reformattedTable4olfactory_bulb!$A$1:$WV$1800,10,FALSE), "NA")</f>
        <v>194678</v>
      </c>
      <c r="AZ15">
        <f>IFERROR(VLOOKUP($A15,reformattedTable4olfactory_bulb!$A$1:$WV$1800,11,FALSE), "NA")</f>
        <v>5708</v>
      </c>
      <c r="BA15">
        <f>IFERROR(VLOOKUP($A15,reformattedTable4olfactory_bulb!$A$1:$WV$1800,12,FALSE), "NA")</f>
        <v>97872</v>
      </c>
      <c r="BB15" t="str">
        <f>IFERROR(VLOOKUP($A15,reformattedTable4olfactory_bulb!$A$1:$WV$1800,13,FALSE), "NA")</f>
        <v>NA</v>
      </c>
      <c r="BC15">
        <f>IFERROR(VLOOKUP($A15,reformattedTable4olfactory_bulb!$A$1:$WV$1800,14,FALSE), "NA")</f>
        <v>0.50700000000000001</v>
      </c>
      <c r="BD15" t="str">
        <f>IFERROR(VLOOKUP($A15,reformattedTable4olfactory_bulb!$A$1:$WV$1800,15,FALSE), "NA")</f>
        <v>NA</v>
      </c>
      <c r="BE15" t="str">
        <f>IFERROR(VLOOKUP($A15,reformattedTable4olfactory_bulb!$A$1:$WV$1800,16,FALSE), "NA")</f>
        <v>Neves et al., 2014</v>
      </c>
      <c r="BF15" t="str">
        <f>IFERROR(VLOOKUP($A15,reformattedTable4olfactory_bulb!$A$1:$WV$1800,17,FALSE), "NA")</f>
        <v>Elephantulus_myurus</v>
      </c>
      <c r="BG15">
        <f>IFERROR(VLOOKUP($A15,reformattedTable5whole_brain!$A$1:$WV$1800,4,FALSE), "NA")</f>
        <v>45.1</v>
      </c>
      <c r="BH15" t="str">
        <f>IFERROR(VLOOKUP($A15,reformattedTable5whole_brain!$A$1:$WV$1800,5,FALSE), "NA")</f>
        <v>NA</v>
      </c>
      <c r="BI15">
        <f>IFERROR(VLOOKUP($A15,reformattedTable5whole_brain!$A$1:$WV$1800,6,FALSE), "NA")</f>
        <v>1.04</v>
      </c>
      <c r="BJ15">
        <f>IFERROR(VLOOKUP($A15,reformattedTable5whole_brain!$A$1:$WV$1800,7,FALSE), "NA")</f>
        <v>8.2000000000000003E-2</v>
      </c>
      <c r="BK15">
        <f>IFERROR(VLOOKUP($A15,reformattedTable5whole_brain!$A$1:$WV$1800,8,FALSE), "NA")</f>
        <v>129190603</v>
      </c>
      <c r="BL15">
        <f>IFERROR(VLOOKUP($A15,reformattedTable5whole_brain!$A$1:$WV$1800,9,FALSE), "NA")</f>
        <v>4424000</v>
      </c>
      <c r="BM15">
        <f>IFERROR(VLOOKUP($A15,reformattedTable5whole_brain!$A$1:$WV$1800,10,FALSE), "NA")</f>
        <v>78594397</v>
      </c>
      <c r="BN15">
        <f>IFERROR(VLOOKUP($A15,reformattedTable5whole_brain!$A$1:$WV$1800,11,FALSE), "NA")</f>
        <v>7733000</v>
      </c>
      <c r="BO15" t="str">
        <f>IFERROR(VLOOKUP($A15,reformattedTable5whole_brain!$A$1:$WV$1800,12,FALSE), "NA")</f>
        <v>NA</v>
      </c>
      <c r="BP15" t="str">
        <f>IFERROR(VLOOKUP($A15,reformattedTable5whole_brain!$A$1:$WV$1800,13,FALSE), "NA")</f>
        <v>NA</v>
      </c>
      <c r="BQ15" t="str">
        <f>IFERROR(VLOOKUP($A15,reformattedTable5whole_brain!$A$1:$WV$1800,14,FALSE), "NA")</f>
        <v>Neves et al., 2014</v>
      </c>
      <c r="BR15" t="str">
        <f>IFERROR(VLOOKUP($A15,reformattedTable5whole_brain!$A$1:$WV$1800,15,FALSE), "NA")</f>
        <v>Elephantulus_myurus</v>
      </c>
    </row>
    <row r="16" spans="1:70">
      <c r="A16" t="s">
        <v>101</v>
      </c>
      <c r="B16" t="s">
        <v>86</v>
      </c>
      <c r="C16">
        <f>IFERROR(VLOOKUP($A16,reformattedTable1cerebrum!$A$1:$WV$1800,4,FALSE), "NA")</f>
        <v>398.80799999999999</v>
      </c>
      <c r="D16" t="str">
        <f>IFERROR(VLOOKUP($A16,reformattedTable1cerebrum!$A$1:$WV$1800,5,FALSE), "NA")</f>
        <v>NA</v>
      </c>
      <c r="E16">
        <f>IFERROR(VLOOKUP($A16,reformattedTable1cerebrum!$A$1:$WV$1800,6,FALSE), "NA")</f>
        <v>1730513460</v>
      </c>
      <c r="F16" t="str">
        <f>IFERROR(VLOOKUP($A16,reformattedTable1cerebrum!$A$1:$WV$1800,7,FALSE), "NA")</f>
        <v>NA</v>
      </c>
      <c r="G16">
        <f>IFERROR(VLOOKUP($A16,reformattedTable1cerebrum!$A$1:$WV$1800,8,FALSE), "NA")</f>
        <v>27513706540</v>
      </c>
      <c r="H16" t="str">
        <f>IFERROR(VLOOKUP($A16,reformattedTable1cerebrum!$A$1:$WV$1800,9,FALSE), "NA")</f>
        <v>NA</v>
      </c>
      <c r="I16">
        <f>IFERROR(VLOOKUP($A16,reformattedTable1cerebrum!$A$1:$WV$1800,10,FALSE), "NA")</f>
        <v>4339</v>
      </c>
      <c r="J16" t="str">
        <f>IFERROR(VLOOKUP($A16,reformattedTable1cerebrum!$A$1:$WV$1800,11,FALSE), "NA")</f>
        <v>NA</v>
      </c>
      <c r="K16">
        <f>IFERROR(VLOOKUP($A16,reformattedTable1cerebrum!$A$1:$WV$1800,12,FALSE), "NA")</f>
        <v>68990</v>
      </c>
      <c r="L16" t="str">
        <f>IFERROR(VLOOKUP($A16,reformattedTable1cerebrum!$A$1:$WV$1800,13,FALSE), "NA")</f>
        <v>NA</v>
      </c>
      <c r="M16">
        <f>IFERROR(VLOOKUP($A16,reformattedTable1cerebrum!$A$1:$WV$1800,14,FALSE), "NA")</f>
        <v>15.9</v>
      </c>
      <c r="N16" t="str">
        <f>IFERROR(VLOOKUP($A16,reformattedTable1cerebrum!$A$1:$WV$1800,15,FALSE), "NA")</f>
        <v>NA</v>
      </c>
      <c r="O16" t="str">
        <f>IFERROR(VLOOKUP($A16,reformattedTable1cerebrum!$A$1:$WV$1800,16,FALSE), "NA")</f>
        <v>Kazu et al., 2014</v>
      </c>
      <c r="P16" t="str">
        <f>IFERROR(VLOOKUP($A16,reformattedTable1cerebrum!$A$1:$WV$1800,17,FALSE), "NA")</f>
        <v>Giraffa_camelopardalis</v>
      </c>
      <c r="Q16">
        <f>IFERROR(VLOOKUP($A16,reformattedTable2cerebellum!$A$1:$WW$1800,4,FALSE), "NA")</f>
        <v>67.73</v>
      </c>
      <c r="R16" t="str">
        <f>IFERROR(VLOOKUP($A16,reformattedTable2cerebellum!$A$1:$WW$1800,5,FALSE), "NA")</f>
        <v>NA</v>
      </c>
      <c r="S16">
        <f>IFERROR(VLOOKUP($A16,reformattedTable2cerebellum!$A$1:$WW$1800,6,FALSE), "NA")</f>
        <v>8878076563</v>
      </c>
      <c r="T16" t="str">
        <f>IFERROR(VLOOKUP($A16,reformattedTable2cerebellum!$A$1:$WW$1800,7,FALSE), "NA")</f>
        <v>NA</v>
      </c>
      <c r="U16">
        <f>IFERROR(VLOOKUP($A16,reformattedTable2cerebellum!$A$1:$WW$1800,8,FALSE), "NA")</f>
        <v>5520360938</v>
      </c>
      <c r="V16" t="str">
        <f>IFERROR(VLOOKUP($A16,reformattedTable2cerebellum!$A$1:$WW$1800,9,FALSE), "NA")</f>
        <v>NA</v>
      </c>
      <c r="W16">
        <f>IFERROR(VLOOKUP($A16,reformattedTable2cerebellum!$A$1:$WW$1800,10,FALSE), "NA")</f>
        <v>131080</v>
      </c>
      <c r="X16" t="str">
        <f>IFERROR(VLOOKUP($A16,reformattedTable2cerebellum!$A$1:$WW$1800,11,FALSE), "NA")</f>
        <v>NA</v>
      </c>
      <c r="Y16">
        <f>IFERROR(VLOOKUP($A16,reformattedTable2cerebellum!$A$1:$WW$1800,12,FALSE), "NA")</f>
        <v>81505</v>
      </c>
      <c r="Z16" t="str">
        <f>IFERROR(VLOOKUP($A16,reformattedTable2cerebellum!$A$1:$WW$1800,13,FALSE), "NA")</f>
        <v>NA</v>
      </c>
      <c r="AA16">
        <f>IFERROR(VLOOKUP($A16,reformattedTable2cerebellum!$A$1:$WW$1800,14,FALSE), "NA")</f>
        <v>0.622</v>
      </c>
      <c r="AB16" t="str">
        <f>IFERROR(VLOOKUP($A16,reformattedTable2cerebellum!$A$1:$WW$1800,15,FALSE), "NA")</f>
        <v>NA</v>
      </c>
      <c r="AC16" t="str">
        <f>IFERROR(VLOOKUP($A16,reformattedTable2cerebellum!$A$1:$WW$1800,16,FALSE), "NA")</f>
        <v>Kazu et al., 2014</v>
      </c>
      <c r="AD16" t="str">
        <f>IFERROR(VLOOKUP($A16,reformattedTable2cerebellum!$A$1:$WW$1800,17,FALSE), "NA")</f>
        <v>Giraffa_camelopardalis</v>
      </c>
      <c r="AE16">
        <f>IFERROR(VLOOKUP($A16,reformattedTable3RoB!$A$1:$WW$1800,4,FALSE), "NA")</f>
        <v>70.680000000000007</v>
      </c>
      <c r="AF16" t="str">
        <f>IFERROR(VLOOKUP($A16,reformattedTable3RoB!$A$1:$WW$1800,5,FALSE), "NA")</f>
        <v>NA</v>
      </c>
      <c r="AG16">
        <f>IFERROR(VLOOKUP($A16,reformattedTable3RoB!$A$1:$WW$1800,6,FALSE), "NA")</f>
        <v>142697625</v>
      </c>
      <c r="AH16" t="str">
        <f>IFERROR(VLOOKUP($A16,reformattedTable3RoB!$A$1:$WW$1800,7,FALSE), "NA")</f>
        <v>NA</v>
      </c>
      <c r="AI16">
        <f>IFERROR(VLOOKUP($A16,reformattedTable3RoB!$A$1:$WW$1800,8,FALSE), "NA")</f>
        <v>4878864876</v>
      </c>
      <c r="AJ16" t="str">
        <f>IFERROR(VLOOKUP($A16,reformattedTable3RoB!$A$1:$WW$1800,9,FALSE), "NA")</f>
        <v>NA</v>
      </c>
      <c r="AK16">
        <f>IFERROR(VLOOKUP($A16,reformattedTable3RoB!$A$1:$WW$1800,10,FALSE), "NA")</f>
        <v>2019</v>
      </c>
      <c r="AL16" t="str">
        <f>IFERROR(VLOOKUP($A16,reformattedTable3RoB!$A$1:$WW$1800,11,FALSE), "NA")</f>
        <v>NA</v>
      </c>
      <c r="AM16">
        <f>IFERROR(VLOOKUP($A16,reformattedTable3RoB!$A$1:$WW$1800,12,FALSE), "NA")</f>
        <v>69028</v>
      </c>
      <c r="AN16" t="str">
        <f>IFERROR(VLOOKUP($A16,reformattedTable3RoB!$A$1:$WW$1800,13,FALSE), "NA")</f>
        <v>NA</v>
      </c>
      <c r="AO16">
        <f>IFERROR(VLOOKUP($A16,reformattedTable3RoB!$A$1:$WW$1800,14,FALSE), "NA")</f>
        <v>34.19</v>
      </c>
      <c r="AP16" t="str">
        <f>IFERROR(VLOOKUP($A16,reformattedTable3RoB!$A$1:$WW$1800,15,FALSE), "NA")</f>
        <v>NA</v>
      </c>
      <c r="AQ16" t="str">
        <f>IFERROR(VLOOKUP($A16,reformattedTable3RoB!$A$1:$WW$1800,16,FALSE), "NA")</f>
        <v>Kazu et al., 2014</v>
      </c>
      <c r="AR16" t="str">
        <f>IFERROR(VLOOKUP($A16,reformattedTable3RoB!$A$1:$WW$1800,17,FALSE), "NA")</f>
        <v>Giraffa_camelopardalis</v>
      </c>
      <c r="AS16">
        <f>IFERROR(VLOOKUP($A16,reformattedTable4olfactory_bulb!$A$1:$WV$1800,4,FALSE), "NA")</f>
        <v>2.052</v>
      </c>
      <c r="AT16" t="str">
        <f>IFERROR(VLOOKUP($A16,reformattedTable4olfactory_bulb!$A$1:$WV$1800,5,FALSE), "NA")</f>
        <v>NA</v>
      </c>
      <c r="AU16">
        <f>IFERROR(VLOOKUP($A16,reformattedTable4olfactory_bulb!$A$1:$WV$1800,6,FALSE), "NA")</f>
        <v>24678000</v>
      </c>
      <c r="AV16" t="str">
        <f>IFERROR(VLOOKUP($A16,reformattedTable4olfactory_bulb!$A$1:$WV$1800,7,FALSE), "NA")</f>
        <v>NA</v>
      </c>
      <c r="AW16">
        <f>IFERROR(VLOOKUP($A16,reformattedTable4olfactory_bulb!$A$1:$WV$1800,8,FALSE), "NA")</f>
        <v>232384500</v>
      </c>
      <c r="AX16" t="str">
        <f>IFERROR(VLOOKUP($A16,reformattedTable4olfactory_bulb!$A$1:$WV$1800,9,FALSE), "NA")</f>
        <v>NA</v>
      </c>
      <c r="AY16">
        <f>IFERROR(VLOOKUP($A16,reformattedTable4olfactory_bulb!$A$1:$WV$1800,10,FALSE), "NA")</f>
        <v>12026</v>
      </c>
      <c r="AZ16" t="str">
        <f>IFERROR(VLOOKUP($A16,reformattedTable4olfactory_bulb!$A$1:$WV$1800,11,FALSE), "NA")</f>
        <v>NA</v>
      </c>
      <c r="BA16">
        <f>IFERROR(VLOOKUP($A16,reformattedTable4olfactory_bulb!$A$1:$WV$1800,12,FALSE), "NA")</f>
        <v>113248</v>
      </c>
      <c r="BB16" t="str">
        <f>IFERROR(VLOOKUP($A16,reformattedTable4olfactory_bulb!$A$1:$WV$1800,13,FALSE), "NA")</f>
        <v>NA</v>
      </c>
      <c r="BC16">
        <f>IFERROR(VLOOKUP($A16,reformattedTable4olfactory_bulb!$A$1:$WV$1800,14,FALSE), "NA")</f>
        <v>9.4169999999999998</v>
      </c>
      <c r="BD16" t="str">
        <f>IFERROR(VLOOKUP($A16,reformattedTable4olfactory_bulb!$A$1:$WV$1800,15,FALSE), "NA")</f>
        <v>NA</v>
      </c>
      <c r="BE16" t="str">
        <f>IFERROR(VLOOKUP($A16,reformattedTable4olfactory_bulb!$A$1:$WV$1800,16,FALSE), "NA")</f>
        <v>Kazu et al., 2014</v>
      </c>
      <c r="BF16" t="str">
        <f>IFERROR(VLOOKUP($A16,reformattedTable4olfactory_bulb!$A$1:$WV$1800,17,FALSE), "NA")</f>
        <v>Giraffa_camelopardalis</v>
      </c>
      <c r="BG16">
        <f>IFERROR(VLOOKUP($A16,reformattedTable5whole_brain!$A$1:$WV$1800,4,FALSE), "NA")</f>
        <v>470000</v>
      </c>
      <c r="BH16" t="str">
        <f>IFERROR(VLOOKUP($A16,reformattedTable5whole_brain!$A$1:$WV$1800,5,FALSE), "NA")</f>
        <v>NA</v>
      </c>
      <c r="BI16">
        <f>IFERROR(VLOOKUP($A16,reformattedTable5whole_brain!$A$1:$WV$1800,6,FALSE), "NA")</f>
        <v>537.21799999999996</v>
      </c>
      <c r="BJ16" t="str">
        <f>IFERROR(VLOOKUP($A16,reformattedTable5whole_brain!$A$1:$WV$1800,7,FALSE), "NA")</f>
        <v>NA</v>
      </c>
      <c r="BK16">
        <f>IFERROR(VLOOKUP($A16,reformattedTable5whole_brain!$A$1:$WV$1800,8,FALSE), "NA")</f>
        <v>10751287650</v>
      </c>
      <c r="BL16" t="str">
        <f>IFERROR(VLOOKUP($A16,reformattedTable5whole_brain!$A$1:$WV$1800,9,FALSE), "NA")</f>
        <v>NA</v>
      </c>
      <c r="BM16">
        <f>IFERROR(VLOOKUP($A16,reformattedTable5whole_brain!$A$1:$WV$1800,10,FALSE), "NA")</f>
        <v>37912932350</v>
      </c>
      <c r="BN16" t="str">
        <f>IFERROR(VLOOKUP($A16,reformattedTable5whole_brain!$A$1:$WV$1800,11,FALSE), "NA")</f>
        <v>NA</v>
      </c>
      <c r="BO16">
        <f>IFERROR(VLOOKUP($A16,reformattedTable5whole_brain!$A$1:$WV$1800,12,FALSE), "NA")</f>
        <v>23.5</v>
      </c>
      <c r="BP16" t="str">
        <f>IFERROR(VLOOKUP($A16,reformattedTable5whole_brain!$A$1:$WV$1800,13,FALSE), "NA")</f>
        <v>NA</v>
      </c>
      <c r="BQ16" t="str">
        <f>IFERROR(VLOOKUP($A16,reformattedTable5whole_brain!$A$1:$WV$1800,14,FALSE), "NA")</f>
        <v>Kazu et al., 2014</v>
      </c>
      <c r="BR16" t="str">
        <f>IFERROR(VLOOKUP($A16,reformattedTable5whole_brain!$A$1:$WV$1800,15,FALSE), "NA")</f>
        <v>Giraffa_camelopardalis</v>
      </c>
    </row>
    <row r="17" spans="1:70">
      <c r="A17" t="s">
        <v>117</v>
      </c>
      <c r="B17" t="s">
        <v>44</v>
      </c>
      <c r="C17" t="str">
        <f>IFERROR(VLOOKUP($A17,reformattedTable1cerebrum!$A$1:$WV$1800,4,FALSE), "NA")</f>
        <v>NA</v>
      </c>
      <c r="D17" t="str">
        <f>IFERROR(VLOOKUP($A17,reformattedTable1cerebrum!$A$1:$WV$1800,5,FALSE), "NA")</f>
        <v>NA</v>
      </c>
      <c r="E17" t="str">
        <f>IFERROR(VLOOKUP($A17,reformattedTable1cerebrum!$A$1:$WV$1800,6,FALSE), "NA")</f>
        <v>NA</v>
      </c>
      <c r="F17" t="str">
        <f>IFERROR(VLOOKUP($A17,reformattedTable1cerebrum!$A$1:$WV$1800,7,FALSE), "NA")</f>
        <v>NA</v>
      </c>
      <c r="G17" t="str">
        <f>IFERROR(VLOOKUP($A17,reformattedTable1cerebrum!$A$1:$WV$1800,8,FALSE), "NA")</f>
        <v>NA</v>
      </c>
      <c r="H17" t="str">
        <f>IFERROR(VLOOKUP($A17,reformattedTable1cerebrum!$A$1:$WV$1800,9,FALSE), "NA")</f>
        <v>NA</v>
      </c>
      <c r="I17" t="str">
        <f>IFERROR(VLOOKUP($A17,reformattedTable1cerebrum!$A$1:$WV$1800,10,FALSE), "NA")</f>
        <v>NA</v>
      </c>
      <c r="J17" t="str">
        <f>IFERROR(VLOOKUP($A17,reformattedTable1cerebrum!$A$1:$WV$1800,11,FALSE), "NA")</f>
        <v>NA</v>
      </c>
      <c r="K17" t="str">
        <f>IFERROR(VLOOKUP($A17,reformattedTable1cerebrum!$A$1:$WV$1800,12,FALSE), "NA")</f>
        <v>NA</v>
      </c>
      <c r="L17" t="str">
        <f>IFERROR(VLOOKUP($A17,reformattedTable1cerebrum!$A$1:$WV$1800,13,FALSE), "NA")</f>
        <v>NA</v>
      </c>
      <c r="M17" t="str">
        <f>IFERROR(VLOOKUP($A17,reformattedTable1cerebrum!$A$1:$WV$1800,14,FALSE), "NA")</f>
        <v>NA</v>
      </c>
      <c r="N17" t="str">
        <f>IFERROR(VLOOKUP($A17,reformattedTable1cerebrum!$A$1:$WV$1800,15,FALSE), "NA")</f>
        <v>NA</v>
      </c>
      <c r="O17" t="str">
        <f>IFERROR(VLOOKUP($A17,reformattedTable1cerebrum!$A$1:$WV$1800,16,FALSE), "NA")</f>
        <v>NA</v>
      </c>
      <c r="P17" t="str">
        <f>IFERROR(VLOOKUP($A17,reformattedTable1cerebrum!$A$1:$WV$1800,17,FALSE), "NA")</f>
        <v>NA</v>
      </c>
      <c r="Q17">
        <f>IFERROR(VLOOKUP($A17,reformattedTable2cerebellum!$A$1:$WW$1800,4,FALSE), "NA")</f>
        <v>37.56</v>
      </c>
      <c r="R17" t="str">
        <f>IFERROR(VLOOKUP($A17,reformattedTable2cerebellum!$A$1:$WW$1800,5,FALSE), "NA")</f>
        <v>NA</v>
      </c>
      <c r="S17">
        <f>IFERROR(VLOOKUP($A17,reformattedTable2cerebellum!$A$1:$WW$1800,6,FALSE), "NA")</f>
        <v>26400000000</v>
      </c>
      <c r="T17" t="str">
        <f>IFERROR(VLOOKUP($A17,reformattedTable2cerebellum!$A$1:$WW$1800,7,FALSE), "NA")</f>
        <v>NA</v>
      </c>
      <c r="U17">
        <f>IFERROR(VLOOKUP($A17,reformattedTable2cerebellum!$A$1:$WW$1800,8,FALSE), "NA")</f>
        <v>2900000000</v>
      </c>
      <c r="V17" t="str">
        <f>IFERROR(VLOOKUP($A17,reformattedTable2cerebellum!$A$1:$WW$1800,9,FALSE), "NA")</f>
        <v>NA</v>
      </c>
      <c r="W17">
        <f>IFERROR(VLOOKUP($A17,reformattedTable2cerebellum!$A$1:$WW$1800,10,FALSE), "NA")</f>
        <v>702875</v>
      </c>
      <c r="X17" t="str">
        <f>IFERROR(VLOOKUP($A17,reformattedTable2cerebellum!$A$1:$WW$1800,11,FALSE), "NA")</f>
        <v>NA</v>
      </c>
      <c r="Y17">
        <f>IFERROR(VLOOKUP($A17,reformattedTable2cerebellum!$A$1:$WW$1800,12,FALSE), "NA")</f>
        <v>77210</v>
      </c>
      <c r="Z17" t="str">
        <f>IFERROR(VLOOKUP($A17,reformattedTable2cerebellum!$A$1:$WW$1800,13,FALSE), "NA")</f>
        <v>NA</v>
      </c>
      <c r="AA17">
        <f>IFERROR(VLOOKUP($A17,reformattedTable2cerebellum!$A$1:$WW$1800,14,FALSE), "NA")</f>
        <v>0.11</v>
      </c>
      <c r="AB17" t="str">
        <f>IFERROR(VLOOKUP($A17,reformattedTable2cerebellum!$A$1:$WW$1800,15,FALSE), "NA")</f>
        <v>NA</v>
      </c>
      <c r="AC17" t="str">
        <f>IFERROR(VLOOKUP($A17,reformattedTable2cerebellum!$A$1:$WW$1800,16,FALSE), "NA")</f>
        <v>Herculano-Houzel and Kaas, 2011</v>
      </c>
      <c r="AD17" t="str">
        <f>IFERROR(VLOOKUP($A17,reformattedTable2cerebellum!$A$1:$WW$1800,17,FALSE), "NA")</f>
        <v>Gorilla_gorilla</v>
      </c>
      <c r="AE17" t="str">
        <f>IFERROR(VLOOKUP($A17,reformattedTable3RoB!$A$1:$WW$1800,4,FALSE), "NA")</f>
        <v>NA</v>
      </c>
      <c r="AF17" t="str">
        <f>IFERROR(VLOOKUP($A17,reformattedTable3RoB!$A$1:$WW$1800,5,FALSE), "NA")</f>
        <v>NA</v>
      </c>
      <c r="AG17" t="str">
        <f>IFERROR(VLOOKUP($A17,reformattedTable3RoB!$A$1:$WW$1800,6,FALSE), "NA")</f>
        <v>NA</v>
      </c>
      <c r="AH17" t="str">
        <f>IFERROR(VLOOKUP($A17,reformattedTable3RoB!$A$1:$WW$1800,7,FALSE), "NA")</f>
        <v>NA</v>
      </c>
      <c r="AI17" t="str">
        <f>IFERROR(VLOOKUP($A17,reformattedTable3RoB!$A$1:$WW$1800,8,FALSE), "NA")</f>
        <v>NA</v>
      </c>
      <c r="AJ17" t="str">
        <f>IFERROR(VLOOKUP($A17,reformattedTable3RoB!$A$1:$WW$1800,9,FALSE), "NA")</f>
        <v>NA</v>
      </c>
      <c r="AK17" t="str">
        <f>IFERROR(VLOOKUP($A17,reformattedTable3RoB!$A$1:$WW$1800,10,FALSE), "NA")</f>
        <v>NA</v>
      </c>
      <c r="AL17" t="str">
        <f>IFERROR(VLOOKUP($A17,reformattedTable3RoB!$A$1:$WW$1800,11,FALSE), "NA")</f>
        <v>NA</v>
      </c>
      <c r="AM17" t="str">
        <f>IFERROR(VLOOKUP($A17,reformattedTable3RoB!$A$1:$WW$1800,12,FALSE), "NA")</f>
        <v>NA</v>
      </c>
      <c r="AN17" t="str">
        <f>IFERROR(VLOOKUP($A17,reformattedTable3RoB!$A$1:$WW$1800,13,FALSE), "NA")</f>
        <v>NA</v>
      </c>
      <c r="AO17" t="str">
        <f>IFERROR(VLOOKUP($A17,reformattedTable3RoB!$A$1:$WW$1800,14,FALSE), "NA")</f>
        <v>NA</v>
      </c>
      <c r="AP17" t="str">
        <f>IFERROR(VLOOKUP($A17,reformattedTable3RoB!$A$1:$WW$1800,15,FALSE), "NA")</f>
        <v>NA</v>
      </c>
      <c r="AQ17" t="str">
        <f>IFERROR(VLOOKUP($A17,reformattedTable3RoB!$A$1:$WW$1800,16,FALSE), "NA")</f>
        <v>NA</v>
      </c>
      <c r="AR17" t="str">
        <f>IFERROR(VLOOKUP($A17,reformattedTable3RoB!$A$1:$WW$1800,17,FALSE), "NA")</f>
        <v>NA</v>
      </c>
      <c r="AS17" t="str">
        <f>IFERROR(VLOOKUP($A17,reformattedTable4olfactory_bulb!$A$1:$WV$1800,4,FALSE), "NA")</f>
        <v>NA</v>
      </c>
      <c r="AT17" t="str">
        <f>IFERROR(VLOOKUP($A17,reformattedTable4olfactory_bulb!$A$1:$WV$1800,5,FALSE), "NA")</f>
        <v>NA</v>
      </c>
      <c r="AU17" t="str">
        <f>IFERROR(VLOOKUP($A17,reformattedTable4olfactory_bulb!$A$1:$WV$1800,6,FALSE), "NA")</f>
        <v>NA</v>
      </c>
      <c r="AV17" t="str">
        <f>IFERROR(VLOOKUP($A17,reformattedTable4olfactory_bulb!$A$1:$WV$1800,7,FALSE), "NA")</f>
        <v>NA</v>
      </c>
      <c r="AW17" t="str">
        <f>IFERROR(VLOOKUP($A17,reformattedTable4olfactory_bulb!$A$1:$WV$1800,8,FALSE), "NA")</f>
        <v>NA</v>
      </c>
      <c r="AX17" t="str">
        <f>IFERROR(VLOOKUP($A17,reformattedTable4olfactory_bulb!$A$1:$WV$1800,9,FALSE), "NA")</f>
        <v>NA</v>
      </c>
      <c r="AY17" t="str">
        <f>IFERROR(VLOOKUP($A17,reformattedTable4olfactory_bulb!$A$1:$WV$1800,10,FALSE), "NA")</f>
        <v>NA</v>
      </c>
      <c r="AZ17" t="str">
        <f>IFERROR(VLOOKUP($A17,reformattedTable4olfactory_bulb!$A$1:$WV$1800,11,FALSE), "NA")</f>
        <v>NA</v>
      </c>
      <c r="BA17" t="str">
        <f>IFERROR(VLOOKUP($A17,reformattedTable4olfactory_bulb!$A$1:$WV$1800,12,FALSE), "NA")</f>
        <v>NA</v>
      </c>
      <c r="BB17" t="str">
        <f>IFERROR(VLOOKUP($A17,reformattedTable4olfactory_bulb!$A$1:$WV$1800,13,FALSE), "NA")</f>
        <v>NA</v>
      </c>
      <c r="BC17" t="str">
        <f>IFERROR(VLOOKUP($A17,reformattedTable4olfactory_bulb!$A$1:$WV$1800,14,FALSE), "NA")</f>
        <v>NA</v>
      </c>
      <c r="BD17" t="str">
        <f>IFERROR(VLOOKUP($A17,reformattedTable4olfactory_bulb!$A$1:$WV$1800,15,FALSE), "NA")</f>
        <v>NA</v>
      </c>
      <c r="BE17" t="str">
        <f>IFERROR(VLOOKUP($A17,reformattedTable4olfactory_bulb!$A$1:$WV$1800,16,FALSE), "NA")</f>
        <v>NA</v>
      </c>
      <c r="BF17" t="str">
        <f>IFERROR(VLOOKUP($A17,reformattedTable4olfactory_bulb!$A$1:$WV$1800,17,FALSE), "NA")</f>
        <v>NA</v>
      </c>
      <c r="BG17" t="str">
        <f>IFERROR(VLOOKUP($A17,reformattedTable5whole_brain!$A$1:$WV$1800,4,FALSE), "NA")</f>
        <v>NA</v>
      </c>
      <c r="BH17" t="str">
        <f>IFERROR(VLOOKUP($A17,reformattedTable5whole_brain!$A$1:$WV$1800,5,FALSE), "NA")</f>
        <v>NA</v>
      </c>
      <c r="BI17" t="str">
        <f>IFERROR(VLOOKUP($A17,reformattedTable5whole_brain!$A$1:$WV$1800,6,FALSE), "NA")</f>
        <v>NA</v>
      </c>
      <c r="BJ17" t="str">
        <f>IFERROR(VLOOKUP($A17,reformattedTable5whole_brain!$A$1:$WV$1800,7,FALSE), "NA")</f>
        <v>NA</v>
      </c>
      <c r="BK17" t="str">
        <f>IFERROR(VLOOKUP($A17,reformattedTable5whole_brain!$A$1:$WV$1800,8,FALSE), "NA")</f>
        <v>NA</v>
      </c>
      <c r="BL17" t="str">
        <f>IFERROR(VLOOKUP($A17,reformattedTable5whole_brain!$A$1:$WV$1800,9,FALSE), "NA")</f>
        <v>NA</v>
      </c>
      <c r="BM17" t="str">
        <f>IFERROR(VLOOKUP($A17,reformattedTable5whole_brain!$A$1:$WV$1800,10,FALSE), "NA")</f>
        <v>NA</v>
      </c>
      <c r="BN17" t="str">
        <f>IFERROR(VLOOKUP($A17,reformattedTable5whole_brain!$A$1:$WV$1800,11,FALSE), "NA")</f>
        <v>NA</v>
      </c>
      <c r="BO17" t="str">
        <f>IFERROR(VLOOKUP($A17,reformattedTable5whole_brain!$A$1:$WV$1800,12,FALSE), "NA")</f>
        <v>NA</v>
      </c>
      <c r="BP17" t="str">
        <f>IFERROR(VLOOKUP($A17,reformattedTable5whole_brain!$A$1:$WV$1800,13,FALSE), "NA")</f>
        <v>NA</v>
      </c>
      <c r="BQ17" t="str">
        <f>IFERROR(VLOOKUP($A17,reformattedTable5whole_brain!$A$1:$WV$1800,14,FALSE), "NA")</f>
        <v>NA</v>
      </c>
      <c r="BR17" t="str">
        <f>IFERROR(VLOOKUP($A17,reformattedTable5whole_brain!$A$1:$WV$1800,15,FALSE), "NA")</f>
        <v>NA</v>
      </c>
    </row>
    <row r="18" spans="1:70">
      <c r="A18" t="s">
        <v>24</v>
      </c>
      <c r="B18" t="s">
        <v>19</v>
      </c>
      <c r="C18">
        <f>IFERROR(VLOOKUP($A18,reformattedTable1cerebrum!$A$1:$WV$1800,4,FALSE), "NA")</f>
        <v>0.184</v>
      </c>
      <c r="D18">
        <f>IFERROR(VLOOKUP($A18,reformattedTable1cerebrum!$A$1:$WV$1800,5,FALSE), "NA")</f>
        <v>2.5999999999999999E-2</v>
      </c>
      <c r="E18">
        <f>IFERROR(VLOOKUP($A18,reformattedTable1cerebrum!$A$1:$WV$1800,6,FALSE), "NA")</f>
        <v>6151875</v>
      </c>
      <c r="F18">
        <f>IFERROR(VLOOKUP($A18,reformattedTable1cerebrum!$A$1:$WV$1800,7,FALSE), "NA")</f>
        <v>1065587</v>
      </c>
      <c r="G18">
        <f>IFERROR(VLOOKUP($A18,reformattedTable1cerebrum!$A$1:$WV$1800,8,FALSE), "NA")</f>
        <v>8398125</v>
      </c>
      <c r="H18">
        <f>IFERROR(VLOOKUP($A18,reformattedTable1cerebrum!$A$1:$WV$1800,9,FALSE), "NA")</f>
        <v>1197056</v>
      </c>
      <c r="I18">
        <f>IFERROR(VLOOKUP($A18,reformattedTable1cerebrum!$A$1:$WV$1800,10,FALSE), "NA")</f>
        <v>33374</v>
      </c>
      <c r="J18">
        <f>IFERROR(VLOOKUP($A18,reformattedTable1cerebrum!$A$1:$WV$1800,11,FALSE), "NA")</f>
        <v>2063</v>
      </c>
      <c r="K18">
        <f>IFERROR(VLOOKUP($A18,reformattedTable1cerebrum!$A$1:$WV$1800,12,FALSE), "NA")</f>
        <v>45894</v>
      </c>
      <c r="L18">
        <f>IFERROR(VLOOKUP($A18,reformattedTable1cerebrum!$A$1:$WV$1800,13,FALSE), "NA")</f>
        <v>11497</v>
      </c>
      <c r="M18">
        <f>IFERROR(VLOOKUP($A18,reformattedTable1cerebrum!$A$1:$WV$1800,14,FALSE), "NA")</f>
        <v>1.365</v>
      </c>
      <c r="N18">
        <f>IFERROR(VLOOKUP($A18,reformattedTable1cerebrum!$A$1:$WV$1800,15,FALSE), "NA")</f>
        <v>0.125</v>
      </c>
      <c r="O18" t="str">
        <f>IFERROR(VLOOKUP($A18,reformattedTable1cerebrum!$A$1:$WV$1800,16,FALSE), "NA")</f>
        <v>Herculano-Houzel et al., 2011</v>
      </c>
      <c r="P18" t="str">
        <f>IFERROR(VLOOKUP($A18,reformattedTable1cerebrum!$A$1:$WV$1800,17,FALSE), "NA")</f>
        <v>Heterocephalus_glaber</v>
      </c>
      <c r="Q18">
        <f>IFERROR(VLOOKUP($A18,reformattedTable2cerebellum!$A$1:$WW$1800,4,FALSE), "NA")</f>
        <v>4.8000000000000001E-2</v>
      </c>
      <c r="R18">
        <f>IFERROR(VLOOKUP($A18,reformattedTable2cerebellum!$A$1:$WW$1800,5,FALSE), "NA")</f>
        <v>4.0000000000000001E-3</v>
      </c>
      <c r="S18">
        <f>IFERROR(VLOOKUP($A18,reformattedTable2cerebellum!$A$1:$WW$1800,6,FALSE), "NA")</f>
        <v>15742270</v>
      </c>
      <c r="T18">
        <f>IFERROR(VLOOKUP($A18,reformattedTable2cerebellum!$A$1:$WW$1800,7,FALSE), "NA")</f>
        <v>2849254</v>
      </c>
      <c r="U18">
        <f>IFERROR(VLOOKUP($A18,reformattedTable2cerebellum!$A$1:$WW$1800,8,FALSE), "NA")</f>
        <v>5482730</v>
      </c>
      <c r="V18">
        <f>IFERROR(VLOOKUP($A18,reformattedTable2cerebellum!$A$1:$WW$1800,9,FALSE), "NA")</f>
        <v>1274352</v>
      </c>
      <c r="W18">
        <f>IFERROR(VLOOKUP($A18,reformattedTable2cerebellum!$A$1:$WW$1800,10,FALSE), "NA")</f>
        <v>327280</v>
      </c>
      <c r="X18">
        <f>IFERROR(VLOOKUP($A18,reformattedTable2cerebellum!$A$1:$WW$1800,11,FALSE), "NA")</f>
        <v>48331</v>
      </c>
      <c r="Y18">
        <f>IFERROR(VLOOKUP($A18,reformattedTable2cerebellum!$A$1:$WW$1800,12,FALSE), "NA")</f>
        <v>115748</v>
      </c>
      <c r="Z18">
        <f>IFERROR(VLOOKUP($A18,reformattedTable2cerebellum!$A$1:$WW$1800,13,FALSE), "NA")</f>
        <v>32952</v>
      </c>
      <c r="AA18">
        <f>IFERROR(VLOOKUP($A18,reformattedTable2cerebellum!$A$1:$WW$1800,14,FALSE), "NA")</f>
        <v>0.35599999999999998</v>
      </c>
      <c r="AB18">
        <f>IFERROR(VLOOKUP($A18,reformattedTable2cerebellum!$A$1:$WW$1800,15,FALSE), "NA")</f>
        <v>0.106</v>
      </c>
      <c r="AC18" t="str">
        <f>IFERROR(VLOOKUP($A18,reformattedTable2cerebellum!$A$1:$WW$1800,16,FALSE), "NA")</f>
        <v>Herculano-Houzel et al., 2011</v>
      </c>
      <c r="AD18" t="str">
        <f>IFERROR(VLOOKUP($A18,reformattedTable2cerebellum!$A$1:$WW$1800,17,FALSE), "NA")</f>
        <v>Heterocephalus_glaber</v>
      </c>
      <c r="AE18">
        <f>IFERROR(VLOOKUP($A18,reformattedTable3RoB!$A$1:$WW$1800,4,FALSE), "NA")</f>
        <v>0.16</v>
      </c>
      <c r="AF18">
        <f>IFERROR(VLOOKUP($A18,reformattedTable3RoB!$A$1:$WW$1800,5,FALSE), "NA")</f>
        <v>1.9E-2</v>
      </c>
      <c r="AG18">
        <f>IFERROR(VLOOKUP($A18,reformattedTable3RoB!$A$1:$WW$1800,6,FALSE), "NA")</f>
        <v>4981317</v>
      </c>
      <c r="AH18">
        <f>IFERROR(VLOOKUP($A18,reformattedTable3RoB!$A$1:$WW$1800,7,FALSE), "NA")</f>
        <v>853026</v>
      </c>
      <c r="AI18">
        <f>IFERROR(VLOOKUP($A18,reformattedTable3RoB!$A$1:$WW$1800,8,FALSE), "NA")</f>
        <v>10310350</v>
      </c>
      <c r="AJ18">
        <f>IFERROR(VLOOKUP($A18,reformattedTable3RoB!$A$1:$WW$1800,9,FALSE), "NA")</f>
        <v>1843572</v>
      </c>
      <c r="AK18">
        <f>IFERROR(VLOOKUP($A18,reformattedTable3RoB!$A$1:$WW$1800,10,FALSE), "NA")</f>
        <v>31674</v>
      </c>
      <c r="AL18">
        <f>IFERROR(VLOOKUP($A18,reformattedTable3RoB!$A$1:$WW$1800,11,FALSE), "NA")</f>
        <v>8484</v>
      </c>
      <c r="AM18">
        <f>IFERROR(VLOOKUP($A18,reformattedTable3RoB!$A$1:$WW$1800,12,FALSE), "NA")</f>
        <v>64145</v>
      </c>
      <c r="AN18">
        <f>IFERROR(VLOOKUP($A18,reformattedTable3RoB!$A$1:$WW$1800,13,FALSE), "NA")</f>
        <v>3790</v>
      </c>
      <c r="AO18">
        <f>IFERROR(VLOOKUP($A18,reformattedTable3RoB!$A$1:$WW$1800,14,FALSE), "NA")</f>
        <v>2.125</v>
      </c>
      <c r="AP18" t="str">
        <f>IFERROR(VLOOKUP($A18,reformattedTable3RoB!$A$1:$WW$1800,15,FALSE), "NA")</f>
        <v>NA</v>
      </c>
      <c r="AQ18" t="str">
        <f>IFERROR(VLOOKUP($A18,reformattedTable3RoB!$A$1:$WW$1800,16,FALSE), "NA")</f>
        <v>Herculano-Houzel et al., 2011</v>
      </c>
      <c r="AR18" t="str">
        <f>IFERROR(VLOOKUP($A18,reformattedTable3RoB!$A$1:$WW$1800,17,FALSE), "NA")</f>
        <v>Heterocephalus_glaber</v>
      </c>
      <c r="AS18">
        <f>IFERROR(VLOOKUP($A18,reformattedTable4olfactory_bulb!$A$1:$WV$1800,4,FALSE), "NA")</f>
        <v>2.1000000000000001E-2</v>
      </c>
      <c r="AT18">
        <f>IFERROR(VLOOKUP($A18,reformattedTable4olfactory_bulb!$A$1:$WV$1800,5,FALSE), "NA")</f>
        <v>1E-3</v>
      </c>
      <c r="AU18">
        <f>IFERROR(VLOOKUP($A18,reformattedTable4olfactory_bulb!$A$1:$WV$1800,6,FALSE), "NA")</f>
        <v>2303030</v>
      </c>
      <c r="AV18">
        <f>IFERROR(VLOOKUP($A18,reformattedTable4olfactory_bulb!$A$1:$WV$1800,7,FALSE), "NA")</f>
        <v>636099</v>
      </c>
      <c r="AW18">
        <f>IFERROR(VLOOKUP($A18,reformattedTable4olfactory_bulb!$A$1:$WV$1800,8,FALSE), "NA")</f>
        <v>3571970</v>
      </c>
      <c r="AX18">
        <f>IFERROR(VLOOKUP($A18,reformattedTable4olfactory_bulb!$A$1:$WV$1800,9,FALSE), "NA")</f>
        <v>1548861</v>
      </c>
      <c r="AY18">
        <f>IFERROR(VLOOKUP($A18,reformattedTable4olfactory_bulb!$A$1:$WV$1800,10,FALSE), "NA")</f>
        <v>108895</v>
      </c>
      <c r="AZ18">
        <f>IFERROR(VLOOKUP($A18,reformattedTable4olfactory_bulb!$A$1:$WV$1800,11,FALSE), "NA")</f>
        <v>22957</v>
      </c>
      <c r="BA18">
        <f>IFERROR(VLOOKUP($A18,reformattedTable4olfactory_bulb!$A$1:$WV$1800,12,FALSE), "NA")</f>
        <v>167991</v>
      </c>
      <c r="BB18">
        <f>IFERROR(VLOOKUP($A18,reformattedTable4olfactory_bulb!$A$1:$WV$1800,13,FALSE), "NA")</f>
        <v>62442</v>
      </c>
      <c r="BC18">
        <f>IFERROR(VLOOKUP($A18,reformattedTable4olfactory_bulb!$A$1:$WV$1800,14,FALSE), "NA")</f>
        <v>1.516</v>
      </c>
      <c r="BD18">
        <f>IFERROR(VLOOKUP($A18,reformattedTable4olfactory_bulb!$A$1:$WV$1800,15,FALSE), "NA")</f>
        <v>0.254</v>
      </c>
      <c r="BE18" t="str">
        <f>IFERROR(VLOOKUP($A18,reformattedTable4olfactory_bulb!$A$1:$WV$1800,16,FALSE), "NA")</f>
        <v>Herculano-Houzel et al., 2011</v>
      </c>
      <c r="BF18" t="str">
        <f>IFERROR(VLOOKUP($A18,reformattedTable4olfactory_bulb!$A$1:$WV$1800,17,FALSE), "NA")</f>
        <v>Heterocephalus_glaber</v>
      </c>
      <c r="BG18">
        <f>IFERROR(VLOOKUP($A18,reformattedTable5whole_brain!$A$1:$WV$1800,4,FALSE), "NA")</f>
        <v>23.3</v>
      </c>
      <c r="BH18">
        <f>IFERROR(VLOOKUP($A18,reformattedTable5whole_brain!$A$1:$WV$1800,5,FALSE), "NA")</f>
        <v>5.9</v>
      </c>
      <c r="BI18">
        <f>IFERROR(VLOOKUP($A18,reformattedTable5whole_brain!$A$1:$WV$1800,6,FALSE), "NA")</f>
        <v>0.39200000000000002</v>
      </c>
      <c r="BJ18">
        <f>IFERROR(VLOOKUP($A18,reformattedTable5whole_brain!$A$1:$WV$1800,7,FALSE), "NA")</f>
        <v>4.4999999999999998E-2</v>
      </c>
      <c r="BK18">
        <f>IFERROR(VLOOKUP($A18,reformattedTable5whole_brain!$A$1:$WV$1800,8,FALSE), "NA")</f>
        <v>26875462</v>
      </c>
      <c r="BL18">
        <f>IFERROR(VLOOKUP($A18,reformattedTable5whole_brain!$A$1:$WV$1800,9,FALSE), "NA")</f>
        <v>3340087</v>
      </c>
      <c r="BM18">
        <f>IFERROR(VLOOKUP($A18,reformattedTable5whole_brain!$A$1:$WV$1800,10,FALSE), "NA")</f>
        <v>24191205</v>
      </c>
      <c r="BN18">
        <f>IFERROR(VLOOKUP($A18,reformattedTable5whole_brain!$A$1:$WV$1800,11,FALSE), "NA")</f>
        <v>1739102</v>
      </c>
      <c r="BO18">
        <f>IFERROR(VLOOKUP($A18,reformattedTable5whole_brain!$A$1:$WV$1800,12,FALSE), "NA")</f>
        <v>52.5</v>
      </c>
      <c r="BP18">
        <f>IFERROR(VLOOKUP($A18,reformattedTable5whole_brain!$A$1:$WV$1800,13,FALSE), "NA")</f>
        <v>3.3</v>
      </c>
      <c r="BQ18" t="str">
        <f>IFERROR(VLOOKUP($A18,reformattedTable5whole_brain!$A$1:$WV$1800,14,FALSE), "NA")</f>
        <v>Herculano-Houzel et al., 2011</v>
      </c>
      <c r="BR18" t="str">
        <f>IFERROR(VLOOKUP($A18,reformattedTable5whole_brain!$A$1:$WV$1800,15,FALSE), "NA")</f>
        <v>Heterocephalus_glaber</v>
      </c>
    </row>
    <row r="19" spans="1:70">
      <c r="A19" t="s">
        <v>103</v>
      </c>
      <c r="B19" t="s">
        <v>44</v>
      </c>
      <c r="C19">
        <f>IFERROR(VLOOKUP($A19,reformattedTable1cerebrum!$A$1:$WV$1800,4,FALSE), "NA")</f>
        <v>1232.93</v>
      </c>
      <c r="D19">
        <f>IFERROR(VLOOKUP($A19,reformattedTable1cerebrum!$A$1:$WV$1800,5,FALSE), "NA")</f>
        <v>233.68</v>
      </c>
      <c r="E19">
        <f>IFERROR(VLOOKUP($A19,reformattedTable1cerebrum!$A$1:$WV$1800,6,FALSE), "NA")</f>
        <v>16340000000</v>
      </c>
      <c r="F19">
        <f>IFERROR(VLOOKUP($A19,reformattedTable1cerebrum!$A$1:$WV$1800,7,FALSE), "NA")</f>
        <v>2170000000</v>
      </c>
      <c r="G19">
        <f>IFERROR(VLOOKUP($A19,reformattedTable1cerebrum!$A$1:$WV$1800,8,FALSE), "NA")</f>
        <v>60840000000</v>
      </c>
      <c r="H19">
        <f>IFERROR(VLOOKUP($A19,reformattedTable1cerebrum!$A$1:$WV$1800,9,FALSE), "NA")</f>
        <v>7020000000</v>
      </c>
      <c r="I19">
        <f>IFERROR(VLOOKUP($A19,reformattedTable1cerebrum!$A$1:$WV$1800,10,FALSE), "NA")</f>
        <v>13520</v>
      </c>
      <c r="J19">
        <f>IFERROR(VLOOKUP($A19,reformattedTable1cerebrum!$A$1:$WV$1800,11,FALSE), "NA")</f>
        <v>3636</v>
      </c>
      <c r="K19">
        <f>IFERROR(VLOOKUP($A19,reformattedTable1cerebrum!$A$1:$WV$1800,12,FALSE), "NA")</f>
        <v>49230</v>
      </c>
      <c r="L19">
        <f>IFERROR(VLOOKUP($A19,reformattedTable1cerebrum!$A$1:$WV$1800,13,FALSE), "NA")</f>
        <v>3755</v>
      </c>
      <c r="M19">
        <f>IFERROR(VLOOKUP($A19,reformattedTable1cerebrum!$A$1:$WV$1800,14,FALSE), "NA")</f>
        <v>3.7229999999999999</v>
      </c>
      <c r="N19">
        <f>IFERROR(VLOOKUP($A19,reformattedTable1cerebrum!$A$1:$WV$1800,15,FALSE), "NA")</f>
        <v>0.67500000000000004</v>
      </c>
      <c r="O19" t="str">
        <f>IFERROR(VLOOKUP($A19,reformattedTable1cerebrum!$A$1:$WV$1800,16,FALSE), "NA")</f>
        <v>Azevedo et al., 2009</v>
      </c>
      <c r="P19" t="str">
        <f>IFERROR(VLOOKUP($A19,reformattedTable1cerebrum!$A$1:$WV$1800,17,FALSE), "NA")</f>
        <v>Homo_sapiens</v>
      </c>
      <c r="Q19">
        <f>IFERROR(VLOOKUP($A19,reformattedTable2cerebellum!$A$1:$WW$1800,4,FALSE), "NA")</f>
        <v>154.02000000000001</v>
      </c>
      <c r="R19">
        <f>IFERROR(VLOOKUP($A19,reformattedTable2cerebellum!$A$1:$WW$1800,5,FALSE), "NA")</f>
        <v>19.29</v>
      </c>
      <c r="S19">
        <f>IFERROR(VLOOKUP($A19,reformattedTable2cerebellum!$A$1:$WW$1800,6,FALSE), "NA")</f>
        <v>69030000000</v>
      </c>
      <c r="T19">
        <f>IFERROR(VLOOKUP($A19,reformattedTable2cerebellum!$A$1:$WW$1800,7,FALSE), "NA")</f>
        <v>6650000000</v>
      </c>
      <c r="U19">
        <f>IFERROR(VLOOKUP($A19,reformattedTable2cerebellum!$A$1:$WW$1800,8,FALSE), "NA")</f>
        <v>16040000000</v>
      </c>
      <c r="V19">
        <f>IFERROR(VLOOKUP($A19,reformattedTable2cerebellum!$A$1:$WW$1800,9,FALSE), "NA")</f>
        <v>2170000</v>
      </c>
      <c r="W19">
        <f>IFERROR(VLOOKUP($A19,reformattedTable2cerebellum!$A$1:$WW$1800,10,FALSE), "NA")</f>
        <v>471660</v>
      </c>
      <c r="X19">
        <f>IFERROR(VLOOKUP($A19,reformattedTable2cerebellum!$A$1:$WW$1800,11,FALSE), "NA")</f>
        <v>90393</v>
      </c>
      <c r="Y19">
        <f>IFERROR(VLOOKUP($A19,reformattedTable2cerebellum!$A$1:$WW$1800,12,FALSE), "NA")</f>
        <v>101020</v>
      </c>
      <c r="Z19">
        <f>IFERROR(VLOOKUP($A19,reformattedTable2cerebellum!$A$1:$WW$1800,13,FALSE), "NA")</f>
        <v>19800</v>
      </c>
      <c r="AA19">
        <f>IFERROR(VLOOKUP($A19,reformattedTable2cerebellum!$A$1:$WW$1800,14,FALSE), "NA")</f>
        <v>0.23200000000000001</v>
      </c>
      <c r="AB19">
        <f>IFERROR(VLOOKUP($A19,reformattedTable2cerebellum!$A$1:$WW$1800,15,FALSE), "NA")</f>
        <v>1.9E-2</v>
      </c>
      <c r="AC19" t="str">
        <f>IFERROR(VLOOKUP($A19,reformattedTable2cerebellum!$A$1:$WW$1800,16,FALSE), "NA")</f>
        <v>Azevedo et al., 2009</v>
      </c>
      <c r="AD19" t="str">
        <f>IFERROR(VLOOKUP($A19,reformattedTable2cerebellum!$A$1:$WW$1800,17,FALSE), "NA")</f>
        <v>Homo_sapiens</v>
      </c>
      <c r="AE19">
        <f>IFERROR(VLOOKUP($A19,reformattedTable3RoB!$A$1:$WW$1800,4,FALSE), "NA")</f>
        <v>117.66</v>
      </c>
      <c r="AF19">
        <f>IFERROR(VLOOKUP($A19,reformattedTable3RoB!$A$1:$WW$1800,5,FALSE), "NA")</f>
        <v>45.42</v>
      </c>
      <c r="AG19">
        <f>IFERROR(VLOOKUP($A19,reformattedTable3RoB!$A$1:$WW$1800,6,FALSE), "NA")</f>
        <v>690000000</v>
      </c>
      <c r="AH19">
        <f>IFERROR(VLOOKUP($A19,reformattedTable3RoB!$A$1:$WW$1800,7,FALSE), "NA")</f>
        <v>120000000</v>
      </c>
      <c r="AI19">
        <f>IFERROR(VLOOKUP($A19,reformattedTable3RoB!$A$1:$WW$1800,8,FALSE), "NA")</f>
        <v>7730000000</v>
      </c>
      <c r="AJ19">
        <f>IFERROR(VLOOKUP($A19,reformattedTable3RoB!$A$1:$WW$1800,9,FALSE), "NA")</f>
        <v>1450000000</v>
      </c>
      <c r="AK19">
        <f>IFERROR(VLOOKUP($A19,reformattedTable3RoB!$A$1:$WW$1800,10,FALSE), "NA")</f>
        <v>6560</v>
      </c>
      <c r="AL19">
        <f>IFERROR(VLOOKUP($A19,reformattedTable3RoB!$A$1:$WW$1800,11,FALSE), "NA")</f>
        <v>2115</v>
      </c>
      <c r="AM19">
        <f>IFERROR(VLOOKUP($A19,reformattedTable3RoB!$A$1:$WW$1800,12,FALSE), "NA")</f>
        <v>69850</v>
      </c>
      <c r="AN19">
        <f>IFERROR(VLOOKUP($A19,reformattedTable3RoB!$A$1:$WW$1800,13,FALSE), "NA")</f>
        <v>20026</v>
      </c>
      <c r="AO19">
        <f>IFERROR(VLOOKUP($A19,reformattedTable3RoB!$A$1:$WW$1800,14,FALSE), "NA")</f>
        <v>11.202999999999999</v>
      </c>
      <c r="AP19">
        <f>IFERROR(VLOOKUP($A19,reformattedTable3RoB!$A$1:$WW$1800,15,FALSE), "NA")</f>
        <v>2.3519999999999999</v>
      </c>
      <c r="AQ19" t="str">
        <f>IFERROR(VLOOKUP($A19,reformattedTable3RoB!$A$1:$WW$1800,16,FALSE), "NA")</f>
        <v>Azevedo et al., 2009</v>
      </c>
      <c r="AR19" t="str">
        <f>IFERROR(VLOOKUP($A19,reformattedTable3RoB!$A$1:$WW$1800,17,FALSE), "NA")</f>
        <v>Homo_sapiens</v>
      </c>
      <c r="AS19" t="str">
        <f>IFERROR(VLOOKUP($A19,reformattedTable4olfactory_bulb!$A$1:$WV$1800,4,FALSE), "NA")</f>
        <v>NA</v>
      </c>
      <c r="AT19" t="str">
        <f>IFERROR(VLOOKUP($A19,reformattedTable4olfactory_bulb!$A$1:$WV$1800,5,FALSE), "NA")</f>
        <v>NA</v>
      </c>
      <c r="AU19" t="str">
        <f>IFERROR(VLOOKUP($A19,reformattedTable4olfactory_bulb!$A$1:$WV$1800,6,FALSE), "NA")</f>
        <v>NA</v>
      </c>
      <c r="AV19" t="str">
        <f>IFERROR(VLOOKUP($A19,reformattedTable4olfactory_bulb!$A$1:$WV$1800,7,FALSE), "NA")</f>
        <v>NA</v>
      </c>
      <c r="AW19" t="str">
        <f>IFERROR(VLOOKUP($A19,reformattedTable4olfactory_bulb!$A$1:$WV$1800,8,FALSE), "NA")</f>
        <v>NA</v>
      </c>
      <c r="AX19" t="str">
        <f>IFERROR(VLOOKUP($A19,reformattedTable4olfactory_bulb!$A$1:$WV$1800,9,FALSE), "NA")</f>
        <v>NA</v>
      </c>
      <c r="AY19" t="str">
        <f>IFERROR(VLOOKUP($A19,reformattedTable4olfactory_bulb!$A$1:$WV$1800,10,FALSE), "NA")</f>
        <v>NA</v>
      </c>
      <c r="AZ19" t="str">
        <f>IFERROR(VLOOKUP($A19,reformattedTable4olfactory_bulb!$A$1:$WV$1800,11,FALSE), "NA")</f>
        <v>NA</v>
      </c>
      <c r="BA19" t="str">
        <f>IFERROR(VLOOKUP($A19,reformattedTable4olfactory_bulb!$A$1:$WV$1800,12,FALSE), "NA")</f>
        <v>NA</v>
      </c>
      <c r="BB19" t="str">
        <f>IFERROR(VLOOKUP($A19,reformattedTable4olfactory_bulb!$A$1:$WV$1800,13,FALSE), "NA")</f>
        <v>NA</v>
      </c>
      <c r="BC19" t="str">
        <f>IFERROR(VLOOKUP($A19,reformattedTable4olfactory_bulb!$A$1:$WV$1800,14,FALSE), "NA")</f>
        <v>NA</v>
      </c>
      <c r="BD19" t="str">
        <f>IFERROR(VLOOKUP($A19,reformattedTable4olfactory_bulb!$A$1:$WV$1800,15,FALSE), "NA")</f>
        <v>NA</v>
      </c>
      <c r="BE19" t="str">
        <f>IFERROR(VLOOKUP($A19,reformattedTable4olfactory_bulb!$A$1:$WV$1800,16,FALSE), "NA")</f>
        <v>NA</v>
      </c>
      <c r="BF19" t="str">
        <f>IFERROR(VLOOKUP($A19,reformattedTable4olfactory_bulb!$A$1:$WV$1800,17,FALSE), "NA")</f>
        <v>NA</v>
      </c>
      <c r="BG19">
        <f>IFERROR(VLOOKUP($A19,reformattedTable5whole_brain!$A$1:$WV$1800,4,FALSE), "NA")</f>
        <v>70000</v>
      </c>
      <c r="BH19" t="str">
        <f>IFERROR(VLOOKUP($A19,reformattedTable5whole_brain!$A$1:$WV$1800,5,FALSE), "NA")</f>
        <v>NA</v>
      </c>
      <c r="BI19">
        <f>IFERROR(VLOOKUP($A19,reformattedTable5whole_brain!$A$1:$WV$1800,6,FALSE), "NA")</f>
        <v>1508.91</v>
      </c>
      <c r="BJ19">
        <f>IFERROR(VLOOKUP($A19,reformattedTable5whole_brain!$A$1:$WV$1800,7,FALSE), "NA")</f>
        <v>299.14</v>
      </c>
      <c r="BK19">
        <f>IFERROR(VLOOKUP($A19,reformattedTable5whole_brain!$A$1:$WV$1800,8,FALSE), "NA")</f>
        <v>86060000000</v>
      </c>
      <c r="BL19">
        <f>IFERROR(VLOOKUP($A19,reformattedTable5whole_brain!$A$1:$WV$1800,9,FALSE), "NA")</f>
        <v>8120000000</v>
      </c>
      <c r="BM19">
        <f>IFERROR(VLOOKUP($A19,reformattedTable5whole_brain!$A$1:$WV$1800,10,FALSE), "NA")</f>
        <v>84610000000</v>
      </c>
      <c r="BN19">
        <f>IFERROR(VLOOKUP($A19,reformattedTable5whole_brain!$A$1:$WV$1800,11,FALSE), "NA")</f>
        <v>9830000000</v>
      </c>
      <c r="BO19">
        <f>IFERROR(VLOOKUP($A19,reformattedTable5whole_brain!$A$1:$WV$1800,12,FALSE), "NA")</f>
        <v>50.5</v>
      </c>
      <c r="BP19">
        <f>IFERROR(VLOOKUP($A19,reformattedTable5whole_brain!$A$1:$WV$1800,13,FALSE), "NA")</f>
        <v>3.6</v>
      </c>
      <c r="BQ19" t="str">
        <f>IFERROR(VLOOKUP($A19,reformattedTable5whole_brain!$A$1:$WV$1800,14,FALSE), "NA")</f>
        <v>Azevedo et al., 2009</v>
      </c>
      <c r="BR19" t="str">
        <f>IFERROR(VLOOKUP($A19,reformattedTable5whole_brain!$A$1:$WV$1800,15,FALSE), "NA")</f>
        <v>Homo_sapiens</v>
      </c>
    </row>
    <row r="20" spans="1:70">
      <c r="A20" t="s">
        <v>89</v>
      </c>
      <c r="B20" t="s">
        <v>19</v>
      </c>
      <c r="C20">
        <f>IFERROR(VLOOKUP($A20,reformattedTable1cerebrum!$A$1:$WV$1800,4,FALSE), "NA")</f>
        <v>48.174999999999997</v>
      </c>
      <c r="D20">
        <f>IFERROR(VLOOKUP($A20,reformattedTable1cerebrum!$A$1:$WV$1800,5,FALSE), "NA")</f>
        <v>2.714</v>
      </c>
      <c r="E20">
        <f>IFERROR(VLOOKUP($A20,reformattedTable1cerebrum!$A$1:$WV$1800,6,FALSE), "NA")</f>
        <v>306501565</v>
      </c>
      <c r="F20">
        <f>IFERROR(VLOOKUP($A20,reformattedTable1cerebrum!$A$1:$WV$1800,7,FALSE), "NA")</f>
        <v>62726120</v>
      </c>
      <c r="G20">
        <f>IFERROR(VLOOKUP($A20,reformattedTable1cerebrum!$A$1:$WV$1800,8,FALSE), "NA")</f>
        <v>1847818435</v>
      </c>
      <c r="H20">
        <f>IFERROR(VLOOKUP($A20,reformattedTable1cerebrum!$A$1:$WV$1800,9,FALSE), "NA")</f>
        <v>512392109</v>
      </c>
      <c r="I20">
        <f>IFERROR(VLOOKUP($A20,reformattedTable1cerebrum!$A$1:$WV$1800,10,FALSE), "NA")</f>
        <v>6336</v>
      </c>
      <c r="J20">
        <f>IFERROR(VLOOKUP($A20,reformattedTable1cerebrum!$A$1:$WV$1800,11,FALSE), "NA")</f>
        <v>945</v>
      </c>
      <c r="K20">
        <f>IFERROR(VLOOKUP($A20,reformattedTable1cerebrum!$A$1:$WV$1800,12,FALSE), "NA")</f>
        <v>38117</v>
      </c>
      <c r="L20">
        <f>IFERROR(VLOOKUP($A20,reformattedTable1cerebrum!$A$1:$WV$1800,13,FALSE), "NA")</f>
        <v>8489</v>
      </c>
      <c r="M20">
        <f>IFERROR(VLOOKUP($A20,reformattedTable1cerebrum!$A$1:$WV$1800,14,FALSE), "NA")</f>
        <v>5.9829999999999997</v>
      </c>
      <c r="N20">
        <f>IFERROR(VLOOKUP($A20,reformattedTable1cerebrum!$A$1:$WV$1800,15,FALSE), "NA")</f>
        <v>0.44700000000000001</v>
      </c>
      <c r="O20" t="str">
        <f>IFERROR(VLOOKUP($A20,reformattedTable1cerebrum!$A$1:$WV$1800,16,FALSE), "NA")</f>
        <v>Herculano-Houzel et al., 2006</v>
      </c>
      <c r="P20" t="str">
        <f>IFERROR(VLOOKUP($A20,reformattedTable1cerebrum!$A$1:$WV$1800,17,FALSE), "NA")</f>
        <v>Hydrochoerus_hydrochaeris</v>
      </c>
      <c r="Q20">
        <f>IFERROR(VLOOKUP($A20,reformattedTable2cerebellum!$A$1:$WW$1800,4,FALSE), "NA")</f>
        <v>6.6319999999999997</v>
      </c>
      <c r="R20">
        <f>IFERROR(VLOOKUP($A20,reformattedTable2cerebellum!$A$1:$WW$1800,5,FALSE), "NA")</f>
        <v>1.3120000000000001</v>
      </c>
      <c r="S20">
        <f>IFERROR(VLOOKUP($A20,reformattedTable2cerebellum!$A$1:$WW$1800,6,FALSE), "NA")</f>
        <v>1157810000</v>
      </c>
      <c r="T20">
        <f>IFERROR(VLOOKUP($A20,reformattedTable2cerebellum!$A$1:$WW$1800,7,FALSE), "NA")</f>
        <v>5515433</v>
      </c>
      <c r="U20">
        <f>IFERROR(VLOOKUP($A20,reformattedTable2cerebellum!$A$1:$WW$1800,8,FALSE), "NA")</f>
        <v>570940000</v>
      </c>
      <c r="V20">
        <f>IFERROR(VLOOKUP($A20,reformattedTable2cerebellum!$A$1:$WW$1800,9,FALSE), "NA")</f>
        <v>81105148</v>
      </c>
      <c r="W20">
        <f>IFERROR(VLOOKUP($A20,reformattedTable2cerebellum!$A$1:$WW$1800,10,FALSE), "NA")</f>
        <v>177982</v>
      </c>
      <c r="X20">
        <f>IFERROR(VLOOKUP($A20,reformattedTable2cerebellum!$A$1:$WW$1800,11,FALSE), "NA")</f>
        <v>34889</v>
      </c>
      <c r="Y20">
        <f>IFERROR(VLOOKUP($A20,reformattedTable2cerebellum!$A$1:$WW$1800,12,FALSE), "NA")</f>
        <v>86574</v>
      </c>
      <c r="Z20">
        <f>IFERROR(VLOOKUP($A20,reformattedTable2cerebellum!$A$1:$WW$1800,13,FALSE), "NA")</f>
        <v>4902</v>
      </c>
      <c r="AA20">
        <f>IFERROR(VLOOKUP($A20,reformattedTable2cerebellum!$A$1:$WW$1800,14,FALSE), "NA")</f>
        <v>0.49299999999999999</v>
      </c>
      <c r="AB20">
        <f>IFERROR(VLOOKUP($A20,reformattedTable2cerebellum!$A$1:$WW$1800,15,FALSE), "NA")</f>
        <v>6.8000000000000005E-2</v>
      </c>
      <c r="AC20" t="str">
        <f>IFERROR(VLOOKUP($A20,reformattedTable2cerebellum!$A$1:$WW$1800,16,FALSE), "NA")</f>
        <v>Herculano-Houzel et al., 2006</v>
      </c>
      <c r="AD20" t="str">
        <f>IFERROR(VLOOKUP($A20,reformattedTable2cerebellum!$A$1:$WW$1800,17,FALSE), "NA")</f>
        <v>Hydrochoerus_hydrochaeris</v>
      </c>
      <c r="AE20">
        <f>IFERROR(VLOOKUP($A20,reformattedTable3RoB!$A$1:$WW$1800,4,FALSE), "NA")</f>
        <v>19.927</v>
      </c>
      <c r="AF20">
        <f>IFERROR(VLOOKUP($A20,reformattedTable3RoB!$A$1:$WW$1800,5,FALSE), "NA")</f>
        <v>0.27</v>
      </c>
      <c r="AG20">
        <f>IFERROR(VLOOKUP($A20,reformattedTable3RoB!$A$1:$WW$1800,6,FALSE), "NA")</f>
        <v>108250000</v>
      </c>
      <c r="AH20">
        <f>IFERROR(VLOOKUP($A20,reformattedTable3RoB!$A$1:$WW$1800,7,FALSE), "NA")</f>
        <v>4400000</v>
      </c>
      <c r="AI20">
        <f>IFERROR(VLOOKUP($A20,reformattedTable3RoB!$A$1:$WW$1800,8,FALSE), "NA")</f>
        <v>779170000</v>
      </c>
      <c r="AJ20">
        <f>IFERROR(VLOOKUP($A20,reformattedTable3RoB!$A$1:$WW$1800,9,FALSE), "NA")</f>
        <v>381900000</v>
      </c>
      <c r="AK20">
        <f>IFERROR(VLOOKUP($A20,reformattedTable3RoB!$A$1:$WW$1800,10,FALSE), "NA")</f>
        <v>5434</v>
      </c>
      <c r="AL20" t="str">
        <f>IFERROR(VLOOKUP($A20,reformattedTable3RoB!$A$1:$WW$1800,11,FALSE), "NA")</f>
        <v>NA</v>
      </c>
      <c r="AM20">
        <f>IFERROR(VLOOKUP($A20,reformattedTable3RoB!$A$1:$WW$1800,12,FALSE), "NA")</f>
        <v>39234</v>
      </c>
      <c r="AN20" t="str">
        <f>IFERROR(VLOOKUP($A20,reformattedTable3RoB!$A$1:$WW$1800,13,FALSE), "NA")</f>
        <v>NA</v>
      </c>
      <c r="AO20" t="str">
        <f>IFERROR(VLOOKUP($A20,reformattedTable3RoB!$A$1:$WW$1800,14,FALSE), "NA")</f>
        <v>NA</v>
      </c>
      <c r="AP20" t="str">
        <f>IFERROR(VLOOKUP($A20,reformattedTable3RoB!$A$1:$WW$1800,15,FALSE), "NA")</f>
        <v>NA</v>
      </c>
      <c r="AQ20" t="str">
        <f>IFERROR(VLOOKUP($A20,reformattedTable3RoB!$A$1:$WW$1800,16,FALSE), "NA")</f>
        <v>Herculano-Houzel et al., 2006</v>
      </c>
      <c r="AR20" t="str">
        <f>IFERROR(VLOOKUP($A20,reformattedTable3RoB!$A$1:$WW$1800,17,FALSE), "NA")</f>
        <v>Hydrochoerus_hydrochaeris</v>
      </c>
      <c r="AS20">
        <f>IFERROR(VLOOKUP($A20,reformattedTable4olfactory_bulb!$A$1:$WV$1800,4,FALSE), "NA")</f>
        <v>1.302</v>
      </c>
      <c r="AT20">
        <f>IFERROR(VLOOKUP($A20,reformattedTable4olfactory_bulb!$A$1:$WV$1800,5,FALSE), "NA")</f>
        <v>3.1E-2</v>
      </c>
      <c r="AU20">
        <f>IFERROR(VLOOKUP($A20,reformattedTable4olfactory_bulb!$A$1:$WV$1800,6,FALSE), "NA")</f>
        <v>28560310</v>
      </c>
      <c r="AV20">
        <f>IFERROR(VLOOKUP($A20,reformattedTable4olfactory_bulb!$A$1:$WV$1800,7,FALSE), "NA")</f>
        <v>8515588</v>
      </c>
      <c r="AW20">
        <f>IFERROR(VLOOKUP($A20,reformattedTable4olfactory_bulb!$A$1:$WV$1800,8,FALSE), "NA")</f>
        <v>67389690</v>
      </c>
      <c r="AX20">
        <f>IFERROR(VLOOKUP($A20,reformattedTable4olfactory_bulb!$A$1:$WV$1800,9,FALSE), "NA")</f>
        <v>21015416</v>
      </c>
      <c r="AY20">
        <f>IFERROR(VLOOKUP($A20,reformattedTable4olfactory_bulb!$A$1:$WV$1800,10,FALSE), "NA")</f>
        <v>21864</v>
      </c>
      <c r="AZ20">
        <f>IFERROR(VLOOKUP($A20,reformattedTable4olfactory_bulb!$A$1:$WV$1800,11,FALSE), "NA")</f>
        <v>6018</v>
      </c>
      <c r="BA20">
        <f>IFERROR(VLOOKUP($A20,reformattedTable4olfactory_bulb!$A$1:$WV$1800,12,FALSE), "NA")</f>
        <v>51544</v>
      </c>
      <c r="BB20">
        <f>IFERROR(VLOOKUP($A20,reformattedTable4olfactory_bulb!$A$1:$WV$1800,13,FALSE), "NA")</f>
        <v>17981</v>
      </c>
      <c r="BC20">
        <f>IFERROR(VLOOKUP($A20,reformattedTable4olfactory_bulb!$A$1:$WV$1800,14,FALSE), "NA")</f>
        <v>2.3330000000000002</v>
      </c>
      <c r="BD20">
        <f>IFERROR(VLOOKUP($A20,reformattedTable4olfactory_bulb!$A$1:$WV$1800,15,FALSE), "NA")</f>
        <v>0.18</v>
      </c>
      <c r="BE20" t="str">
        <f>IFERROR(VLOOKUP($A20,reformattedTable4olfactory_bulb!$A$1:$WV$1800,16,FALSE), "NA")</f>
        <v>Herculano-Houzel et al., 2006</v>
      </c>
      <c r="BF20" t="str">
        <f>IFERROR(VLOOKUP($A20,reformattedTable4olfactory_bulb!$A$1:$WV$1800,17,FALSE), "NA")</f>
        <v>Hydrochoerus_hydrochaeris</v>
      </c>
      <c r="BG20">
        <f>IFERROR(VLOOKUP($A20,reformattedTable5whole_brain!$A$1:$WV$1800,4,FALSE), "NA")</f>
        <v>47500</v>
      </c>
      <c r="BH20">
        <f>IFERROR(VLOOKUP($A20,reformattedTable5whole_brain!$A$1:$WV$1800,5,FALSE), "NA")</f>
        <v>3536</v>
      </c>
      <c r="BI20">
        <f>IFERROR(VLOOKUP($A20,reformattedTable5whole_brain!$A$1:$WV$1800,6,FALSE), "NA")</f>
        <v>74.733999999999995</v>
      </c>
      <c r="BJ20">
        <f>IFERROR(VLOOKUP($A20,reformattedTable5whole_brain!$A$1:$WV$1800,7,FALSE), "NA")</f>
        <v>3.7559999999999998</v>
      </c>
      <c r="BK20">
        <f>IFERROR(VLOOKUP($A20,reformattedTable5whole_brain!$A$1:$WV$1800,8,FALSE), "NA")</f>
        <v>1572560385</v>
      </c>
      <c r="BL20">
        <f>IFERROR(VLOOKUP($A20,reformattedTable5whole_brain!$A$1:$WV$1800,9,FALSE), "NA")</f>
        <v>72641426</v>
      </c>
      <c r="BM20">
        <f>IFERROR(VLOOKUP($A20,reformattedTable5whole_brain!$A$1:$WV$1800,10,FALSE), "NA")</f>
        <v>3197929615</v>
      </c>
      <c r="BN20">
        <f>IFERROR(VLOOKUP($A20,reformattedTable5whole_brain!$A$1:$WV$1800,11,FALSE), "NA")</f>
        <v>974583717</v>
      </c>
      <c r="BO20">
        <f>IFERROR(VLOOKUP($A20,reformattedTable5whole_brain!$A$1:$WV$1800,12,FALSE), "NA")</f>
        <v>33.6</v>
      </c>
      <c r="BP20">
        <f>IFERROR(VLOOKUP($A20,reformattedTable5whole_brain!$A$1:$WV$1800,13,FALSE), "NA")</f>
        <v>5.8</v>
      </c>
      <c r="BQ20" t="str">
        <f>IFERROR(VLOOKUP($A20,reformattedTable5whole_brain!$A$1:$WV$1800,14,FALSE), "NA")</f>
        <v>Herculano-Houzel et al., 2006</v>
      </c>
      <c r="BR20" t="str">
        <f>IFERROR(VLOOKUP($A20,reformattedTable5whole_brain!$A$1:$WV$1800,15,FALSE), "NA")</f>
        <v>Hydrochoerus_hydrochaeris</v>
      </c>
    </row>
    <row r="21" spans="1:70">
      <c r="A21" t="s">
        <v>106</v>
      </c>
      <c r="B21" t="s">
        <v>32</v>
      </c>
      <c r="C21">
        <f>IFERROR(VLOOKUP($A21,reformattedTable1cerebrum!$A$1:$WV$1800,4,FALSE), "NA")</f>
        <v>2847.59</v>
      </c>
      <c r="D21" t="str">
        <f>IFERROR(VLOOKUP($A21,reformattedTable1cerebrum!$A$1:$WV$1800,5,FALSE), "NA")</f>
        <v>NA</v>
      </c>
      <c r="E21">
        <f>IFERROR(VLOOKUP($A21,reformattedTable1cerebrum!$A$1:$WV$1800,6,FALSE), "NA")</f>
        <v>5593241033</v>
      </c>
      <c r="F21" t="str">
        <f>IFERROR(VLOOKUP($A21,reformattedTable1cerebrum!$A$1:$WV$1800,7,FALSE), "NA")</f>
        <v>NA</v>
      </c>
      <c r="G21">
        <f>IFERROR(VLOOKUP($A21,reformattedTable1cerebrum!$A$1:$WV$1800,8,FALSE), "NA")</f>
        <v>55698998687</v>
      </c>
      <c r="H21" t="str">
        <f>IFERROR(VLOOKUP($A21,reformattedTable1cerebrum!$A$1:$WV$1800,9,FALSE), "NA")</f>
        <v>NA</v>
      </c>
      <c r="I21">
        <f>IFERROR(VLOOKUP($A21,reformattedTable1cerebrum!$A$1:$WV$1800,10,FALSE), "NA")</f>
        <v>1964</v>
      </c>
      <c r="J21" t="str">
        <f>IFERROR(VLOOKUP($A21,reformattedTable1cerebrum!$A$1:$WV$1800,11,FALSE), "NA")</f>
        <v>NA</v>
      </c>
      <c r="K21">
        <f>IFERROR(VLOOKUP($A21,reformattedTable1cerebrum!$A$1:$WV$1800,12,FALSE), "NA")</f>
        <v>52721</v>
      </c>
      <c r="L21" t="str">
        <f>IFERROR(VLOOKUP($A21,reformattedTable1cerebrum!$A$1:$WV$1800,13,FALSE), "NA")</f>
        <v>NA</v>
      </c>
      <c r="M21">
        <f>IFERROR(VLOOKUP($A21,reformattedTable1cerebrum!$A$1:$WV$1800,14,FALSE), "NA")</f>
        <v>26.844000000000001</v>
      </c>
      <c r="N21" t="str">
        <f>IFERROR(VLOOKUP($A21,reformattedTable1cerebrum!$A$1:$WV$1800,15,FALSE), "NA")</f>
        <v>NA</v>
      </c>
      <c r="O21" t="str">
        <f>IFERROR(VLOOKUP($A21,reformattedTable1cerebrum!$A$1:$WV$1800,16,FALSE), "NA")</f>
        <v>Herculano-Houzel et al., 2014</v>
      </c>
      <c r="P21" t="str">
        <f>IFERROR(VLOOKUP($A21,reformattedTable1cerebrum!$A$1:$WV$1800,17,FALSE), "NA")</f>
        <v>Loxodonta_africana</v>
      </c>
      <c r="Q21">
        <f>IFERROR(VLOOKUP($A21,reformattedTable2cerebellum!$A$1:$WW$1800,4,FALSE), "NA")</f>
        <v>1171.6300000000001</v>
      </c>
      <c r="R21" t="str">
        <f>IFERROR(VLOOKUP($A21,reformattedTable2cerebellum!$A$1:$WW$1800,5,FALSE), "NA")</f>
        <v>NA</v>
      </c>
      <c r="S21">
        <f>IFERROR(VLOOKUP($A21,reformattedTable2cerebellum!$A$1:$WW$1800,6,FALSE), "NA")</f>
        <v>250708527536</v>
      </c>
      <c r="T21" t="str">
        <f>IFERROR(VLOOKUP($A21,reformattedTable2cerebellum!$A$1:$WW$1800,7,FALSE), "NA")</f>
        <v>NA</v>
      </c>
      <c r="U21">
        <f>IFERROR(VLOOKUP($A21,reformattedTable2cerebellum!$A$1:$WW$1800,8,FALSE), "NA")</f>
        <v>38507229964</v>
      </c>
      <c r="V21" t="str">
        <f>IFERROR(VLOOKUP($A21,reformattedTable2cerebellum!$A$1:$WW$1800,9,FALSE), "NA")</f>
        <v>NA</v>
      </c>
      <c r="W21">
        <f>IFERROR(VLOOKUP($A21,reformattedTable2cerebellum!$A$1:$WW$1800,10,FALSE), "NA")</f>
        <v>213983</v>
      </c>
      <c r="X21" t="str">
        <f>IFERROR(VLOOKUP($A21,reformattedTable2cerebellum!$A$1:$WW$1800,11,FALSE), "NA")</f>
        <v>NA</v>
      </c>
      <c r="Y21">
        <f>IFERROR(VLOOKUP($A21,reformattedTable2cerebellum!$A$1:$WW$1800,12,FALSE), "NA")</f>
        <v>32866</v>
      </c>
      <c r="Z21" t="str">
        <f>IFERROR(VLOOKUP($A21,reformattedTable2cerebellum!$A$1:$WW$1800,13,FALSE), "NA")</f>
        <v>NA</v>
      </c>
      <c r="AA21">
        <f>IFERROR(VLOOKUP($A21,reformattedTable2cerebellum!$A$1:$WW$1800,14,FALSE), "NA")</f>
        <v>0.154</v>
      </c>
      <c r="AB21" t="str">
        <f>IFERROR(VLOOKUP($A21,reformattedTable2cerebellum!$A$1:$WW$1800,15,FALSE), "NA")</f>
        <v>NA</v>
      </c>
      <c r="AC21" t="str">
        <f>IFERROR(VLOOKUP($A21,reformattedTable2cerebellum!$A$1:$WW$1800,16,FALSE), "NA")</f>
        <v>Herculano-Houzel et al., 2014</v>
      </c>
      <c r="AD21" t="str">
        <f>IFERROR(VLOOKUP($A21,reformattedTable2cerebellum!$A$1:$WW$1800,17,FALSE), "NA")</f>
        <v>Loxodonta_africana</v>
      </c>
      <c r="AE21">
        <f>IFERROR(VLOOKUP($A21,reformattedTable3RoB!$A$1:$WW$1800,4,FALSE), "NA")</f>
        <v>564.67399999999998</v>
      </c>
      <c r="AF21" t="str">
        <f>IFERROR(VLOOKUP($A21,reformattedTable3RoB!$A$1:$WW$1800,5,FALSE), "NA")</f>
        <v>NA</v>
      </c>
      <c r="AG21">
        <f>IFERROR(VLOOKUP($A21,reformattedTable3RoB!$A$1:$WW$1800,6,FALSE), "NA")</f>
        <v>741704844</v>
      </c>
      <c r="AH21" t="str">
        <f>IFERROR(VLOOKUP($A21,reformattedTable3RoB!$A$1:$WW$1800,7,FALSE), "NA")</f>
        <v>NA</v>
      </c>
      <c r="AI21">
        <f>IFERROR(VLOOKUP($A21,reformattedTable3RoB!$A$1:$WW$1800,8,FALSE), "NA")</f>
        <v>27404306156</v>
      </c>
      <c r="AJ21" t="str">
        <f>IFERROR(VLOOKUP($A21,reformattedTable3RoB!$A$1:$WW$1800,9,FALSE), "NA")</f>
        <v>NA</v>
      </c>
      <c r="AK21">
        <f>IFERROR(VLOOKUP($A21,reformattedTable3RoB!$A$1:$WW$1800,10,FALSE), "NA")</f>
        <v>1314</v>
      </c>
      <c r="AL21" t="str">
        <f>IFERROR(VLOOKUP($A21,reformattedTable3RoB!$A$1:$WW$1800,11,FALSE), "NA")</f>
        <v>NA</v>
      </c>
      <c r="AM21">
        <f>IFERROR(VLOOKUP($A21,reformattedTable3RoB!$A$1:$WW$1800,12,FALSE), "NA")</f>
        <v>48531</v>
      </c>
      <c r="AN21" t="str">
        <f>IFERROR(VLOOKUP($A21,reformattedTable3RoB!$A$1:$WW$1800,13,FALSE), "NA")</f>
        <v>NA</v>
      </c>
      <c r="AO21">
        <f>IFERROR(VLOOKUP($A21,reformattedTable3RoB!$A$1:$WW$1800,14,FALSE), "NA")</f>
        <v>36.948</v>
      </c>
      <c r="AP21" t="str">
        <f>IFERROR(VLOOKUP($A21,reformattedTable3RoB!$A$1:$WW$1800,15,FALSE), "NA")</f>
        <v>NA</v>
      </c>
      <c r="AQ21" t="str">
        <f>IFERROR(VLOOKUP($A21,reformattedTable3RoB!$A$1:$WW$1800,16,FALSE), "NA")</f>
        <v>Herculano-Houzel et al., 2014</v>
      </c>
      <c r="AR21" t="str">
        <f>IFERROR(VLOOKUP($A21,reformattedTable3RoB!$A$1:$WW$1800,17,FALSE), "NA")</f>
        <v>Loxodonta_africana</v>
      </c>
      <c r="AS21">
        <f>IFERROR(VLOOKUP($A21,reformattedTable4olfactory_bulb!$A$1:$WV$1800,4,FALSE), "NA")</f>
        <v>41.886000000000003</v>
      </c>
      <c r="AT21" t="str">
        <f>IFERROR(VLOOKUP($A21,reformattedTable4olfactory_bulb!$A$1:$WV$1800,5,FALSE), "NA")</f>
        <v>NA</v>
      </c>
      <c r="AU21">
        <f>IFERROR(VLOOKUP($A21,reformattedTable4olfactory_bulb!$A$1:$WV$1800,6,FALSE), "NA")</f>
        <v>908371986</v>
      </c>
      <c r="AV21" t="str">
        <f>IFERROR(VLOOKUP($A21,reformattedTable4olfactory_bulb!$A$1:$WV$1800,7,FALSE), "NA")</f>
        <v>NA</v>
      </c>
      <c r="AW21">
        <f>IFERROR(VLOOKUP($A21,reformattedTable4olfactory_bulb!$A$1:$WV$1800,8,FALSE), "NA")</f>
        <v>2857878014</v>
      </c>
      <c r="AX21" t="str">
        <f>IFERROR(VLOOKUP($A21,reformattedTable4olfactory_bulb!$A$1:$WV$1800,9,FALSE), "NA")</f>
        <v>NA</v>
      </c>
      <c r="AY21">
        <f>IFERROR(VLOOKUP($A21,reformattedTable4olfactory_bulb!$A$1:$WV$1800,10,FALSE), "NA")</f>
        <v>21687</v>
      </c>
      <c r="AZ21" t="str">
        <f>IFERROR(VLOOKUP($A21,reformattedTable4olfactory_bulb!$A$1:$WV$1800,11,FALSE), "NA")</f>
        <v>NA</v>
      </c>
      <c r="BA21">
        <f>IFERROR(VLOOKUP($A21,reformattedTable4olfactory_bulb!$A$1:$WV$1800,12,FALSE), "NA")</f>
        <v>68230</v>
      </c>
      <c r="BB21" t="str">
        <f>IFERROR(VLOOKUP($A21,reformattedTable4olfactory_bulb!$A$1:$WV$1800,13,FALSE), "NA")</f>
        <v>NA</v>
      </c>
      <c r="BC21">
        <f>IFERROR(VLOOKUP($A21,reformattedTable4olfactory_bulb!$A$1:$WV$1800,14,FALSE), "NA")</f>
        <v>3.1459999999999999</v>
      </c>
      <c r="BD21" t="str">
        <f>IFERROR(VLOOKUP($A21,reformattedTable4olfactory_bulb!$A$1:$WV$1800,15,FALSE), "NA")</f>
        <v>NA</v>
      </c>
      <c r="BE21" t="str">
        <f>IFERROR(VLOOKUP($A21,reformattedTable4olfactory_bulb!$A$1:$WV$1800,16,FALSE), "NA")</f>
        <v>Herculano-Houzel et al., 2014</v>
      </c>
      <c r="BF21" t="str">
        <f>IFERROR(VLOOKUP($A21,reformattedTable4olfactory_bulb!$A$1:$WV$1800,17,FALSE), "NA")</f>
        <v>Loxodonta_africana</v>
      </c>
      <c r="BG21">
        <f>IFERROR(VLOOKUP($A21,reformattedTable5whole_brain!$A$1:$WV$1800,4,FALSE), "NA")</f>
        <v>5000000</v>
      </c>
      <c r="BH21" t="str">
        <f>IFERROR(VLOOKUP($A21,reformattedTable5whole_brain!$A$1:$WV$1800,5,FALSE), "NA")</f>
        <v>NA</v>
      </c>
      <c r="BI21">
        <f>IFERROR(VLOOKUP($A21,reformattedTable5whole_brain!$A$1:$WV$1800,6,FALSE), "NA")</f>
        <v>4618.62</v>
      </c>
      <c r="BJ21" t="str">
        <f>IFERROR(VLOOKUP($A21,reformattedTable5whole_brain!$A$1:$WV$1800,7,FALSE), "NA")</f>
        <v>NA</v>
      </c>
      <c r="BK21">
        <f>IFERROR(VLOOKUP($A21,reformattedTable5whole_brain!$A$1:$WV$1800,8,FALSE), "NA")</f>
        <v>257043473412</v>
      </c>
      <c r="BL21" t="str">
        <f>IFERROR(VLOOKUP($A21,reformattedTable5whole_brain!$A$1:$WV$1800,9,FALSE), "NA")</f>
        <v>NA</v>
      </c>
      <c r="BM21">
        <f>IFERROR(VLOOKUP($A21,reformattedTable5whole_brain!$A$1:$WV$1800,10,FALSE), "NA")</f>
        <v>216057982337</v>
      </c>
      <c r="BN21" t="str">
        <f>IFERROR(VLOOKUP($A21,reformattedTable5whole_brain!$A$1:$WV$1800,11,FALSE), "NA")</f>
        <v>NA</v>
      </c>
      <c r="BO21" t="str">
        <f>IFERROR(VLOOKUP($A21,reformattedTable5whole_brain!$A$1:$WV$1800,12,FALSE), "NA")</f>
        <v>NA</v>
      </c>
      <c r="BP21" t="str">
        <f>IFERROR(VLOOKUP($A21,reformattedTable5whole_brain!$A$1:$WV$1800,13,FALSE), "NA")</f>
        <v>NA</v>
      </c>
      <c r="BQ21" t="str">
        <f>IFERROR(VLOOKUP($A21,reformattedTable5whole_brain!$A$1:$WV$1800,14,FALSE), "NA")</f>
        <v>Herculano-Houzel et al., 2014</v>
      </c>
      <c r="BR21" t="str">
        <f>IFERROR(VLOOKUP($A21,reformattedTable5whole_brain!$A$1:$WV$1800,15,FALSE), "NA")</f>
        <v>Loxodonta_africana</v>
      </c>
    </row>
    <row r="22" spans="1:70">
      <c r="A22" t="s">
        <v>79</v>
      </c>
      <c r="B22" t="s">
        <v>44</v>
      </c>
      <c r="C22">
        <f>IFERROR(VLOOKUP($A22,reformattedTable1cerebrum!$A$1:$WV$1800,4,FALSE), "NA")</f>
        <v>36.225999999999999</v>
      </c>
      <c r="D22" t="str">
        <f>IFERROR(VLOOKUP($A22,reformattedTable1cerebrum!$A$1:$WV$1800,5,FALSE), "NA")</f>
        <v>NA</v>
      </c>
      <c r="E22">
        <f>IFERROR(VLOOKUP($A22,reformattedTable1cerebrum!$A$1:$WV$1800,6,FALSE), "NA")</f>
        <v>800955000</v>
      </c>
      <c r="F22" t="str">
        <f>IFERROR(VLOOKUP($A22,reformattedTable1cerebrum!$A$1:$WV$1800,7,FALSE), "NA")</f>
        <v>NA</v>
      </c>
      <c r="G22">
        <f>IFERROR(VLOOKUP($A22,reformattedTable1cerebrum!$A$1:$WV$1800,8,FALSE), "NA")</f>
        <v>2758845000</v>
      </c>
      <c r="H22" t="str">
        <f>IFERROR(VLOOKUP($A22,reformattedTable1cerebrum!$A$1:$WV$1800,9,FALSE), "NA")</f>
        <v>NA</v>
      </c>
      <c r="I22">
        <f>IFERROR(VLOOKUP($A22,reformattedTable1cerebrum!$A$1:$WV$1800,10,FALSE), "NA")</f>
        <v>22110</v>
      </c>
      <c r="J22" t="str">
        <f>IFERROR(VLOOKUP($A22,reformattedTable1cerebrum!$A$1:$WV$1800,11,FALSE), "NA")</f>
        <v>NA</v>
      </c>
      <c r="K22">
        <f>IFERROR(VLOOKUP($A22,reformattedTable1cerebrum!$A$1:$WV$1800,12,FALSE), "NA")</f>
        <v>76156</v>
      </c>
      <c r="L22" t="str">
        <f>IFERROR(VLOOKUP($A22,reformattedTable1cerebrum!$A$1:$WV$1800,13,FALSE), "NA")</f>
        <v>NA</v>
      </c>
      <c r="M22">
        <f>IFERROR(VLOOKUP($A22,reformattedTable1cerebrum!$A$1:$WV$1800,14,FALSE), "NA")</f>
        <v>3.444</v>
      </c>
      <c r="N22" t="str">
        <f>IFERROR(VLOOKUP($A22,reformattedTable1cerebrum!$A$1:$WV$1800,15,FALSE), "NA")</f>
        <v>NA</v>
      </c>
      <c r="O22" t="str">
        <f>IFERROR(VLOOKUP($A22,reformattedTable1cerebrum!$A$1:$WV$1800,16,FALSE), "NA")</f>
        <v>Gabi et al., 2010</v>
      </c>
      <c r="P22" t="str">
        <f>IFERROR(VLOOKUP($A22,reformattedTable1cerebrum!$A$1:$WV$1800,17,FALSE), "NA")</f>
        <v>Macaca_fascicularis</v>
      </c>
      <c r="Q22">
        <f>IFERROR(VLOOKUP($A22,reformattedTable2cerebellum!$A$1:$WW$1800,4,FALSE), "NA")</f>
        <v>5.6420000000000003</v>
      </c>
      <c r="R22" t="str">
        <f>IFERROR(VLOOKUP($A22,reformattedTable2cerebellum!$A$1:$WW$1800,5,FALSE), "NA")</f>
        <v>NA</v>
      </c>
      <c r="S22">
        <f>IFERROR(VLOOKUP($A22,reformattedTable2cerebellum!$A$1:$WW$1800,6,FALSE), "NA")</f>
        <v>2572600000</v>
      </c>
      <c r="T22" t="str">
        <f>IFERROR(VLOOKUP($A22,reformattedTable2cerebellum!$A$1:$WW$1800,7,FALSE), "NA")</f>
        <v>NA</v>
      </c>
      <c r="U22">
        <f>IFERROR(VLOOKUP($A22,reformattedTable2cerebellum!$A$1:$WW$1800,8,FALSE), "NA")</f>
        <v>135400000</v>
      </c>
      <c r="V22" t="str">
        <f>IFERROR(VLOOKUP($A22,reformattedTable2cerebellum!$A$1:$WW$1800,9,FALSE), "NA")</f>
        <v>NA</v>
      </c>
      <c r="W22">
        <f>IFERROR(VLOOKUP($A22,reformattedTable2cerebellum!$A$1:$WW$1800,10,FALSE), "NA")</f>
        <v>455973</v>
      </c>
      <c r="X22" t="str">
        <f>IFERROR(VLOOKUP($A22,reformattedTable2cerebellum!$A$1:$WW$1800,11,FALSE), "NA")</f>
        <v>NA</v>
      </c>
      <c r="Y22">
        <f>IFERROR(VLOOKUP($A22,reformattedTable2cerebellum!$A$1:$WW$1800,12,FALSE), "NA")</f>
        <v>23999</v>
      </c>
      <c r="Z22" t="str">
        <f>IFERROR(VLOOKUP($A22,reformattedTable2cerebellum!$A$1:$WW$1800,13,FALSE), "NA")</f>
        <v>NA</v>
      </c>
      <c r="AA22">
        <f>IFERROR(VLOOKUP($A22,reformattedTable2cerebellum!$A$1:$WW$1800,14,FALSE), "NA")</f>
        <v>5.2999999999999999E-2</v>
      </c>
      <c r="AB22" t="str">
        <f>IFERROR(VLOOKUP($A22,reformattedTable2cerebellum!$A$1:$WW$1800,15,FALSE), "NA")</f>
        <v>NA</v>
      </c>
      <c r="AC22" t="str">
        <f>IFERROR(VLOOKUP($A22,reformattedTable2cerebellum!$A$1:$WW$1800,16,FALSE), "NA")</f>
        <v>Gabi et al., 2010</v>
      </c>
      <c r="AD22" t="str">
        <f>IFERROR(VLOOKUP($A22,reformattedTable2cerebellum!$A$1:$WW$1800,17,FALSE), "NA")</f>
        <v>Macaca_fascicularis</v>
      </c>
      <c r="AE22">
        <f>IFERROR(VLOOKUP($A22,reformattedTable3RoB!$A$1:$WW$1800,4,FALSE), "NA")</f>
        <v>4.2939999999999996</v>
      </c>
      <c r="AF22" t="str">
        <f>IFERROR(VLOOKUP($A22,reformattedTable3RoB!$A$1:$WW$1800,5,FALSE), "NA")</f>
        <v>NA</v>
      </c>
      <c r="AG22">
        <f>IFERROR(VLOOKUP($A22,reformattedTable3RoB!$A$1:$WW$1800,6,FALSE), "NA")</f>
        <v>65449620</v>
      </c>
      <c r="AH22" t="str">
        <f>IFERROR(VLOOKUP($A22,reformattedTable3RoB!$A$1:$WW$1800,7,FALSE), "NA")</f>
        <v>NA</v>
      </c>
      <c r="AI22">
        <f>IFERROR(VLOOKUP($A22,reformattedTable3RoB!$A$1:$WW$1800,8,FALSE), "NA")</f>
        <v>260170380</v>
      </c>
      <c r="AJ22" t="str">
        <f>IFERROR(VLOOKUP($A22,reformattedTable3RoB!$A$1:$WW$1800,9,FALSE), "NA")</f>
        <v>NA</v>
      </c>
      <c r="AK22">
        <f>IFERROR(VLOOKUP($A22,reformattedTable3RoB!$A$1:$WW$1800,10,FALSE), "NA")</f>
        <v>15242</v>
      </c>
      <c r="AL22" t="str">
        <f>IFERROR(VLOOKUP($A22,reformattedTable3RoB!$A$1:$WW$1800,11,FALSE), "NA")</f>
        <v>NA</v>
      </c>
      <c r="AM22">
        <f>IFERROR(VLOOKUP($A22,reformattedTable3RoB!$A$1:$WW$1800,12,FALSE), "NA")</f>
        <v>60589</v>
      </c>
      <c r="AN22" t="str">
        <f>IFERROR(VLOOKUP($A22,reformattedTable3RoB!$A$1:$WW$1800,13,FALSE), "NA")</f>
        <v>NA</v>
      </c>
      <c r="AO22">
        <f>IFERROR(VLOOKUP($A22,reformattedTable3RoB!$A$1:$WW$1800,14,FALSE), "NA")</f>
        <v>3.9750000000000001</v>
      </c>
      <c r="AP22" t="str">
        <f>IFERROR(VLOOKUP($A22,reformattedTable3RoB!$A$1:$WW$1800,15,FALSE), "NA")</f>
        <v>NA</v>
      </c>
      <c r="AQ22" t="str">
        <f>IFERROR(VLOOKUP($A22,reformattedTable3RoB!$A$1:$WW$1800,16,FALSE), "NA")</f>
        <v>Gabi et al., 2010</v>
      </c>
      <c r="AR22" t="str">
        <f>IFERROR(VLOOKUP($A22,reformattedTable3RoB!$A$1:$WW$1800,17,FALSE), "NA")</f>
        <v>Macaca_fascicularis</v>
      </c>
      <c r="AS22" t="str">
        <f>IFERROR(VLOOKUP($A22,reformattedTable4olfactory_bulb!$A$1:$WV$1800,4,FALSE), "NA")</f>
        <v>NA</v>
      </c>
      <c r="AT22" t="str">
        <f>IFERROR(VLOOKUP($A22,reformattedTable4olfactory_bulb!$A$1:$WV$1800,5,FALSE), "NA")</f>
        <v>NA</v>
      </c>
      <c r="AU22" t="str">
        <f>IFERROR(VLOOKUP($A22,reformattedTable4olfactory_bulb!$A$1:$WV$1800,6,FALSE), "NA")</f>
        <v>NA</v>
      </c>
      <c r="AV22" t="str">
        <f>IFERROR(VLOOKUP($A22,reformattedTable4olfactory_bulb!$A$1:$WV$1800,7,FALSE), "NA")</f>
        <v>NA</v>
      </c>
      <c r="AW22" t="str">
        <f>IFERROR(VLOOKUP($A22,reformattedTable4olfactory_bulb!$A$1:$WV$1800,8,FALSE), "NA")</f>
        <v>NA</v>
      </c>
      <c r="AX22" t="str">
        <f>IFERROR(VLOOKUP($A22,reformattedTable4olfactory_bulb!$A$1:$WV$1800,9,FALSE), "NA")</f>
        <v>NA</v>
      </c>
      <c r="AY22" t="str">
        <f>IFERROR(VLOOKUP($A22,reformattedTable4olfactory_bulb!$A$1:$WV$1800,10,FALSE), "NA")</f>
        <v>NA</v>
      </c>
      <c r="AZ22" t="str">
        <f>IFERROR(VLOOKUP($A22,reformattedTable4olfactory_bulb!$A$1:$WV$1800,11,FALSE), "NA")</f>
        <v>NA</v>
      </c>
      <c r="BA22" t="str">
        <f>IFERROR(VLOOKUP($A22,reformattedTable4olfactory_bulb!$A$1:$WV$1800,12,FALSE), "NA")</f>
        <v>NA</v>
      </c>
      <c r="BB22" t="str">
        <f>IFERROR(VLOOKUP($A22,reformattedTable4olfactory_bulb!$A$1:$WV$1800,13,FALSE), "NA")</f>
        <v>NA</v>
      </c>
      <c r="BC22" t="str">
        <f>IFERROR(VLOOKUP($A22,reformattedTable4olfactory_bulb!$A$1:$WV$1800,14,FALSE), "NA")</f>
        <v>NA</v>
      </c>
      <c r="BD22" t="str">
        <f>IFERROR(VLOOKUP($A22,reformattedTable4olfactory_bulb!$A$1:$WV$1800,15,FALSE), "NA")</f>
        <v>NA</v>
      </c>
      <c r="BE22" t="str">
        <f>IFERROR(VLOOKUP($A22,reformattedTable4olfactory_bulb!$A$1:$WV$1800,16,FALSE), "NA")</f>
        <v>NA</v>
      </c>
      <c r="BF22" t="str">
        <f>IFERROR(VLOOKUP($A22,reformattedTable4olfactory_bulb!$A$1:$WV$1800,17,FALSE), "NA")</f>
        <v>NA</v>
      </c>
      <c r="BG22">
        <f>IFERROR(VLOOKUP($A22,reformattedTable5whole_brain!$A$1:$WV$1800,4,FALSE), "NA")</f>
        <v>5700</v>
      </c>
      <c r="BH22" t="str">
        <f>IFERROR(VLOOKUP($A22,reformattedTable5whole_brain!$A$1:$WV$1800,5,FALSE), "NA")</f>
        <v>NA</v>
      </c>
      <c r="BI22">
        <f>IFERROR(VLOOKUP($A22,reformattedTable5whole_brain!$A$1:$WV$1800,6,FALSE), "NA")</f>
        <v>46.161999999999999</v>
      </c>
      <c r="BJ22" t="str">
        <f>IFERROR(VLOOKUP($A22,reformattedTable5whole_brain!$A$1:$WV$1800,7,FALSE), "NA")</f>
        <v>NA</v>
      </c>
      <c r="BK22">
        <f>IFERROR(VLOOKUP($A22,reformattedTable5whole_brain!$A$1:$WV$1800,8,FALSE), "NA")</f>
        <v>3439004620</v>
      </c>
      <c r="BL22" t="str">
        <f>IFERROR(VLOOKUP($A22,reformattedTable5whole_brain!$A$1:$WV$1800,9,FALSE), "NA")</f>
        <v>NA</v>
      </c>
      <c r="BM22">
        <f>IFERROR(VLOOKUP($A22,reformattedTable5whole_brain!$A$1:$WV$1800,10,FALSE), "NA")</f>
        <v>3154415380</v>
      </c>
      <c r="BN22" t="str">
        <f>IFERROR(VLOOKUP($A22,reformattedTable5whole_brain!$A$1:$WV$1800,11,FALSE), "NA")</f>
        <v>NA</v>
      </c>
      <c r="BO22">
        <f>IFERROR(VLOOKUP($A22,reformattedTable5whole_brain!$A$1:$WV$1800,12,FALSE), "NA")</f>
        <v>52.2</v>
      </c>
      <c r="BP22" t="str">
        <f>IFERROR(VLOOKUP($A22,reformattedTable5whole_brain!$A$1:$WV$1800,13,FALSE), "NA")</f>
        <v>NA</v>
      </c>
      <c r="BQ22" t="str">
        <f>IFERROR(VLOOKUP($A22,reformattedTable5whole_brain!$A$1:$WV$1800,14,FALSE), "NA")</f>
        <v>Gabi et al., 2010</v>
      </c>
      <c r="BR22" t="str">
        <f>IFERROR(VLOOKUP($A22,reformattedTable5whole_brain!$A$1:$WV$1800,15,FALSE), "NA")</f>
        <v>Macaca_fascicularis</v>
      </c>
    </row>
    <row r="23" spans="1:70">
      <c r="A23" t="s">
        <v>93</v>
      </c>
      <c r="B23" t="s">
        <v>44</v>
      </c>
      <c r="C23">
        <f>IFERROR(VLOOKUP($A23,reformattedTable1cerebrum!$A$1:$WV$1800,4,FALSE), "NA")</f>
        <v>69.831999999999994</v>
      </c>
      <c r="D23" t="str">
        <f>IFERROR(VLOOKUP($A23,reformattedTable1cerebrum!$A$1:$WV$1800,5,FALSE), "NA")</f>
        <v>NA</v>
      </c>
      <c r="E23">
        <f>IFERROR(VLOOKUP($A23,reformattedTable1cerebrum!$A$1:$WV$1800,6,FALSE), "NA")</f>
        <v>1710000000</v>
      </c>
      <c r="F23" t="str">
        <f>IFERROR(VLOOKUP($A23,reformattedTable1cerebrum!$A$1:$WV$1800,7,FALSE), "NA")</f>
        <v>NA</v>
      </c>
      <c r="G23">
        <f>IFERROR(VLOOKUP($A23,reformattedTable1cerebrum!$A$1:$WV$1800,8,FALSE), "NA")</f>
        <v>5270000000</v>
      </c>
      <c r="H23" t="str">
        <f>IFERROR(VLOOKUP($A23,reformattedTable1cerebrum!$A$1:$WV$1800,9,FALSE), "NA")</f>
        <v>NA</v>
      </c>
      <c r="I23">
        <f>IFERROR(VLOOKUP($A23,reformattedTable1cerebrum!$A$1:$WV$1800,10,FALSE), "NA")</f>
        <v>24470</v>
      </c>
      <c r="J23" t="str">
        <f>IFERROR(VLOOKUP($A23,reformattedTable1cerebrum!$A$1:$WV$1800,11,FALSE), "NA")</f>
        <v>NA</v>
      </c>
      <c r="K23">
        <f>IFERROR(VLOOKUP($A23,reformattedTable1cerebrum!$A$1:$WV$1800,12,FALSE), "NA")</f>
        <v>75400</v>
      </c>
      <c r="L23" t="str">
        <f>IFERROR(VLOOKUP($A23,reformattedTable1cerebrum!$A$1:$WV$1800,13,FALSE), "NA")</f>
        <v>NA</v>
      </c>
      <c r="M23">
        <f>IFERROR(VLOOKUP($A23,reformattedTable1cerebrum!$A$1:$WV$1800,14,FALSE), "NA")</f>
        <v>3.0819999999999999</v>
      </c>
      <c r="N23" t="str">
        <f>IFERROR(VLOOKUP($A23,reformattedTable1cerebrum!$A$1:$WV$1800,15,FALSE), "NA")</f>
        <v>NA</v>
      </c>
      <c r="O23" t="str">
        <f>IFERROR(VLOOKUP($A23,reformattedTable1cerebrum!$A$1:$WV$1800,16,FALSE), "NA")</f>
        <v>Herculano-Houzel et al., 2007</v>
      </c>
      <c r="P23" t="str">
        <f>IFERROR(VLOOKUP($A23,reformattedTable1cerebrum!$A$1:$WV$1800,17,FALSE), "NA")</f>
        <v>Macaca_mulatta</v>
      </c>
      <c r="Q23">
        <f>IFERROR(VLOOKUP($A23,reformattedTable2cerebellum!$A$1:$WW$1800,4,FALSE), "NA")</f>
        <v>7.694</v>
      </c>
      <c r="R23" t="str">
        <f>IFERROR(VLOOKUP($A23,reformattedTable2cerebellum!$A$1:$WW$1800,5,FALSE), "NA")</f>
        <v>NA</v>
      </c>
      <c r="S23">
        <f>IFERROR(VLOOKUP($A23,reformattedTable2cerebellum!$A$1:$WW$1800,6,FALSE), "NA")</f>
        <v>4550000000</v>
      </c>
      <c r="T23" t="str">
        <f>IFERROR(VLOOKUP($A23,reformattedTable2cerebellum!$A$1:$WW$1800,7,FALSE), "NA")</f>
        <v>NA</v>
      </c>
      <c r="U23">
        <f>IFERROR(VLOOKUP($A23,reformattedTable2cerebellum!$A$1:$WW$1800,8,FALSE), "NA")</f>
        <v>931030000</v>
      </c>
      <c r="V23" t="str">
        <f>IFERROR(VLOOKUP($A23,reformattedTable2cerebellum!$A$1:$WW$1800,9,FALSE), "NA")</f>
        <v>NA</v>
      </c>
      <c r="W23">
        <f>IFERROR(VLOOKUP($A23,reformattedTable2cerebellum!$A$1:$WW$1800,10,FALSE), "NA")</f>
        <v>590800</v>
      </c>
      <c r="X23" t="str">
        <f>IFERROR(VLOOKUP($A23,reformattedTable2cerebellum!$A$1:$WW$1800,11,FALSE), "NA")</f>
        <v>NA</v>
      </c>
      <c r="Y23">
        <f>IFERROR(VLOOKUP($A23,reformattedTable2cerebellum!$A$1:$WW$1800,12,FALSE), "NA")</f>
        <v>121010</v>
      </c>
      <c r="Z23" t="str">
        <f>IFERROR(VLOOKUP($A23,reformattedTable2cerebellum!$A$1:$WW$1800,13,FALSE), "NA")</f>
        <v>NA</v>
      </c>
      <c r="AA23">
        <f>IFERROR(VLOOKUP($A23,reformattedTable2cerebellum!$A$1:$WW$1800,14,FALSE), "NA")</f>
        <v>0.20499999999999999</v>
      </c>
      <c r="AB23" t="str">
        <f>IFERROR(VLOOKUP($A23,reformattedTable2cerebellum!$A$1:$WW$1800,15,FALSE), "NA")</f>
        <v>NA</v>
      </c>
      <c r="AC23" t="str">
        <f>IFERROR(VLOOKUP($A23,reformattedTable2cerebellum!$A$1:$WW$1800,16,FALSE), "NA")</f>
        <v>Herculano-Houzel et al., 2007</v>
      </c>
      <c r="AD23" t="str">
        <f>IFERROR(VLOOKUP($A23,reformattedTable2cerebellum!$A$1:$WW$1800,17,FALSE), "NA")</f>
        <v>Macaca_mulatta</v>
      </c>
      <c r="AE23">
        <f>IFERROR(VLOOKUP($A23,reformattedTable3RoB!$A$1:$WW$1800,4,FALSE), "NA")</f>
        <v>9.2040000000000006</v>
      </c>
      <c r="AF23">
        <f>IFERROR(VLOOKUP($A23,reformattedTable3RoB!$A$1:$WW$1800,5,FALSE), "NA")</f>
        <v>0.871</v>
      </c>
      <c r="AG23">
        <f>IFERROR(VLOOKUP($A23,reformattedTable3RoB!$A$1:$WW$1800,6,FALSE), "NA")</f>
        <v>121900000</v>
      </c>
      <c r="AH23" t="str">
        <f>IFERROR(VLOOKUP($A23,reformattedTable3RoB!$A$1:$WW$1800,7,FALSE), "NA")</f>
        <v>NA</v>
      </c>
      <c r="AI23">
        <f>IFERROR(VLOOKUP($A23,reformattedTable3RoB!$A$1:$WW$1800,8,FALSE), "NA")</f>
        <v>966520000</v>
      </c>
      <c r="AJ23" t="str">
        <f>IFERROR(VLOOKUP($A23,reformattedTable3RoB!$A$1:$WW$1800,9,FALSE), "NA")</f>
        <v>NA</v>
      </c>
      <c r="AK23">
        <f>IFERROR(VLOOKUP($A23,reformattedTable3RoB!$A$1:$WW$1800,10,FALSE), "NA")</f>
        <v>12410</v>
      </c>
      <c r="AL23" t="str">
        <f>IFERROR(VLOOKUP($A23,reformattedTable3RoB!$A$1:$WW$1800,11,FALSE), "NA")</f>
        <v>NA</v>
      </c>
      <c r="AM23">
        <f>IFERROR(VLOOKUP($A23,reformattedTable3RoB!$A$1:$WW$1800,12,FALSE), "NA")</f>
        <v>98420</v>
      </c>
      <c r="AN23" t="str">
        <f>IFERROR(VLOOKUP($A23,reformattedTable3RoB!$A$1:$WW$1800,13,FALSE), "NA")</f>
        <v>NA</v>
      </c>
      <c r="AO23">
        <f>IFERROR(VLOOKUP($A23,reformattedTable3RoB!$A$1:$WW$1800,14,FALSE), "NA")</f>
        <v>7.9290000000000003</v>
      </c>
      <c r="AP23" t="str">
        <f>IFERROR(VLOOKUP($A23,reformattedTable3RoB!$A$1:$WW$1800,15,FALSE), "NA")</f>
        <v>NA</v>
      </c>
      <c r="AQ23" t="str">
        <f>IFERROR(VLOOKUP($A23,reformattedTable3RoB!$A$1:$WW$1800,16,FALSE), "NA")</f>
        <v>Herculano-Houzel et al., 2007</v>
      </c>
      <c r="AR23" t="str">
        <f>IFERROR(VLOOKUP($A23,reformattedTable3RoB!$A$1:$WW$1800,17,FALSE), "NA")</f>
        <v>Macaca_mulatta</v>
      </c>
      <c r="AS23">
        <f>IFERROR(VLOOKUP($A23,reformattedTable4olfactory_bulb!$A$1:$WV$1800,4,FALSE), "NA")</f>
        <v>8.7999999999999995E-2</v>
      </c>
      <c r="AT23" t="str">
        <f>IFERROR(VLOOKUP($A23,reformattedTable4olfactory_bulb!$A$1:$WV$1800,5,FALSE), "NA")</f>
        <v>NA</v>
      </c>
      <c r="AU23">
        <f>IFERROR(VLOOKUP($A23,reformattedTable4olfactory_bulb!$A$1:$WV$1800,6,FALSE), "NA")</f>
        <v>8473800</v>
      </c>
      <c r="AV23" t="str">
        <f>IFERROR(VLOOKUP($A23,reformattedTable4olfactory_bulb!$A$1:$WV$1800,7,FALSE), "NA")</f>
        <v>NA</v>
      </c>
      <c r="AW23">
        <f>IFERROR(VLOOKUP($A23,reformattedTable4olfactory_bulb!$A$1:$WV$1800,8,FALSE), "NA")</f>
        <v>11006200</v>
      </c>
      <c r="AX23" t="str">
        <f>IFERROR(VLOOKUP($A23,reformattedTable4olfactory_bulb!$A$1:$WV$1800,9,FALSE), "NA")</f>
        <v>NA</v>
      </c>
      <c r="AY23">
        <f>IFERROR(VLOOKUP($A23,reformattedTable4olfactory_bulb!$A$1:$WV$1800,10,FALSE), "NA")</f>
        <v>96293</v>
      </c>
      <c r="AZ23" t="str">
        <f>IFERROR(VLOOKUP($A23,reformattedTable4olfactory_bulb!$A$1:$WV$1800,11,FALSE), "NA")</f>
        <v>NA</v>
      </c>
      <c r="BA23">
        <f>IFERROR(VLOOKUP($A23,reformattedTable4olfactory_bulb!$A$1:$WV$1800,12,FALSE), "NA")</f>
        <v>125070</v>
      </c>
      <c r="BB23" t="str">
        <f>IFERROR(VLOOKUP($A23,reformattedTable4olfactory_bulb!$A$1:$WV$1800,13,FALSE), "NA")</f>
        <v>NA</v>
      </c>
      <c r="BC23">
        <f>IFERROR(VLOOKUP($A23,reformattedTable4olfactory_bulb!$A$1:$WV$1800,14,FALSE), "NA")</f>
        <v>1.2989999999999999</v>
      </c>
      <c r="BD23" t="str">
        <f>IFERROR(VLOOKUP($A23,reformattedTable4olfactory_bulb!$A$1:$WV$1800,15,FALSE), "NA")</f>
        <v>NA</v>
      </c>
      <c r="BE23" t="str">
        <f>IFERROR(VLOOKUP($A23,reformattedTable4olfactory_bulb!$A$1:$WV$1800,16,FALSE), "NA")</f>
        <v>Ribeiro et al., 2014</v>
      </c>
      <c r="BF23" t="str">
        <f>IFERROR(VLOOKUP($A23,reformattedTable4olfactory_bulb!$A$1:$WV$1800,17,FALSE), "NA")</f>
        <v>Macaca_mulatta</v>
      </c>
      <c r="BG23">
        <f>IFERROR(VLOOKUP($A23,reformattedTable5whole_brain!$A$1:$WV$1800,4,FALSE), "NA")</f>
        <v>3900</v>
      </c>
      <c r="BH23" t="str">
        <f>IFERROR(VLOOKUP($A23,reformattedTable5whole_brain!$A$1:$WV$1800,5,FALSE), "NA")</f>
        <v>NA</v>
      </c>
      <c r="BI23">
        <f>IFERROR(VLOOKUP($A23,reformattedTable5whole_brain!$A$1:$WV$1800,6,FALSE), "NA")</f>
        <v>87.346000000000004</v>
      </c>
      <c r="BJ23" t="str">
        <f>IFERROR(VLOOKUP($A23,reformattedTable5whole_brain!$A$1:$WV$1800,7,FALSE), "NA")</f>
        <v>NA</v>
      </c>
      <c r="BK23">
        <f>IFERROR(VLOOKUP($A23,reformattedTable5whole_brain!$A$1:$WV$1800,8,FALSE), "NA")</f>
        <v>6376160000</v>
      </c>
      <c r="BL23" t="str">
        <f>IFERROR(VLOOKUP($A23,reformattedTable5whole_brain!$A$1:$WV$1800,9,FALSE), "NA")</f>
        <v>NA</v>
      </c>
      <c r="BM23">
        <f>IFERROR(VLOOKUP($A23,reformattedTable5whole_brain!$A$1:$WV$1800,10,FALSE), "NA")</f>
        <v>7162900000</v>
      </c>
      <c r="BN23" t="str">
        <f>IFERROR(VLOOKUP($A23,reformattedTable5whole_brain!$A$1:$WV$1800,11,FALSE), "NA")</f>
        <v>NA</v>
      </c>
      <c r="BO23">
        <f>IFERROR(VLOOKUP($A23,reformattedTable5whole_brain!$A$1:$WV$1800,12,FALSE), "NA")</f>
        <v>47.1</v>
      </c>
      <c r="BP23" t="str">
        <f>IFERROR(VLOOKUP($A23,reformattedTable5whole_brain!$A$1:$WV$1800,13,FALSE), "NA")</f>
        <v>NA</v>
      </c>
      <c r="BQ23" t="str">
        <f>IFERROR(VLOOKUP($A23,reformattedTable5whole_brain!$A$1:$WV$1800,14,FALSE), "NA")</f>
        <v>Herculano-Houzel et al., 2007</v>
      </c>
      <c r="BR23" t="str">
        <f>IFERROR(VLOOKUP($A23,reformattedTable5whole_brain!$A$1:$WV$1800,15,FALSE), "NA")</f>
        <v>Macaca_mulatta</v>
      </c>
    </row>
    <row r="24" spans="1:70">
      <c r="A24" t="s">
        <v>83</v>
      </c>
      <c r="B24" t="s">
        <v>44</v>
      </c>
      <c r="C24">
        <f>IFERROR(VLOOKUP($A24,reformattedTable1cerebrum!$A$1:$WV$1800,4,FALSE), "NA")</f>
        <v>48.274000000000001</v>
      </c>
      <c r="D24" t="str">
        <f>IFERROR(VLOOKUP($A24,reformattedTable1cerebrum!$A$1:$WV$1800,5,FALSE), "NA")</f>
        <v>NA</v>
      </c>
      <c r="E24">
        <f>IFERROR(VLOOKUP($A24,reformattedTable1cerebrum!$A$1:$WV$1800,6,FALSE), "NA")</f>
        <v>1655707140</v>
      </c>
      <c r="F24" t="str">
        <f>IFERROR(VLOOKUP($A24,reformattedTable1cerebrum!$A$1:$WV$1800,7,FALSE), "NA")</f>
        <v>NA</v>
      </c>
      <c r="G24">
        <f>IFERROR(VLOOKUP($A24,reformattedTable1cerebrum!$A$1:$WV$1800,8,FALSE), "NA")</f>
        <v>3808672860</v>
      </c>
      <c r="H24" t="str">
        <f>IFERROR(VLOOKUP($A24,reformattedTable1cerebrum!$A$1:$WV$1800,9,FALSE), "NA")</f>
        <v>NA</v>
      </c>
      <c r="I24">
        <f>IFERROR(VLOOKUP($A24,reformattedTable1cerebrum!$A$1:$WV$1800,10,FALSE), "NA")</f>
        <v>34298</v>
      </c>
      <c r="J24" t="str">
        <f>IFERROR(VLOOKUP($A24,reformattedTable1cerebrum!$A$1:$WV$1800,11,FALSE), "NA")</f>
        <v>NA</v>
      </c>
      <c r="K24">
        <f>IFERROR(VLOOKUP($A24,reformattedTable1cerebrum!$A$1:$WV$1800,12,FALSE), "NA")</f>
        <v>78897</v>
      </c>
      <c r="L24" t="str">
        <f>IFERROR(VLOOKUP($A24,reformattedTable1cerebrum!$A$1:$WV$1800,13,FALSE), "NA")</f>
        <v>NA</v>
      </c>
      <c r="M24">
        <f>IFERROR(VLOOKUP($A24,reformattedTable1cerebrum!$A$1:$WV$1800,14,FALSE), "NA")</f>
        <v>2.2999999999999998</v>
      </c>
      <c r="N24" t="str">
        <f>IFERROR(VLOOKUP($A24,reformattedTable1cerebrum!$A$1:$WV$1800,15,FALSE), "NA")</f>
        <v>NA</v>
      </c>
      <c r="O24" t="str">
        <f>IFERROR(VLOOKUP($A24,reformattedTable1cerebrum!$A$1:$WV$1800,16,FALSE), "NA")</f>
        <v>Gabi et al., 2010</v>
      </c>
      <c r="P24" t="str">
        <f>IFERROR(VLOOKUP($A24,reformattedTable1cerebrum!$A$1:$WV$1800,17,FALSE), "NA")</f>
        <v>Macaca_radiata</v>
      </c>
      <c r="Q24">
        <f>IFERROR(VLOOKUP($A24,reformattedTable2cerebellum!$A$1:$WW$1800,4,FALSE), "NA")</f>
        <v>5.7480000000000002</v>
      </c>
      <c r="R24" t="str">
        <f>IFERROR(VLOOKUP($A24,reformattedTable2cerebellum!$A$1:$WW$1800,5,FALSE), "NA")</f>
        <v>NA</v>
      </c>
      <c r="S24">
        <f>IFERROR(VLOOKUP($A24,reformattedTable2cerebellum!$A$1:$WW$1800,6,FALSE), "NA")</f>
        <v>2038554160</v>
      </c>
      <c r="T24" t="str">
        <f>IFERROR(VLOOKUP($A24,reformattedTable2cerebellum!$A$1:$WW$1800,7,FALSE), "NA")</f>
        <v>NA</v>
      </c>
      <c r="U24">
        <f>IFERROR(VLOOKUP($A24,reformattedTable2cerebellum!$A$1:$WW$1800,8,FALSE), "NA")</f>
        <v>453565840</v>
      </c>
      <c r="V24" t="str">
        <f>IFERROR(VLOOKUP($A24,reformattedTable2cerebellum!$A$1:$WW$1800,9,FALSE), "NA")</f>
        <v>NA</v>
      </c>
      <c r="W24">
        <f>IFERROR(VLOOKUP($A24,reformattedTable2cerebellum!$A$1:$WW$1800,10,FALSE), "NA")</f>
        <v>354655</v>
      </c>
      <c r="X24" t="str">
        <f>IFERROR(VLOOKUP($A24,reformattedTable2cerebellum!$A$1:$WW$1800,11,FALSE), "NA")</f>
        <v>NA</v>
      </c>
      <c r="Y24">
        <f>IFERROR(VLOOKUP($A24,reformattedTable2cerebellum!$A$1:$WW$1800,12,FALSE), "NA")</f>
        <v>78908</v>
      </c>
      <c r="Z24" t="str">
        <f>IFERROR(VLOOKUP($A24,reformattedTable2cerebellum!$A$1:$WW$1800,13,FALSE), "NA")</f>
        <v>NA</v>
      </c>
      <c r="AA24">
        <f>IFERROR(VLOOKUP($A24,reformattedTable2cerebellum!$A$1:$WW$1800,14,FALSE), "NA")</f>
        <v>0.222</v>
      </c>
      <c r="AB24" t="str">
        <f>IFERROR(VLOOKUP($A24,reformattedTable2cerebellum!$A$1:$WW$1800,15,FALSE), "NA")</f>
        <v>NA</v>
      </c>
      <c r="AC24" t="str">
        <f>IFERROR(VLOOKUP($A24,reformattedTable2cerebellum!$A$1:$WW$1800,16,FALSE), "NA")</f>
        <v>Gabi et al., 2010</v>
      </c>
      <c r="AD24" t="str">
        <f>IFERROR(VLOOKUP($A24,reformattedTable2cerebellum!$A$1:$WW$1800,17,FALSE), "NA")</f>
        <v>Macaca_radiata</v>
      </c>
      <c r="AE24">
        <f>IFERROR(VLOOKUP($A24,reformattedTable3RoB!$A$1:$WW$1800,4,FALSE), "NA")</f>
        <v>7.4480000000000004</v>
      </c>
      <c r="AF24" t="str">
        <f>IFERROR(VLOOKUP($A24,reformattedTable3RoB!$A$1:$WW$1800,5,FALSE), "NA")</f>
        <v>NA</v>
      </c>
      <c r="AG24">
        <f>IFERROR(VLOOKUP($A24,reformattedTable3RoB!$A$1:$WW$1800,6,FALSE), "NA")</f>
        <v>61359000</v>
      </c>
      <c r="AH24" t="str">
        <f>IFERROR(VLOOKUP($A24,reformattedTable3RoB!$A$1:$WW$1800,7,FALSE), "NA")</f>
        <v>NA</v>
      </c>
      <c r="AI24">
        <f>IFERROR(VLOOKUP($A24,reformattedTable3RoB!$A$1:$WW$1800,8,FALSE), "NA")</f>
        <v>616641000</v>
      </c>
      <c r="AJ24" t="str">
        <f>IFERROR(VLOOKUP($A24,reformattedTable3RoB!$A$1:$WW$1800,9,FALSE), "NA")</f>
        <v>NA</v>
      </c>
      <c r="AK24">
        <f>IFERROR(VLOOKUP($A24,reformattedTable3RoB!$A$1:$WW$1800,10,FALSE), "NA")</f>
        <v>8238</v>
      </c>
      <c r="AL24" t="str">
        <f>IFERROR(VLOOKUP($A24,reformattedTable3RoB!$A$1:$WW$1800,11,FALSE), "NA")</f>
        <v>NA</v>
      </c>
      <c r="AM24">
        <f>IFERROR(VLOOKUP($A24,reformattedTable3RoB!$A$1:$WW$1800,12,FALSE), "NA")</f>
        <v>82793</v>
      </c>
      <c r="AN24" t="str">
        <f>IFERROR(VLOOKUP($A24,reformattedTable3RoB!$A$1:$WW$1800,13,FALSE), "NA")</f>
        <v>NA</v>
      </c>
      <c r="AO24">
        <f>IFERROR(VLOOKUP($A24,reformattedTable3RoB!$A$1:$WW$1800,14,FALSE), "NA")</f>
        <v>10.050000000000001</v>
      </c>
      <c r="AP24" t="str">
        <f>IFERROR(VLOOKUP($A24,reformattedTable3RoB!$A$1:$WW$1800,15,FALSE), "NA")</f>
        <v>NA</v>
      </c>
      <c r="AQ24" t="str">
        <f>IFERROR(VLOOKUP($A24,reformattedTable3RoB!$A$1:$WW$1800,16,FALSE), "NA")</f>
        <v>Gabi et al., 2010</v>
      </c>
      <c r="AR24" t="str">
        <f>IFERROR(VLOOKUP($A24,reformattedTable3RoB!$A$1:$WW$1800,17,FALSE), "NA")</f>
        <v>Macaca_radiata</v>
      </c>
      <c r="AS24" t="str">
        <f>IFERROR(VLOOKUP($A24,reformattedTable4olfactory_bulb!$A$1:$WV$1800,4,FALSE), "NA")</f>
        <v>NA</v>
      </c>
      <c r="AT24" t="str">
        <f>IFERROR(VLOOKUP($A24,reformattedTable4olfactory_bulb!$A$1:$WV$1800,5,FALSE), "NA")</f>
        <v>NA</v>
      </c>
      <c r="AU24" t="str">
        <f>IFERROR(VLOOKUP($A24,reformattedTable4olfactory_bulb!$A$1:$WV$1800,6,FALSE), "NA")</f>
        <v>NA</v>
      </c>
      <c r="AV24" t="str">
        <f>IFERROR(VLOOKUP($A24,reformattedTable4olfactory_bulb!$A$1:$WV$1800,7,FALSE), "NA")</f>
        <v>NA</v>
      </c>
      <c r="AW24" t="str">
        <f>IFERROR(VLOOKUP($A24,reformattedTable4olfactory_bulb!$A$1:$WV$1800,8,FALSE), "NA")</f>
        <v>NA</v>
      </c>
      <c r="AX24" t="str">
        <f>IFERROR(VLOOKUP($A24,reformattedTable4olfactory_bulb!$A$1:$WV$1800,9,FALSE), "NA")</f>
        <v>NA</v>
      </c>
      <c r="AY24" t="str">
        <f>IFERROR(VLOOKUP($A24,reformattedTable4olfactory_bulb!$A$1:$WV$1800,10,FALSE), "NA")</f>
        <v>NA</v>
      </c>
      <c r="AZ24" t="str">
        <f>IFERROR(VLOOKUP($A24,reformattedTable4olfactory_bulb!$A$1:$WV$1800,11,FALSE), "NA")</f>
        <v>NA</v>
      </c>
      <c r="BA24" t="str">
        <f>IFERROR(VLOOKUP($A24,reformattedTable4olfactory_bulb!$A$1:$WV$1800,12,FALSE), "NA")</f>
        <v>NA</v>
      </c>
      <c r="BB24" t="str">
        <f>IFERROR(VLOOKUP($A24,reformattedTable4olfactory_bulb!$A$1:$WV$1800,13,FALSE), "NA")</f>
        <v>NA</v>
      </c>
      <c r="BC24" t="str">
        <f>IFERROR(VLOOKUP($A24,reformattedTable4olfactory_bulb!$A$1:$WV$1800,14,FALSE), "NA")</f>
        <v>NA</v>
      </c>
      <c r="BD24" t="str">
        <f>IFERROR(VLOOKUP($A24,reformattedTable4olfactory_bulb!$A$1:$WV$1800,15,FALSE), "NA")</f>
        <v>NA</v>
      </c>
      <c r="BE24" t="str">
        <f>IFERROR(VLOOKUP($A24,reformattedTable4olfactory_bulb!$A$1:$WV$1800,16,FALSE), "NA")</f>
        <v>NA</v>
      </c>
      <c r="BF24" t="str">
        <f>IFERROR(VLOOKUP($A24,reformattedTable4olfactory_bulb!$A$1:$WV$1800,17,FALSE), "NA")</f>
        <v>NA</v>
      </c>
      <c r="BG24">
        <f>IFERROR(VLOOKUP($A24,reformattedTable5whole_brain!$A$1:$WV$1800,4,FALSE), "NA")</f>
        <v>8012</v>
      </c>
      <c r="BH24" t="str">
        <f>IFERROR(VLOOKUP($A24,reformattedTable5whole_brain!$A$1:$WV$1800,5,FALSE), "NA")</f>
        <v>NA</v>
      </c>
      <c r="BI24">
        <f>IFERROR(VLOOKUP($A24,reformattedTable5whole_brain!$A$1:$WV$1800,6,FALSE), "NA")</f>
        <v>61.47</v>
      </c>
      <c r="BJ24" t="str">
        <f>IFERROR(VLOOKUP($A24,reformattedTable5whole_brain!$A$1:$WV$1800,7,FALSE), "NA")</f>
        <v>NA</v>
      </c>
      <c r="BK24">
        <f>IFERROR(VLOOKUP($A24,reformattedTable5whole_brain!$A$1:$WV$1800,8,FALSE), "NA")</f>
        <v>3755620300</v>
      </c>
      <c r="BL24" t="str">
        <f>IFERROR(VLOOKUP($A24,reformattedTable5whole_brain!$A$1:$WV$1800,9,FALSE), "NA")</f>
        <v>NA</v>
      </c>
      <c r="BM24">
        <f>IFERROR(VLOOKUP($A24,reformattedTable5whole_brain!$A$1:$WV$1800,10,FALSE), "NA")</f>
        <v>4878879700</v>
      </c>
      <c r="BN24" t="str">
        <f>IFERROR(VLOOKUP($A24,reformattedTable5whole_brain!$A$1:$WV$1800,11,FALSE), "NA")</f>
        <v>NA</v>
      </c>
      <c r="BO24">
        <f>IFERROR(VLOOKUP($A24,reformattedTable5whole_brain!$A$1:$WV$1800,12,FALSE), "NA")</f>
        <v>43.5</v>
      </c>
      <c r="BP24" t="str">
        <f>IFERROR(VLOOKUP($A24,reformattedTable5whole_brain!$A$1:$WV$1800,13,FALSE), "NA")</f>
        <v>NA</v>
      </c>
      <c r="BQ24" t="str">
        <f>IFERROR(VLOOKUP($A24,reformattedTable5whole_brain!$A$1:$WV$1800,14,FALSE), "NA")</f>
        <v>Gabi et al., 2010</v>
      </c>
      <c r="BR24" t="str">
        <f>IFERROR(VLOOKUP($A24,reformattedTable5whole_brain!$A$1:$WV$1800,15,FALSE), "NA")</f>
        <v>Macaca_radiata</v>
      </c>
    </row>
    <row r="25" spans="1:70">
      <c r="A25" t="s">
        <v>39</v>
      </c>
      <c r="B25" t="s">
        <v>19</v>
      </c>
      <c r="C25">
        <f>IFERROR(VLOOKUP($A25,reformattedTable1cerebrum!$A$1:$WV$1800,4,FALSE), "NA")</f>
        <v>0.44600000000000001</v>
      </c>
      <c r="D25">
        <f>IFERROR(VLOOKUP($A25,reformattedTable1cerebrum!$A$1:$WV$1800,5,FALSE), "NA")</f>
        <v>4.8000000000000001E-2</v>
      </c>
      <c r="E25">
        <f>IFERROR(VLOOKUP($A25,reformattedTable1cerebrum!$A$1:$WV$1800,6,FALSE), "NA")</f>
        <v>17140000</v>
      </c>
      <c r="F25">
        <f>IFERROR(VLOOKUP($A25,reformattedTable1cerebrum!$A$1:$WV$1800,7,FALSE), "NA")</f>
        <v>3619934</v>
      </c>
      <c r="G25">
        <f>IFERROR(VLOOKUP($A25,reformattedTable1cerebrum!$A$1:$WV$1800,8,FALSE), "NA")</f>
        <v>41870000</v>
      </c>
      <c r="H25">
        <f>IFERROR(VLOOKUP($A25,reformattedTable1cerebrum!$A$1:$WV$1800,9,FALSE), "NA")</f>
        <v>1350121</v>
      </c>
      <c r="I25">
        <f>IFERROR(VLOOKUP($A25,reformattedTable1cerebrum!$A$1:$WV$1800,10,FALSE), "NA")</f>
        <v>39099</v>
      </c>
      <c r="J25">
        <f>IFERROR(VLOOKUP($A25,reformattedTable1cerebrum!$A$1:$WV$1800,11,FALSE), "NA")</f>
        <v>12332</v>
      </c>
      <c r="K25">
        <f>IFERROR(VLOOKUP($A25,reformattedTable1cerebrum!$A$1:$WV$1800,12,FALSE), "NA")</f>
        <v>94271</v>
      </c>
      <c r="L25">
        <f>IFERROR(VLOOKUP($A25,reformattedTable1cerebrum!$A$1:$WV$1800,13,FALSE), "NA")</f>
        <v>7136</v>
      </c>
      <c r="M25">
        <f>IFERROR(VLOOKUP($A25,reformattedTable1cerebrum!$A$1:$WV$1800,14,FALSE), "NA")</f>
        <v>2.5070000000000001</v>
      </c>
      <c r="N25">
        <f>IFERROR(VLOOKUP($A25,reformattedTable1cerebrum!$A$1:$WV$1800,15,FALSE), "NA")</f>
        <v>0.60799999999999998</v>
      </c>
      <c r="O25" t="str">
        <f>IFERROR(VLOOKUP($A25,reformattedTable1cerebrum!$A$1:$WV$1800,16,FALSE), "NA")</f>
        <v>Herculano-Houzel et al., 2006</v>
      </c>
      <c r="P25" t="str">
        <f>IFERROR(VLOOKUP($A25,reformattedTable1cerebrum!$A$1:$WV$1800,17,FALSE), "NA")</f>
        <v>Mesocricetus_auratus</v>
      </c>
      <c r="Q25">
        <f>IFERROR(VLOOKUP($A25,reformattedTable2cerebellum!$A$1:$WW$1800,4,FALSE), "NA")</f>
        <v>0.14499999999999999</v>
      </c>
      <c r="R25">
        <f>IFERROR(VLOOKUP($A25,reformattedTable2cerebellum!$A$1:$WW$1800,5,FALSE), "NA")</f>
        <v>0.03</v>
      </c>
      <c r="S25">
        <f>IFERROR(VLOOKUP($A25,reformattedTable2cerebellum!$A$1:$WW$1800,6,FALSE), "NA")</f>
        <v>61210000</v>
      </c>
      <c r="T25">
        <f>IFERROR(VLOOKUP($A25,reformattedTable2cerebellum!$A$1:$WW$1800,7,FALSE), "NA")</f>
        <v>12351246</v>
      </c>
      <c r="U25">
        <f>IFERROR(VLOOKUP($A25,reformattedTable2cerebellum!$A$1:$WW$1800,8,FALSE), "NA")</f>
        <v>7430000</v>
      </c>
      <c r="V25">
        <f>IFERROR(VLOOKUP($A25,reformattedTable2cerebellum!$A$1:$WW$1800,9,FALSE), "NA")</f>
        <v>1713108</v>
      </c>
      <c r="W25">
        <f>IFERROR(VLOOKUP($A25,reformattedTable2cerebellum!$A$1:$WW$1800,10,FALSE), "NA")</f>
        <v>424002</v>
      </c>
      <c r="X25">
        <f>IFERROR(VLOOKUP($A25,reformattedTable2cerebellum!$A$1:$WW$1800,11,FALSE), "NA")</f>
        <v>3743</v>
      </c>
      <c r="Y25">
        <f>IFERROR(VLOOKUP($A25,reformattedTable2cerebellum!$A$1:$WW$1800,12,FALSE), "NA")</f>
        <v>51332</v>
      </c>
      <c r="Z25">
        <f>IFERROR(VLOOKUP($A25,reformattedTable2cerebellum!$A$1:$WW$1800,13,FALSE), "NA")</f>
        <v>1054</v>
      </c>
      <c r="AA25">
        <f>IFERROR(VLOOKUP($A25,reformattedTable2cerebellum!$A$1:$WW$1800,14,FALSE), "NA")</f>
        <v>0.121</v>
      </c>
      <c r="AB25">
        <f>IFERROR(VLOOKUP($A25,reformattedTable2cerebellum!$A$1:$WW$1800,15,FALSE), "NA")</f>
        <v>4.0000000000000001E-3</v>
      </c>
      <c r="AC25" t="str">
        <f>IFERROR(VLOOKUP($A25,reformattedTable2cerebellum!$A$1:$WW$1800,16,FALSE), "NA")</f>
        <v>Herculano-Houzel et al., 2006</v>
      </c>
      <c r="AD25" t="str">
        <f>IFERROR(VLOOKUP($A25,reformattedTable2cerebellum!$A$1:$WW$1800,17,FALSE), "NA")</f>
        <v>Mesocricetus_auratus</v>
      </c>
      <c r="AE25">
        <f>IFERROR(VLOOKUP($A25,reformattedTable3RoB!$A$1:$WW$1800,4,FALSE), "NA")</f>
        <v>0.375</v>
      </c>
      <c r="AF25">
        <f>IFERROR(VLOOKUP($A25,reformattedTable3RoB!$A$1:$WW$1800,5,FALSE), "NA")</f>
        <v>5.7000000000000002E-2</v>
      </c>
      <c r="AG25">
        <f>IFERROR(VLOOKUP($A25,reformattedTable3RoB!$A$1:$WW$1800,6,FALSE), "NA")</f>
        <v>5870000</v>
      </c>
      <c r="AH25">
        <f>IFERROR(VLOOKUP($A25,reformattedTable3RoB!$A$1:$WW$1800,7,FALSE), "NA")</f>
        <v>1162059</v>
      </c>
      <c r="AI25">
        <f>IFERROR(VLOOKUP($A25,reformattedTable3RoB!$A$1:$WW$1800,8,FALSE), "NA")</f>
        <v>21330000</v>
      </c>
      <c r="AJ25">
        <f>IFERROR(VLOOKUP($A25,reformattedTable3RoB!$A$1:$WW$1800,9,FALSE), "NA")</f>
        <v>8878857</v>
      </c>
      <c r="AK25">
        <f>IFERROR(VLOOKUP($A25,reformattedTable3RoB!$A$1:$WW$1800,10,FALSE), "NA")</f>
        <v>15611</v>
      </c>
      <c r="AL25">
        <f>IFERROR(VLOOKUP($A25,reformattedTable3RoB!$A$1:$WW$1800,11,FALSE), "NA")</f>
        <v>715</v>
      </c>
      <c r="AM25">
        <f>IFERROR(VLOOKUP($A25,reformattedTable3RoB!$A$1:$WW$1800,12,FALSE), "NA")</f>
        <v>55804</v>
      </c>
      <c r="AN25">
        <f>IFERROR(VLOOKUP($A25,reformattedTable3RoB!$A$1:$WW$1800,13,FALSE), "NA")</f>
        <v>15174</v>
      </c>
      <c r="AO25">
        <f>IFERROR(VLOOKUP($A25,reformattedTable3RoB!$A$1:$WW$1800,14,FALSE), "NA")</f>
        <v>3.556</v>
      </c>
      <c r="AP25" t="str">
        <f>IFERROR(VLOOKUP($A25,reformattedTable3RoB!$A$1:$WW$1800,15,FALSE), "NA")</f>
        <v>NA</v>
      </c>
      <c r="AQ25" t="str">
        <f>IFERROR(VLOOKUP($A25,reformattedTable3RoB!$A$1:$WW$1800,16,FALSE), "NA")</f>
        <v>Herculano-Houzel et al., 2006</v>
      </c>
      <c r="AR25" t="str">
        <f>IFERROR(VLOOKUP($A25,reformattedTable3RoB!$A$1:$WW$1800,17,FALSE), "NA")</f>
        <v>Mesocricetus_auratus</v>
      </c>
      <c r="AS25">
        <f>IFERROR(VLOOKUP($A25,reformattedTable4olfactory_bulb!$A$1:$WV$1800,4,FALSE), "NA")</f>
        <v>5.5E-2</v>
      </c>
      <c r="AT25">
        <f>IFERROR(VLOOKUP($A25,reformattedTable4olfactory_bulb!$A$1:$WV$1800,5,FALSE), "NA")</f>
        <v>1.0999999999999999E-2</v>
      </c>
      <c r="AU25">
        <f>IFERROR(VLOOKUP($A25,reformattedTable4olfactory_bulb!$A$1:$WV$1800,6,FALSE), "NA")</f>
        <v>5747930</v>
      </c>
      <c r="AV25">
        <f>IFERROR(VLOOKUP($A25,reformattedTable4olfactory_bulb!$A$1:$WV$1800,7,FALSE), "NA")</f>
        <v>347203</v>
      </c>
      <c r="AW25">
        <f>IFERROR(VLOOKUP($A25,reformattedTable4olfactory_bulb!$A$1:$WV$1800,8,FALSE), "NA")</f>
        <v>5507170</v>
      </c>
      <c r="AX25">
        <f>IFERROR(VLOOKUP($A25,reformattedTable4olfactory_bulb!$A$1:$WV$1800,9,FALSE), "NA")</f>
        <v>2277605</v>
      </c>
      <c r="AY25">
        <f>IFERROR(VLOOKUP($A25,reformattedTable4olfactory_bulb!$A$1:$WV$1800,10,FALSE), "NA")</f>
        <v>105418</v>
      </c>
      <c r="AZ25">
        <f>IFERROR(VLOOKUP($A25,reformattedTable4olfactory_bulb!$A$1:$WV$1800,11,FALSE), "NA")</f>
        <v>27498</v>
      </c>
      <c r="BA25">
        <f>IFERROR(VLOOKUP($A25,reformattedTable4olfactory_bulb!$A$1:$WV$1800,12,FALSE), "NA")</f>
        <v>96197</v>
      </c>
      <c r="BB25">
        <f>IFERROR(VLOOKUP($A25,reformattedTable4olfactory_bulb!$A$1:$WV$1800,13,FALSE), "NA")</f>
        <v>21237</v>
      </c>
      <c r="BC25">
        <f>IFERROR(VLOOKUP($A25,reformattedTable4olfactory_bulb!$A$1:$WV$1800,14,FALSE), "NA")</f>
        <v>0.97199999999999998</v>
      </c>
      <c r="BD25">
        <f>IFERROR(VLOOKUP($A25,reformattedTable4olfactory_bulb!$A$1:$WV$1800,15,FALSE), "NA")</f>
        <v>0.45500000000000002</v>
      </c>
      <c r="BE25" t="str">
        <f>IFERROR(VLOOKUP($A25,reformattedTable4olfactory_bulb!$A$1:$WV$1800,16,FALSE), "NA")</f>
        <v>Herculano-Houzel et al., 2006</v>
      </c>
      <c r="BF25" t="str">
        <f>IFERROR(VLOOKUP($A25,reformattedTable4olfactory_bulb!$A$1:$WV$1800,17,FALSE), "NA")</f>
        <v>Mesocricetus_auratus</v>
      </c>
      <c r="BG25">
        <f>IFERROR(VLOOKUP($A25,reformattedTable5whole_brain!$A$1:$WV$1800,4,FALSE), "NA")</f>
        <v>168.1</v>
      </c>
      <c r="BH25">
        <f>IFERROR(VLOOKUP($A25,reformattedTable5whole_brain!$A$1:$WV$1800,5,FALSE), "NA")</f>
        <v>13.6</v>
      </c>
      <c r="BI25">
        <f>IFERROR(VLOOKUP($A25,reformattedTable5whole_brain!$A$1:$WV$1800,6,FALSE), "NA")</f>
        <v>0.96499999999999997</v>
      </c>
      <c r="BJ25">
        <f>IFERROR(VLOOKUP($A25,reformattedTable5whole_brain!$A$1:$WV$1800,7,FALSE), "NA")</f>
        <v>0.13600000000000001</v>
      </c>
      <c r="BK25">
        <f>IFERROR(VLOOKUP($A25,reformattedTable5whole_brain!$A$1:$WV$1800,8,FALSE), "NA")</f>
        <v>84220000</v>
      </c>
      <c r="BL25">
        <f>IFERROR(VLOOKUP($A25,reformattedTable5whole_brain!$A$1:$WV$1800,9,FALSE), "NA")</f>
        <v>9893371</v>
      </c>
      <c r="BM25">
        <f>IFERROR(VLOOKUP($A25,reformattedTable5whole_brain!$A$1:$WV$1800,10,FALSE), "NA")</f>
        <v>70640000</v>
      </c>
      <c r="BN25">
        <f>IFERROR(VLOOKUP($A25,reformattedTable5whole_brain!$A$1:$WV$1800,11,FALSE), "NA")</f>
        <v>11942086</v>
      </c>
      <c r="BO25">
        <f>IFERROR(VLOOKUP($A25,reformattedTable5whole_brain!$A$1:$WV$1800,12,FALSE), "NA")</f>
        <v>54.3</v>
      </c>
      <c r="BP25">
        <f>IFERROR(VLOOKUP($A25,reformattedTable5whole_brain!$A$1:$WV$1800,13,FALSE), "NA")</f>
        <v>1.3</v>
      </c>
      <c r="BQ25" t="str">
        <f>IFERROR(VLOOKUP($A25,reformattedTable5whole_brain!$A$1:$WV$1800,14,FALSE), "NA")</f>
        <v>Herculano-Houzel et al., 2006</v>
      </c>
      <c r="BR25" t="str">
        <f>IFERROR(VLOOKUP($A25,reformattedTable5whole_brain!$A$1:$WV$1800,15,FALSE), "NA")</f>
        <v>Mesocricetus_auratus</v>
      </c>
    </row>
    <row r="26" spans="1:70">
      <c r="A26" t="s">
        <v>43</v>
      </c>
      <c r="B26" t="s">
        <v>44</v>
      </c>
      <c r="C26">
        <f>IFERROR(VLOOKUP($A26,reformattedTable1cerebrum!$A$1:$WV$1800,4,FALSE), "NA")</f>
        <v>0.90800000000000003</v>
      </c>
      <c r="D26" t="str">
        <f>IFERROR(VLOOKUP($A26,reformattedTable1cerebrum!$A$1:$WV$1800,5,FALSE), "NA")</f>
        <v>NA</v>
      </c>
      <c r="E26">
        <f>IFERROR(VLOOKUP($A26,reformattedTable1cerebrum!$A$1:$WV$1800,6,FALSE), "NA")</f>
        <v>22310400</v>
      </c>
      <c r="F26" t="str">
        <f>IFERROR(VLOOKUP($A26,reformattedTable1cerebrum!$A$1:$WV$1800,7,FALSE), "NA")</f>
        <v>NA</v>
      </c>
      <c r="G26">
        <f>IFERROR(VLOOKUP($A26,reformattedTable1cerebrum!$A$1:$WV$1800,8,FALSE), "NA")</f>
        <v>70649600</v>
      </c>
      <c r="H26" t="str">
        <f>IFERROR(VLOOKUP($A26,reformattedTable1cerebrum!$A$1:$WV$1800,9,FALSE), "NA")</f>
        <v>NA</v>
      </c>
      <c r="I26">
        <f>IFERROR(VLOOKUP($A26,reformattedTable1cerebrum!$A$1:$WV$1800,10,FALSE), "NA")</f>
        <v>24571</v>
      </c>
      <c r="J26" t="str">
        <f>IFERROR(VLOOKUP($A26,reformattedTable1cerebrum!$A$1:$WV$1800,11,FALSE), "NA")</f>
        <v>NA</v>
      </c>
      <c r="K26">
        <f>IFERROR(VLOOKUP($A26,reformattedTable1cerebrum!$A$1:$WV$1800,12,FALSE), "NA")</f>
        <v>77808</v>
      </c>
      <c r="L26" t="str">
        <f>IFERROR(VLOOKUP($A26,reformattedTable1cerebrum!$A$1:$WV$1800,13,FALSE), "NA")</f>
        <v>NA</v>
      </c>
      <c r="M26">
        <f>IFERROR(VLOOKUP($A26,reformattedTable1cerebrum!$A$1:$WV$1800,14,FALSE), "NA")</f>
        <v>3.1669999999999998</v>
      </c>
      <c r="N26" t="str">
        <f>IFERROR(VLOOKUP($A26,reformattedTable1cerebrum!$A$1:$WV$1800,15,FALSE), "NA")</f>
        <v>NA</v>
      </c>
      <c r="O26" t="str">
        <f>IFERROR(VLOOKUP($A26,reformattedTable1cerebrum!$A$1:$WV$1800,16,FALSE), "NA")</f>
        <v>Gabi et al., 2010</v>
      </c>
      <c r="P26" t="str">
        <f>IFERROR(VLOOKUP($A26,reformattedTable1cerebrum!$A$1:$WV$1800,17,FALSE), "NA")</f>
        <v>Microcebus_murinus</v>
      </c>
      <c r="Q26">
        <f>IFERROR(VLOOKUP($A26,reformattedTable2cerebellum!$A$1:$WW$1800,4,FALSE), "NA")</f>
        <v>0.39100000000000001</v>
      </c>
      <c r="R26" t="str">
        <f>IFERROR(VLOOKUP($A26,reformattedTable2cerebellum!$A$1:$WW$1800,5,FALSE), "NA")</f>
        <v>NA</v>
      </c>
      <c r="S26">
        <f>IFERROR(VLOOKUP($A26,reformattedTable2cerebellum!$A$1:$WW$1800,6,FALSE), "NA")</f>
        <v>221386140</v>
      </c>
      <c r="T26" t="str">
        <f>IFERROR(VLOOKUP($A26,reformattedTable2cerebellum!$A$1:$WW$1800,7,FALSE), "NA")</f>
        <v>NA</v>
      </c>
      <c r="U26">
        <f>IFERROR(VLOOKUP($A26,reformattedTable2cerebellum!$A$1:$WW$1800,8,FALSE), "NA")</f>
        <v>17433860</v>
      </c>
      <c r="V26" t="str">
        <f>IFERROR(VLOOKUP($A26,reformattedTable2cerebellum!$A$1:$WW$1800,9,FALSE), "NA")</f>
        <v>NA</v>
      </c>
      <c r="W26">
        <f>IFERROR(VLOOKUP($A26,reformattedTable2cerebellum!$A$1:$WW$1800,10,FALSE), "NA")</f>
        <v>566205</v>
      </c>
      <c r="X26" t="str">
        <f>IFERROR(VLOOKUP($A26,reformattedTable2cerebellum!$A$1:$WW$1800,11,FALSE), "NA")</f>
        <v>NA</v>
      </c>
      <c r="Y26">
        <f>IFERROR(VLOOKUP($A26,reformattedTable2cerebellum!$A$1:$WW$1800,12,FALSE), "NA")</f>
        <v>44588</v>
      </c>
      <c r="Z26" t="str">
        <f>IFERROR(VLOOKUP($A26,reformattedTable2cerebellum!$A$1:$WW$1800,13,FALSE), "NA")</f>
        <v>NA</v>
      </c>
      <c r="AA26">
        <f>IFERROR(VLOOKUP($A26,reformattedTable2cerebellum!$A$1:$WW$1800,14,FALSE), "NA")</f>
        <v>7.9000000000000001E-2</v>
      </c>
      <c r="AB26" t="str">
        <f>IFERROR(VLOOKUP($A26,reformattedTable2cerebellum!$A$1:$WW$1800,15,FALSE), "NA")</f>
        <v>NA</v>
      </c>
      <c r="AC26" t="str">
        <f>IFERROR(VLOOKUP($A26,reformattedTable2cerebellum!$A$1:$WW$1800,16,FALSE), "NA")</f>
        <v>Gabi et al., 2010</v>
      </c>
      <c r="AD26" t="str">
        <f>IFERROR(VLOOKUP($A26,reformattedTable2cerebellum!$A$1:$WW$1800,17,FALSE), "NA")</f>
        <v>Microcebus_murinus</v>
      </c>
      <c r="AE26">
        <f>IFERROR(VLOOKUP($A26,reformattedTable3RoB!$A$1:$WW$1800,4,FALSE), "NA")</f>
        <v>0.5</v>
      </c>
      <c r="AF26" t="str">
        <f>IFERROR(VLOOKUP($A26,reformattedTable3RoB!$A$1:$WW$1800,5,FALSE), "NA")</f>
        <v>NA</v>
      </c>
      <c r="AG26">
        <f>IFERROR(VLOOKUP($A26,reformattedTable3RoB!$A$1:$WW$1800,6,FALSE), "NA")</f>
        <v>11014640</v>
      </c>
      <c r="AH26" t="str">
        <f>IFERROR(VLOOKUP($A26,reformattedTable3RoB!$A$1:$WW$1800,7,FALSE), "NA")</f>
        <v>NA</v>
      </c>
      <c r="AI26">
        <f>IFERROR(VLOOKUP($A26,reformattedTable3RoB!$A$1:$WW$1800,8,FALSE), "NA")</f>
        <v>50865360</v>
      </c>
      <c r="AJ26" t="str">
        <f>IFERROR(VLOOKUP($A26,reformattedTable3RoB!$A$1:$WW$1800,9,FALSE), "NA")</f>
        <v>NA</v>
      </c>
      <c r="AK26">
        <f>IFERROR(VLOOKUP($A26,reformattedTable3RoB!$A$1:$WW$1800,10,FALSE), "NA")</f>
        <v>22029</v>
      </c>
      <c r="AL26" t="str">
        <f>IFERROR(VLOOKUP($A26,reformattedTable3RoB!$A$1:$WW$1800,11,FALSE), "NA")</f>
        <v>NA</v>
      </c>
      <c r="AM26">
        <f>IFERROR(VLOOKUP($A26,reformattedTable3RoB!$A$1:$WW$1800,12,FALSE), "NA")</f>
        <v>101731</v>
      </c>
      <c r="AN26" t="str">
        <f>IFERROR(VLOOKUP($A26,reformattedTable3RoB!$A$1:$WW$1800,13,FALSE), "NA")</f>
        <v>NA</v>
      </c>
      <c r="AO26">
        <f>IFERROR(VLOOKUP($A26,reformattedTable3RoB!$A$1:$WW$1800,14,FALSE), "NA")</f>
        <v>4.6180000000000003</v>
      </c>
      <c r="AP26" t="str">
        <f>IFERROR(VLOOKUP($A26,reformattedTable3RoB!$A$1:$WW$1800,15,FALSE), "NA")</f>
        <v>NA</v>
      </c>
      <c r="AQ26" t="str">
        <f>IFERROR(VLOOKUP($A26,reformattedTable3RoB!$A$1:$WW$1800,16,FALSE), "NA")</f>
        <v>Gabi et al., 2010</v>
      </c>
      <c r="AR26" t="str">
        <f>IFERROR(VLOOKUP($A26,reformattedTable3RoB!$A$1:$WW$1800,17,FALSE), "NA")</f>
        <v>Microcebus_murinus</v>
      </c>
      <c r="AS26">
        <f>IFERROR(VLOOKUP($A26,reformattedTable4olfactory_bulb!$A$1:$WV$1800,4,FALSE), "NA")</f>
        <v>0.03</v>
      </c>
      <c r="AT26">
        <f>IFERROR(VLOOKUP($A26,reformattedTable4olfactory_bulb!$A$1:$WV$1800,5,FALSE), "NA")</f>
        <v>8.0000000000000002E-3</v>
      </c>
      <c r="AU26">
        <f>IFERROR(VLOOKUP($A26,reformattedTable4olfactory_bulb!$A$1:$WV$1800,6,FALSE), "NA")</f>
        <v>7636912</v>
      </c>
      <c r="AV26">
        <f>IFERROR(VLOOKUP($A26,reformattedTable4olfactory_bulb!$A$1:$WV$1800,7,FALSE), "NA")</f>
        <v>119088</v>
      </c>
      <c r="AW26">
        <f>IFERROR(VLOOKUP($A26,reformattedTable4olfactory_bulb!$A$1:$WV$1800,8,FALSE), "NA")</f>
        <v>9723088</v>
      </c>
      <c r="AX26">
        <f>IFERROR(VLOOKUP($A26,reformattedTable4olfactory_bulb!$A$1:$WV$1800,9,FALSE), "NA")</f>
        <v>842576</v>
      </c>
      <c r="AY26">
        <f>IFERROR(VLOOKUP($A26,reformattedTable4olfactory_bulb!$A$1:$WV$1800,10,FALSE), "NA")</f>
        <v>270894</v>
      </c>
      <c r="AZ26">
        <f>IFERROR(VLOOKUP($A26,reformattedTable4olfactory_bulb!$A$1:$WV$1800,11,FALSE), "NA")</f>
        <v>61946</v>
      </c>
      <c r="BA26">
        <f>IFERROR(VLOOKUP($A26,reformattedTable4olfactory_bulb!$A$1:$WV$1800,12,FALSE), "NA")</f>
        <v>341900</v>
      </c>
      <c r="BB26">
        <f>IFERROR(VLOOKUP($A26,reformattedTable4olfactory_bulb!$A$1:$WV$1800,13,FALSE), "NA")</f>
        <v>54311</v>
      </c>
      <c r="BC26">
        <f>IFERROR(VLOOKUP($A26,reformattedTable4olfactory_bulb!$A$1:$WV$1800,14,FALSE), "NA")</f>
        <v>1.2729999999999999</v>
      </c>
      <c r="BD26" t="str">
        <f>IFERROR(VLOOKUP($A26,reformattedTable4olfactory_bulb!$A$1:$WV$1800,15,FALSE), "NA")</f>
        <v>NA</v>
      </c>
      <c r="BE26" t="str">
        <f>IFERROR(VLOOKUP($A26,reformattedTable4olfactory_bulb!$A$1:$WV$1800,16,FALSE), "NA")</f>
        <v>Ribeiro et al., 2014</v>
      </c>
      <c r="BF26" t="str">
        <f>IFERROR(VLOOKUP($A26,reformattedTable4olfactory_bulb!$A$1:$WV$1800,17,FALSE), "NA")</f>
        <v>Microcebus_murinus</v>
      </c>
      <c r="BG26">
        <f>IFERROR(VLOOKUP($A26,reformattedTable5whole_brain!$A$1:$WV$1800,4,FALSE), "NA")</f>
        <v>60</v>
      </c>
      <c r="BH26" t="str">
        <f>IFERROR(VLOOKUP($A26,reformattedTable5whole_brain!$A$1:$WV$1800,5,FALSE), "NA")</f>
        <v>NA</v>
      </c>
      <c r="BI26">
        <f>IFERROR(VLOOKUP($A26,reformattedTable5whole_brain!$A$1:$WV$1800,6,FALSE), "NA")</f>
        <v>1.7989999999999999</v>
      </c>
      <c r="BJ26" t="str">
        <f>IFERROR(VLOOKUP($A26,reformattedTable5whole_brain!$A$1:$WV$1800,7,FALSE), "NA")</f>
        <v>NA</v>
      </c>
      <c r="BK26">
        <f>IFERROR(VLOOKUP($A26,reformattedTable5whole_brain!$A$1:$WV$1800,8,FALSE), "NA")</f>
        <v>254711180</v>
      </c>
      <c r="BL26" t="str">
        <f>IFERROR(VLOOKUP($A26,reformattedTable5whole_brain!$A$1:$WV$1800,9,FALSE), "NA")</f>
        <v>NA</v>
      </c>
      <c r="BM26">
        <f>IFERROR(VLOOKUP($A26,reformattedTable5whole_brain!$A$1:$WV$1800,10,FALSE), "NA")</f>
        <v>138948820</v>
      </c>
      <c r="BN26" t="str">
        <f>IFERROR(VLOOKUP($A26,reformattedTable5whole_brain!$A$1:$WV$1800,11,FALSE), "NA")</f>
        <v>NA</v>
      </c>
      <c r="BO26">
        <f>IFERROR(VLOOKUP($A26,reformattedTable5whole_brain!$A$1:$WV$1800,12,FALSE), "NA")</f>
        <v>64.7</v>
      </c>
      <c r="BP26" t="str">
        <f>IFERROR(VLOOKUP($A26,reformattedTable5whole_brain!$A$1:$WV$1800,13,FALSE), "NA")</f>
        <v>NA</v>
      </c>
      <c r="BQ26" t="str">
        <f>IFERROR(VLOOKUP($A26,reformattedTable5whole_brain!$A$1:$WV$1800,14,FALSE), "NA")</f>
        <v>Gabi et al., 2010</v>
      </c>
      <c r="BR26" t="str">
        <f>IFERROR(VLOOKUP($A26,reformattedTable5whole_brain!$A$1:$WV$1800,15,FALSE), "NA")</f>
        <v>Microcebus_murinus</v>
      </c>
    </row>
    <row r="27" spans="1:70">
      <c r="A27" t="s">
        <v>18</v>
      </c>
      <c r="B27" t="s">
        <v>19</v>
      </c>
      <c r="C27">
        <f>IFERROR(VLOOKUP($A27,reformattedTable1cerebrum!$A$1:$WV$1800,4,FALSE), "NA")</f>
        <v>0.17299999999999999</v>
      </c>
      <c r="D27">
        <f>IFERROR(VLOOKUP($A27,reformattedTable1cerebrum!$A$1:$WV$1800,5,FALSE), "NA")</f>
        <v>1.4999999999999999E-2</v>
      </c>
      <c r="E27">
        <f>IFERROR(VLOOKUP($A27,reformattedTable1cerebrum!$A$1:$WV$1800,6,FALSE), "NA")</f>
        <v>13688162</v>
      </c>
      <c r="F27">
        <f>IFERROR(VLOOKUP($A27,reformattedTable1cerebrum!$A$1:$WV$1800,7,FALSE), "NA")</f>
        <v>2242257</v>
      </c>
      <c r="G27">
        <f>IFERROR(VLOOKUP($A27,reformattedTable1cerebrum!$A$1:$WV$1800,8,FALSE), "NA")</f>
        <v>12061838</v>
      </c>
      <c r="H27">
        <f>IFERROR(VLOOKUP($A27,reformattedTable1cerebrum!$A$1:$WV$1800,9,FALSE), "NA")</f>
        <v>3668594</v>
      </c>
      <c r="I27">
        <f>IFERROR(VLOOKUP($A27,reformattedTable1cerebrum!$A$1:$WV$1800,10,FALSE), "NA")</f>
        <v>78672</v>
      </c>
      <c r="J27">
        <f>IFERROR(VLOOKUP($A27,reformattedTable1cerebrum!$A$1:$WV$1800,11,FALSE), "NA")</f>
        <v>7683</v>
      </c>
      <c r="K27">
        <f>IFERROR(VLOOKUP($A27,reformattedTable1cerebrum!$A$1:$WV$1800,12,FALSE), "NA")</f>
        <v>68643</v>
      </c>
      <c r="L27">
        <f>IFERROR(VLOOKUP($A27,reformattedTable1cerebrum!$A$1:$WV$1800,13,FALSE), "NA")</f>
        <v>15807</v>
      </c>
      <c r="M27">
        <f>IFERROR(VLOOKUP($A27,reformattedTable1cerebrum!$A$1:$WV$1800,14,FALSE), "NA")</f>
        <v>0.87</v>
      </c>
      <c r="N27">
        <f>IFERROR(VLOOKUP($A27,reformattedTable1cerebrum!$A$1:$WV$1800,15,FALSE), "NA")</f>
        <v>0.17699999999999999</v>
      </c>
      <c r="O27" t="str">
        <f>IFERROR(VLOOKUP($A27,reformattedTable1cerebrum!$A$1:$WV$1800,16,FALSE), "NA")</f>
        <v>Herculano-Houzel et al., 2006</v>
      </c>
      <c r="P27" t="str">
        <f>IFERROR(VLOOKUP($A27,reformattedTable1cerebrum!$A$1:$WV$1800,17,FALSE), "NA")</f>
        <v>Mus_musculus</v>
      </c>
      <c r="Q27">
        <f>IFERROR(VLOOKUP($A27,reformattedTable2cerebellum!$A$1:$WW$1800,4,FALSE), "NA")</f>
        <v>5.6000000000000001E-2</v>
      </c>
      <c r="R27">
        <f>IFERROR(VLOOKUP($A27,reformattedTable2cerebellum!$A$1:$WW$1800,5,FALSE), "NA")</f>
        <v>5.0000000000000001E-3</v>
      </c>
      <c r="S27">
        <f>IFERROR(VLOOKUP($A27,reformattedTable2cerebellum!$A$1:$WW$1800,6,FALSE), "NA")</f>
        <v>42219708</v>
      </c>
      <c r="T27">
        <f>IFERROR(VLOOKUP($A27,reformattedTable2cerebellum!$A$1:$WW$1800,7,FALSE), "NA")</f>
        <v>9277647</v>
      </c>
      <c r="U27">
        <f>IFERROR(VLOOKUP($A27,reformattedTable2cerebellum!$A$1:$WW$1800,8,FALSE), "NA")</f>
        <v>6947791</v>
      </c>
      <c r="V27">
        <f>IFERROR(VLOOKUP($A27,reformattedTable2cerebellum!$A$1:$WW$1800,9,FALSE), "NA")</f>
        <v>1502773</v>
      </c>
      <c r="W27">
        <f>IFERROR(VLOOKUP($A27,reformattedTable2cerebellum!$A$1:$WW$1800,10,FALSE), "NA")</f>
        <v>746691</v>
      </c>
      <c r="X27">
        <f>IFERROR(VLOOKUP($A27,reformattedTable2cerebellum!$A$1:$WW$1800,11,FALSE), "NA")</f>
        <v>128541</v>
      </c>
      <c r="Y27">
        <f>IFERROR(VLOOKUP($A27,reformattedTable2cerebellum!$A$1:$WW$1800,12,FALSE), "NA")</f>
        <v>123493</v>
      </c>
      <c r="Z27">
        <f>IFERROR(VLOOKUP($A27,reformattedTable2cerebellum!$A$1:$WW$1800,13,FALSE), "NA")</f>
        <v>25715</v>
      </c>
      <c r="AA27">
        <f>IFERROR(VLOOKUP($A27,reformattedTable2cerebellum!$A$1:$WW$1800,14,FALSE), "NA")</f>
        <v>0.16500000000000001</v>
      </c>
      <c r="AB27">
        <f>IFERROR(VLOOKUP($A27,reformattedTable2cerebellum!$A$1:$WW$1800,15,FALSE), "NA")</f>
        <v>1.7000000000000001E-2</v>
      </c>
      <c r="AC27" t="str">
        <f>IFERROR(VLOOKUP($A27,reformattedTable2cerebellum!$A$1:$WW$1800,16,FALSE), "NA")</f>
        <v>Herculano-Houzel et al., 2006</v>
      </c>
      <c r="AD27" t="str">
        <f>IFERROR(VLOOKUP($A27,reformattedTable2cerebellum!$A$1:$WW$1800,17,FALSE), "NA")</f>
        <v>Mus_musculus</v>
      </c>
      <c r="AE27">
        <f>IFERROR(VLOOKUP($A27,reformattedTable3RoB!$A$1:$WW$1800,4,FALSE), "NA")</f>
        <v>0.17199999999999999</v>
      </c>
      <c r="AF27">
        <f>IFERROR(VLOOKUP($A27,reformattedTable3RoB!$A$1:$WW$1800,5,FALSE), "NA")</f>
        <v>1.9E-2</v>
      </c>
      <c r="AG27">
        <f>IFERROR(VLOOKUP($A27,reformattedTable3RoB!$A$1:$WW$1800,6,FALSE), "NA")</f>
        <v>11960000</v>
      </c>
      <c r="AH27">
        <f>IFERROR(VLOOKUP($A27,reformattedTable3RoB!$A$1:$WW$1800,7,FALSE), "NA")</f>
        <v>1577022</v>
      </c>
      <c r="AI27">
        <f>IFERROR(VLOOKUP($A27,reformattedTable3RoB!$A$1:$WW$1800,8,FALSE), "NA")</f>
        <v>14850000</v>
      </c>
      <c r="AJ27">
        <f>IFERROR(VLOOKUP($A27,reformattedTable3RoB!$A$1:$WW$1800,9,FALSE), "NA")</f>
        <v>3590591</v>
      </c>
      <c r="AK27">
        <f>IFERROR(VLOOKUP($A27,reformattedTable3RoB!$A$1:$WW$1800,10,FALSE), "NA")</f>
        <v>64301</v>
      </c>
      <c r="AL27">
        <f>IFERROR(VLOOKUP($A27,reformattedTable3RoB!$A$1:$WW$1800,11,FALSE), "NA")</f>
        <v>6623</v>
      </c>
      <c r="AM27">
        <f>IFERROR(VLOOKUP($A27,reformattedTable3RoB!$A$1:$WW$1800,12,FALSE), "NA")</f>
        <v>79839</v>
      </c>
      <c r="AN27">
        <f>IFERROR(VLOOKUP($A27,reformattedTable3RoB!$A$1:$WW$1800,13,FALSE), "NA")</f>
        <v>11249</v>
      </c>
      <c r="AO27">
        <f>IFERROR(VLOOKUP($A27,reformattedTable3RoB!$A$1:$WW$1800,14,FALSE), "NA")</f>
        <v>1.242</v>
      </c>
      <c r="AP27" t="str">
        <f>IFERROR(VLOOKUP($A27,reformattedTable3RoB!$A$1:$WW$1800,15,FALSE), "NA")</f>
        <v>NA</v>
      </c>
      <c r="AQ27" t="str">
        <f>IFERROR(VLOOKUP($A27,reformattedTable3RoB!$A$1:$WW$1800,16,FALSE), "NA")</f>
        <v>Herculano-Houzel et al., 2006</v>
      </c>
      <c r="AR27" t="str">
        <f>IFERROR(VLOOKUP($A27,reformattedTable3RoB!$A$1:$WW$1800,17,FALSE), "NA")</f>
        <v>Mus_musculus</v>
      </c>
      <c r="AS27">
        <f>IFERROR(VLOOKUP($A27,reformattedTable4olfactory_bulb!$A$1:$WV$1800,4,FALSE), "NA")</f>
        <v>1.4E-2</v>
      </c>
      <c r="AT27">
        <f>IFERROR(VLOOKUP($A27,reformattedTable4olfactory_bulb!$A$1:$WV$1800,5,FALSE), "NA")</f>
        <v>4.0000000000000001E-3</v>
      </c>
      <c r="AU27">
        <f>IFERROR(VLOOKUP($A27,reformattedTable4olfactory_bulb!$A$1:$WV$1800,6,FALSE), "NA")</f>
        <v>3893300</v>
      </c>
      <c r="AV27">
        <f>IFERROR(VLOOKUP($A27,reformattedTable4olfactory_bulb!$A$1:$WV$1800,7,FALSE), "NA")</f>
        <v>1246396</v>
      </c>
      <c r="AW27">
        <f>IFERROR(VLOOKUP($A27,reformattedTable4olfactory_bulb!$A$1:$WV$1800,8,FALSE), "NA")</f>
        <v>5456700</v>
      </c>
      <c r="AX27">
        <f>IFERROR(VLOOKUP($A27,reformattedTable4olfactory_bulb!$A$1:$WV$1800,9,FALSE), "NA")</f>
        <v>1154502</v>
      </c>
      <c r="AY27">
        <f>IFERROR(VLOOKUP($A27,reformattedTable4olfactory_bulb!$A$1:$WV$1800,10,FALSE), "NA")</f>
        <v>257475</v>
      </c>
      <c r="AZ27">
        <f>IFERROR(VLOOKUP($A27,reformattedTable4olfactory_bulb!$A$1:$WV$1800,11,FALSE), "NA")</f>
        <v>34036</v>
      </c>
      <c r="BA27">
        <f>IFERROR(VLOOKUP($A27,reformattedTable4olfactory_bulb!$A$1:$WV$1800,12,FALSE), "NA")</f>
        <v>371204</v>
      </c>
      <c r="BB27">
        <f>IFERROR(VLOOKUP($A27,reformattedTable4olfactory_bulb!$A$1:$WV$1800,13,FALSE), "NA")</f>
        <v>75573</v>
      </c>
      <c r="BC27">
        <f>IFERROR(VLOOKUP($A27,reformattedTable4olfactory_bulb!$A$1:$WV$1800,14,FALSE), "NA")</f>
        <v>1.454</v>
      </c>
      <c r="BD27">
        <f>IFERROR(VLOOKUP($A27,reformattedTable4olfactory_bulb!$A$1:$WV$1800,15,FALSE), "NA")</f>
        <v>0.26</v>
      </c>
      <c r="BE27" t="str">
        <f>IFERROR(VLOOKUP($A27,reformattedTable4olfactory_bulb!$A$1:$WV$1800,16,FALSE), "NA")</f>
        <v>Herculano-Houzel et al., 2006</v>
      </c>
      <c r="BF27" t="str">
        <f>IFERROR(VLOOKUP($A27,reformattedTable4olfactory_bulb!$A$1:$WV$1800,17,FALSE), "NA")</f>
        <v>Mus_musculus</v>
      </c>
      <c r="BG27">
        <f>IFERROR(VLOOKUP($A27,reformattedTable5whole_brain!$A$1:$WV$1800,4,FALSE), "NA")</f>
        <v>40.4</v>
      </c>
      <c r="BH27">
        <f>IFERROR(VLOOKUP($A27,reformattedTable5whole_brain!$A$1:$WV$1800,5,FALSE), "NA")</f>
        <v>11.6</v>
      </c>
      <c r="BI27">
        <f>IFERROR(VLOOKUP($A27,reformattedTable5whole_brain!$A$1:$WV$1800,6,FALSE), "NA")</f>
        <v>0.40200000000000002</v>
      </c>
      <c r="BJ27">
        <f>IFERROR(VLOOKUP($A27,reformattedTable5whole_brain!$A$1:$WV$1800,7,FALSE), "NA")</f>
        <v>2.8000000000000001E-2</v>
      </c>
      <c r="BK27">
        <f>IFERROR(VLOOKUP($A27,reformattedTable5whole_brain!$A$1:$WV$1800,8,FALSE), "NA")</f>
        <v>67873741</v>
      </c>
      <c r="BL27">
        <f>IFERROR(VLOOKUP($A27,reformattedTable5whole_brain!$A$1:$WV$1800,9,FALSE), "NA")</f>
        <v>10406194</v>
      </c>
      <c r="BM27">
        <f>IFERROR(VLOOKUP($A27,reformattedTable5whole_brain!$A$1:$WV$1800,10,FALSE), "NA")</f>
        <v>33858759</v>
      </c>
      <c r="BN27">
        <f>IFERROR(VLOOKUP($A27,reformattedTable5whole_brain!$A$1:$WV$1800,11,FALSE), "NA")</f>
        <v>6657119</v>
      </c>
      <c r="BO27">
        <f>IFERROR(VLOOKUP($A27,reformattedTable5whole_brain!$A$1:$WV$1800,12,FALSE), "NA")</f>
        <v>65.3</v>
      </c>
      <c r="BP27">
        <f>IFERROR(VLOOKUP($A27,reformattedTable5whole_brain!$A$1:$WV$1800,13,FALSE), "NA")</f>
        <v>2.2999999999999998</v>
      </c>
      <c r="BQ27" t="str">
        <f>IFERROR(VLOOKUP($A27,reformattedTable5whole_brain!$A$1:$WV$1800,14,FALSE), "NA")</f>
        <v>Herculano-Houzel et al., 2006</v>
      </c>
      <c r="BR27" t="str">
        <f>IFERROR(VLOOKUP($A27,reformattedTable5whole_brain!$A$1:$WV$1800,15,FALSE), "NA")</f>
        <v>Mus_musculus</v>
      </c>
    </row>
    <row r="28" spans="1:70">
      <c r="A28" t="s">
        <v>61</v>
      </c>
      <c r="B28" t="s">
        <v>19</v>
      </c>
      <c r="C28">
        <f>IFERROR(VLOOKUP($A28,reformattedTable1cerebrum!$A$1:$WV$1800,4,FALSE), "NA")</f>
        <v>4.4480000000000004</v>
      </c>
      <c r="D28" t="str">
        <f>IFERROR(VLOOKUP($A28,reformattedTable1cerebrum!$A$1:$WV$1800,5,FALSE), "NA")</f>
        <v>NA</v>
      </c>
      <c r="E28">
        <f>IFERROR(VLOOKUP($A28,reformattedTable1cerebrum!$A$1:$WV$1800,6,FALSE), "NA")</f>
        <v>71448750</v>
      </c>
      <c r="F28" t="str">
        <f>IFERROR(VLOOKUP($A28,reformattedTable1cerebrum!$A$1:$WV$1800,7,FALSE), "NA")</f>
        <v>NA</v>
      </c>
      <c r="G28">
        <f>IFERROR(VLOOKUP($A28,reformattedTable1cerebrum!$A$1:$WV$1800,8,FALSE), "NA")</f>
        <v>254801250</v>
      </c>
      <c r="H28" t="str">
        <f>IFERROR(VLOOKUP($A28,reformattedTable1cerebrum!$A$1:$WV$1800,9,FALSE), "NA")</f>
        <v>NA</v>
      </c>
      <c r="I28">
        <f>IFERROR(VLOOKUP($A28,reformattedTable1cerebrum!$A$1:$WV$1800,10,FALSE), "NA")</f>
        <v>16063</v>
      </c>
      <c r="J28" t="str">
        <f>IFERROR(VLOOKUP($A28,reformattedTable1cerebrum!$A$1:$WV$1800,11,FALSE), "NA")</f>
        <v>NA</v>
      </c>
      <c r="K28">
        <f>IFERROR(VLOOKUP($A28,reformattedTable1cerebrum!$A$1:$WV$1800,12,FALSE), "NA")</f>
        <v>57284</v>
      </c>
      <c r="L28" t="str">
        <f>IFERROR(VLOOKUP($A28,reformattedTable1cerebrum!$A$1:$WV$1800,13,FALSE), "NA")</f>
        <v>NA</v>
      </c>
      <c r="M28">
        <f>IFERROR(VLOOKUP($A28,reformattedTable1cerebrum!$A$1:$WV$1800,14,FALSE), "NA")</f>
        <v>3.5659999999999998</v>
      </c>
      <c r="N28" t="str">
        <f>IFERROR(VLOOKUP($A28,reformattedTable1cerebrum!$A$1:$WV$1800,15,FALSE), "NA")</f>
        <v>NA</v>
      </c>
      <c r="O28" t="str">
        <f>IFERROR(VLOOKUP($A28,reformattedTable1cerebrum!$A$1:$WV$1800,16,FALSE), "NA")</f>
        <v>Herculano-Houzel et al., 2011</v>
      </c>
      <c r="P28" t="str">
        <f>IFERROR(VLOOKUP($A28,reformattedTable1cerebrum!$A$1:$WV$1800,17,FALSE), "NA")</f>
        <v>Oryctolagus_cuniculus</v>
      </c>
      <c r="Q28">
        <f>IFERROR(VLOOKUP($A28,reformattedTable2cerebellum!$A$1:$WW$1800,4,FALSE), "NA")</f>
        <v>1.4119999999999999</v>
      </c>
      <c r="R28" t="str">
        <f>IFERROR(VLOOKUP($A28,reformattedTable2cerebellum!$A$1:$WW$1800,5,FALSE), "NA")</f>
        <v>NA</v>
      </c>
      <c r="S28">
        <f>IFERROR(VLOOKUP($A28,reformattedTable2cerebellum!$A$1:$WW$1800,6,FALSE), "NA")</f>
        <v>396671250</v>
      </c>
      <c r="T28" t="str">
        <f>IFERROR(VLOOKUP($A28,reformattedTable2cerebellum!$A$1:$WW$1800,7,FALSE), "NA")</f>
        <v>NA</v>
      </c>
      <c r="U28">
        <f>IFERROR(VLOOKUP($A28,reformattedTable2cerebellum!$A$1:$WW$1800,8,FALSE), "NA")</f>
        <v>124578750</v>
      </c>
      <c r="V28" t="str">
        <f>IFERROR(VLOOKUP($A28,reformattedTable2cerebellum!$A$1:$WW$1800,9,FALSE), "NA")</f>
        <v>NA</v>
      </c>
      <c r="W28">
        <f>IFERROR(VLOOKUP($A28,reformattedTable2cerebellum!$A$1:$WW$1800,10,FALSE), "NA")</f>
        <v>280929</v>
      </c>
      <c r="X28" t="str">
        <f>IFERROR(VLOOKUP($A28,reformattedTable2cerebellum!$A$1:$WW$1800,11,FALSE), "NA")</f>
        <v>NA</v>
      </c>
      <c r="Y28">
        <f>IFERROR(VLOOKUP($A28,reformattedTable2cerebellum!$A$1:$WW$1800,12,FALSE), "NA")</f>
        <v>88229</v>
      </c>
      <c r="Z28" t="str">
        <f>IFERROR(VLOOKUP($A28,reformattedTable2cerebellum!$A$1:$WW$1800,13,FALSE), "NA")</f>
        <v>NA</v>
      </c>
      <c r="AA28">
        <f>IFERROR(VLOOKUP($A28,reformattedTable2cerebellum!$A$1:$WW$1800,14,FALSE), "NA")</f>
        <v>1.222</v>
      </c>
      <c r="AB28" t="str">
        <f>IFERROR(VLOOKUP($A28,reformattedTable2cerebellum!$A$1:$WW$1800,15,FALSE), "NA")</f>
        <v>NA</v>
      </c>
      <c r="AC28" t="str">
        <f>IFERROR(VLOOKUP($A28,reformattedTable2cerebellum!$A$1:$WW$1800,16,FALSE), "NA")</f>
        <v>Herculano-Houzel et al., 2011</v>
      </c>
      <c r="AD28" t="str">
        <f>IFERROR(VLOOKUP($A28,reformattedTable2cerebellum!$A$1:$WW$1800,17,FALSE), "NA")</f>
        <v>Oryctolagus_cuniculus</v>
      </c>
      <c r="AE28">
        <f>IFERROR(VLOOKUP($A28,reformattedTable3RoB!$A$1:$WW$1800,4,FALSE), "NA")</f>
        <v>3.2719999999999998</v>
      </c>
      <c r="AF28" t="str">
        <f>IFERROR(VLOOKUP($A28,reformattedTable3RoB!$A$1:$WW$1800,5,FALSE), "NA")</f>
        <v>NA</v>
      </c>
      <c r="AG28">
        <f>IFERROR(VLOOKUP($A28,reformattedTable3RoB!$A$1:$WW$1800,6,FALSE), "NA")</f>
        <v>26085000</v>
      </c>
      <c r="AH28" t="str">
        <f>IFERROR(VLOOKUP($A28,reformattedTable3RoB!$A$1:$WW$1800,7,FALSE), "NA")</f>
        <v>NA</v>
      </c>
      <c r="AI28">
        <f>IFERROR(VLOOKUP($A28,reformattedTable3RoB!$A$1:$WW$1800,8,FALSE), "NA")</f>
        <v>251415000</v>
      </c>
      <c r="AJ28" t="str">
        <f>IFERROR(VLOOKUP($A28,reformattedTable3RoB!$A$1:$WW$1800,9,FALSE), "NA")</f>
        <v>NA</v>
      </c>
      <c r="AK28">
        <f>IFERROR(VLOOKUP($A28,reformattedTable3RoB!$A$1:$WW$1800,10,FALSE), "NA")</f>
        <v>7972</v>
      </c>
      <c r="AL28" t="str">
        <f>IFERROR(VLOOKUP($A28,reformattedTable3RoB!$A$1:$WW$1800,11,FALSE), "NA")</f>
        <v>NA</v>
      </c>
      <c r="AM28">
        <f>IFERROR(VLOOKUP($A28,reformattedTable3RoB!$A$1:$WW$1800,12,FALSE), "NA")</f>
        <v>76838</v>
      </c>
      <c r="AN28" t="str">
        <f>IFERROR(VLOOKUP($A28,reformattedTable3RoB!$A$1:$WW$1800,13,FALSE), "NA")</f>
        <v>NA</v>
      </c>
      <c r="AO28" t="str">
        <f>IFERROR(VLOOKUP($A28,reformattedTable3RoB!$A$1:$WW$1800,14,FALSE), "NA")</f>
        <v>NA</v>
      </c>
      <c r="AP28" t="str">
        <f>IFERROR(VLOOKUP($A28,reformattedTable3RoB!$A$1:$WW$1800,15,FALSE), "NA")</f>
        <v>NA</v>
      </c>
      <c r="AQ28" t="str">
        <f>IFERROR(VLOOKUP($A28,reformattedTable3RoB!$A$1:$WW$1800,16,FALSE), "NA")</f>
        <v>Herculano-Houzel et al., 2011</v>
      </c>
      <c r="AR28" t="str">
        <f>IFERROR(VLOOKUP($A28,reformattedTable3RoB!$A$1:$WW$1800,17,FALSE), "NA")</f>
        <v>Oryctolagus_cuniculus</v>
      </c>
      <c r="AS28">
        <f>IFERROR(VLOOKUP($A28,reformattedTable4olfactory_bulb!$A$1:$WV$1800,4,FALSE), "NA")</f>
        <v>0.156</v>
      </c>
      <c r="AT28" t="str">
        <f>IFERROR(VLOOKUP($A28,reformattedTable4olfactory_bulb!$A$1:$WV$1800,5,FALSE), "NA")</f>
        <v>NA</v>
      </c>
      <c r="AU28">
        <f>IFERROR(VLOOKUP($A28,reformattedTable4olfactory_bulb!$A$1:$WV$1800,6,FALSE), "NA")</f>
        <v>18765000</v>
      </c>
      <c r="AV28" t="str">
        <f>IFERROR(VLOOKUP($A28,reformattedTable4olfactory_bulb!$A$1:$WV$1800,7,FALSE), "NA")</f>
        <v>NA</v>
      </c>
      <c r="AW28">
        <f>IFERROR(VLOOKUP($A28,reformattedTable4olfactory_bulb!$A$1:$WV$1800,8,FALSE), "NA")</f>
        <v>22935000</v>
      </c>
      <c r="AX28" t="str">
        <f>IFERROR(VLOOKUP($A28,reformattedTable4olfactory_bulb!$A$1:$WV$1800,9,FALSE), "NA")</f>
        <v>NA</v>
      </c>
      <c r="AY28">
        <f>IFERROR(VLOOKUP($A28,reformattedTable4olfactory_bulb!$A$1:$WV$1800,10,FALSE), "NA")</f>
        <v>120288</v>
      </c>
      <c r="AZ28" t="str">
        <f>IFERROR(VLOOKUP($A28,reformattedTable4olfactory_bulb!$A$1:$WV$1800,11,FALSE), "NA")</f>
        <v>NA</v>
      </c>
      <c r="BA28">
        <f>IFERROR(VLOOKUP($A28,reformattedTable4olfactory_bulb!$A$1:$WV$1800,12,FALSE), "NA")</f>
        <v>147019</v>
      </c>
      <c r="BB28" t="str">
        <f>IFERROR(VLOOKUP($A28,reformattedTable4olfactory_bulb!$A$1:$WV$1800,13,FALSE), "NA")</f>
        <v>NA</v>
      </c>
      <c r="BC28">
        <f>IFERROR(VLOOKUP($A28,reformattedTable4olfactory_bulb!$A$1:$WV$1800,14,FALSE), "NA")</f>
        <v>1.222</v>
      </c>
      <c r="BD28" t="str">
        <f>IFERROR(VLOOKUP($A28,reformattedTable4olfactory_bulb!$A$1:$WV$1800,15,FALSE), "NA")</f>
        <v>NA</v>
      </c>
      <c r="BE28" t="str">
        <f>IFERROR(VLOOKUP($A28,reformattedTable4olfactory_bulb!$A$1:$WV$1800,16,FALSE), "NA")</f>
        <v>Herculano-Houzel et al., 2011</v>
      </c>
      <c r="BF28" t="str">
        <f>IFERROR(VLOOKUP($A28,reformattedTable4olfactory_bulb!$A$1:$WV$1800,17,FALSE), "NA")</f>
        <v>Oryctolagus_cuniculus</v>
      </c>
      <c r="BG28">
        <f>IFERROR(VLOOKUP($A28,reformattedTable5whole_brain!$A$1:$WV$1800,4,FALSE), "NA")</f>
        <v>4600</v>
      </c>
      <c r="BH28" t="str">
        <f>IFERROR(VLOOKUP($A28,reformattedTable5whole_brain!$A$1:$WV$1800,5,FALSE), "NA")</f>
        <v>NA</v>
      </c>
      <c r="BI28">
        <f>IFERROR(VLOOKUP($A28,reformattedTable5whole_brain!$A$1:$WV$1800,6,FALSE), "NA")</f>
        <v>9.1319999999999997</v>
      </c>
      <c r="BJ28" t="str">
        <f>IFERROR(VLOOKUP($A28,reformattedTable5whole_brain!$A$1:$WV$1800,7,FALSE), "NA")</f>
        <v>NA</v>
      </c>
      <c r="BK28">
        <f>IFERROR(VLOOKUP($A28,reformattedTable5whole_brain!$A$1:$WV$1800,8,FALSE), "NA")</f>
        <v>494205000</v>
      </c>
      <c r="BL28" t="str">
        <f>IFERROR(VLOOKUP($A28,reformattedTable5whole_brain!$A$1:$WV$1800,9,FALSE), "NA")</f>
        <v>NA</v>
      </c>
      <c r="BM28">
        <f>IFERROR(VLOOKUP($A28,reformattedTable5whole_brain!$A$1:$WV$1800,10,FALSE), "NA")</f>
        <v>630795000</v>
      </c>
      <c r="BN28" t="str">
        <f>IFERROR(VLOOKUP($A28,reformattedTable5whole_brain!$A$1:$WV$1800,11,FALSE), "NA")</f>
        <v>NA</v>
      </c>
      <c r="BO28">
        <f>IFERROR(VLOOKUP($A28,reformattedTable5whole_brain!$A$1:$WV$1800,12,FALSE), "NA")</f>
        <v>43.9</v>
      </c>
      <c r="BP28" t="str">
        <f>IFERROR(VLOOKUP($A28,reformattedTable5whole_brain!$A$1:$WV$1800,13,FALSE), "NA")</f>
        <v>NA</v>
      </c>
      <c r="BQ28" t="str">
        <f>IFERROR(VLOOKUP($A28,reformattedTable5whole_brain!$A$1:$WV$1800,14,FALSE), "NA")</f>
        <v>Herculano-Houzel et al., 2011</v>
      </c>
      <c r="BR28" t="str">
        <f>IFERROR(VLOOKUP($A28,reformattedTable5whole_brain!$A$1:$WV$1800,15,FALSE), "NA")</f>
        <v>Oryctolagus_cuniculus</v>
      </c>
    </row>
    <row r="29" spans="1:70">
      <c r="A29" t="s">
        <v>65</v>
      </c>
      <c r="B29" t="s">
        <v>44</v>
      </c>
      <c r="C29">
        <f>IFERROR(VLOOKUP($A29,reformattedTable1cerebrum!$A$1:$WV$1800,4,FALSE), "NA")</f>
        <v>6.29</v>
      </c>
      <c r="D29">
        <f>IFERROR(VLOOKUP($A29,reformattedTable1cerebrum!$A$1:$WV$1800,5,FALSE), "NA")</f>
        <v>0.86299999999999999</v>
      </c>
      <c r="E29">
        <f>IFERROR(VLOOKUP($A29,reformattedTable1cerebrum!$A$1:$WV$1800,6,FALSE), "NA")</f>
        <v>226090000</v>
      </c>
      <c r="F29">
        <f>IFERROR(VLOOKUP($A29,reformattedTable1cerebrum!$A$1:$WV$1800,7,FALSE), "NA")</f>
        <v>87570000</v>
      </c>
      <c r="G29">
        <f>IFERROR(VLOOKUP($A29,reformattedTable1cerebrum!$A$1:$WV$1800,8,FALSE), "NA")</f>
        <v>402070000</v>
      </c>
      <c r="H29">
        <f>IFERROR(VLOOKUP($A29,reformattedTable1cerebrum!$A$1:$WV$1800,9,FALSE), "NA")</f>
        <v>74790000</v>
      </c>
      <c r="I29">
        <f>IFERROR(VLOOKUP($A29,reformattedTable1cerebrum!$A$1:$WV$1800,10,FALSE), "NA")</f>
        <v>37820</v>
      </c>
      <c r="J29">
        <f>IFERROR(VLOOKUP($A29,reformattedTable1cerebrum!$A$1:$WV$1800,11,FALSE), "NA")</f>
        <v>20500</v>
      </c>
      <c r="K29">
        <f>IFERROR(VLOOKUP($A29,reformattedTable1cerebrum!$A$1:$WV$1800,12,FALSE), "NA")</f>
        <v>63610</v>
      </c>
      <c r="L29">
        <f>IFERROR(VLOOKUP($A29,reformattedTable1cerebrum!$A$1:$WV$1800,13,FALSE), "NA")</f>
        <v>3400</v>
      </c>
      <c r="M29">
        <f>IFERROR(VLOOKUP($A29,reformattedTable1cerebrum!$A$1:$WV$1800,14,FALSE), "NA")</f>
        <v>1.778</v>
      </c>
      <c r="N29" t="str">
        <f>IFERROR(VLOOKUP($A29,reformattedTable1cerebrum!$A$1:$WV$1800,15,FALSE), "NA")</f>
        <v>NA</v>
      </c>
      <c r="O29" t="str">
        <f>IFERROR(VLOOKUP($A29,reformattedTable1cerebrum!$A$1:$WV$1800,16,FALSE), "NA")</f>
        <v>Herculano-Houzel et al., 2007</v>
      </c>
      <c r="P29" t="str">
        <f>IFERROR(VLOOKUP($A29,reformattedTable1cerebrum!$A$1:$WV$1800,17,FALSE), "NA")</f>
        <v>Otolemur_garnettii</v>
      </c>
      <c r="Q29">
        <f>IFERROR(VLOOKUP($A29,reformattedTable2cerebellum!$A$1:$WW$1800,4,FALSE), "NA")</f>
        <v>1.196</v>
      </c>
      <c r="R29">
        <f>IFERROR(VLOOKUP($A29,reformattedTable2cerebellum!$A$1:$WW$1800,5,FALSE), "NA")</f>
        <v>0.105</v>
      </c>
      <c r="S29">
        <f>IFERROR(VLOOKUP($A29,reformattedTable2cerebellum!$A$1:$WW$1800,6,FALSE), "NA")</f>
        <v>743500000</v>
      </c>
      <c r="T29">
        <f>IFERROR(VLOOKUP($A29,reformattedTable2cerebellum!$A$1:$WW$1800,7,FALSE), "NA")</f>
        <v>52450000</v>
      </c>
      <c r="U29">
        <f>IFERROR(VLOOKUP($A29,reformattedTable2cerebellum!$A$1:$WW$1800,8,FALSE), "NA")</f>
        <v>65960000</v>
      </c>
      <c r="V29">
        <f>IFERROR(VLOOKUP($A29,reformattedTable2cerebellum!$A$1:$WW$1800,9,FALSE), "NA")</f>
        <v>20290000</v>
      </c>
      <c r="W29">
        <f>IFERROR(VLOOKUP($A29,reformattedTable2cerebellum!$A$1:$WW$1800,10,FALSE), "NA")</f>
        <v>623080</v>
      </c>
      <c r="X29">
        <f>IFERROR(VLOOKUP($A29,reformattedTable2cerebellum!$A$1:$WW$1800,11,FALSE), "NA")</f>
        <v>45720</v>
      </c>
      <c r="Y29">
        <f>IFERROR(VLOOKUP($A29,reformattedTable2cerebellum!$A$1:$WW$1800,12,FALSE), "NA")</f>
        <v>54460</v>
      </c>
      <c r="Z29">
        <f>IFERROR(VLOOKUP($A29,reformattedTable2cerebellum!$A$1:$WW$1800,13,FALSE), "NA")</f>
        <v>11890</v>
      </c>
      <c r="AA29">
        <f>IFERROR(VLOOKUP($A29,reformattedTable2cerebellum!$A$1:$WW$1800,14,FALSE), "NA")</f>
        <v>8.8999999999999996E-2</v>
      </c>
      <c r="AB29" t="str">
        <f>IFERROR(VLOOKUP($A29,reformattedTable2cerebellum!$A$1:$WW$1800,15,FALSE), "NA")</f>
        <v>NA</v>
      </c>
      <c r="AC29" t="str">
        <f>IFERROR(VLOOKUP($A29,reformattedTable2cerebellum!$A$1:$WW$1800,16,FALSE), "NA")</f>
        <v>Herculano-Houzel et al., 2007</v>
      </c>
      <c r="AD29" t="str">
        <f>IFERROR(VLOOKUP($A29,reformattedTable2cerebellum!$A$1:$WW$1800,17,FALSE), "NA")</f>
        <v>Otolemur_garnettii</v>
      </c>
      <c r="AE29">
        <f>IFERROR(VLOOKUP($A29,reformattedTable3RoB!$A$1:$WW$1800,4,FALSE), "NA")</f>
        <v>2.1309999999999998</v>
      </c>
      <c r="AF29">
        <f>IFERROR(VLOOKUP($A29,reformattedTable3RoB!$A$1:$WW$1800,5,FALSE), "NA")</f>
        <v>2.1000000000000001E-2</v>
      </c>
      <c r="AG29">
        <f>IFERROR(VLOOKUP($A29,reformattedTable3RoB!$A$1:$WW$1800,6,FALSE), "NA")</f>
        <v>20800000</v>
      </c>
      <c r="AH29">
        <f>IFERROR(VLOOKUP($A29,reformattedTable3RoB!$A$1:$WW$1800,7,FALSE), "NA")</f>
        <v>12280000</v>
      </c>
      <c r="AI29">
        <f>IFERROR(VLOOKUP($A29,reformattedTable3RoB!$A$1:$WW$1800,8,FALSE), "NA")</f>
        <v>147440000</v>
      </c>
      <c r="AJ29">
        <f>IFERROR(VLOOKUP($A29,reformattedTable3RoB!$A$1:$WW$1800,9,FALSE), "NA")</f>
        <v>64500000</v>
      </c>
      <c r="AK29">
        <f>IFERROR(VLOOKUP($A29,reformattedTable3RoB!$A$1:$WW$1800,10,FALSE), "NA")</f>
        <v>9730</v>
      </c>
      <c r="AL29">
        <f>IFERROR(VLOOKUP($A29,reformattedTable3RoB!$A$1:$WW$1800,11,FALSE), "NA")</f>
        <v>5920</v>
      </c>
      <c r="AM29">
        <f>IFERROR(VLOOKUP($A29,reformattedTable3RoB!$A$1:$WW$1800,12,FALSE), "NA")</f>
        <v>69040</v>
      </c>
      <c r="AN29" t="str">
        <f>IFERROR(VLOOKUP($A29,reformattedTable3RoB!$A$1:$WW$1800,13,FALSE), "NA")</f>
        <v>NA</v>
      </c>
      <c r="AO29">
        <f>IFERROR(VLOOKUP($A29,reformattedTable3RoB!$A$1:$WW$1800,14,FALSE), "NA")</f>
        <v>7.0880000000000001</v>
      </c>
      <c r="AP29" t="str">
        <f>IFERROR(VLOOKUP($A29,reformattedTable3RoB!$A$1:$WW$1800,15,FALSE), "NA")</f>
        <v>NA</v>
      </c>
      <c r="AQ29" t="str">
        <f>IFERROR(VLOOKUP($A29,reformattedTable3RoB!$A$1:$WW$1800,16,FALSE), "NA")</f>
        <v>Herculano-Houzel et al., 2007</v>
      </c>
      <c r="AR29" t="str">
        <f>IFERROR(VLOOKUP($A29,reformattedTable3RoB!$A$1:$WW$1800,17,FALSE), "NA")</f>
        <v>Otolemur_garnettii</v>
      </c>
      <c r="AS29">
        <f>IFERROR(VLOOKUP($A29,reformattedTable4olfactory_bulb!$A$1:$WV$1800,4,FALSE), "NA")</f>
        <v>0.2</v>
      </c>
      <c r="AT29">
        <f>IFERROR(VLOOKUP($A29,reformattedTable4olfactory_bulb!$A$1:$WV$1800,5,FALSE), "NA")</f>
        <v>1.6E-2</v>
      </c>
      <c r="AU29">
        <f>IFERROR(VLOOKUP($A29,reformattedTable4olfactory_bulb!$A$1:$WV$1800,6,FALSE), "NA")</f>
        <v>30237060</v>
      </c>
      <c r="AV29">
        <f>IFERROR(VLOOKUP($A29,reformattedTable4olfactory_bulb!$A$1:$WV$1800,7,FALSE), "NA")</f>
        <v>9645480</v>
      </c>
      <c r="AW29">
        <f>IFERROR(VLOOKUP($A29,reformattedTable4olfactory_bulb!$A$1:$WV$1800,8,FALSE), "NA")</f>
        <v>34244000</v>
      </c>
      <c r="AX29">
        <f>IFERROR(VLOOKUP($A29,reformattedTable4olfactory_bulb!$A$1:$WV$1800,9,FALSE), "NA")</f>
        <v>7155556</v>
      </c>
      <c r="AY29">
        <f>IFERROR(VLOOKUP($A29,reformattedTable4olfactory_bulb!$A$1:$WV$1800,10,FALSE), "NA")</f>
        <v>149219</v>
      </c>
      <c r="AZ29">
        <f>IFERROR(VLOOKUP($A29,reformattedTable4olfactory_bulb!$A$1:$WV$1800,11,FALSE), "NA")</f>
        <v>47590</v>
      </c>
      <c r="BA29">
        <f>IFERROR(VLOOKUP($A29,reformattedTable4olfactory_bulb!$A$1:$WV$1800,12,FALSE), "NA")</f>
        <v>170505</v>
      </c>
      <c r="BB29">
        <f>IFERROR(VLOOKUP($A29,reformattedTable4olfactory_bulb!$A$1:$WV$1800,13,FALSE), "NA")</f>
        <v>39463</v>
      </c>
      <c r="BC29">
        <f>IFERROR(VLOOKUP($A29,reformattedTable4olfactory_bulb!$A$1:$WV$1800,14,FALSE), "NA")</f>
        <v>1.133</v>
      </c>
      <c r="BD29" t="str">
        <f>IFERROR(VLOOKUP($A29,reformattedTable4olfactory_bulb!$A$1:$WV$1800,15,FALSE), "NA")</f>
        <v>NA</v>
      </c>
      <c r="BE29" t="str">
        <f>IFERROR(VLOOKUP($A29,reformattedTable4olfactory_bulb!$A$1:$WV$1800,16,FALSE), "NA")</f>
        <v>Ribeiro et al., 2014</v>
      </c>
      <c r="BF29" t="str">
        <f>IFERROR(VLOOKUP($A29,reformattedTable4olfactory_bulb!$A$1:$WV$1800,17,FALSE), "NA")</f>
        <v>Otolemur_garnettii</v>
      </c>
      <c r="BG29">
        <f>IFERROR(VLOOKUP($A29,reformattedTable5whole_brain!$A$1:$WV$1800,4,FALSE), "NA")</f>
        <v>946.7</v>
      </c>
      <c r="BH29">
        <f>IFERROR(VLOOKUP($A29,reformattedTable5whole_brain!$A$1:$WV$1800,5,FALSE), "NA")</f>
        <v>102.6</v>
      </c>
      <c r="BI29">
        <f>IFERROR(VLOOKUP($A29,reformattedTable5whole_brain!$A$1:$WV$1800,6,FALSE), "NA")</f>
        <v>10.15</v>
      </c>
      <c r="BJ29">
        <f>IFERROR(VLOOKUP($A29,reformattedTable5whole_brain!$A$1:$WV$1800,7,FALSE), "NA")</f>
        <v>0.06</v>
      </c>
      <c r="BK29">
        <f>IFERROR(VLOOKUP($A29,reformattedTable5whole_brain!$A$1:$WV$1800,8,FALSE), "NA")</f>
        <v>936000000</v>
      </c>
      <c r="BL29">
        <f>IFERROR(VLOOKUP($A29,reformattedTable5whole_brain!$A$1:$WV$1800,9,FALSE), "NA")</f>
        <v>115360000</v>
      </c>
      <c r="BM29">
        <f>IFERROR(VLOOKUP($A29,reformattedTable5whole_brain!$A$1:$WV$1800,10,FALSE), "NA")</f>
        <v>666590000</v>
      </c>
      <c r="BN29">
        <f>IFERROR(VLOOKUP($A29,reformattedTable5whole_brain!$A$1:$WV$1800,11,FALSE), "NA")</f>
        <v>63500000</v>
      </c>
      <c r="BO29">
        <f>IFERROR(VLOOKUP($A29,reformattedTable5whole_brain!$A$1:$WV$1800,12,FALSE), "NA")</f>
        <v>58.4</v>
      </c>
      <c r="BP29" t="str">
        <f>IFERROR(VLOOKUP($A29,reformattedTable5whole_brain!$A$1:$WV$1800,13,FALSE), "NA")</f>
        <v>NA</v>
      </c>
      <c r="BQ29" t="str">
        <f>IFERROR(VLOOKUP($A29,reformattedTable5whole_brain!$A$1:$WV$1800,14,FALSE), "NA")</f>
        <v>Herculano-Houzel et al., 2007</v>
      </c>
      <c r="BR29" t="str">
        <f>IFERROR(VLOOKUP($A29,reformattedTable5whole_brain!$A$1:$WV$1800,15,FALSE), "NA")</f>
        <v>Otolemur_garnettii</v>
      </c>
    </row>
    <row r="30" spans="1:70">
      <c r="A30" t="s">
        <v>97</v>
      </c>
      <c r="B30" t="s">
        <v>44</v>
      </c>
      <c r="C30">
        <f>IFERROR(VLOOKUP($A30,reformattedTable1cerebrum!$A$1:$WV$1800,4,FALSE), "NA")</f>
        <v>120.214</v>
      </c>
      <c r="D30" t="str">
        <f>IFERROR(VLOOKUP($A30,reformattedTable1cerebrum!$A$1:$WV$1800,5,FALSE), "NA")</f>
        <v>NA</v>
      </c>
      <c r="E30">
        <f>IFERROR(VLOOKUP($A30,reformattedTable1cerebrum!$A$1:$WV$1800,6,FALSE), "NA")</f>
        <v>2875028372</v>
      </c>
      <c r="F30" t="str">
        <f>IFERROR(VLOOKUP($A30,reformattedTable1cerebrum!$A$1:$WV$1800,7,FALSE), "NA")</f>
        <v>NA</v>
      </c>
      <c r="G30">
        <f>IFERROR(VLOOKUP($A30,reformattedTable1cerebrum!$A$1:$WV$1800,8,FALSE), "NA")</f>
        <v>7569751628</v>
      </c>
      <c r="H30" t="str">
        <f>IFERROR(VLOOKUP($A30,reformattedTable1cerebrum!$A$1:$WV$1800,9,FALSE), "NA")</f>
        <v>NA</v>
      </c>
      <c r="I30">
        <f>IFERROR(VLOOKUP($A30,reformattedTable1cerebrum!$A$1:$WV$1800,10,FALSE), "NA")</f>
        <v>23916</v>
      </c>
      <c r="J30" t="str">
        <f>IFERROR(VLOOKUP($A30,reformattedTable1cerebrum!$A$1:$WV$1800,11,FALSE), "NA")</f>
        <v>NA</v>
      </c>
      <c r="K30">
        <f>IFERROR(VLOOKUP($A30,reformattedTable1cerebrum!$A$1:$WV$1800,12,FALSE), "NA")</f>
        <v>62969</v>
      </c>
      <c r="L30" t="str">
        <f>IFERROR(VLOOKUP($A30,reformattedTable1cerebrum!$A$1:$WV$1800,13,FALSE), "NA")</f>
        <v>NA</v>
      </c>
      <c r="M30">
        <f>IFERROR(VLOOKUP($A30,reformattedTable1cerebrum!$A$1:$WV$1800,14,FALSE), "NA")</f>
        <v>2.633</v>
      </c>
      <c r="N30" t="str">
        <f>IFERROR(VLOOKUP($A30,reformattedTable1cerebrum!$A$1:$WV$1800,15,FALSE), "NA")</f>
        <v>NA</v>
      </c>
      <c r="O30" t="str">
        <f>IFERROR(VLOOKUP($A30,reformattedTable1cerebrum!$A$1:$WV$1800,16,FALSE), "NA")</f>
        <v>Gabi et al., 2010</v>
      </c>
      <c r="P30" t="str">
        <f>IFERROR(VLOOKUP($A30,reformattedTable1cerebrum!$A$1:$WV$1800,17,FALSE), "NA")</f>
        <v>Papio_anubis_cynocephalus</v>
      </c>
      <c r="Q30">
        <f>IFERROR(VLOOKUP($A30,reformattedTable2cerebellum!$A$1:$WW$1800,4,FALSE), "NA")</f>
        <v>13.744999999999999</v>
      </c>
      <c r="R30" t="str">
        <f>IFERROR(VLOOKUP($A30,reformattedTable2cerebellum!$A$1:$WW$1800,5,FALSE), "NA")</f>
        <v>NA</v>
      </c>
      <c r="S30">
        <f>IFERROR(VLOOKUP($A30,reformattedTable2cerebellum!$A$1:$WW$1800,6,FALSE), "NA")</f>
        <v>7794907300</v>
      </c>
      <c r="T30" t="str">
        <f>IFERROR(VLOOKUP($A30,reformattedTable2cerebellum!$A$1:$WW$1800,7,FALSE), "NA")</f>
        <v>NA</v>
      </c>
      <c r="U30">
        <f>IFERROR(VLOOKUP($A30,reformattedTable2cerebellum!$A$1:$WW$1800,8,FALSE), "NA")</f>
        <v>525977700</v>
      </c>
      <c r="V30" t="str">
        <f>IFERROR(VLOOKUP($A30,reformattedTable2cerebellum!$A$1:$WW$1800,9,FALSE), "NA")</f>
        <v>NA</v>
      </c>
      <c r="W30">
        <f>IFERROR(VLOOKUP($A30,reformattedTable2cerebellum!$A$1:$WW$1800,10,FALSE), "NA")</f>
        <v>567109</v>
      </c>
      <c r="X30" t="str">
        <f>IFERROR(VLOOKUP($A30,reformattedTable2cerebellum!$A$1:$WW$1800,11,FALSE), "NA")</f>
        <v>NA</v>
      </c>
      <c r="Y30">
        <f>IFERROR(VLOOKUP($A30,reformattedTable2cerebellum!$A$1:$WW$1800,12,FALSE), "NA")</f>
        <v>38267</v>
      </c>
      <c r="Z30" t="str">
        <f>IFERROR(VLOOKUP($A30,reformattedTable2cerebellum!$A$1:$WW$1800,13,FALSE), "NA")</f>
        <v>NA</v>
      </c>
      <c r="AA30">
        <f>IFERROR(VLOOKUP($A30,reformattedTable2cerebellum!$A$1:$WW$1800,14,FALSE), "NA")</f>
        <v>6.7000000000000004E-2</v>
      </c>
      <c r="AB30" t="str">
        <f>IFERROR(VLOOKUP($A30,reformattedTable2cerebellum!$A$1:$WW$1800,15,FALSE), "NA")</f>
        <v>NA</v>
      </c>
      <c r="AC30" t="str">
        <f>IFERROR(VLOOKUP($A30,reformattedTable2cerebellum!$A$1:$WW$1800,16,FALSE), "NA")</f>
        <v>Gabi et al., 2010</v>
      </c>
      <c r="AD30" t="str">
        <f>IFERROR(VLOOKUP($A30,reformattedTable2cerebellum!$A$1:$WW$1800,17,FALSE), "NA")</f>
        <v>Papio_anubis_cynocephalus</v>
      </c>
      <c r="AE30">
        <f>IFERROR(VLOOKUP($A30,reformattedTable3RoB!$A$1:$WW$1800,4,FALSE), "NA")</f>
        <v>17.234999999999999</v>
      </c>
      <c r="AF30" t="str">
        <f>IFERROR(VLOOKUP($A30,reformattedTable3RoB!$A$1:$WW$1800,5,FALSE), "NA")</f>
        <v>NA</v>
      </c>
      <c r="AG30">
        <f>IFERROR(VLOOKUP($A30,reformattedTable3RoB!$A$1:$WW$1800,6,FALSE), "NA")</f>
        <v>278150760</v>
      </c>
      <c r="AH30" t="str">
        <f>IFERROR(VLOOKUP($A30,reformattedTable3RoB!$A$1:$WW$1800,7,FALSE), "NA")</f>
        <v>NA</v>
      </c>
      <c r="AI30">
        <f>IFERROR(VLOOKUP($A30,reformattedTable3RoB!$A$1:$WW$1800,8,FALSE), "NA")</f>
        <v>1079809236</v>
      </c>
      <c r="AJ30" t="str">
        <f>IFERROR(VLOOKUP($A30,reformattedTable3RoB!$A$1:$WW$1800,9,FALSE), "NA")</f>
        <v>NA</v>
      </c>
      <c r="AK30">
        <f>IFERROR(VLOOKUP($A30,reformattedTable3RoB!$A$1:$WW$1800,10,FALSE), "NA")</f>
        <v>16136</v>
      </c>
      <c r="AL30" t="str">
        <f>IFERROR(VLOOKUP($A30,reformattedTable3RoB!$A$1:$WW$1800,11,FALSE), "NA")</f>
        <v>NA</v>
      </c>
      <c r="AM30">
        <f>IFERROR(VLOOKUP($A30,reformattedTable3RoB!$A$1:$WW$1800,12,FALSE), "NA")</f>
        <v>62656</v>
      </c>
      <c r="AN30" t="str">
        <f>IFERROR(VLOOKUP($A30,reformattedTable3RoB!$A$1:$WW$1800,13,FALSE), "NA")</f>
        <v>NA</v>
      </c>
      <c r="AO30">
        <f>IFERROR(VLOOKUP($A30,reformattedTable3RoB!$A$1:$WW$1800,14,FALSE), "NA")</f>
        <v>3.8820000000000001</v>
      </c>
      <c r="AP30" t="str">
        <f>IFERROR(VLOOKUP($A30,reformattedTable3RoB!$A$1:$WW$1800,15,FALSE), "NA")</f>
        <v>NA</v>
      </c>
      <c r="AQ30" t="str">
        <f>IFERROR(VLOOKUP($A30,reformattedTable3RoB!$A$1:$WW$1800,16,FALSE), "NA")</f>
        <v>Gabi et al., 2010</v>
      </c>
      <c r="AR30" t="str">
        <f>IFERROR(VLOOKUP($A30,reformattedTable3RoB!$A$1:$WW$1800,17,FALSE), "NA")</f>
        <v>Papio_anubis_cynocephalus</v>
      </c>
      <c r="AS30" t="str">
        <f>IFERROR(VLOOKUP($A30,reformattedTable4olfactory_bulb!$A$1:$WV$1800,4,FALSE), "NA")</f>
        <v>NA</v>
      </c>
      <c r="AT30" t="str">
        <f>IFERROR(VLOOKUP($A30,reformattedTable4olfactory_bulb!$A$1:$WV$1800,5,FALSE), "NA")</f>
        <v>NA</v>
      </c>
      <c r="AU30" t="str">
        <f>IFERROR(VLOOKUP($A30,reformattedTable4olfactory_bulb!$A$1:$WV$1800,6,FALSE), "NA")</f>
        <v>NA</v>
      </c>
      <c r="AV30" t="str">
        <f>IFERROR(VLOOKUP($A30,reformattedTable4olfactory_bulb!$A$1:$WV$1800,7,FALSE), "NA")</f>
        <v>NA</v>
      </c>
      <c r="AW30" t="str">
        <f>IFERROR(VLOOKUP($A30,reformattedTable4olfactory_bulb!$A$1:$WV$1800,8,FALSE), "NA")</f>
        <v>NA</v>
      </c>
      <c r="AX30" t="str">
        <f>IFERROR(VLOOKUP($A30,reformattedTable4olfactory_bulb!$A$1:$WV$1800,9,FALSE), "NA")</f>
        <v>NA</v>
      </c>
      <c r="AY30" t="str">
        <f>IFERROR(VLOOKUP($A30,reformattedTable4olfactory_bulb!$A$1:$WV$1800,10,FALSE), "NA")</f>
        <v>NA</v>
      </c>
      <c r="AZ30" t="str">
        <f>IFERROR(VLOOKUP($A30,reformattedTable4olfactory_bulb!$A$1:$WV$1800,11,FALSE), "NA")</f>
        <v>NA</v>
      </c>
      <c r="BA30" t="str">
        <f>IFERROR(VLOOKUP($A30,reformattedTable4olfactory_bulb!$A$1:$WV$1800,12,FALSE), "NA")</f>
        <v>NA</v>
      </c>
      <c r="BB30" t="str">
        <f>IFERROR(VLOOKUP($A30,reformattedTable4olfactory_bulb!$A$1:$WV$1800,13,FALSE), "NA")</f>
        <v>NA</v>
      </c>
      <c r="BC30" t="str">
        <f>IFERROR(VLOOKUP($A30,reformattedTable4olfactory_bulb!$A$1:$WV$1800,14,FALSE), "NA")</f>
        <v>NA</v>
      </c>
      <c r="BD30" t="str">
        <f>IFERROR(VLOOKUP($A30,reformattedTable4olfactory_bulb!$A$1:$WV$1800,15,FALSE), "NA")</f>
        <v>NA</v>
      </c>
      <c r="BE30" t="str">
        <f>IFERROR(VLOOKUP($A30,reformattedTable4olfactory_bulb!$A$1:$WV$1800,16,FALSE), "NA")</f>
        <v>NA</v>
      </c>
      <c r="BF30" t="str">
        <f>IFERROR(VLOOKUP($A30,reformattedTable4olfactory_bulb!$A$1:$WV$1800,17,FALSE), "NA")</f>
        <v>NA</v>
      </c>
      <c r="BG30">
        <f>IFERROR(VLOOKUP($A30,reformattedTable5whole_brain!$A$1:$WV$1800,4,FALSE), "NA")</f>
        <v>8000</v>
      </c>
      <c r="BH30" t="str">
        <f>IFERROR(VLOOKUP($A30,reformattedTable5whole_brain!$A$1:$WV$1800,5,FALSE), "NA")</f>
        <v>NA</v>
      </c>
      <c r="BI30">
        <f>IFERROR(VLOOKUP($A30,reformattedTable5whole_brain!$A$1:$WV$1800,6,FALSE), "NA")</f>
        <v>151.19399999999999</v>
      </c>
      <c r="BJ30" t="str">
        <f>IFERROR(VLOOKUP($A30,reformattedTable5whole_brain!$A$1:$WV$1800,7,FALSE), "NA")</f>
        <v>NA</v>
      </c>
      <c r="BK30">
        <f>IFERROR(VLOOKUP($A30,reformattedTable5whole_brain!$A$1:$WV$1800,8,FALSE), "NA")</f>
        <v>10948086440</v>
      </c>
      <c r="BL30" t="str">
        <f>IFERROR(VLOOKUP($A30,reformattedTable5whole_brain!$A$1:$WV$1800,9,FALSE), "NA")</f>
        <v>NA</v>
      </c>
      <c r="BM30">
        <f>IFERROR(VLOOKUP($A30,reformattedTable5whole_brain!$A$1:$WV$1800,10,FALSE), "NA")</f>
        <v>9175538564</v>
      </c>
      <c r="BN30" t="str">
        <f>IFERROR(VLOOKUP($A30,reformattedTable5whole_brain!$A$1:$WV$1800,11,FALSE), "NA")</f>
        <v>NA</v>
      </c>
      <c r="BO30">
        <f>IFERROR(VLOOKUP($A30,reformattedTable5whole_brain!$A$1:$WV$1800,12,FALSE), "NA")</f>
        <v>54.4</v>
      </c>
      <c r="BP30" t="str">
        <f>IFERROR(VLOOKUP($A30,reformattedTable5whole_brain!$A$1:$WV$1800,13,FALSE), "NA")</f>
        <v>NA</v>
      </c>
      <c r="BQ30" t="str">
        <f>IFERROR(VLOOKUP($A30,reformattedTable5whole_brain!$A$1:$WV$1800,14,FALSE), "NA")</f>
        <v>Gabi et al., 2010</v>
      </c>
      <c r="BR30" t="str">
        <f>IFERROR(VLOOKUP($A30,reformattedTable5whole_brain!$A$1:$WV$1800,15,FALSE), "NA")</f>
        <v>Papio_anubis_cynocephalus</v>
      </c>
    </row>
    <row r="31" spans="1:70">
      <c r="A31" t="s">
        <v>29</v>
      </c>
      <c r="B31" t="s">
        <v>15</v>
      </c>
      <c r="C31">
        <f>IFERROR(VLOOKUP($A31,reformattedTable1cerebrum!$A$1:$WV$1800,4,FALSE), "NA")</f>
        <v>0.42899999999999999</v>
      </c>
      <c r="D31">
        <f>IFERROR(VLOOKUP($A31,reformattedTable1cerebrum!$A$1:$WV$1800,5,FALSE), "NA")</f>
        <v>1.9E-2</v>
      </c>
      <c r="E31">
        <f>IFERROR(VLOOKUP($A31,reformattedTable1cerebrum!$A$1:$WV$1800,6,FALSE), "NA")</f>
        <v>15690000</v>
      </c>
      <c r="F31">
        <f>IFERROR(VLOOKUP($A31,reformattedTable1cerebrum!$A$1:$WV$1800,7,FALSE), "NA")</f>
        <v>2611000</v>
      </c>
      <c r="G31">
        <f>IFERROR(VLOOKUP($A31,reformattedTable1cerebrum!$A$1:$WV$1800,8,FALSE), "NA")</f>
        <v>39870000</v>
      </c>
      <c r="H31">
        <f>IFERROR(VLOOKUP($A31,reformattedTable1cerebrum!$A$1:$WV$1800,9,FALSE), "NA")</f>
        <v>4884000</v>
      </c>
      <c r="I31">
        <f>IFERROR(VLOOKUP($A31,reformattedTable1cerebrum!$A$1:$WV$1800,10,FALSE), "NA")</f>
        <v>36727</v>
      </c>
      <c r="J31">
        <f>IFERROR(VLOOKUP($A31,reformattedTable1cerebrum!$A$1:$WV$1800,11,FALSE), "NA")</f>
        <v>7359</v>
      </c>
      <c r="K31">
        <f>IFERROR(VLOOKUP($A31,reformattedTable1cerebrum!$A$1:$WV$1800,12,FALSE), "NA")</f>
        <v>93185</v>
      </c>
      <c r="L31">
        <f>IFERROR(VLOOKUP($A31,reformattedTable1cerebrum!$A$1:$WV$1800,13,FALSE), "NA")</f>
        <v>14583</v>
      </c>
      <c r="M31">
        <f>IFERROR(VLOOKUP($A31,reformattedTable1cerebrum!$A$1:$WV$1800,14,FALSE), "NA")</f>
        <v>2.581</v>
      </c>
      <c r="N31">
        <f>IFERROR(VLOOKUP($A31,reformattedTable1cerebrum!$A$1:$WV$1800,15,FALSE), "NA")</f>
        <v>0.109</v>
      </c>
      <c r="O31" t="str">
        <f>IFERROR(VLOOKUP($A31,reformattedTable1cerebrum!$A$1:$WV$1800,16,FALSE), "NA")</f>
        <v>Sarko et al., 2009</v>
      </c>
      <c r="P31" t="str">
        <f>IFERROR(VLOOKUP($A31,reformattedTable1cerebrum!$A$1:$WV$1800,17,FALSE), "NA")</f>
        <v>Parascalops_breweri</v>
      </c>
      <c r="Q31">
        <f>IFERROR(VLOOKUP($A31,reformattedTable2cerebellum!$A$1:$WW$1800,4,FALSE), "NA")</f>
        <v>0.10199999999999999</v>
      </c>
      <c r="R31">
        <f>IFERROR(VLOOKUP($A31,reformattedTable2cerebellum!$A$1:$WW$1800,5,FALSE), "NA")</f>
        <v>5.0000000000000001E-3</v>
      </c>
      <c r="S31">
        <f>IFERROR(VLOOKUP($A31,reformattedTable2cerebellum!$A$1:$WW$1800,6,FALSE), "NA")</f>
        <v>100780000</v>
      </c>
      <c r="T31">
        <f>IFERROR(VLOOKUP($A31,reformattedTable2cerebellum!$A$1:$WW$1800,7,FALSE), "NA")</f>
        <v>13850000</v>
      </c>
      <c r="U31">
        <f>IFERROR(VLOOKUP($A31,reformattedTable2cerebellum!$A$1:$WW$1800,8,FALSE), "NA")</f>
        <v>7010000</v>
      </c>
      <c r="V31">
        <f>IFERROR(VLOOKUP($A31,reformattedTable2cerebellum!$A$1:$WW$1800,9,FALSE), "NA")</f>
        <v>1100000</v>
      </c>
      <c r="W31">
        <f>IFERROR(VLOOKUP($A31,reformattedTable2cerebellum!$A$1:$WW$1800,10,FALSE), "NA")</f>
        <v>997370</v>
      </c>
      <c r="X31">
        <f>IFERROR(VLOOKUP($A31,reformattedTable2cerebellum!$A$1:$WW$1800,11,FALSE), "NA")</f>
        <v>173030</v>
      </c>
      <c r="Y31">
        <f>IFERROR(VLOOKUP($A31,reformattedTable2cerebellum!$A$1:$WW$1800,12,FALSE), "NA")</f>
        <v>68795</v>
      </c>
      <c r="Z31">
        <f>IFERROR(VLOOKUP($A31,reformattedTable2cerebellum!$A$1:$WW$1800,13,FALSE), "NA")</f>
        <v>7910</v>
      </c>
      <c r="AA31">
        <f>IFERROR(VLOOKUP($A31,reformattedTable2cerebellum!$A$1:$WW$1800,14,FALSE), "NA")</f>
        <v>7.0000000000000007E-2</v>
      </c>
      <c r="AB31" t="str">
        <f>IFERROR(VLOOKUP($A31,reformattedTable2cerebellum!$A$1:$WW$1800,15,FALSE), "NA")</f>
        <v>NA</v>
      </c>
      <c r="AC31" t="str">
        <f>IFERROR(VLOOKUP($A31,reformattedTable2cerebellum!$A$1:$WW$1800,16,FALSE), "NA")</f>
        <v>Sarko et al., 2009</v>
      </c>
      <c r="AD31" t="str">
        <f>IFERROR(VLOOKUP($A31,reformattedTable2cerebellum!$A$1:$WW$1800,17,FALSE), "NA")</f>
        <v>Parascalops_breweri</v>
      </c>
      <c r="AE31">
        <f>IFERROR(VLOOKUP($A31,reformattedTable3RoB!$A$1:$WW$1800,4,FALSE), "NA")</f>
        <v>0.22800000000000001</v>
      </c>
      <c r="AF31">
        <f>IFERROR(VLOOKUP($A31,reformattedTable3RoB!$A$1:$WW$1800,5,FALSE), "NA")</f>
        <v>8.9999999999999993E-3</v>
      </c>
      <c r="AG31">
        <f>IFERROR(VLOOKUP($A31,reformattedTable3RoB!$A$1:$WW$1800,6,FALSE), "NA")</f>
        <v>7130000</v>
      </c>
      <c r="AH31">
        <f>IFERROR(VLOOKUP($A31,reformattedTable3RoB!$A$1:$WW$1800,7,FALSE), "NA")</f>
        <v>920000</v>
      </c>
      <c r="AI31">
        <f>IFERROR(VLOOKUP($A31,reformattedTable3RoB!$A$1:$WW$1800,8,FALSE), "NA")</f>
        <v>31380000</v>
      </c>
      <c r="AJ31">
        <f>IFERROR(VLOOKUP($A31,reformattedTable3RoB!$A$1:$WW$1800,9,FALSE), "NA")</f>
        <v>1500000</v>
      </c>
      <c r="AK31">
        <f>IFERROR(VLOOKUP($A31,reformattedTable3RoB!$A$1:$WW$1800,10,FALSE), "NA")</f>
        <v>31276</v>
      </c>
      <c r="AL31">
        <f>IFERROR(VLOOKUP($A31,reformattedTable3RoB!$A$1:$WW$1800,11,FALSE), "NA")</f>
        <v>3180</v>
      </c>
      <c r="AM31">
        <f>IFERROR(VLOOKUP($A31,reformattedTable3RoB!$A$1:$WW$1800,12,FALSE), "NA")</f>
        <v>137960</v>
      </c>
      <c r="AN31">
        <f>IFERROR(VLOOKUP($A31,reformattedTable3RoB!$A$1:$WW$1800,13,FALSE), "NA")</f>
        <v>7180</v>
      </c>
      <c r="AO31">
        <f>IFERROR(VLOOKUP($A31,reformattedTable3RoB!$A$1:$WW$1800,14,FALSE), "NA")</f>
        <v>4.4009999999999998</v>
      </c>
      <c r="AP31">
        <f>IFERROR(VLOOKUP($A31,reformattedTable3RoB!$A$1:$WW$1800,15,FALSE), "NA")</f>
        <v>0.375</v>
      </c>
      <c r="AQ31" t="str">
        <f>IFERROR(VLOOKUP($A31,reformattedTable3RoB!$A$1:$WW$1800,16,FALSE), "NA")</f>
        <v>Sarko et al., 2009</v>
      </c>
      <c r="AR31" t="str">
        <f>IFERROR(VLOOKUP($A31,reformattedTable3RoB!$A$1:$WW$1800,17,FALSE), "NA")</f>
        <v>Parascalops_breweri</v>
      </c>
      <c r="AS31">
        <f>IFERROR(VLOOKUP($A31,reformattedTable4olfactory_bulb!$A$1:$WV$1800,4,FALSE), "NA")</f>
        <v>4.9000000000000002E-2</v>
      </c>
      <c r="AT31">
        <f>IFERROR(VLOOKUP($A31,reformattedTable4olfactory_bulb!$A$1:$WV$1800,5,FALSE), "NA")</f>
        <v>8.0000000000000002E-3</v>
      </c>
      <c r="AU31">
        <f>IFERROR(VLOOKUP($A31,reformattedTable4olfactory_bulb!$A$1:$WV$1800,6,FALSE), "NA")</f>
        <v>16750000</v>
      </c>
      <c r="AV31">
        <f>IFERROR(VLOOKUP($A31,reformattedTable4olfactory_bulb!$A$1:$WV$1800,7,FALSE), "NA")</f>
        <v>6370000</v>
      </c>
      <c r="AW31">
        <f>IFERROR(VLOOKUP($A31,reformattedTable4olfactory_bulb!$A$1:$WV$1800,8,FALSE), "NA")</f>
        <v>10910000</v>
      </c>
      <c r="AX31">
        <f>IFERROR(VLOOKUP($A31,reformattedTable4olfactory_bulb!$A$1:$WV$1800,9,FALSE), "NA")</f>
        <v>3400000</v>
      </c>
      <c r="AY31">
        <f>IFERROR(VLOOKUP($A31,reformattedTable4olfactory_bulb!$A$1:$WV$1800,10,FALSE), "NA")</f>
        <v>333590</v>
      </c>
      <c r="AZ31">
        <f>IFERROR(VLOOKUP($A31,reformattedTable4olfactory_bulb!$A$1:$WV$1800,11,FALSE), "NA")</f>
        <v>81590</v>
      </c>
      <c r="BA31">
        <f>IFERROR(VLOOKUP($A31,reformattedTable4olfactory_bulb!$A$1:$WV$1800,12,FALSE), "NA")</f>
        <v>217440</v>
      </c>
      <c r="BB31">
        <f>IFERROR(VLOOKUP($A31,reformattedTable4olfactory_bulb!$A$1:$WV$1800,13,FALSE), "NA")</f>
        <v>41370</v>
      </c>
      <c r="BC31">
        <f>IFERROR(VLOOKUP($A31,reformattedTable4olfactory_bulb!$A$1:$WV$1800,14,FALSE), "NA")</f>
        <v>0.65100000000000002</v>
      </c>
      <c r="BD31">
        <f>IFERROR(VLOOKUP($A31,reformattedTable4olfactory_bulb!$A$1:$WV$1800,15,FALSE), "NA")</f>
        <v>0.16800000000000001</v>
      </c>
      <c r="BE31" t="str">
        <f>IFERROR(VLOOKUP($A31,reformattedTable4olfactory_bulb!$A$1:$WV$1800,16,FALSE), "NA")</f>
        <v>Sarko et al., 2009</v>
      </c>
      <c r="BF31" t="str">
        <f>IFERROR(VLOOKUP($A31,reformattedTable4olfactory_bulb!$A$1:$WV$1800,17,FALSE), "NA")</f>
        <v>Parascalops_breweri</v>
      </c>
      <c r="BG31">
        <f>IFERROR(VLOOKUP($A31,reformattedTable5whole_brain!$A$1:$WV$1800,4,FALSE), "NA")</f>
        <v>42.7</v>
      </c>
      <c r="BH31">
        <f>IFERROR(VLOOKUP($A31,reformattedTable5whole_brain!$A$1:$WV$1800,5,FALSE), "NA")</f>
        <v>9.1</v>
      </c>
      <c r="BI31">
        <f>IFERROR(VLOOKUP($A31,reformattedTable5whole_brain!$A$1:$WV$1800,6,FALSE), "NA")</f>
        <v>0.75900000000000001</v>
      </c>
      <c r="BJ31">
        <f>IFERROR(VLOOKUP($A31,reformattedTable5whole_brain!$A$1:$WV$1800,7,FALSE), "NA")</f>
        <v>2.4E-2</v>
      </c>
      <c r="BK31">
        <f>IFERROR(VLOOKUP($A31,reformattedTable5whole_brain!$A$1:$WV$1800,8,FALSE), "NA")</f>
        <v>123600000</v>
      </c>
      <c r="BL31">
        <f>IFERROR(VLOOKUP($A31,reformattedTable5whole_brain!$A$1:$WV$1800,9,FALSE), "NA")</f>
        <v>12470000</v>
      </c>
      <c r="BM31">
        <f>IFERROR(VLOOKUP($A31,reformattedTable5whole_brain!$A$1:$WV$1800,10,FALSE), "NA")</f>
        <v>78260000</v>
      </c>
      <c r="BN31">
        <f>IFERROR(VLOOKUP($A31,reformattedTable5whole_brain!$A$1:$WV$1800,11,FALSE), "NA")</f>
        <v>6095000</v>
      </c>
      <c r="BO31">
        <f>IFERROR(VLOOKUP($A31,reformattedTable5whole_brain!$A$1:$WV$1800,12,FALSE), "NA")</f>
        <v>61.2</v>
      </c>
      <c r="BP31">
        <f>IFERROR(VLOOKUP($A31,reformattedTable5whole_brain!$A$1:$WV$1800,13,FALSE), "NA")</f>
        <v>4.0999999999999996</v>
      </c>
      <c r="BQ31" t="str">
        <f>IFERROR(VLOOKUP($A31,reformattedTable5whole_brain!$A$1:$WV$1800,14,FALSE), "NA")</f>
        <v>Sarko et al., 2009</v>
      </c>
      <c r="BR31" t="str">
        <f>IFERROR(VLOOKUP($A31,reformattedTable5whole_brain!$A$1:$WV$1800,15,FALSE), "NA")</f>
        <v>Parascalops_breweri</v>
      </c>
    </row>
    <row r="32" spans="1:70">
      <c r="A32" t="s">
        <v>49</v>
      </c>
      <c r="B32" t="s">
        <v>32</v>
      </c>
      <c r="C32">
        <f>IFERROR(VLOOKUP($A32,reformattedTable1cerebrum!$A$1:$WV$1800,4,FALSE), "NA")</f>
        <v>1.2390000000000001</v>
      </c>
      <c r="D32">
        <f>IFERROR(VLOOKUP($A32,reformattedTable1cerebrum!$A$1:$WV$1800,5,FALSE), "NA")</f>
        <v>5.8999999999999997E-2</v>
      </c>
      <c r="E32">
        <f>IFERROR(VLOOKUP($A32,reformattedTable1cerebrum!$A$1:$WV$1800,6,FALSE), "NA")</f>
        <v>33947000</v>
      </c>
      <c r="F32">
        <f>IFERROR(VLOOKUP($A32,reformattedTable1cerebrum!$A$1:$WV$1800,7,FALSE), "NA")</f>
        <v>5840000</v>
      </c>
      <c r="G32">
        <f>IFERROR(VLOOKUP($A32,reformattedTable1cerebrum!$A$1:$WV$1800,8,FALSE), "NA")</f>
        <v>40486000</v>
      </c>
      <c r="H32">
        <f>IFERROR(VLOOKUP($A32,reformattedTable1cerebrum!$A$1:$WV$1800,9,FALSE), "NA")</f>
        <v>1104000</v>
      </c>
      <c r="I32">
        <f>IFERROR(VLOOKUP($A32,reformattedTable1cerebrum!$A$1:$WV$1800,10,FALSE), "NA")</f>
        <v>27236</v>
      </c>
      <c r="J32">
        <f>IFERROR(VLOOKUP($A32,reformattedTable1cerebrum!$A$1:$WV$1800,11,FALSE), "NA")</f>
        <v>3416</v>
      </c>
      <c r="K32">
        <f>IFERROR(VLOOKUP($A32,reformattedTable1cerebrum!$A$1:$WV$1800,12,FALSE), "NA")</f>
        <v>32550</v>
      </c>
      <c r="L32">
        <f>IFERROR(VLOOKUP($A32,reformattedTable1cerebrum!$A$1:$WV$1800,13,FALSE), "NA")</f>
        <v>2661</v>
      </c>
      <c r="M32">
        <f>IFERROR(VLOOKUP($A32,reformattedTable1cerebrum!$A$1:$WV$1800,14,FALSE), "NA")</f>
        <v>1.202</v>
      </c>
      <c r="N32">
        <f>IFERROR(VLOOKUP($A32,reformattedTable1cerebrum!$A$1:$WV$1800,15,FALSE), "NA")</f>
        <v>5.2999999999999999E-2</v>
      </c>
      <c r="O32" t="str">
        <f>IFERROR(VLOOKUP($A32,reformattedTable1cerebrum!$A$1:$WV$1800,16,FALSE), "NA")</f>
        <v>Neves et al., 2014</v>
      </c>
      <c r="P32" t="str">
        <f>IFERROR(VLOOKUP($A32,reformattedTable1cerebrum!$A$1:$WV$1800,17,FALSE), "NA")</f>
        <v>Petrodromus_tetradactylus</v>
      </c>
      <c r="Q32">
        <f>IFERROR(VLOOKUP($A32,reformattedTable2cerebellum!$A$1:$WW$1800,4,FALSE), "NA")</f>
        <v>0.30399999999999999</v>
      </c>
      <c r="R32" t="str">
        <f>IFERROR(VLOOKUP($A32,reformattedTable2cerebellum!$A$1:$WW$1800,5,FALSE), "NA")</f>
        <v>NA</v>
      </c>
      <c r="S32">
        <f>IFERROR(VLOOKUP($A32,reformattedTable2cerebellum!$A$1:$WW$1800,6,FALSE), "NA")</f>
        <v>110653150</v>
      </c>
      <c r="T32">
        <f>IFERROR(VLOOKUP($A32,reformattedTable2cerebellum!$A$1:$WW$1800,7,FALSE), "NA")</f>
        <v>14948000</v>
      </c>
      <c r="U32">
        <f>IFERROR(VLOOKUP($A32,reformattedTable2cerebellum!$A$1:$WW$1800,8,FALSE), "NA")</f>
        <v>34657851</v>
      </c>
      <c r="V32">
        <f>IFERROR(VLOOKUP($A32,reformattedTable2cerebellum!$A$1:$WW$1800,9,FALSE), "NA")</f>
        <v>15801000</v>
      </c>
      <c r="W32">
        <f>IFERROR(VLOOKUP($A32,reformattedTable2cerebellum!$A$1:$WW$1800,10,FALSE), "NA")</f>
        <v>362537</v>
      </c>
      <c r="X32">
        <f>IFERROR(VLOOKUP($A32,reformattedTable2cerebellum!$A$1:$WW$1800,11,FALSE), "NA")</f>
        <v>15780</v>
      </c>
      <c r="Y32">
        <f>IFERROR(VLOOKUP($A32,reformattedTable2cerebellum!$A$1:$WW$1800,12,FALSE), "NA")</f>
        <v>110153</v>
      </c>
      <c r="Z32">
        <f>IFERROR(VLOOKUP($A32,reformattedTable2cerebellum!$A$1:$WW$1800,13,FALSE), "NA")</f>
        <v>41831</v>
      </c>
      <c r="AA32">
        <f>IFERROR(VLOOKUP($A32,reformattedTable2cerebellum!$A$1:$WW$1800,14,FALSE), "NA")</f>
        <v>0.29899999999999999</v>
      </c>
      <c r="AB32">
        <f>IFERROR(VLOOKUP($A32,reformattedTable2cerebellum!$A$1:$WW$1800,15,FALSE), "NA")</f>
        <v>0.10199999999999999</v>
      </c>
      <c r="AC32" t="str">
        <f>IFERROR(VLOOKUP($A32,reformattedTable2cerebellum!$A$1:$WW$1800,16,FALSE), "NA")</f>
        <v>Neves et al., 2014</v>
      </c>
      <c r="AD32" t="str">
        <f>IFERROR(VLOOKUP($A32,reformattedTable2cerebellum!$A$1:$WW$1800,17,FALSE), "NA")</f>
        <v>Petrodromus_tetradactylus</v>
      </c>
      <c r="AE32">
        <f>IFERROR(VLOOKUP($A32,reformattedTable3RoB!$A$1:$WW$1800,4,FALSE), "NA")</f>
        <v>0.89400000000000002</v>
      </c>
      <c r="AF32">
        <f>IFERROR(VLOOKUP($A32,reformattedTable3RoB!$A$1:$WW$1800,5,FALSE), "NA")</f>
        <v>2.1999999999999999E-2</v>
      </c>
      <c r="AG32">
        <f>IFERROR(VLOOKUP($A32,reformattedTable3RoB!$A$1:$WW$1800,6,FALSE), "NA")</f>
        <v>12231811</v>
      </c>
      <c r="AH32">
        <f>IFERROR(VLOOKUP($A32,reformattedTable3RoB!$A$1:$WW$1800,7,FALSE), "NA")</f>
        <v>188000</v>
      </c>
      <c r="AI32">
        <f>IFERROR(VLOOKUP($A32,reformattedTable3RoB!$A$1:$WW$1800,8,FALSE), "NA")</f>
        <v>28204189</v>
      </c>
      <c r="AJ32">
        <f>IFERROR(VLOOKUP($A32,reformattedTable3RoB!$A$1:$WW$1800,9,FALSE), "NA")</f>
        <v>5408000</v>
      </c>
      <c r="AK32">
        <f>IFERROR(VLOOKUP($A32,reformattedTable3RoB!$A$1:$WW$1800,10,FALSE), "NA")</f>
        <v>13696</v>
      </c>
      <c r="AL32">
        <f>IFERROR(VLOOKUP($A32,reformattedTable3RoB!$A$1:$WW$1800,11,FALSE), "NA")</f>
        <v>547</v>
      </c>
      <c r="AM32">
        <f>IFERROR(VLOOKUP($A32,reformattedTable3RoB!$A$1:$WW$1800,12,FALSE), "NA")</f>
        <v>31716</v>
      </c>
      <c r="AN32">
        <f>IFERROR(VLOOKUP($A32,reformattedTable3RoB!$A$1:$WW$1800,13,FALSE), "NA")</f>
        <v>6830</v>
      </c>
      <c r="AO32">
        <f>IFERROR(VLOOKUP($A32,reformattedTable3RoB!$A$1:$WW$1800,14,FALSE), "NA")</f>
        <v>2.2999999999999998</v>
      </c>
      <c r="AP32">
        <f>IFERROR(VLOOKUP($A32,reformattedTable3RoB!$A$1:$WW$1800,15,FALSE), "NA")</f>
        <v>0.40699999999999997</v>
      </c>
      <c r="AQ32" t="str">
        <f>IFERROR(VLOOKUP($A32,reformattedTable3RoB!$A$1:$WW$1800,16,FALSE), "NA")</f>
        <v>Neves et al., 2014</v>
      </c>
      <c r="AR32" t="str">
        <f>IFERROR(VLOOKUP($A32,reformattedTable3RoB!$A$1:$WW$1800,17,FALSE), "NA")</f>
        <v>Petrodromus_tetradactylus</v>
      </c>
      <c r="AS32">
        <f>IFERROR(VLOOKUP($A32,reformattedTable4olfactory_bulb!$A$1:$WV$1800,4,FALSE), "NA")</f>
        <v>0.159</v>
      </c>
      <c r="AT32">
        <f>IFERROR(VLOOKUP($A32,reformattedTable4olfactory_bulb!$A$1:$WV$1800,5,FALSE), "NA")</f>
        <v>8.9999999999999993E-3</v>
      </c>
      <c r="AU32">
        <f>IFERROR(VLOOKUP($A32,reformattedTable4olfactory_bulb!$A$1:$WV$1800,6,FALSE), "NA")</f>
        <v>12828365</v>
      </c>
      <c r="AV32">
        <f>IFERROR(VLOOKUP($A32,reformattedTable4olfactory_bulb!$A$1:$WV$1800,7,FALSE), "NA")</f>
        <v>380000</v>
      </c>
      <c r="AW32">
        <f>IFERROR(VLOOKUP($A32,reformattedTable4olfactory_bulb!$A$1:$WV$1800,8,FALSE), "NA")</f>
        <v>14775635</v>
      </c>
      <c r="AX32" t="str">
        <f>IFERROR(VLOOKUP($A32,reformattedTable4olfactory_bulb!$A$1:$WV$1800,9,FALSE), "NA")</f>
        <v>NA</v>
      </c>
      <c r="AY32">
        <f>IFERROR(VLOOKUP($A32,reformattedTable4olfactory_bulb!$A$1:$WV$1800,10,FALSE), "NA")</f>
        <v>80805</v>
      </c>
      <c r="AZ32">
        <f>IFERROR(VLOOKUP($A32,reformattedTable4olfactory_bulb!$A$1:$WV$1800,11,FALSE), "NA")</f>
        <v>3084</v>
      </c>
      <c r="BA32">
        <f>IFERROR(VLOOKUP($A32,reformattedTable4olfactory_bulb!$A$1:$WV$1800,12,FALSE), "NA")</f>
        <v>91369</v>
      </c>
      <c r="BB32" t="str">
        <f>IFERROR(VLOOKUP($A32,reformattedTable4olfactory_bulb!$A$1:$WV$1800,13,FALSE), "NA")</f>
        <v>NA</v>
      </c>
      <c r="BC32">
        <f>IFERROR(VLOOKUP($A32,reformattedTable4olfactory_bulb!$A$1:$WV$1800,14,FALSE), "NA")</f>
        <v>1.141</v>
      </c>
      <c r="BD32" t="str">
        <f>IFERROR(VLOOKUP($A32,reformattedTable4olfactory_bulb!$A$1:$WV$1800,15,FALSE), "NA")</f>
        <v>NA</v>
      </c>
      <c r="BE32" t="str">
        <f>IFERROR(VLOOKUP($A32,reformattedTable4olfactory_bulb!$A$1:$WV$1800,16,FALSE), "NA")</f>
        <v>Neves et al., 2014</v>
      </c>
      <c r="BF32" t="str">
        <f>IFERROR(VLOOKUP($A32,reformattedTable4olfactory_bulb!$A$1:$WV$1800,17,FALSE), "NA")</f>
        <v>Petrodromus_tetradactylus</v>
      </c>
      <c r="BG32">
        <f>IFERROR(VLOOKUP($A32,reformattedTable5whole_brain!$A$1:$WV$1800,4,FALSE), "NA")</f>
        <v>132.5</v>
      </c>
      <c r="BH32" t="str">
        <f>IFERROR(VLOOKUP($A32,reformattedTable5whole_brain!$A$1:$WV$1800,5,FALSE), "NA")</f>
        <v>NA</v>
      </c>
      <c r="BI32">
        <f>IFERROR(VLOOKUP($A32,reformattedTable5whole_brain!$A$1:$WV$1800,6,FALSE), "NA")</f>
        <v>2.44</v>
      </c>
      <c r="BJ32">
        <f>IFERROR(VLOOKUP($A32,reformattedTable5whole_brain!$A$1:$WV$1800,7,FALSE), "NA")</f>
        <v>0.109</v>
      </c>
      <c r="BK32">
        <f>IFERROR(VLOOKUP($A32,reformattedTable5whole_brain!$A$1:$WV$1800,8,FALSE), "NA")</f>
        <v>156830795</v>
      </c>
      <c r="BL32">
        <f>IFERROR(VLOOKUP($A32,reformattedTable5whole_brain!$A$1:$WV$1800,9,FALSE), "NA")</f>
        <v>20600000</v>
      </c>
      <c r="BM32">
        <f>IFERROR(VLOOKUP($A32,reformattedTable5whole_brain!$A$1:$WV$1800,10,FALSE), "NA")</f>
        <v>103349000</v>
      </c>
      <c r="BN32">
        <f>IFERROR(VLOOKUP($A32,reformattedTable5whole_brain!$A$1:$WV$1800,11,FALSE), "NA")</f>
        <v>15610000</v>
      </c>
      <c r="BO32" t="str">
        <f>IFERROR(VLOOKUP($A32,reformattedTable5whole_brain!$A$1:$WV$1800,12,FALSE), "NA")</f>
        <v>NA</v>
      </c>
      <c r="BP32" t="str">
        <f>IFERROR(VLOOKUP($A32,reformattedTable5whole_brain!$A$1:$WV$1800,13,FALSE), "NA")</f>
        <v>NA</v>
      </c>
      <c r="BQ32" t="str">
        <f>IFERROR(VLOOKUP($A32,reformattedTable5whole_brain!$A$1:$WV$1800,14,FALSE), "NA")</f>
        <v>Neves et al., 2014</v>
      </c>
      <c r="BR32" t="str">
        <f>IFERROR(VLOOKUP($A32,reformattedTable5whole_brain!$A$1:$WV$1800,15,FALSE), "NA")</f>
        <v>Petrodromus_tetradactylus</v>
      </c>
    </row>
    <row r="33" spans="1:70">
      <c r="A33" t="s">
        <v>119</v>
      </c>
      <c r="B33" t="s">
        <v>44</v>
      </c>
      <c r="C33" t="str">
        <f>IFERROR(VLOOKUP($A33,reformattedTable1cerebrum!$A$1:$WV$1800,4,FALSE), "NA")</f>
        <v>NA</v>
      </c>
      <c r="D33" t="str">
        <f>IFERROR(VLOOKUP($A33,reformattedTable1cerebrum!$A$1:$WV$1800,5,FALSE), "NA")</f>
        <v>NA</v>
      </c>
      <c r="E33" t="str">
        <f>IFERROR(VLOOKUP($A33,reformattedTable1cerebrum!$A$1:$WV$1800,6,FALSE), "NA")</f>
        <v>NA</v>
      </c>
      <c r="F33" t="str">
        <f>IFERROR(VLOOKUP($A33,reformattedTable1cerebrum!$A$1:$WV$1800,7,FALSE), "NA")</f>
        <v>NA</v>
      </c>
      <c r="G33" t="str">
        <f>IFERROR(VLOOKUP($A33,reformattedTable1cerebrum!$A$1:$WV$1800,8,FALSE), "NA")</f>
        <v>NA</v>
      </c>
      <c r="H33" t="str">
        <f>IFERROR(VLOOKUP($A33,reformattedTable1cerebrum!$A$1:$WV$1800,9,FALSE), "NA")</f>
        <v>NA</v>
      </c>
      <c r="I33" t="str">
        <f>IFERROR(VLOOKUP($A33,reformattedTable1cerebrum!$A$1:$WV$1800,10,FALSE), "NA")</f>
        <v>NA</v>
      </c>
      <c r="J33" t="str">
        <f>IFERROR(VLOOKUP($A33,reformattedTable1cerebrum!$A$1:$WV$1800,11,FALSE), "NA")</f>
        <v>NA</v>
      </c>
      <c r="K33" t="str">
        <f>IFERROR(VLOOKUP($A33,reformattedTable1cerebrum!$A$1:$WV$1800,12,FALSE), "NA")</f>
        <v>NA</v>
      </c>
      <c r="L33" t="str">
        <f>IFERROR(VLOOKUP($A33,reformattedTable1cerebrum!$A$1:$WV$1800,13,FALSE), "NA")</f>
        <v>NA</v>
      </c>
      <c r="M33" t="str">
        <f>IFERROR(VLOOKUP($A33,reformattedTable1cerebrum!$A$1:$WV$1800,14,FALSE), "NA")</f>
        <v>NA</v>
      </c>
      <c r="N33" t="str">
        <f>IFERROR(VLOOKUP($A33,reformattedTable1cerebrum!$A$1:$WV$1800,15,FALSE), "NA")</f>
        <v>NA</v>
      </c>
      <c r="O33" t="str">
        <f>IFERROR(VLOOKUP($A33,reformattedTable1cerebrum!$A$1:$WV$1800,16,FALSE), "NA")</f>
        <v>NA</v>
      </c>
      <c r="P33" t="str">
        <f>IFERROR(VLOOKUP($A33,reformattedTable1cerebrum!$A$1:$WV$1800,17,FALSE), "NA")</f>
        <v>NA</v>
      </c>
      <c r="Q33">
        <f>IFERROR(VLOOKUP($A33,reformattedTable2cerebellum!$A$1:$WW$1800,4,FALSE), "NA")</f>
        <v>35.06</v>
      </c>
      <c r="R33">
        <f>IFERROR(VLOOKUP($A33,reformattedTable2cerebellum!$A$1:$WW$1800,5,FALSE), "NA")</f>
        <v>4.34</v>
      </c>
      <c r="S33">
        <f>IFERROR(VLOOKUP($A33,reformattedTable2cerebellum!$A$1:$WW$1800,6,FALSE), "NA")</f>
        <v>26300000000</v>
      </c>
      <c r="T33">
        <f>IFERROR(VLOOKUP($A33,reformattedTable2cerebellum!$A$1:$WW$1800,7,FALSE), "NA")</f>
        <v>2470000000</v>
      </c>
      <c r="U33">
        <f>IFERROR(VLOOKUP($A33,reformattedTable2cerebellum!$A$1:$WW$1800,8,FALSE), "NA")</f>
        <v>2200000000</v>
      </c>
      <c r="V33" t="str">
        <f>IFERROR(VLOOKUP($A33,reformattedTable2cerebellum!$A$1:$WW$1800,9,FALSE), "NA")</f>
        <v>NA</v>
      </c>
      <c r="W33">
        <f>IFERROR(VLOOKUP($A33,reformattedTable2cerebellum!$A$1:$WW$1800,10,FALSE), "NA")</f>
        <v>750143</v>
      </c>
      <c r="X33" t="str">
        <f>IFERROR(VLOOKUP($A33,reformattedTable2cerebellum!$A$1:$WW$1800,11,FALSE), "NA")</f>
        <v>NA</v>
      </c>
      <c r="Y33">
        <f>IFERROR(VLOOKUP($A33,reformattedTable2cerebellum!$A$1:$WW$1800,12,FALSE), "NA")</f>
        <v>62750</v>
      </c>
      <c r="Z33" t="str">
        <f>IFERROR(VLOOKUP($A33,reformattedTable2cerebellum!$A$1:$WW$1800,13,FALSE), "NA")</f>
        <v>NA</v>
      </c>
      <c r="AA33">
        <f>IFERROR(VLOOKUP($A33,reformattedTable2cerebellum!$A$1:$WW$1800,14,FALSE), "NA")</f>
        <v>8.4000000000000005E-2</v>
      </c>
      <c r="AB33" t="str">
        <f>IFERROR(VLOOKUP($A33,reformattedTable2cerebellum!$A$1:$WW$1800,15,FALSE), "NA")</f>
        <v>NA</v>
      </c>
      <c r="AC33" t="str">
        <f>IFERROR(VLOOKUP($A33,reformattedTable2cerebellum!$A$1:$WW$1800,16,FALSE), "NA")</f>
        <v>Herculano-Houzel and Kaas, 2011</v>
      </c>
      <c r="AD33" t="str">
        <f>IFERROR(VLOOKUP($A33,reformattedTable2cerebellum!$A$1:$WW$1800,17,FALSE), "NA")</f>
        <v>Pongo_pygmaeus</v>
      </c>
      <c r="AE33" t="str">
        <f>IFERROR(VLOOKUP($A33,reformattedTable3RoB!$A$1:$WW$1800,4,FALSE), "NA")</f>
        <v>NA</v>
      </c>
      <c r="AF33" t="str">
        <f>IFERROR(VLOOKUP($A33,reformattedTable3RoB!$A$1:$WW$1800,5,FALSE), "NA")</f>
        <v>NA</v>
      </c>
      <c r="AG33" t="str">
        <f>IFERROR(VLOOKUP($A33,reformattedTable3RoB!$A$1:$WW$1800,6,FALSE), "NA")</f>
        <v>NA</v>
      </c>
      <c r="AH33" t="str">
        <f>IFERROR(VLOOKUP($A33,reformattedTable3RoB!$A$1:$WW$1800,7,FALSE), "NA")</f>
        <v>NA</v>
      </c>
      <c r="AI33" t="str">
        <f>IFERROR(VLOOKUP($A33,reformattedTable3RoB!$A$1:$WW$1800,8,FALSE), "NA")</f>
        <v>NA</v>
      </c>
      <c r="AJ33" t="str">
        <f>IFERROR(VLOOKUP($A33,reformattedTable3RoB!$A$1:$WW$1800,9,FALSE), "NA")</f>
        <v>NA</v>
      </c>
      <c r="AK33" t="str">
        <f>IFERROR(VLOOKUP($A33,reformattedTable3RoB!$A$1:$WW$1800,10,FALSE), "NA")</f>
        <v>NA</v>
      </c>
      <c r="AL33" t="str">
        <f>IFERROR(VLOOKUP($A33,reformattedTable3RoB!$A$1:$WW$1800,11,FALSE), "NA")</f>
        <v>NA</v>
      </c>
      <c r="AM33" t="str">
        <f>IFERROR(VLOOKUP($A33,reformattedTable3RoB!$A$1:$WW$1800,12,FALSE), "NA")</f>
        <v>NA</v>
      </c>
      <c r="AN33" t="str">
        <f>IFERROR(VLOOKUP($A33,reformattedTable3RoB!$A$1:$WW$1800,13,FALSE), "NA")</f>
        <v>NA</v>
      </c>
      <c r="AO33" t="str">
        <f>IFERROR(VLOOKUP($A33,reformattedTable3RoB!$A$1:$WW$1800,14,FALSE), "NA")</f>
        <v>NA</v>
      </c>
      <c r="AP33" t="str">
        <f>IFERROR(VLOOKUP($A33,reformattedTable3RoB!$A$1:$WW$1800,15,FALSE), "NA")</f>
        <v>NA</v>
      </c>
      <c r="AQ33" t="str">
        <f>IFERROR(VLOOKUP($A33,reformattedTable3RoB!$A$1:$WW$1800,16,FALSE), "NA")</f>
        <v>NA</v>
      </c>
      <c r="AR33" t="str">
        <f>IFERROR(VLOOKUP($A33,reformattedTable3RoB!$A$1:$WW$1800,17,FALSE), "NA")</f>
        <v>NA</v>
      </c>
      <c r="AS33" t="str">
        <f>IFERROR(VLOOKUP($A33,reformattedTable4olfactory_bulb!$A$1:$WV$1800,4,FALSE), "NA")</f>
        <v>NA</v>
      </c>
      <c r="AT33" t="str">
        <f>IFERROR(VLOOKUP($A33,reformattedTable4olfactory_bulb!$A$1:$WV$1800,5,FALSE), "NA")</f>
        <v>NA</v>
      </c>
      <c r="AU33" t="str">
        <f>IFERROR(VLOOKUP($A33,reformattedTable4olfactory_bulb!$A$1:$WV$1800,6,FALSE), "NA")</f>
        <v>NA</v>
      </c>
      <c r="AV33" t="str">
        <f>IFERROR(VLOOKUP($A33,reformattedTable4olfactory_bulb!$A$1:$WV$1800,7,FALSE), "NA")</f>
        <v>NA</v>
      </c>
      <c r="AW33" t="str">
        <f>IFERROR(VLOOKUP($A33,reformattedTable4olfactory_bulb!$A$1:$WV$1800,8,FALSE), "NA")</f>
        <v>NA</v>
      </c>
      <c r="AX33" t="str">
        <f>IFERROR(VLOOKUP($A33,reformattedTable4olfactory_bulb!$A$1:$WV$1800,9,FALSE), "NA")</f>
        <v>NA</v>
      </c>
      <c r="AY33" t="str">
        <f>IFERROR(VLOOKUP($A33,reformattedTable4olfactory_bulb!$A$1:$WV$1800,10,FALSE), "NA")</f>
        <v>NA</v>
      </c>
      <c r="AZ33" t="str">
        <f>IFERROR(VLOOKUP($A33,reformattedTable4olfactory_bulb!$A$1:$WV$1800,11,FALSE), "NA")</f>
        <v>NA</v>
      </c>
      <c r="BA33" t="str">
        <f>IFERROR(VLOOKUP($A33,reformattedTable4olfactory_bulb!$A$1:$WV$1800,12,FALSE), "NA")</f>
        <v>NA</v>
      </c>
      <c r="BB33" t="str">
        <f>IFERROR(VLOOKUP($A33,reformattedTable4olfactory_bulb!$A$1:$WV$1800,13,FALSE), "NA")</f>
        <v>NA</v>
      </c>
      <c r="BC33" t="str">
        <f>IFERROR(VLOOKUP($A33,reformattedTable4olfactory_bulb!$A$1:$WV$1800,14,FALSE), "NA")</f>
        <v>NA</v>
      </c>
      <c r="BD33" t="str">
        <f>IFERROR(VLOOKUP($A33,reformattedTable4olfactory_bulb!$A$1:$WV$1800,15,FALSE), "NA")</f>
        <v>NA</v>
      </c>
      <c r="BE33" t="str">
        <f>IFERROR(VLOOKUP($A33,reformattedTable4olfactory_bulb!$A$1:$WV$1800,16,FALSE), "NA")</f>
        <v>NA</v>
      </c>
      <c r="BF33" t="str">
        <f>IFERROR(VLOOKUP($A33,reformattedTable4olfactory_bulb!$A$1:$WV$1800,17,FALSE), "NA")</f>
        <v>NA</v>
      </c>
      <c r="BG33" t="str">
        <f>IFERROR(VLOOKUP($A33,reformattedTable5whole_brain!$A$1:$WV$1800,4,FALSE), "NA")</f>
        <v>NA</v>
      </c>
      <c r="BH33" t="str">
        <f>IFERROR(VLOOKUP($A33,reformattedTable5whole_brain!$A$1:$WV$1800,5,FALSE), "NA")</f>
        <v>NA</v>
      </c>
      <c r="BI33" t="str">
        <f>IFERROR(VLOOKUP($A33,reformattedTable5whole_brain!$A$1:$WV$1800,6,FALSE), "NA")</f>
        <v>NA</v>
      </c>
      <c r="BJ33" t="str">
        <f>IFERROR(VLOOKUP($A33,reformattedTable5whole_brain!$A$1:$WV$1800,7,FALSE), "NA")</f>
        <v>NA</v>
      </c>
      <c r="BK33" t="str">
        <f>IFERROR(VLOOKUP($A33,reformattedTable5whole_brain!$A$1:$WV$1800,8,FALSE), "NA")</f>
        <v>NA</v>
      </c>
      <c r="BL33" t="str">
        <f>IFERROR(VLOOKUP($A33,reformattedTable5whole_brain!$A$1:$WV$1800,9,FALSE), "NA")</f>
        <v>NA</v>
      </c>
      <c r="BM33" t="str">
        <f>IFERROR(VLOOKUP($A33,reformattedTable5whole_brain!$A$1:$WV$1800,10,FALSE), "NA")</f>
        <v>NA</v>
      </c>
      <c r="BN33" t="str">
        <f>IFERROR(VLOOKUP($A33,reformattedTable5whole_brain!$A$1:$WV$1800,11,FALSE), "NA")</f>
        <v>NA</v>
      </c>
      <c r="BO33" t="str">
        <f>IFERROR(VLOOKUP($A33,reformattedTable5whole_brain!$A$1:$WV$1800,12,FALSE), "NA")</f>
        <v>NA</v>
      </c>
      <c r="BP33" t="str">
        <f>IFERROR(VLOOKUP($A33,reformattedTable5whole_brain!$A$1:$WV$1800,13,FALSE), "NA")</f>
        <v>NA</v>
      </c>
      <c r="BQ33" t="str">
        <f>IFERROR(VLOOKUP($A33,reformattedTable5whole_brain!$A$1:$WV$1800,14,FALSE), "NA")</f>
        <v>NA</v>
      </c>
      <c r="BR33" t="str">
        <f>IFERROR(VLOOKUP($A33,reformattedTable5whole_brain!$A$1:$WV$1800,15,FALSE), "NA")</f>
        <v>NA</v>
      </c>
    </row>
    <row r="34" spans="1:70">
      <c r="A34" t="s">
        <v>71</v>
      </c>
      <c r="B34" t="s">
        <v>32</v>
      </c>
      <c r="C34">
        <f>IFERROR(VLOOKUP($A34,reformattedTable1cerebrum!$A$1:$WV$1800,4,FALSE), "NA")</f>
        <v>10.478</v>
      </c>
      <c r="D34">
        <f>IFERROR(VLOOKUP($A34,reformattedTable1cerebrum!$A$1:$WV$1800,5,FALSE), "NA")</f>
        <v>0.64600000000000002</v>
      </c>
      <c r="E34">
        <f>IFERROR(VLOOKUP($A34,reformattedTable1cerebrum!$A$1:$WV$1800,6,FALSE), "NA")</f>
        <v>197933000</v>
      </c>
      <c r="F34">
        <f>IFERROR(VLOOKUP($A34,reformattedTable1cerebrum!$A$1:$WV$1800,7,FALSE), "NA")</f>
        <v>29082000</v>
      </c>
      <c r="G34">
        <f>IFERROR(VLOOKUP($A34,reformattedTable1cerebrum!$A$1:$WV$1800,8,FALSE), "NA")</f>
        <v>366620000</v>
      </c>
      <c r="H34">
        <f>IFERROR(VLOOKUP($A34,reformattedTable1cerebrum!$A$1:$WV$1800,9,FALSE), "NA")</f>
        <v>13520000</v>
      </c>
      <c r="I34">
        <f>IFERROR(VLOOKUP($A34,reformattedTable1cerebrum!$A$1:$WV$1800,10,FALSE), "NA")</f>
        <v>19134</v>
      </c>
      <c r="J34">
        <f>IFERROR(VLOOKUP($A34,reformattedTable1cerebrum!$A$1:$WV$1800,11,FALSE), "NA")</f>
        <v>3955</v>
      </c>
      <c r="K34">
        <f>IFERROR(VLOOKUP($A34,reformattedTable1cerebrum!$A$1:$WV$1800,12,FALSE), "NA")</f>
        <v>35203</v>
      </c>
      <c r="L34">
        <f>IFERROR(VLOOKUP($A34,reformattedTable1cerebrum!$A$1:$WV$1800,13,FALSE), "NA")</f>
        <v>3461</v>
      </c>
      <c r="M34">
        <f>IFERROR(VLOOKUP($A34,reformattedTable1cerebrum!$A$1:$WV$1800,14,FALSE), "NA")</f>
        <v>1.883</v>
      </c>
      <c r="N34">
        <f>IFERROR(VLOOKUP($A34,reformattedTable1cerebrum!$A$1:$WV$1800,15,FALSE), "NA")</f>
        <v>0.20799999999999999</v>
      </c>
      <c r="O34" t="str">
        <f>IFERROR(VLOOKUP($A34,reformattedTable1cerebrum!$A$1:$WV$1800,16,FALSE), "NA")</f>
        <v>Neves et al., 2014</v>
      </c>
      <c r="P34" t="str">
        <f>IFERROR(VLOOKUP($A34,reformattedTable1cerebrum!$A$1:$WV$1800,17,FALSE), "NA")</f>
        <v>Procavia_capensis</v>
      </c>
      <c r="Q34">
        <f>IFERROR(VLOOKUP($A34,reformattedTable2cerebellum!$A$1:$WW$1800,4,FALSE), "NA")</f>
        <v>2.0579999999999998</v>
      </c>
      <c r="R34" t="str">
        <f>IFERROR(VLOOKUP($A34,reformattedTable2cerebellum!$A$1:$WW$1800,5,FALSE), "NA")</f>
        <v>NA</v>
      </c>
      <c r="S34">
        <f>IFERROR(VLOOKUP($A34,reformattedTable2cerebellum!$A$1:$WW$1800,6,FALSE), "NA")</f>
        <v>488373000</v>
      </c>
      <c r="T34">
        <f>IFERROR(VLOOKUP($A34,reformattedTable2cerebellum!$A$1:$WW$1800,7,FALSE), "NA")</f>
        <v>42322000</v>
      </c>
      <c r="U34">
        <f>IFERROR(VLOOKUP($A34,reformattedTable2cerebellum!$A$1:$WW$1800,8,FALSE), "NA")</f>
        <v>91005000</v>
      </c>
      <c r="V34">
        <f>IFERROR(VLOOKUP($A34,reformattedTable2cerebellum!$A$1:$WW$1800,9,FALSE), "NA")</f>
        <v>30180000</v>
      </c>
      <c r="W34">
        <f>IFERROR(VLOOKUP($A34,reformattedTable2cerebellum!$A$1:$WW$1800,10,FALSE), "NA")</f>
        <v>242415</v>
      </c>
      <c r="X34">
        <f>IFERROR(VLOOKUP($A34,reformattedTable2cerebellum!$A$1:$WW$1800,11,FALSE), "NA")</f>
        <v>46950</v>
      </c>
      <c r="Y34">
        <f>IFERROR(VLOOKUP($A34,reformattedTable2cerebellum!$A$1:$WW$1800,12,FALSE), "NA")</f>
        <v>46365</v>
      </c>
      <c r="Z34">
        <f>IFERROR(VLOOKUP($A34,reformattedTable2cerebellum!$A$1:$WW$1800,13,FALSE), "NA")</f>
        <v>19711</v>
      </c>
      <c r="AA34">
        <f>IFERROR(VLOOKUP($A34,reformattedTable2cerebellum!$A$1:$WW$1800,14,FALSE), "NA")</f>
        <v>0.182</v>
      </c>
      <c r="AB34">
        <f>IFERROR(VLOOKUP($A34,reformattedTable2cerebellum!$A$1:$WW$1800,15,FALSE), "NA")</f>
        <v>4.5999999999999999E-2</v>
      </c>
      <c r="AC34" t="str">
        <f>IFERROR(VLOOKUP($A34,reformattedTable2cerebellum!$A$1:$WW$1800,16,FALSE), "NA")</f>
        <v>Neves et al., 2014</v>
      </c>
      <c r="AD34" t="str">
        <f>IFERROR(VLOOKUP($A34,reformattedTable2cerebellum!$A$1:$WW$1800,17,FALSE), "NA")</f>
        <v>Procavia_capensis</v>
      </c>
      <c r="AE34">
        <f>IFERROR(VLOOKUP($A34,reformattedTable3RoB!$A$1:$WW$1800,4,FALSE), "NA")</f>
        <v>4.3170000000000002</v>
      </c>
      <c r="AF34">
        <f>IFERROR(VLOOKUP($A34,reformattedTable3RoB!$A$1:$WW$1800,5,FALSE), "NA")</f>
        <v>0.625</v>
      </c>
      <c r="AG34">
        <f>IFERROR(VLOOKUP($A34,reformattedTable3RoB!$A$1:$WW$1800,6,FALSE), "NA")</f>
        <v>69358240</v>
      </c>
      <c r="AH34">
        <f>IFERROR(VLOOKUP($A34,reformattedTable3RoB!$A$1:$WW$1800,7,FALSE), "NA")</f>
        <v>762000</v>
      </c>
      <c r="AI34">
        <f>IFERROR(VLOOKUP($A34,reformattedTable3RoB!$A$1:$WW$1800,8,FALSE), "NA")</f>
        <v>162984760</v>
      </c>
      <c r="AJ34">
        <f>IFERROR(VLOOKUP($A34,reformattedTable3RoB!$A$1:$WW$1800,9,FALSE), "NA")</f>
        <v>6105000</v>
      </c>
      <c r="AK34">
        <f>IFERROR(VLOOKUP($A34,reformattedTable3RoB!$A$1:$WW$1800,10,FALSE), "NA")</f>
        <v>16436</v>
      </c>
      <c r="AL34">
        <f>IFERROR(VLOOKUP($A34,reformattedTable3RoB!$A$1:$WW$1800,11,FALSE), "NA")</f>
        <v>2556</v>
      </c>
      <c r="AM34">
        <f>IFERROR(VLOOKUP($A34,reformattedTable3RoB!$A$1:$WW$1800,12,FALSE), "NA")</f>
        <v>38353</v>
      </c>
      <c r="AN34">
        <f>IFERROR(VLOOKUP($A34,reformattedTable3RoB!$A$1:$WW$1800,13,FALSE), "NA")</f>
        <v>4138</v>
      </c>
      <c r="AO34">
        <f>IFERROR(VLOOKUP($A34,reformattedTable3RoB!$A$1:$WW$1800,14,FALSE), "NA")</f>
        <v>2.351</v>
      </c>
      <c r="AP34">
        <f>IFERROR(VLOOKUP($A34,reformattedTable3RoB!$A$1:$WW$1800,15,FALSE), "NA")</f>
        <v>0.114</v>
      </c>
      <c r="AQ34" t="str">
        <f>IFERROR(VLOOKUP($A34,reformattedTable3RoB!$A$1:$WW$1800,16,FALSE), "NA")</f>
        <v>Neves et al., 2014</v>
      </c>
      <c r="AR34" t="str">
        <f>IFERROR(VLOOKUP($A34,reformattedTable3RoB!$A$1:$WW$1800,17,FALSE), "NA")</f>
        <v>Procavia_capensis</v>
      </c>
      <c r="AS34">
        <f>IFERROR(VLOOKUP($A34,reformattedTable4olfactory_bulb!$A$1:$WV$1800,4,FALSE), "NA")</f>
        <v>0.28599999999999998</v>
      </c>
      <c r="AT34" t="str">
        <f>IFERROR(VLOOKUP($A34,reformattedTable4olfactory_bulb!$A$1:$WV$1800,5,FALSE), "NA")</f>
        <v>NA</v>
      </c>
      <c r="AU34">
        <f>IFERROR(VLOOKUP($A34,reformattedTable4olfactory_bulb!$A$1:$WV$1800,6,FALSE), "NA")</f>
        <v>20909490</v>
      </c>
      <c r="AV34" t="str">
        <f>IFERROR(VLOOKUP($A34,reformattedTable4olfactory_bulb!$A$1:$WV$1800,7,FALSE), "NA")</f>
        <v>NA</v>
      </c>
      <c r="AW34">
        <f>IFERROR(VLOOKUP($A34,reformattedTable4olfactory_bulb!$A$1:$WV$1800,8,FALSE), "NA")</f>
        <v>14790510</v>
      </c>
      <c r="AX34" t="str">
        <f>IFERROR(VLOOKUP($A34,reformattedTable4olfactory_bulb!$A$1:$WV$1800,9,FALSE), "NA")</f>
        <v>NA</v>
      </c>
      <c r="AY34">
        <f>IFERROR(VLOOKUP($A34,reformattedTable4olfactory_bulb!$A$1:$WV$1800,10,FALSE), "NA")</f>
        <v>73110</v>
      </c>
      <c r="AZ34" t="str">
        <f>IFERROR(VLOOKUP($A34,reformattedTable4olfactory_bulb!$A$1:$WV$1800,11,FALSE), "NA")</f>
        <v>NA</v>
      </c>
      <c r="BA34">
        <f>IFERROR(VLOOKUP($A34,reformattedTable4olfactory_bulb!$A$1:$WV$1800,12,FALSE), "NA")</f>
        <v>51715</v>
      </c>
      <c r="BB34" t="str">
        <f>IFERROR(VLOOKUP($A34,reformattedTable4olfactory_bulb!$A$1:$WV$1800,13,FALSE), "NA")</f>
        <v>NA</v>
      </c>
      <c r="BC34">
        <f>IFERROR(VLOOKUP($A34,reformattedTable4olfactory_bulb!$A$1:$WV$1800,14,FALSE), "NA")</f>
        <v>0.70699999999999996</v>
      </c>
      <c r="BD34" t="str">
        <f>IFERROR(VLOOKUP($A34,reformattedTable4olfactory_bulb!$A$1:$WV$1800,15,FALSE), "NA")</f>
        <v>NA</v>
      </c>
      <c r="BE34" t="str">
        <f>IFERROR(VLOOKUP($A34,reformattedTable4olfactory_bulb!$A$1:$WV$1800,16,FALSE), "NA")</f>
        <v>Neves et al., 2014</v>
      </c>
      <c r="BF34" t="str">
        <f>IFERROR(VLOOKUP($A34,reformattedTable4olfactory_bulb!$A$1:$WV$1800,17,FALSE), "NA")</f>
        <v>Procavia_capensis</v>
      </c>
      <c r="BG34">
        <f>IFERROR(VLOOKUP($A34,reformattedTable5whole_brain!$A$1:$WV$1800,4,FALSE), "NA")</f>
        <v>2517</v>
      </c>
      <c r="BH34" t="str">
        <f>IFERROR(VLOOKUP($A34,reformattedTable5whole_brain!$A$1:$WV$1800,5,FALSE), "NA")</f>
        <v>NA</v>
      </c>
      <c r="BI34">
        <f>IFERROR(VLOOKUP($A34,reformattedTable5whole_brain!$A$1:$WV$1800,6,FALSE), "NA")</f>
        <v>16.853000000000002</v>
      </c>
      <c r="BJ34">
        <f>IFERROR(VLOOKUP($A34,reformattedTable5whole_brain!$A$1:$WV$1800,7,FALSE), "NA")</f>
        <v>1.4950000000000001</v>
      </c>
      <c r="BK34">
        <f>IFERROR(VLOOKUP($A34,reformattedTable5whole_brain!$A$1:$WV$1800,8,FALSE), "NA")</f>
        <v>755653000</v>
      </c>
      <c r="BL34">
        <f>IFERROR(VLOOKUP($A34,reformattedTable5whole_brain!$A$1:$WV$1800,9,FALSE), "NA")</f>
        <v>72145000</v>
      </c>
      <c r="BM34">
        <f>IFERROR(VLOOKUP($A34,reformattedTable5whole_brain!$A$1:$WV$1800,10,FALSE), "NA")</f>
        <v>620622000</v>
      </c>
      <c r="BN34">
        <f>IFERROR(VLOOKUP($A34,reformattedTable5whole_brain!$A$1:$WV$1800,11,FALSE), "NA")</f>
        <v>37616000</v>
      </c>
      <c r="BO34" t="str">
        <f>IFERROR(VLOOKUP($A34,reformattedTable5whole_brain!$A$1:$WV$1800,12,FALSE), "NA")</f>
        <v>NA</v>
      </c>
      <c r="BP34" t="str">
        <f>IFERROR(VLOOKUP($A34,reformattedTable5whole_brain!$A$1:$WV$1800,13,FALSE), "NA")</f>
        <v>NA</v>
      </c>
      <c r="BQ34" t="str">
        <f>IFERROR(VLOOKUP($A34,reformattedTable5whole_brain!$A$1:$WV$1800,14,FALSE), "NA")</f>
        <v>Neves et al., 2014</v>
      </c>
      <c r="BR34" t="str">
        <f>IFERROR(VLOOKUP($A34,reformattedTable5whole_brain!$A$1:$WV$1800,15,FALSE), "NA")</f>
        <v>Procavia_capensis</v>
      </c>
    </row>
    <row r="35" spans="1:70">
      <c r="A35" t="s">
        <v>47</v>
      </c>
      <c r="B35" t="s">
        <v>19</v>
      </c>
      <c r="C35">
        <f>IFERROR(VLOOKUP($A35,reformattedTable1cerebrum!$A$1:$WV$1800,4,FALSE), "NA")</f>
        <v>0.92400000000000004</v>
      </c>
      <c r="D35">
        <f>IFERROR(VLOOKUP($A35,reformattedTable1cerebrum!$A$1:$WV$1800,5,FALSE), "NA")</f>
        <v>0.05</v>
      </c>
      <c r="E35">
        <f>IFERROR(VLOOKUP($A35,reformattedTable1cerebrum!$A$1:$WV$1800,6,FALSE), "NA")</f>
        <v>26086024</v>
      </c>
      <c r="F35">
        <f>IFERROR(VLOOKUP($A35,reformattedTable1cerebrum!$A$1:$WV$1800,7,FALSE), "NA")</f>
        <v>2155723</v>
      </c>
      <c r="G35">
        <f>IFERROR(VLOOKUP($A35,reformattedTable1cerebrum!$A$1:$WV$1800,8,FALSE), "NA")</f>
        <v>71833039</v>
      </c>
      <c r="H35">
        <f>IFERROR(VLOOKUP($A35,reformattedTable1cerebrum!$A$1:$WV$1800,9,FALSE), "NA")</f>
        <v>6712722</v>
      </c>
      <c r="I35">
        <f>IFERROR(VLOOKUP($A35,reformattedTable1cerebrum!$A$1:$WV$1800,10,FALSE), "NA")</f>
        <v>28321</v>
      </c>
      <c r="J35">
        <f>IFERROR(VLOOKUP($A35,reformattedTable1cerebrum!$A$1:$WV$1800,11,FALSE), "NA")</f>
        <v>3870</v>
      </c>
      <c r="K35">
        <f>IFERROR(VLOOKUP($A35,reformattedTable1cerebrum!$A$1:$WV$1800,12,FALSE), "NA")</f>
        <v>78011</v>
      </c>
      <c r="L35">
        <f>IFERROR(VLOOKUP($A35,reformattedTable1cerebrum!$A$1:$WV$1800,13,FALSE), "NA")</f>
        <v>11497</v>
      </c>
      <c r="M35">
        <f>IFERROR(VLOOKUP($A35,reformattedTable1cerebrum!$A$1:$WV$1800,14,FALSE), "NA")</f>
        <v>2.7519999999999998</v>
      </c>
      <c r="N35">
        <f>IFERROR(VLOOKUP($A35,reformattedTable1cerebrum!$A$1:$WV$1800,15,FALSE), "NA")</f>
        <v>0.03</v>
      </c>
      <c r="O35" t="str">
        <f>IFERROR(VLOOKUP($A35,reformattedTable1cerebrum!$A$1:$WV$1800,16,FALSE), "NA")</f>
        <v>Herculano-Houzel et al., 2011</v>
      </c>
      <c r="P35" t="str">
        <f>IFERROR(VLOOKUP($A35,reformattedTable1cerebrum!$A$1:$WV$1800,17,FALSE), "NA")</f>
        <v>Proechimys_cayennensis</v>
      </c>
      <c r="Q35">
        <f>IFERROR(VLOOKUP($A35,reformattedTable2cerebellum!$A$1:$WW$1800,4,FALSE), "NA")</f>
        <v>0.33</v>
      </c>
      <c r="R35">
        <f>IFERROR(VLOOKUP($A35,reformattedTable2cerebellum!$A$1:$WW$1800,5,FALSE), "NA")</f>
        <v>2.5999999999999999E-2</v>
      </c>
      <c r="S35">
        <f>IFERROR(VLOOKUP($A35,reformattedTable2cerebellum!$A$1:$WW$1800,6,FALSE), "NA")</f>
        <v>162512050</v>
      </c>
      <c r="T35">
        <f>IFERROR(VLOOKUP($A35,reformattedTable2cerebellum!$A$1:$WW$1800,7,FALSE), "NA")</f>
        <v>3553848</v>
      </c>
      <c r="U35">
        <f>IFERROR(VLOOKUP($A35,reformattedTable2cerebellum!$A$1:$WW$1800,8,FALSE), "NA")</f>
        <v>36372950</v>
      </c>
      <c r="V35">
        <f>IFERROR(VLOOKUP($A35,reformattedTable2cerebellum!$A$1:$WW$1800,9,FALSE), "NA")</f>
        <v>5094068</v>
      </c>
      <c r="W35">
        <f>IFERROR(VLOOKUP($A35,reformattedTable2cerebellum!$A$1:$WW$1800,10,FALSE), "NA")</f>
        <v>494338</v>
      </c>
      <c r="X35">
        <f>IFERROR(VLOOKUP($A35,reformattedTable2cerebellum!$A$1:$WW$1800,11,FALSE), "NA")</f>
        <v>28466</v>
      </c>
      <c r="Y35">
        <f>IFERROR(VLOOKUP($A35,reformattedTable2cerebellum!$A$1:$WW$1800,12,FALSE), "NA")</f>
        <v>110122</v>
      </c>
      <c r="Z35">
        <f>IFERROR(VLOOKUP($A35,reformattedTable2cerebellum!$A$1:$WW$1800,13,FALSE), "NA")</f>
        <v>6716</v>
      </c>
      <c r="AA35">
        <f>IFERROR(VLOOKUP($A35,reformattedTable2cerebellum!$A$1:$WW$1800,14,FALSE), "NA")</f>
        <v>0.224</v>
      </c>
      <c r="AB35">
        <f>IFERROR(VLOOKUP($A35,reformattedTable2cerebellum!$A$1:$WW$1800,15,FALSE), "NA")</f>
        <v>2.5999999999999999E-2</v>
      </c>
      <c r="AC35" t="str">
        <f>IFERROR(VLOOKUP($A35,reformattedTable2cerebellum!$A$1:$WW$1800,16,FALSE), "NA")</f>
        <v>Herculano-Houzel et al., 2011</v>
      </c>
      <c r="AD35" t="str">
        <f>IFERROR(VLOOKUP($A35,reformattedTable2cerebellum!$A$1:$WW$1800,17,FALSE), "NA")</f>
        <v>Proechimys_cayennensis</v>
      </c>
      <c r="AE35">
        <f>IFERROR(VLOOKUP($A35,reformattedTable3RoB!$A$1:$WW$1800,4,FALSE), "NA")</f>
        <v>0.82399999999999995</v>
      </c>
      <c r="AF35">
        <f>IFERROR(VLOOKUP($A35,reformattedTable3RoB!$A$1:$WW$1800,5,FALSE), "NA")</f>
        <v>6.0000000000000001E-3</v>
      </c>
      <c r="AG35">
        <f>IFERROR(VLOOKUP($A35,reformattedTable3RoB!$A$1:$WW$1800,6,FALSE), "NA")</f>
        <v>13492039</v>
      </c>
      <c r="AH35">
        <f>IFERROR(VLOOKUP($A35,reformattedTable3RoB!$A$1:$WW$1800,7,FALSE), "NA")</f>
        <v>1533120</v>
      </c>
      <c r="AI35">
        <f>IFERROR(VLOOKUP($A35,reformattedTable3RoB!$A$1:$WW$1800,8,FALSE), "NA")</f>
        <v>73068898</v>
      </c>
      <c r="AJ35">
        <f>IFERROR(VLOOKUP($A35,reformattedTable3RoB!$A$1:$WW$1800,9,FALSE), "NA")</f>
        <v>2691449</v>
      </c>
      <c r="AK35">
        <f>IFERROR(VLOOKUP($A35,reformattedTable3RoB!$A$1:$WW$1800,10,FALSE), "NA")</f>
        <v>16381</v>
      </c>
      <c r="AL35">
        <f>IFERROR(VLOOKUP($A35,reformattedTable3RoB!$A$1:$WW$1800,11,FALSE), "NA")</f>
        <v>1973</v>
      </c>
      <c r="AM35">
        <f>IFERROR(VLOOKUP($A35,reformattedTable3RoB!$A$1:$WW$1800,12,FALSE), "NA")</f>
        <v>88667</v>
      </c>
      <c r="AN35">
        <f>IFERROR(VLOOKUP($A35,reformattedTable3RoB!$A$1:$WW$1800,13,FALSE), "NA")</f>
        <v>2658</v>
      </c>
      <c r="AO35">
        <f>IFERROR(VLOOKUP($A35,reformattedTable3RoB!$A$1:$WW$1800,14,FALSE), "NA")</f>
        <v>5.4619999999999997</v>
      </c>
      <c r="AP35" t="str">
        <f>IFERROR(VLOOKUP($A35,reformattedTable3RoB!$A$1:$WW$1800,15,FALSE), "NA")</f>
        <v>NA</v>
      </c>
      <c r="AQ35" t="str">
        <f>IFERROR(VLOOKUP($A35,reformattedTable3RoB!$A$1:$WW$1800,16,FALSE), "NA")</f>
        <v>Herculano-Houzel et al., 2011</v>
      </c>
      <c r="AR35" t="str">
        <f>IFERROR(VLOOKUP($A35,reformattedTable3RoB!$A$1:$WW$1800,17,FALSE), "NA")</f>
        <v>Proechimys_cayennensis</v>
      </c>
      <c r="AS35">
        <f>IFERROR(VLOOKUP($A35,reformattedTable4olfactory_bulb!$A$1:$WV$1800,4,FALSE), "NA")</f>
        <v>0.13200000000000001</v>
      </c>
      <c r="AT35" t="str">
        <f>IFERROR(VLOOKUP($A35,reformattedTable4olfactory_bulb!$A$1:$WV$1800,5,FALSE), "NA")</f>
        <v>NA</v>
      </c>
      <c r="AU35">
        <f>IFERROR(VLOOKUP($A35,reformattedTable4olfactory_bulb!$A$1:$WV$1800,6,FALSE), "NA")</f>
        <v>9141540</v>
      </c>
      <c r="AV35" t="str">
        <f>IFERROR(VLOOKUP($A35,reformattedTable4olfactory_bulb!$A$1:$WV$1800,7,FALSE), "NA")</f>
        <v>NA</v>
      </c>
      <c r="AW35">
        <f>IFERROR(VLOOKUP($A35,reformattedTable4olfactory_bulb!$A$1:$WV$1800,8,FALSE), "NA")</f>
        <v>21128460</v>
      </c>
      <c r="AX35" t="str">
        <f>IFERROR(VLOOKUP($A35,reformattedTable4olfactory_bulb!$A$1:$WV$1800,9,FALSE), "NA")</f>
        <v>NA</v>
      </c>
      <c r="AY35">
        <f>IFERROR(VLOOKUP($A35,reformattedTable4olfactory_bulb!$A$1:$WV$1800,10,FALSE), "NA")</f>
        <v>69254</v>
      </c>
      <c r="AZ35" t="str">
        <f>IFERROR(VLOOKUP($A35,reformattedTable4olfactory_bulb!$A$1:$WV$1800,11,FALSE), "NA")</f>
        <v>NA</v>
      </c>
      <c r="BA35">
        <f>IFERROR(VLOOKUP($A35,reformattedTable4olfactory_bulb!$A$1:$WV$1800,12,FALSE), "NA")</f>
        <v>160064</v>
      </c>
      <c r="BB35" t="str">
        <f>IFERROR(VLOOKUP($A35,reformattedTable4olfactory_bulb!$A$1:$WV$1800,13,FALSE), "NA")</f>
        <v>NA</v>
      </c>
      <c r="BC35">
        <f>IFERROR(VLOOKUP($A35,reformattedTable4olfactory_bulb!$A$1:$WV$1800,14,FALSE), "NA")</f>
        <v>2.3109999999999999</v>
      </c>
      <c r="BD35" t="str">
        <f>IFERROR(VLOOKUP($A35,reformattedTable4olfactory_bulb!$A$1:$WV$1800,15,FALSE), "NA")</f>
        <v>NA</v>
      </c>
      <c r="BE35" t="str">
        <f>IFERROR(VLOOKUP($A35,reformattedTable4olfactory_bulb!$A$1:$WV$1800,16,FALSE), "NA")</f>
        <v>Herculano-Houzel et al., 2011</v>
      </c>
      <c r="BF35" t="str">
        <f>IFERROR(VLOOKUP($A35,reformattedTable4olfactory_bulb!$A$1:$WV$1800,17,FALSE), "NA")</f>
        <v>Proechimys_cayennensis</v>
      </c>
      <c r="BG35">
        <f>IFERROR(VLOOKUP($A35,reformattedTable5whole_brain!$A$1:$WV$1800,4,FALSE), "NA")</f>
        <v>223.48500000000001</v>
      </c>
      <c r="BH35">
        <f>IFERROR(VLOOKUP($A35,reformattedTable5whole_brain!$A$1:$WV$1800,5,FALSE), "NA")</f>
        <v>16.600000000000001</v>
      </c>
      <c r="BI35">
        <f>IFERROR(VLOOKUP($A35,reformattedTable5whole_brain!$A$1:$WV$1800,6,FALSE), "NA")</f>
        <v>2.0779999999999998</v>
      </c>
      <c r="BJ35">
        <f>IFERROR(VLOOKUP($A35,reformattedTable5whole_brain!$A$1:$WV$1800,7,FALSE), "NA")</f>
        <v>7.0999999999999994E-2</v>
      </c>
      <c r="BK35">
        <f>IFERROR(VLOOKUP($A35,reformattedTable5whole_brain!$A$1:$WV$1800,8,FALSE), "NA")</f>
        <v>202090113</v>
      </c>
      <c r="BL35">
        <f>IFERROR(VLOOKUP($A35,reformattedTable5whole_brain!$A$1:$WV$1800,9,FALSE), "NA")</f>
        <v>2931245</v>
      </c>
      <c r="BM35">
        <f>IFERROR(VLOOKUP($A35,reformattedTable5whole_brain!$A$1:$WV$1800,10,FALSE), "NA")</f>
        <v>181274887</v>
      </c>
      <c r="BN35">
        <f>IFERROR(VLOOKUP($A35,reformattedTable5whole_brain!$A$1:$WV$1800,11,FALSE), "NA")</f>
        <v>4310103</v>
      </c>
      <c r="BO35">
        <f>IFERROR(VLOOKUP($A35,reformattedTable5whole_brain!$A$1:$WV$1800,12,FALSE), "NA")</f>
        <v>52.7</v>
      </c>
      <c r="BP35">
        <f>IFERROR(VLOOKUP($A35,reformattedTable5whole_brain!$A$1:$WV$1800,13,FALSE), "NA")</f>
        <v>1</v>
      </c>
      <c r="BQ35" t="str">
        <f>IFERROR(VLOOKUP($A35,reformattedTable5whole_brain!$A$1:$WV$1800,14,FALSE), "NA")</f>
        <v>Herculano-Houzel et al., 2011</v>
      </c>
      <c r="BR35" t="str">
        <f>IFERROR(VLOOKUP($A35,reformattedTable5whole_brain!$A$1:$WV$1800,15,FALSE), "NA")</f>
        <v>Proechimys_cayennensis</v>
      </c>
    </row>
    <row r="36" spans="1:70">
      <c r="A36" t="s">
        <v>41</v>
      </c>
      <c r="B36" t="s">
        <v>19</v>
      </c>
      <c r="C36">
        <f>IFERROR(VLOOKUP($A36,reformattedTable1cerebrum!$A$1:$WV$1800,4,FALSE), "NA")</f>
        <v>0.76900000000000002</v>
      </c>
      <c r="D36">
        <f>IFERROR(VLOOKUP($A36,reformattedTable1cerebrum!$A$1:$WV$1800,5,FALSE), "NA")</f>
        <v>0.113</v>
      </c>
      <c r="E36">
        <f>IFERROR(VLOOKUP($A36,reformattedTable1cerebrum!$A$1:$WV$1800,6,FALSE), "NA")</f>
        <v>31017192</v>
      </c>
      <c r="F36">
        <f>IFERROR(VLOOKUP($A36,reformattedTable1cerebrum!$A$1:$WV$1800,7,FALSE), "NA")</f>
        <v>3034654</v>
      </c>
      <c r="G36">
        <f>IFERROR(VLOOKUP($A36,reformattedTable1cerebrum!$A$1:$WV$1800,8,FALSE), "NA")</f>
        <v>45687808</v>
      </c>
      <c r="H36">
        <f>IFERROR(VLOOKUP($A36,reformattedTable1cerebrum!$A$1:$WV$1800,9,FALSE), "NA")</f>
        <v>5678958</v>
      </c>
      <c r="I36">
        <f>IFERROR(VLOOKUP($A36,reformattedTable1cerebrum!$A$1:$WV$1800,10,FALSE), "NA")</f>
        <v>41092</v>
      </c>
      <c r="J36">
        <f>IFERROR(VLOOKUP($A36,reformattedTable1cerebrum!$A$1:$WV$1800,11,FALSE), "NA")</f>
        <v>7999</v>
      </c>
      <c r="K36">
        <f>IFERROR(VLOOKUP($A36,reformattedTable1cerebrum!$A$1:$WV$1800,12,FALSE), "NA")</f>
        <v>60426</v>
      </c>
      <c r="L36">
        <f>IFERROR(VLOOKUP($A36,reformattedTable1cerebrum!$A$1:$WV$1800,13,FALSE), "NA")</f>
        <v>12477</v>
      </c>
      <c r="M36">
        <f>IFERROR(VLOOKUP($A36,reformattedTable1cerebrum!$A$1:$WV$1800,14,FALSE), "NA")</f>
        <v>1.4970000000000001</v>
      </c>
      <c r="N36">
        <f>IFERROR(VLOOKUP($A36,reformattedTable1cerebrum!$A$1:$WV$1800,15,FALSE), "NA")</f>
        <v>0.32800000000000001</v>
      </c>
      <c r="O36" t="str">
        <f>IFERROR(VLOOKUP($A36,reformattedTable1cerebrum!$A$1:$WV$1800,16,FALSE), "NA")</f>
        <v>Herculano-Houzel et al., 2006</v>
      </c>
      <c r="P36" t="str">
        <f>IFERROR(VLOOKUP($A36,reformattedTable1cerebrum!$A$1:$WV$1800,17,FALSE), "NA")</f>
        <v>Rattus_norvegicus</v>
      </c>
      <c r="Q36">
        <f>IFERROR(VLOOKUP($A36,reformattedTable2cerebellum!$A$1:$WW$1800,4,FALSE), "NA")</f>
        <v>0.27200000000000002</v>
      </c>
      <c r="R36">
        <f>IFERROR(VLOOKUP($A36,reformattedTable2cerebellum!$A$1:$WW$1800,5,FALSE), "NA")</f>
        <v>3.7999999999999999E-2</v>
      </c>
      <c r="S36">
        <f>IFERROR(VLOOKUP($A36,reformattedTable2cerebellum!$A$1:$WW$1800,6,FALSE), "NA")</f>
        <v>139171882</v>
      </c>
      <c r="T36">
        <f>IFERROR(VLOOKUP($A36,reformattedTable2cerebellum!$A$1:$WW$1800,7,FALSE), "NA")</f>
        <v>11185675</v>
      </c>
      <c r="U36">
        <f>IFERROR(VLOOKUP($A36,reformattedTable2cerebellum!$A$1:$WW$1800,8,FALSE), "NA")</f>
        <v>29005617</v>
      </c>
      <c r="V36">
        <f>IFERROR(VLOOKUP($A36,reformattedTable2cerebellum!$A$1:$WW$1800,9,FALSE), "NA")</f>
        <v>6282204</v>
      </c>
      <c r="W36">
        <f>IFERROR(VLOOKUP($A36,reformattedTable2cerebellum!$A$1:$WW$1800,10,FALSE), "NA")</f>
        <v>522688</v>
      </c>
      <c r="X36">
        <f>IFERROR(VLOOKUP($A36,reformattedTable2cerebellum!$A$1:$WW$1800,11,FALSE), "NA")</f>
        <v>108847</v>
      </c>
      <c r="Y36">
        <f>IFERROR(VLOOKUP($A36,reformattedTable2cerebellum!$A$1:$WW$1800,12,FALSE), "NA")</f>
        <v>108555</v>
      </c>
      <c r="Z36">
        <f>IFERROR(VLOOKUP($A36,reformattedTable2cerebellum!$A$1:$WW$1800,13,FALSE), "NA")</f>
        <v>29355</v>
      </c>
      <c r="AA36">
        <f>IFERROR(VLOOKUP($A36,reformattedTable2cerebellum!$A$1:$WW$1800,14,FALSE), "NA")</f>
        <v>0.20899999999999999</v>
      </c>
      <c r="AB36">
        <f>IFERROR(VLOOKUP($A36,reformattedTable2cerebellum!$A$1:$WW$1800,15,FALSE), "NA")</f>
        <v>4.7E-2</v>
      </c>
      <c r="AC36" t="str">
        <f>IFERROR(VLOOKUP($A36,reformattedTable2cerebellum!$A$1:$WW$1800,16,FALSE), "NA")</f>
        <v>Herculano-Houzel et al., 2006</v>
      </c>
      <c r="AD36" t="str">
        <f>IFERROR(VLOOKUP($A36,reformattedTable2cerebellum!$A$1:$WW$1800,17,FALSE), "NA")</f>
        <v>Rattus_norvegicus</v>
      </c>
      <c r="AE36">
        <f>IFERROR(VLOOKUP($A36,reformattedTable3RoB!$A$1:$WW$1800,4,FALSE), "NA")</f>
        <v>0.68300000000000005</v>
      </c>
      <c r="AF36">
        <f>IFERROR(VLOOKUP($A36,reformattedTable3RoB!$A$1:$WW$1800,5,FALSE), "NA")</f>
        <v>0.153</v>
      </c>
      <c r="AG36">
        <f>IFERROR(VLOOKUP($A36,reformattedTable3RoB!$A$1:$WW$1800,6,FALSE), "NA")</f>
        <v>18678758</v>
      </c>
      <c r="AH36">
        <f>IFERROR(VLOOKUP($A36,reformattedTable3RoB!$A$1:$WW$1800,7,FALSE), "NA")</f>
        <v>4243909</v>
      </c>
      <c r="AI36">
        <f>IFERROR(VLOOKUP($A36,reformattedTable3RoB!$A$1:$WW$1800,8,FALSE), "NA")</f>
        <v>47221243</v>
      </c>
      <c r="AJ36">
        <f>IFERROR(VLOOKUP($A36,reformattedTable3RoB!$A$1:$WW$1800,9,FALSE), "NA")</f>
        <v>5979982</v>
      </c>
      <c r="AK36">
        <f>IFERROR(VLOOKUP($A36,reformattedTable3RoB!$A$1:$WW$1800,10,FALSE), "NA")</f>
        <v>27813</v>
      </c>
      <c r="AL36">
        <f>IFERROR(VLOOKUP($A36,reformattedTable3RoB!$A$1:$WW$1800,11,FALSE), "NA")</f>
        <v>6171</v>
      </c>
      <c r="AM36">
        <f>IFERROR(VLOOKUP($A36,reformattedTable3RoB!$A$1:$WW$1800,12,FALSE), "NA")</f>
        <v>71760</v>
      </c>
      <c r="AN36">
        <f>IFERROR(VLOOKUP($A36,reformattedTable3RoB!$A$1:$WW$1800,13,FALSE), "NA")</f>
        <v>18475</v>
      </c>
      <c r="AO36">
        <f>IFERROR(VLOOKUP($A36,reformattedTable3RoB!$A$1:$WW$1800,14,FALSE), "NA")</f>
        <v>2.5870000000000002</v>
      </c>
      <c r="AP36" t="str">
        <f>IFERROR(VLOOKUP($A36,reformattedTable3RoB!$A$1:$WW$1800,15,FALSE), "NA")</f>
        <v>NA</v>
      </c>
      <c r="AQ36" t="str">
        <f>IFERROR(VLOOKUP($A36,reformattedTable3RoB!$A$1:$WW$1800,16,FALSE), "NA")</f>
        <v>Herculano-Houzel et al., 2006</v>
      </c>
      <c r="AR36" t="str">
        <f>IFERROR(VLOOKUP($A36,reformattedTable3RoB!$A$1:$WW$1800,17,FALSE), "NA")</f>
        <v>Rattus_norvegicus</v>
      </c>
      <c r="AS36">
        <f>IFERROR(VLOOKUP($A36,reformattedTable4olfactory_bulb!$A$1:$WV$1800,4,FALSE), "NA")</f>
        <v>7.3999999999999996E-2</v>
      </c>
      <c r="AT36">
        <f>IFERROR(VLOOKUP($A36,reformattedTable4olfactory_bulb!$A$1:$WV$1800,5,FALSE), "NA")</f>
        <v>2.1999999999999999E-2</v>
      </c>
      <c r="AU36">
        <f>IFERROR(VLOOKUP($A36,reformattedTable4olfactory_bulb!$A$1:$WV$1800,6,FALSE), "NA")</f>
        <v>11103272</v>
      </c>
      <c r="AV36">
        <f>IFERROR(VLOOKUP($A36,reformattedTable4olfactory_bulb!$A$1:$WV$1800,7,FALSE), "NA")</f>
        <v>3202766</v>
      </c>
      <c r="AW36">
        <f>IFERROR(VLOOKUP($A36,reformattedTable4olfactory_bulb!$A$1:$WV$1800,8,FALSE), "NA")</f>
        <v>9238728</v>
      </c>
      <c r="AX36">
        <f>IFERROR(VLOOKUP($A36,reformattedTable4olfactory_bulb!$A$1:$WV$1800,9,FALSE), "NA")</f>
        <v>2250728</v>
      </c>
      <c r="AY36">
        <f>IFERROR(VLOOKUP($A36,reformattedTable4olfactory_bulb!$A$1:$WV$1800,10,FALSE), "NA")</f>
        <v>152373</v>
      </c>
      <c r="AZ36">
        <f>IFERROR(VLOOKUP($A36,reformattedTable4olfactory_bulb!$A$1:$WV$1800,11,FALSE), "NA")</f>
        <v>26913</v>
      </c>
      <c r="BA36">
        <f>IFERROR(VLOOKUP($A36,reformattedTable4olfactory_bulb!$A$1:$WV$1800,12,FALSE), "NA")</f>
        <v>126210</v>
      </c>
      <c r="BB36">
        <f>IFERROR(VLOOKUP($A36,reformattedTable4olfactory_bulb!$A$1:$WV$1800,13,FALSE), "NA")</f>
        <v>8033</v>
      </c>
      <c r="BC36">
        <f>IFERROR(VLOOKUP($A36,reformattedTable4olfactory_bulb!$A$1:$WV$1800,14,FALSE), "NA")</f>
        <v>0.84799999999999998</v>
      </c>
      <c r="BD36">
        <f>IFERROR(VLOOKUP($A36,reformattedTable4olfactory_bulb!$A$1:$WV$1800,15,FALSE), "NA")</f>
        <v>0.14499999999999999</v>
      </c>
      <c r="BE36" t="str">
        <f>IFERROR(VLOOKUP($A36,reformattedTable4olfactory_bulb!$A$1:$WV$1800,16,FALSE), "NA")</f>
        <v>Herculano-Houzel et al., 2006</v>
      </c>
      <c r="BF36" t="str">
        <f>IFERROR(VLOOKUP($A36,reformattedTable4olfactory_bulb!$A$1:$WV$1800,17,FALSE), "NA")</f>
        <v>Rattus_norvegicus</v>
      </c>
      <c r="BG36">
        <f>IFERROR(VLOOKUP($A36,reformattedTable5whole_brain!$A$1:$WV$1800,4,FALSE), "NA")</f>
        <v>315.10000000000002</v>
      </c>
      <c r="BH36">
        <f>IFERROR(VLOOKUP($A36,reformattedTable5whole_brain!$A$1:$WV$1800,5,FALSE), "NA")</f>
        <v>102.9</v>
      </c>
      <c r="BI36">
        <f>IFERROR(VLOOKUP($A36,reformattedTable5whole_brain!$A$1:$WV$1800,6,FALSE), "NA")</f>
        <v>1.724</v>
      </c>
      <c r="BJ36">
        <f>IFERROR(VLOOKUP($A36,reformattedTable5whole_brain!$A$1:$WV$1800,7,FALSE), "NA")</f>
        <v>0.29199999999999998</v>
      </c>
      <c r="BK36">
        <f>IFERROR(VLOOKUP($A36,reformattedTable5whole_brain!$A$1:$WV$1800,8,FALSE), "NA")</f>
        <v>188867832</v>
      </c>
      <c r="BL36">
        <f>IFERROR(VLOOKUP($A36,reformattedTable5whole_brain!$A$1:$WV$1800,9,FALSE), "NA")</f>
        <v>12622383</v>
      </c>
      <c r="BM36">
        <f>IFERROR(VLOOKUP($A36,reformattedTable5whole_brain!$A$1:$WV$1800,10,FALSE), "NA")</f>
        <v>121914668</v>
      </c>
      <c r="BN36">
        <f>IFERROR(VLOOKUP($A36,reformattedTable5whole_brain!$A$1:$WV$1800,11,FALSE), "NA")</f>
        <v>7106729</v>
      </c>
      <c r="BO36">
        <f>IFERROR(VLOOKUP($A36,reformattedTable5whole_brain!$A$1:$WV$1800,12,FALSE), "NA")</f>
        <v>60.7</v>
      </c>
      <c r="BP36">
        <f>IFERROR(VLOOKUP($A36,reformattedTable5whole_brain!$A$1:$WV$1800,13,FALSE), "NA")</f>
        <v>2.4</v>
      </c>
      <c r="BQ36" t="str">
        <f>IFERROR(VLOOKUP($A36,reformattedTable5whole_brain!$A$1:$WV$1800,14,FALSE), "NA")</f>
        <v>Herculano-Houzel et al., 2006</v>
      </c>
      <c r="BR36" t="str">
        <f>IFERROR(VLOOKUP($A36,reformattedTable5whole_brain!$A$1:$WV$1800,15,FALSE), "NA")</f>
        <v>Rattus_norvegicus</v>
      </c>
    </row>
    <row r="37" spans="1:70">
      <c r="A37" t="s">
        <v>77</v>
      </c>
      <c r="B37" t="s">
        <v>44</v>
      </c>
      <c r="C37">
        <f>IFERROR(VLOOKUP($A37,reformattedTable1cerebrum!$A$1:$WV$1800,4,FALSE), "NA")</f>
        <v>20.652000000000001</v>
      </c>
      <c r="D37">
        <f>IFERROR(VLOOKUP($A37,reformattedTable1cerebrum!$A$1:$WV$1800,5,FALSE), "NA")</f>
        <v>0.36799999999999999</v>
      </c>
      <c r="E37">
        <f>IFERROR(VLOOKUP($A37,reformattedTable1cerebrum!$A$1:$WV$1800,6,FALSE), "NA")</f>
        <v>1340000000</v>
      </c>
      <c r="F37">
        <f>IFERROR(VLOOKUP($A37,reformattedTable1cerebrum!$A$1:$WV$1800,7,FALSE), "NA")</f>
        <v>20000000</v>
      </c>
      <c r="G37">
        <f>IFERROR(VLOOKUP($A37,reformattedTable1cerebrum!$A$1:$WV$1800,8,FALSE), "NA")</f>
        <v>1610000000</v>
      </c>
      <c r="H37">
        <f>IFERROR(VLOOKUP($A37,reformattedTable1cerebrum!$A$1:$WV$1800,9,FALSE), "NA")</f>
        <v>40000000</v>
      </c>
      <c r="I37">
        <f>IFERROR(VLOOKUP($A37,reformattedTable1cerebrum!$A$1:$WV$1800,10,FALSE), "NA")</f>
        <v>64930</v>
      </c>
      <c r="J37">
        <f>IFERROR(VLOOKUP($A37,reformattedTable1cerebrum!$A$1:$WV$1800,11,FALSE), "NA")</f>
        <v>7420</v>
      </c>
      <c r="K37">
        <f>IFERROR(VLOOKUP($A37,reformattedTable1cerebrum!$A$1:$WV$1800,12,FALSE), "NA")</f>
        <v>77840</v>
      </c>
      <c r="L37">
        <f>IFERROR(VLOOKUP($A37,reformattedTable1cerebrum!$A$1:$WV$1800,13,FALSE), "NA")</f>
        <v>790</v>
      </c>
      <c r="M37">
        <f>IFERROR(VLOOKUP($A37,reformattedTable1cerebrum!$A$1:$WV$1800,14,FALSE), "NA")</f>
        <v>1.2010000000000001</v>
      </c>
      <c r="N37" t="str">
        <f>IFERROR(VLOOKUP($A37,reformattedTable1cerebrum!$A$1:$WV$1800,15,FALSE), "NA")</f>
        <v>NA</v>
      </c>
      <c r="O37" t="str">
        <f>IFERROR(VLOOKUP($A37,reformattedTable1cerebrum!$A$1:$WV$1800,16,FALSE), "NA")</f>
        <v>Herculano-Houzel et al., 2007</v>
      </c>
      <c r="P37" t="str">
        <f>IFERROR(VLOOKUP($A37,reformattedTable1cerebrum!$A$1:$WV$1800,17,FALSE), "NA")</f>
        <v>Saimiri_sciureus</v>
      </c>
      <c r="Q37">
        <f>IFERROR(VLOOKUP($A37,reformattedTable2cerebellum!$A$1:$WW$1800,4,FALSE), "NA")</f>
        <v>4.3</v>
      </c>
      <c r="R37" t="str">
        <f>IFERROR(VLOOKUP($A37,reformattedTable2cerebellum!$A$1:$WW$1800,5,FALSE), "NA")</f>
        <v>NA</v>
      </c>
      <c r="S37">
        <f>IFERROR(VLOOKUP($A37,reformattedTable2cerebellum!$A$1:$WW$1800,6,FALSE), "NA")</f>
        <v>1820000000</v>
      </c>
      <c r="T37" t="str">
        <f>IFERROR(VLOOKUP($A37,reformattedTable2cerebellum!$A$1:$WW$1800,7,FALSE), "NA")</f>
        <v>NA</v>
      </c>
      <c r="U37">
        <f>IFERROR(VLOOKUP($A37,reformattedTable2cerebellum!$A$1:$WW$1800,8,FALSE), "NA")</f>
        <v>133020000</v>
      </c>
      <c r="V37" t="str">
        <f>IFERROR(VLOOKUP($A37,reformattedTable2cerebellum!$A$1:$WW$1800,9,FALSE), "NA")</f>
        <v>NA</v>
      </c>
      <c r="W37">
        <f>IFERROR(VLOOKUP($A37,reformattedTable2cerebellum!$A$1:$WW$1800,10,FALSE), "NA")</f>
        <v>424000</v>
      </c>
      <c r="X37" t="str">
        <f>IFERROR(VLOOKUP($A37,reformattedTable2cerebellum!$A$1:$WW$1800,11,FALSE), "NA")</f>
        <v>NA</v>
      </c>
      <c r="Y37">
        <f>IFERROR(VLOOKUP($A37,reformattedTable2cerebellum!$A$1:$WW$1800,12,FALSE), "NA")</f>
        <v>30940</v>
      </c>
      <c r="Z37" t="str">
        <f>IFERROR(VLOOKUP($A37,reformattedTable2cerebellum!$A$1:$WW$1800,13,FALSE), "NA")</f>
        <v>NA</v>
      </c>
      <c r="AA37">
        <f>IFERROR(VLOOKUP($A37,reformattedTable2cerebellum!$A$1:$WW$1800,14,FALSE), "NA")</f>
        <v>7.2999999999999995E-2</v>
      </c>
      <c r="AB37" t="str">
        <f>IFERROR(VLOOKUP($A37,reformattedTable2cerebellum!$A$1:$WW$1800,15,FALSE), "NA")</f>
        <v>NA</v>
      </c>
      <c r="AC37" t="str">
        <f>IFERROR(VLOOKUP($A37,reformattedTable2cerebellum!$A$1:$WW$1800,16,FALSE), "NA")</f>
        <v>Herculano-Houzel et al., 2007</v>
      </c>
      <c r="AD37" t="str">
        <f>IFERROR(VLOOKUP($A37,reformattedTable2cerebellum!$A$1:$WW$1800,17,FALSE), "NA")</f>
        <v>Saimiri_sciureus</v>
      </c>
      <c r="AE37">
        <f>IFERROR(VLOOKUP($A37,reformattedTable3RoB!$A$1:$WW$1800,4,FALSE), "NA")</f>
        <v>5.0039999999999996</v>
      </c>
      <c r="AF37" t="str">
        <f>IFERROR(VLOOKUP($A37,reformattedTable3RoB!$A$1:$WW$1800,5,FALSE), "NA")</f>
        <v>NA</v>
      </c>
      <c r="AG37">
        <f>IFERROR(VLOOKUP($A37,reformattedTable3RoB!$A$1:$WW$1800,6,FALSE), "NA")</f>
        <v>65530000</v>
      </c>
      <c r="AH37" t="str">
        <f>IFERROR(VLOOKUP($A37,reformattedTable3RoB!$A$1:$WW$1800,7,FALSE), "NA")</f>
        <v>NA</v>
      </c>
      <c r="AI37">
        <f>IFERROR(VLOOKUP($A37,reformattedTable3RoB!$A$1:$WW$1800,8,FALSE), "NA")</f>
        <v>302590000</v>
      </c>
      <c r="AJ37" t="str">
        <f>IFERROR(VLOOKUP($A37,reformattedTable3RoB!$A$1:$WW$1800,9,FALSE), "NA")</f>
        <v>NA</v>
      </c>
      <c r="AK37">
        <f>IFERROR(VLOOKUP($A37,reformattedTable3RoB!$A$1:$WW$1800,10,FALSE), "NA")</f>
        <v>13090</v>
      </c>
      <c r="AL37" t="str">
        <f>IFERROR(VLOOKUP($A37,reformattedTable3RoB!$A$1:$WW$1800,11,FALSE), "NA")</f>
        <v>NA</v>
      </c>
      <c r="AM37">
        <f>IFERROR(VLOOKUP($A37,reformattedTable3RoB!$A$1:$WW$1800,12,FALSE), "NA")</f>
        <v>60470</v>
      </c>
      <c r="AN37" t="str">
        <f>IFERROR(VLOOKUP($A37,reformattedTable3RoB!$A$1:$WW$1800,13,FALSE), "NA")</f>
        <v>NA</v>
      </c>
      <c r="AO37">
        <f>IFERROR(VLOOKUP($A37,reformattedTable3RoB!$A$1:$WW$1800,14,FALSE), "NA")</f>
        <v>4.6180000000000003</v>
      </c>
      <c r="AP37" t="str">
        <f>IFERROR(VLOOKUP($A37,reformattedTable3RoB!$A$1:$WW$1800,15,FALSE), "NA")</f>
        <v>NA</v>
      </c>
      <c r="AQ37" t="str">
        <f>IFERROR(VLOOKUP($A37,reformattedTable3RoB!$A$1:$WW$1800,16,FALSE), "NA")</f>
        <v>Herculano-Houzel et al., 2007</v>
      </c>
      <c r="AR37" t="str">
        <f>IFERROR(VLOOKUP($A37,reformattedTable3RoB!$A$1:$WW$1800,17,FALSE), "NA")</f>
        <v>Saimiri_sciureus</v>
      </c>
      <c r="AS37" t="str">
        <f>IFERROR(VLOOKUP($A37,reformattedTable4olfactory_bulb!$A$1:$WV$1800,4,FALSE), "NA")</f>
        <v>NA</v>
      </c>
      <c r="AT37" t="str">
        <f>IFERROR(VLOOKUP($A37,reformattedTable4olfactory_bulb!$A$1:$WV$1800,5,FALSE), "NA")</f>
        <v>NA</v>
      </c>
      <c r="AU37" t="str">
        <f>IFERROR(VLOOKUP($A37,reformattedTable4olfactory_bulb!$A$1:$WV$1800,6,FALSE), "NA")</f>
        <v>NA</v>
      </c>
      <c r="AV37" t="str">
        <f>IFERROR(VLOOKUP($A37,reformattedTable4olfactory_bulb!$A$1:$WV$1800,7,FALSE), "NA")</f>
        <v>NA</v>
      </c>
      <c r="AW37" t="str">
        <f>IFERROR(VLOOKUP($A37,reformattedTable4olfactory_bulb!$A$1:$WV$1800,8,FALSE), "NA")</f>
        <v>NA</v>
      </c>
      <c r="AX37" t="str">
        <f>IFERROR(VLOOKUP($A37,reformattedTable4olfactory_bulb!$A$1:$WV$1800,9,FALSE), "NA")</f>
        <v>NA</v>
      </c>
      <c r="AY37" t="str">
        <f>IFERROR(VLOOKUP($A37,reformattedTable4olfactory_bulb!$A$1:$WV$1800,10,FALSE), "NA")</f>
        <v>NA</v>
      </c>
      <c r="AZ37" t="str">
        <f>IFERROR(VLOOKUP($A37,reformattedTable4olfactory_bulb!$A$1:$WV$1800,11,FALSE), "NA")</f>
        <v>NA</v>
      </c>
      <c r="BA37" t="str">
        <f>IFERROR(VLOOKUP($A37,reformattedTable4olfactory_bulb!$A$1:$WV$1800,12,FALSE), "NA")</f>
        <v>NA</v>
      </c>
      <c r="BB37" t="str">
        <f>IFERROR(VLOOKUP($A37,reformattedTable4olfactory_bulb!$A$1:$WV$1800,13,FALSE), "NA")</f>
        <v>NA</v>
      </c>
      <c r="BC37" t="str">
        <f>IFERROR(VLOOKUP($A37,reformattedTable4olfactory_bulb!$A$1:$WV$1800,14,FALSE), "NA")</f>
        <v>NA</v>
      </c>
      <c r="BD37" t="str">
        <f>IFERROR(VLOOKUP($A37,reformattedTable4olfactory_bulb!$A$1:$WV$1800,15,FALSE), "NA")</f>
        <v>NA</v>
      </c>
      <c r="BE37" t="str">
        <f>IFERROR(VLOOKUP($A37,reformattedTable4olfactory_bulb!$A$1:$WV$1800,16,FALSE), "NA")</f>
        <v>NA</v>
      </c>
      <c r="BF37" t="str">
        <f>IFERROR(VLOOKUP($A37,reformattedTable4olfactory_bulb!$A$1:$WV$1800,17,FALSE), "NA")</f>
        <v>NA</v>
      </c>
      <c r="BG37">
        <f>IFERROR(VLOOKUP($A37,reformattedTable5whole_brain!$A$1:$WV$1800,4,FALSE), "NA")</f>
        <v>859</v>
      </c>
      <c r="BH37" t="str">
        <f>IFERROR(VLOOKUP($A37,reformattedTable5whole_brain!$A$1:$WV$1800,5,FALSE), "NA")</f>
        <v>NA</v>
      </c>
      <c r="BI37">
        <f>IFERROR(VLOOKUP($A37,reformattedTable5whole_brain!$A$1:$WV$1800,6,FALSE), "NA")</f>
        <v>30.216000000000001</v>
      </c>
      <c r="BJ37" t="str">
        <f>IFERROR(VLOOKUP($A37,reformattedTable5whole_brain!$A$1:$WV$1800,7,FALSE), "NA")</f>
        <v>NA</v>
      </c>
      <c r="BK37">
        <f>IFERROR(VLOOKUP($A37,reformattedTable5whole_brain!$A$1:$WV$1800,8,FALSE), "NA")</f>
        <v>3246430000</v>
      </c>
      <c r="BL37" t="str">
        <f>IFERROR(VLOOKUP($A37,reformattedTable5whole_brain!$A$1:$WV$1800,9,FALSE), "NA")</f>
        <v>NA</v>
      </c>
      <c r="BM37">
        <f>IFERROR(VLOOKUP($A37,reformattedTable5whole_brain!$A$1:$WV$1800,10,FALSE), "NA")</f>
        <v>2073030000</v>
      </c>
      <c r="BN37" t="str">
        <f>IFERROR(VLOOKUP($A37,reformattedTable5whole_brain!$A$1:$WV$1800,11,FALSE), "NA")</f>
        <v>NA</v>
      </c>
      <c r="BO37">
        <f>IFERROR(VLOOKUP($A37,reformattedTable5whole_brain!$A$1:$WV$1800,12,FALSE), "NA")</f>
        <v>61</v>
      </c>
      <c r="BP37" t="str">
        <f>IFERROR(VLOOKUP($A37,reformattedTable5whole_brain!$A$1:$WV$1800,13,FALSE), "NA")</f>
        <v>NA</v>
      </c>
      <c r="BQ37" t="str">
        <f>IFERROR(VLOOKUP($A37,reformattedTable5whole_brain!$A$1:$WV$1800,14,FALSE), "NA")</f>
        <v>Herculano-Houzel et al., 2007</v>
      </c>
      <c r="BR37" t="str">
        <f>IFERROR(VLOOKUP($A37,reformattedTable5whole_brain!$A$1:$WV$1800,15,FALSE), "NA")</f>
        <v>Saimiri_sciureus</v>
      </c>
    </row>
    <row r="38" spans="1:70">
      <c r="A38" t="s">
        <v>35</v>
      </c>
      <c r="B38" t="s">
        <v>15</v>
      </c>
      <c r="C38">
        <f>IFERROR(VLOOKUP($A38,reformattedTable1cerebrum!$A$1:$WV$1800,4,FALSE), "NA")</f>
        <v>0.47599999999999998</v>
      </c>
      <c r="D38">
        <f>IFERROR(VLOOKUP($A38,reformattedTable1cerebrum!$A$1:$WV$1800,5,FALSE), "NA")</f>
        <v>3.2000000000000001E-2</v>
      </c>
      <c r="E38">
        <f>IFERROR(VLOOKUP($A38,reformattedTable1cerebrum!$A$1:$WV$1800,6,FALSE), "NA")</f>
        <v>26680000</v>
      </c>
      <c r="F38">
        <f>IFERROR(VLOOKUP($A38,reformattedTable1cerebrum!$A$1:$WV$1800,7,FALSE), "NA")</f>
        <v>5113000</v>
      </c>
      <c r="G38">
        <f>IFERROR(VLOOKUP($A38,reformattedTable1cerebrum!$A$1:$WV$1800,8,FALSE), "NA")</f>
        <v>38540000</v>
      </c>
      <c r="H38">
        <f>IFERROR(VLOOKUP($A38,reformattedTable1cerebrum!$A$1:$WV$1800,9,FALSE), "NA")</f>
        <v>5567000</v>
      </c>
      <c r="I38">
        <f>IFERROR(VLOOKUP($A38,reformattedTable1cerebrum!$A$1:$WV$1800,10,FALSE), "NA")</f>
        <v>60461</v>
      </c>
      <c r="J38">
        <f>IFERROR(VLOOKUP($A38,reformattedTable1cerebrum!$A$1:$WV$1800,11,FALSE), "NA")</f>
        <v>12249</v>
      </c>
      <c r="K38">
        <f>IFERROR(VLOOKUP($A38,reformattedTable1cerebrum!$A$1:$WV$1800,12,FALSE), "NA")</f>
        <v>80745</v>
      </c>
      <c r="L38">
        <f>IFERROR(VLOOKUP($A38,reformattedTable1cerebrum!$A$1:$WV$1800,13,FALSE), "NA")</f>
        <v>6407</v>
      </c>
      <c r="M38">
        <f>IFERROR(VLOOKUP($A38,reformattedTable1cerebrum!$A$1:$WV$1800,14,FALSE), "NA")</f>
        <v>1.383</v>
      </c>
      <c r="N38">
        <f>IFERROR(VLOOKUP($A38,reformattedTable1cerebrum!$A$1:$WV$1800,15,FALSE), "NA")</f>
        <v>0.36799999999999999</v>
      </c>
      <c r="O38" t="str">
        <f>IFERROR(VLOOKUP($A38,reformattedTable1cerebrum!$A$1:$WV$1800,16,FALSE), "NA")</f>
        <v>Sarko et al., 2009</v>
      </c>
      <c r="P38" t="str">
        <f>IFERROR(VLOOKUP($A38,reformattedTable1cerebrum!$A$1:$WV$1800,17,FALSE), "NA")</f>
        <v>Scalopus_aquaticus</v>
      </c>
      <c r="Q38">
        <f>IFERROR(VLOOKUP($A38,reformattedTable2cerebellum!$A$1:$WW$1800,4,FALSE), "NA")</f>
        <v>0.153</v>
      </c>
      <c r="R38">
        <f>IFERROR(VLOOKUP($A38,reformattedTable2cerebellum!$A$1:$WW$1800,5,FALSE), "NA")</f>
        <v>8.0000000000000002E-3</v>
      </c>
      <c r="S38">
        <f>IFERROR(VLOOKUP($A38,reformattedTable2cerebellum!$A$1:$WW$1800,6,FALSE), "NA")</f>
        <v>158550000</v>
      </c>
      <c r="T38">
        <f>IFERROR(VLOOKUP($A38,reformattedTable2cerebellum!$A$1:$WW$1800,7,FALSE), "NA")</f>
        <v>13630000</v>
      </c>
      <c r="U38">
        <f>IFERROR(VLOOKUP($A38,reformattedTable2cerebellum!$A$1:$WW$1800,8,FALSE), "NA")</f>
        <v>17510000</v>
      </c>
      <c r="V38">
        <f>IFERROR(VLOOKUP($A38,reformattedTable2cerebellum!$A$1:$WW$1800,9,FALSE), "NA")</f>
        <v>3160000</v>
      </c>
      <c r="W38">
        <f>IFERROR(VLOOKUP($A38,reformattedTable2cerebellum!$A$1:$WW$1800,10,FALSE), "NA")</f>
        <v>1037390</v>
      </c>
      <c r="X38">
        <f>IFERROR(VLOOKUP($A38,reformattedTable2cerebellum!$A$1:$WW$1800,11,FALSE), "NA")</f>
        <v>63570</v>
      </c>
      <c r="Y38">
        <f>IFERROR(VLOOKUP($A38,reformattedTable2cerebellum!$A$1:$WW$1800,12,FALSE), "NA")</f>
        <v>114660</v>
      </c>
      <c r="Z38">
        <f>IFERROR(VLOOKUP($A38,reformattedTable2cerebellum!$A$1:$WW$1800,13,FALSE), "NA")</f>
        <v>20790</v>
      </c>
      <c r="AA38">
        <f>IFERROR(VLOOKUP($A38,reformattedTable2cerebellum!$A$1:$WW$1800,14,FALSE), "NA")</f>
        <v>0.11</v>
      </c>
      <c r="AB38" t="str">
        <f>IFERROR(VLOOKUP($A38,reformattedTable2cerebellum!$A$1:$WW$1800,15,FALSE), "NA")</f>
        <v>NA</v>
      </c>
      <c r="AC38" t="str">
        <f>IFERROR(VLOOKUP($A38,reformattedTable2cerebellum!$A$1:$WW$1800,16,FALSE), "NA")</f>
        <v>Sarko et al., 2009</v>
      </c>
      <c r="AD38" t="str">
        <f>IFERROR(VLOOKUP($A38,reformattedTable2cerebellum!$A$1:$WW$1800,17,FALSE), "NA")</f>
        <v>Scalopus_aquaticus</v>
      </c>
      <c r="AE38">
        <f>IFERROR(VLOOKUP($A38,reformattedTable3RoB!$A$1:$WW$1800,4,FALSE), "NA")</f>
        <v>0.37</v>
      </c>
      <c r="AF38">
        <f>IFERROR(VLOOKUP($A38,reformattedTable3RoB!$A$1:$WW$1800,5,FALSE), "NA")</f>
        <v>4.2000000000000003E-2</v>
      </c>
      <c r="AG38">
        <f>IFERROR(VLOOKUP($A38,reformattedTable3RoB!$A$1:$WW$1800,6,FALSE), "NA")</f>
        <v>16560000</v>
      </c>
      <c r="AH38">
        <f>IFERROR(VLOOKUP($A38,reformattedTable3RoB!$A$1:$WW$1800,7,FALSE), "NA")</f>
        <v>2990000</v>
      </c>
      <c r="AI38">
        <f>IFERROR(VLOOKUP($A38,reformattedTable3RoB!$A$1:$WW$1800,8,FALSE), "NA")</f>
        <v>45690000</v>
      </c>
      <c r="AJ38">
        <f>IFERROR(VLOOKUP($A38,reformattedTable3RoB!$A$1:$WW$1800,9,FALSE), "NA")</f>
        <v>4820000</v>
      </c>
      <c r="AK38">
        <f>IFERROR(VLOOKUP($A38,reformattedTable3RoB!$A$1:$WW$1800,10,FALSE), "NA")</f>
        <v>44620</v>
      </c>
      <c r="AL38">
        <f>IFERROR(VLOOKUP($A38,reformattedTable3RoB!$A$1:$WW$1800,11,FALSE), "NA")</f>
        <v>4900</v>
      </c>
      <c r="AM38">
        <f>IFERROR(VLOOKUP($A38,reformattedTable3RoB!$A$1:$WW$1800,12,FALSE), "NA")</f>
        <v>123600</v>
      </c>
      <c r="AN38">
        <f>IFERROR(VLOOKUP($A38,reformattedTable3RoB!$A$1:$WW$1800,13,FALSE), "NA")</f>
        <v>2550</v>
      </c>
      <c r="AO38">
        <f>IFERROR(VLOOKUP($A38,reformattedTable3RoB!$A$1:$WW$1800,14,FALSE), "NA")</f>
        <v>2.7589999999999999</v>
      </c>
      <c r="AP38">
        <f>IFERROR(VLOOKUP($A38,reformattedTable3RoB!$A$1:$WW$1800,15,FALSE), "NA")</f>
        <v>0.379</v>
      </c>
      <c r="AQ38" t="str">
        <f>IFERROR(VLOOKUP($A38,reformattedTable3RoB!$A$1:$WW$1800,16,FALSE), "NA")</f>
        <v>Sarko et al., 2009</v>
      </c>
      <c r="AR38" t="str">
        <f>IFERROR(VLOOKUP($A38,reformattedTable3RoB!$A$1:$WW$1800,17,FALSE), "NA")</f>
        <v>Scalopus_aquaticus</v>
      </c>
      <c r="AS38">
        <f>IFERROR(VLOOKUP($A38,reformattedTable4olfactory_bulb!$A$1:$WV$1800,4,FALSE), "NA")</f>
        <v>8.2000000000000003E-2</v>
      </c>
      <c r="AT38">
        <f>IFERROR(VLOOKUP($A38,reformattedTable4olfactory_bulb!$A$1:$WV$1800,5,FALSE), "NA")</f>
        <v>5.0000000000000001E-3</v>
      </c>
      <c r="AU38">
        <f>IFERROR(VLOOKUP($A38,reformattedTable4olfactory_bulb!$A$1:$WV$1800,6,FALSE), "NA")</f>
        <v>34610000</v>
      </c>
      <c r="AV38">
        <f>IFERROR(VLOOKUP($A38,reformattedTable4olfactory_bulb!$A$1:$WV$1800,7,FALSE), "NA")</f>
        <v>5960000</v>
      </c>
      <c r="AW38">
        <f>IFERROR(VLOOKUP($A38,reformattedTable4olfactory_bulb!$A$1:$WV$1800,8,FALSE), "NA")</f>
        <v>17780000</v>
      </c>
      <c r="AX38">
        <f>IFERROR(VLOOKUP($A38,reformattedTable4olfactory_bulb!$A$1:$WV$1800,9,FALSE), "NA")</f>
        <v>2060000</v>
      </c>
      <c r="AY38">
        <f>IFERROR(VLOOKUP($A38,reformattedTable4olfactory_bulb!$A$1:$WV$1800,10,FALSE), "NA")</f>
        <v>423520</v>
      </c>
      <c r="AZ38">
        <f>IFERROR(VLOOKUP($A38,reformattedTable4olfactory_bulb!$A$1:$WV$1800,11,FALSE), "NA")</f>
        <v>94950</v>
      </c>
      <c r="BA38">
        <f>IFERROR(VLOOKUP($A38,reformattedTable4olfactory_bulb!$A$1:$WV$1800,12,FALSE), "NA")</f>
        <v>215230</v>
      </c>
      <c r="BB38">
        <f>IFERROR(VLOOKUP($A38,reformattedTable4olfactory_bulb!$A$1:$WV$1800,13,FALSE), "NA")</f>
        <v>14600</v>
      </c>
      <c r="BC38">
        <f>IFERROR(VLOOKUP($A38,reformattedTable4olfactory_bulb!$A$1:$WV$1800,14,FALSE), "NA")</f>
        <v>0.51400000000000001</v>
      </c>
      <c r="BD38">
        <f>IFERROR(VLOOKUP($A38,reformattedTable4olfactory_bulb!$A$1:$WV$1800,15,FALSE), "NA")</f>
        <v>0.154</v>
      </c>
      <c r="BE38" t="str">
        <f>IFERROR(VLOOKUP($A38,reformattedTable4olfactory_bulb!$A$1:$WV$1800,16,FALSE), "NA")</f>
        <v>Sarko et al., 2009</v>
      </c>
      <c r="BF38" t="str">
        <f>IFERROR(VLOOKUP($A38,reformattedTable4olfactory_bulb!$A$1:$WV$1800,17,FALSE), "NA")</f>
        <v>Scalopus_aquaticus</v>
      </c>
      <c r="BG38">
        <f>IFERROR(VLOOKUP($A38,reformattedTable5whole_brain!$A$1:$WV$1800,4,FALSE), "NA")</f>
        <v>95.3</v>
      </c>
      <c r="BH38">
        <f>IFERROR(VLOOKUP($A38,reformattedTable5whole_brain!$A$1:$WV$1800,5,FALSE), "NA")</f>
        <v>9.8000000000000007</v>
      </c>
      <c r="BI38">
        <f>IFERROR(VLOOKUP($A38,reformattedTable5whole_brain!$A$1:$WV$1800,6,FALSE), "NA")</f>
        <v>0.999</v>
      </c>
      <c r="BJ38">
        <f>IFERROR(VLOOKUP($A38,reformattedTable5whole_brain!$A$1:$WV$1800,7,FALSE), "NA")</f>
        <v>0.08</v>
      </c>
      <c r="BK38">
        <f>IFERROR(VLOOKUP($A38,reformattedTable5whole_brain!$A$1:$WV$1800,8,FALSE), "NA")</f>
        <v>203520000</v>
      </c>
      <c r="BL38">
        <f>IFERROR(VLOOKUP($A38,reformattedTable5whole_brain!$A$1:$WV$1800,9,FALSE), "NA")</f>
        <v>14587000</v>
      </c>
      <c r="BM38">
        <f>IFERROR(VLOOKUP($A38,reformattedTable5whole_brain!$A$1:$WV$1800,10,FALSE), "NA")</f>
        <v>101740000</v>
      </c>
      <c r="BN38">
        <f>IFERROR(VLOOKUP($A38,reformattedTable5whole_brain!$A$1:$WV$1800,11,FALSE), "NA")</f>
        <v>11823000</v>
      </c>
      <c r="BO38">
        <f>IFERROR(VLOOKUP($A38,reformattedTable5whole_brain!$A$1:$WV$1800,12,FALSE), "NA")</f>
        <v>66.7</v>
      </c>
      <c r="BP38">
        <f>IFERROR(VLOOKUP($A38,reformattedTable5whole_brain!$A$1:$WV$1800,13,FALSE), "NA")</f>
        <v>1.4</v>
      </c>
      <c r="BQ38" t="str">
        <f>IFERROR(VLOOKUP($A38,reformattedTable5whole_brain!$A$1:$WV$1800,14,FALSE), "NA")</f>
        <v>Sarko et al., 2009</v>
      </c>
      <c r="BR38" t="str">
        <f>IFERROR(VLOOKUP($A38,reformattedTable5whole_brain!$A$1:$WV$1800,15,FALSE), "NA")</f>
        <v>Scalopus_aquaticus</v>
      </c>
    </row>
    <row r="39" spans="1:70">
      <c r="A39" t="s">
        <v>59</v>
      </c>
      <c r="B39" t="s">
        <v>19</v>
      </c>
      <c r="C39">
        <f>IFERROR(VLOOKUP($A39,reformattedTable1cerebrum!$A$1:$WV$1800,4,FALSE), "NA")</f>
        <v>2.73</v>
      </c>
      <c r="D39">
        <f>IFERROR(VLOOKUP($A39,reformattedTable1cerebrum!$A$1:$WV$1800,5,FALSE), "NA")</f>
        <v>0.17799999999999999</v>
      </c>
      <c r="E39">
        <f>IFERROR(VLOOKUP($A39,reformattedTable1cerebrum!$A$1:$WV$1800,6,FALSE), "NA")</f>
        <v>77334617</v>
      </c>
      <c r="F39">
        <f>IFERROR(VLOOKUP($A39,reformattedTable1cerebrum!$A$1:$WV$1800,7,FALSE), "NA")</f>
        <v>2634444</v>
      </c>
      <c r="G39">
        <f>IFERROR(VLOOKUP($A39,reformattedTable1cerebrum!$A$1:$WV$1800,8,FALSE), "NA")</f>
        <v>209654717</v>
      </c>
      <c r="H39">
        <f>IFERROR(VLOOKUP($A39,reformattedTable1cerebrum!$A$1:$WV$1800,9,FALSE), "NA")</f>
        <v>13003170</v>
      </c>
      <c r="I39">
        <f>IFERROR(VLOOKUP($A39,reformattedTable1cerebrum!$A$1:$WV$1800,10,FALSE), "NA")</f>
        <v>28384</v>
      </c>
      <c r="J39">
        <f>IFERROR(VLOOKUP($A39,reformattedTable1cerebrum!$A$1:$WV$1800,11,FALSE), "NA")</f>
        <v>1487</v>
      </c>
      <c r="K39">
        <f>IFERROR(VLOOKUP($A39,reformattedTable1cerebrum!$A$1:$WV$1800,12,FALSE), "NA")</f>
        <v>76877</v>
      </c>
      <c r="L39">
        <f>IFERROR(VLOOKUP($A39,reformattedTable1cerebrum!$A$1:$WV$1800,13,FALSE), "NA")</f>
        <v>3859</v>
      </c>
      <c r="M39">
        <f>IFERROR(VLOOKUP($A39,reformattedTable1cerebrum!$A$1:$WV$1800,14,FALSE), "NA")</f>
        <v>2.7090000000000001</v>
      </c>
      <c r="N39">
        <f>IFERROR(VLOOKUP($A39,reformattedTable1cerebrum!$A$1:$WV$1800,15,FALSE), "NA")</f>
        <v>7.5999999999999998E-2</v>
      </c>
      <c r="O39" t="str">
        <f>IFERROR(VLOOKUP($A39,reformattedTable1cerebrum!$A$1:$WV$1800,16,FALSE), "NA")</f>
        <v>Herculano-Houzel et al., 2011</v>
      </c>
      <c r="P39" t="str">
        <f>IFERROR(VLOOKUP($A39,reformattedTable1cerebrum!$A$1:$WV$1800,17,FALSE), "NA")</f>
        <v>Sciurus_carolinensis</v>
      </c>
      <c r="Q39">
        <f>IFERROR(VLOOKUP($A39,reformattedTable2cerebellum!$A$1:$WW$1800,4,FALSE), "NA")</f>
        <v>0.874</v>
      </c>
      <c r="R39">
        <f>IFERROR(VLOOKUP($A39,reformattedTable2cerebellum!$A$1:$WW$1800,5,FALSE), "NA")</f>
        <v>6.9000000000000006E-2</v>
      </c>
      <c r="S39">
        <f>IFERROR(VLOOKUP($A39,reformattedTable2cerebellum!$A$1:$WW$1800,6,FALSE), "NA")</f>
        <v>342832180</v>
      </c>
      <c r="T39">
        <f>IFERROR(VLOOKUP($A39,reformattedTable2cerebellum!$A$1:$WW$1800,7,FALSE), "NA")</f>
        <v>71181798</v>
      </c>
      <c r="U39">
        <f>IFERROR(VLOOKUP($A39,reformattedTable2cerebellum!$A$1:$WW$1800,8,FALSE), "NA")</f>
        <v>110797820</v>
      </c>
      <c r="V39">
        <f>IFERROR(VLOOKUP($A39,reformattedTable2cerebellum!$A$1:$WW$1800,9,FALSE), "NA")</f>
        <v>9070639</v>
      </c>
      <c r="W39">
        <f>IFERROR(VLOOKUP($A39,reformattedTable2cerebellum!$A$1:$WW$1800,10,FALSE), "NA")</f>
        <v>392363</v>
      </c>
      <c r="X39">
        <f>IFERROR(VLOOKUP($A39,reformattedTable2cerebellum!$A$1:$WW$1800,11,FALSE), "NA")</f>
        <v>74294</v>
      </c>
      <c r="Y39">
        <f>IFERROR(VLOOKUP($A39,reformattedTable2cerebellum!$A$1:$WW$1800,12,FALSE), "NA")</f>
        <v>127682</v>
      </c>
      <c r="Z39">
        <f>IFERROR(VLOOKUP($A39,reformattedTable2cerebellum!$A$1:$WW$1800,13,FALSE), "NA")</f>
        <v>19212</v>
      </c>
      <c r="AA39">
        <f>IFERROR(VLOOKUP($A39,reformattedTable2cerebellum!$A$1:$WW$1800,14,FALSE), "NA")</f>
        <v>0.33600000000000002</v>
      </c>
      <c r="AB39">
        <f>IFERROR(VLOOKUP($A39,reformattedTable2cerebellum!$A$1:$WW$1800,15,FALSE), "NA")</f>
        <v>0.09</v>
      </c>
      <c r="AC39" t="str">
        <f>IFERROR(VLOOKUP($A39,reformattedTable2cerebellum!$A$1:$WW$1800,16,FALSE), "NA")</f>
        <v>Herculano-Houzel et al., 2011</v>
      </c>
      <c r="AD39" t="str">
        <f>IFERROR(VLOOKUP($A39,reformattedTable2cerebellum!$A$1:$WW$1800,17,FALSE), "NA")</f>
        <v>Sciurus_carolinensis</v>
      </c>
      <c r="AE39">
        <f>IFERROR(VLOOKUP($A39,reformattedTable3RoB!$A$1:$WW$1800,4,FALSE), "NA")</f>
        <v>1.9430000000000001</v>
      </c>
      <c r="AF39">
        <f>IFERROR(VLOOKUP($A39,reformattedTable3RoB!$A$1:$WW$1800,5,FALSE), "NA")</f>
        <v>0.156</v>
      </c>
      <c r="AG39">
        <f>IFERROR(VLOOKUP($A39,reformattedTable3RoB!$A$1:$WW$1800,6,FALSE), "NA")</f>
        <v>33493401</v>
      </c>
      <c r="AH39">
        <f>IFERROR(VLOOKUP($A39,reformattedTable3RoB!$A$1:$WW$1800,7,FALSE), "NA")</f>
        <v>17128790</v>
      </c>
      <c r="AI39">
        <f>IFERROR(VLOOKUP($A39,reformattedTable3RoB!$A$1:$WW$1800,8,FALSE), "NA")</f>
        <v>210023933</v>
      </c>
      <c r="AJ39">
        <f>IFERROR(VLOOKUP($A39,reformattedTable3RoB!$A$1:$WW$1800,9,FALSE), "NA")</f>
        <v>3415060</v>
      </c>
      <c r="AK39">
        <f>IFERROR(VLOOKUP($A39,reformattedTable3RoB!$A$1:$WW$1800,10,FALSE), "NA")</f>
        <v>17616</v>
      </c>
      <c r="AL39">
        <f>IFERROR(VLOOKUP($A39,reformattedTable3RoB!$A$1:$WW$1800,11,FALSE), "NA")</f>
        <v>9989</v>
      </c>
      <c r="AM39">
        <f>IFERROR(VLOOKUP($A39,reformattedTable3RoB!$A$1:$WW$1800,12,FALSE), "NA")</f>
        <v>108482</v>
      </c>
      <c r="AN39">
        <f>IFERROR(VLOOKUP($A39,reformattedTable3RoB!$A$1:$WW$1800,13,FALSE), "NA")</f>
        <v>7808</v>
      </c>
      <c r="AO39">
        <f>IFERROR(VLOOKUP($A39,reformattedTable3RoB!$A$1:$WW$1800,14,FALSE), "NA")</f>
        <v>7.2460000000000004</v>
      </c>
      <c r="AP39" t="str">
        <f>IFERROR(VLOOKUP($A39,reformattedTable3RoB!$A$1:$WW$1800,15,FALSE), "NA")</f>
        <v>NA</v>
      </c>
      <c r="AQ39" t="str">
        <f>IFERROR(VLOOKUP($A39,reformattedTable3RoB!$A$1:$WW$1800,16,FALSE), "NA")</f>
        <v>Herculano-Houzel et al., 2011</v>
      </c>
      <c r="AR39" t="str">
        <f>IFERROR(VLOOKUP($A39,reformattedTable3RoB!$A$1:$WW$1800,17,FALSE), "NA")</f>
        <v>Sciurus_carolinensis</v>
      </c>
      <c r="AS39">
        <f>IFERROR(VLOOKUP($A39,reformattedTable4olfactory_bulb!$A$1:$WV$1800,4,FALSE), "NA")</f>
        <v>0.21199999999999999</v>
      </c>
      <c r="AT39">
        <f>IFERROR(VLOOKUP($A39,reformattedTable4olfactory_bulb!$A$1:$WV$1800,5,FALSE), "NA")</f>
        <v>2.1999999999999999E-2</v>
      </c>
      <c r="AU39">
        <f>IFERROR(VLOOKUP($A39,reformattedTable4olfactory_bulb!$A$1:$WV$1800,6,FALSE), "NA")</f>
        <v>28845724</v>
      </c>
      <c r="AV39">
        <f>IFERROR(VLOOKUP($A39,reformattedTable4olfactory_bulb!$A$1:$WV$1800,7,FALSE), "NA")</f>
        <v>7903412</v>
      </c>
      <c r="AW39">
        <f>IFERROR(VLOOKUP($A39,reformattedTable4olfactory_bulb!$A$1:$WV$1800,8,FALSE), "NA")</f>
        <v>39015942</v>
      </c>
      <c r="AX39">
        <f>IFERROR(VLOOKUP($A39,reformattedTable4olfactory_bulb!$A$1:$WV$1800,9,FALSE), "NA")</f>
        <v>12812316</v>
      </c>
      <c r="AY39">
        <f>IFERROR(VLOOKUP($A39,reformattedTable4olfactory_bulb!$A$1:$WV$1800,10,FALSE), "NA")</f>
        <v>137532</v>
      </c>
      <c r="AZ39">
        <f>IFERROR(VLOOKUP($A39,reformattedTable4olfactory_bulb!$A$1:$WV$1800,11,FALSE), "NA")</f>
        <v>38236</v>
      </c>
      <c r="BA39">
        <f>IFERROR(VLOOKUP($A39,reformattedTable4olfactory_bulb!$A$1:$WV$1800,12,FALSE), "NA")</f>
        <v>185359</v>
      </c>
      <c r="BB39">
        <f>IFERROR(VLOOKUP($A39,reformattedTable4olfactory_bulb!$A$1:$WV$1800,13,FALSE), "NA")</f>
        <v>58050</v>
      </c>
      <c r="BC39">
        <f>IFERROR(VLOOKUP($A39,reformattedTable4olfactory_bulb!$A$1:$WV$1800,14,FALSE), "NA")</f>
        <v>1.478</v>
      </c>
      <c r="BD39">
        <f>IFERROR(VLOOKUP($A39,reformattedTable4olfactory_bulb!$A$1:$WV$1800,15,FALSE), "NA")</f>
        <v>0.77600000000000002</v>
      </c>
      <c r="BE39" t="str">
        <f>IFERROR(VLOOKUP($A39,reformattedTable4olfactory_bulb!$A$1:$WV$1800,16,FALSE), "NA")</f>
        <v>Herculano-Houzel et al., 2011</v>
      </c>
      <c r="BF39" t="str">
        <f>IFERROR(VLOOKUP($A39,reformattedTable4olfactory_bulb!$A$1:$WV$1800,17,FALSE), "NA")</f>
        <v>Sciurus_carolinensis</v>
      </c>
      <c r="BG39">
        <f>IFERROR(VLOOKUP($A39,reformattedTable5whole_brain!$A$1:$WV$1800,4,FALSE), "NA")</f>
        <v>500</v>
      </c>
      <c r="BH39" t="str">
        <f>IFERROR(VLOOKUP($A39,reformattedTable5whole_brain!$A$1:$WV$1800,5,FALSE), "NA")</f>
        <v>NA</v>
      </c>
      <c r="BI39">
        <f>IFERROR(VLOOKUP($A39,reformattedTable5whole_brain!$A$1:$WV$1800,6,FALSE), "NA")</f>
        <v>5.548</v>
      </c>
      <c r="BJ39">
        <f>IFERROR(VLOOKUP($A39,reformattedTable5whole_brain!$A$1:$WV$1800,7,FALSE), "NA")</f>
        <v>0.30599999999999999</v>
      </c>
      <c r="BK39">
        <f>IFERROR(VLOOKUP($A39,reformattedTable5whole_brain!$A$1:$WV$1800,8,FALSE), "NA")</f>
        <v>453660197</v>
      </c>
      <c r="BL39">
        <f>IFERROR(VLOOKUP($A39,reformattedTable5whole_brain!$A$1:$WV$1800,9,FALSE), "NA")</f>
        <v>59752698</v>
      </c>
      <c r="BM39">
        <f>IFERROR(VLOOKUP($A39,reformattedTable5whole_brain!$A$1:$WV$1800,10,FALSE), "NA")</f>
        <v>530476469</v>
      </c>
      <c r="BN39">
        <f>IFERROR(VLOOKUP($A39,reformattedTable5whole_brain!$A$1:$WV$1800,11,FALSE), "NA")</f>
        <v>5605837</v>
      </c>
      <c r="BO39">
        <f>IFERROR(VLOOKUP($A39,reformattedTable5whole_brain!$A$1:$WV$1800,12,FALSE), "NA")</f>
        <v>46</v>
      </c>
      <c r="BP39">
        <f>IFERROR(VLOOKUP($A39,reformattedTable5whole_brain!$A$1:$WV$1800,13,FALSE), "NA")</f>
        <v>3</v>
      </c>
      <c r="BQ39" t="str">
        <f>IFERROR(VLOOKUP($A39,reformattedTable5whole_brain!$A$1:$WV$1800,14,FALSE), "NA")</f>
        <v>Herculano-Houzel et al., 2011</v>
      </c>
      <c r="BR39" t="str">
        <f>IFERROR(VLOOKUP($A39,reformattedTable5whole_brain!$A$1:$WV$1800,15,FALSE), "NA")</f>
        <v>Sciurus_carolinensis</v>
      </c>
    </row>
    <row r="40" spans="1:70">
      <c r="A40" t="s">
        <v>14</v>
      </c>
      <c r="B40" t="s">
        <v>15</v>
      </c>
      <c r="C40">
        <f>IFERROR(VLOOKUP($A40,reformattedTable1cerebrum!$A$1:$WV$1800,4,FALSE), "NA")</f>
        <v>8.4000000000000005E-2</v>
      </c>
      <c r="D40">
        <f>IFERROR(VLOOKUP($A40,reformattedTable1cerebrum!$A$1:$WV$1800,5,FALSE), "NA")</f>
        <v>8.9999999999999993E-3</v>
      </c>
      <c r="E40">
        <f>IFERROR(VLOOKUP($A40,reformattedTable1cerebrum!$A$1:$WV$1800,6,FALSE), "NA")</f>
        <v>9730000</v>
      </c>
      <c r="F40">
        <f>IFERROR(VLOOKUP($A40,reformattedTable1cerebrum!$A$1:$WV$1800,7,FALSE), "NA")</f>
        <v>352000</v>
      </c>
      <c r="G40">
        <f>IFERROR(VLOOKUP($A40,reformattedTable1cerebrum!$A$1:$WV$1800,8,FALSE), "NA")</f>
        <v>9290000</v>
      </c>
      <c r="H40">
        <f>IFERROR(VLOOKUP($A40,reformattedTable1cerebrum!$A$1:$WV$1800,9,FALSE), "NA")</f>
        <v>1112000</v>
      </c>
      <c r="I40">
        <f>IFERROR(VLOOKUP($A40,reformattedTable1cerebrum!$A$1:$WV$1800,10,FALSE), "NA")</f>
        <v>116727</v>
      </c>
      <c r="J40">
        <f>IFERROR(VLOOKUP($A40,reformattedTable1cerebrum!$A$1:$WV$1800,11,FALSE), "NA")</f>
        <v>9387</v>
      </c>
      <c r="K40">
        <f>IFERROR(VLOOKUP($A40,reformattedTable1cerebrum!$A$1:$WV$1800,12,FALSE), "NA")</f>
        <v>111754</v>
      </c>
      <c r="L40">
        <f>IFERROR(VLOOKUP($A40,reformattedTable1cerebrum!$A$1:$WV$1800,13,FALSE), "NA")</f>
        <v>18566</v>
      </c>
      <c r="M40">
        <f>IFERROR(VLOOKUP($A40,reformattedTable1cerebrum!$A$1:$WV$1800,14,FALSE), "NA")</f>
        <v>0.95799999999999996</v>
      </c>
      <c r="N40">
        <f>IFERROR(VLOOKUP($A40,reformattedTable1cerebrum!$A$1:$WV$1800,15,FALSE), "NA")</f>
        <v>0.13500000000000001</v>
      </c>
      <c r="O40" t="str">
        <f>IFERROR(VLOOKUP($A40,reformattedTable1cerebrum!$A$1:$WV$1800,16,FALSE), "NA")</f>
        <v>Sarko et al., 2009</v>
      </c>
      <c r="P40" t="str">
        <f>IFERROR(VLOOKUP($A40,reformattedTable1cerebrum!$A$1:$WV$1800,17,FALSE), "NA")</f>
        <v>Sorex_fumeus</v>
      </c>
      <c r="Q40">
        <f>IFERROR(VLOOKUP($A40,reformattedTable2cerebellum!$A$1:$WW$1800,4,FALSE), "NA")</f>
        <v>0.02</v>
      </c>
      <c r="R40">
        <f>IFERROR(VLOOKUP($A40,reformattedTable2cerebellum!$A$1:$WW$1800,5,FALSE), "NA")</f>
        <v>2E-3</v>
      </c>
      <c r="S40">
        <f>IFERROR(VLOOKUP($A40,reformattedTable2cerebellum!$A$1:$WW$1800,6,FALSE), "NA")</f>
        <v>20870000</v>
      </c>
      <c r="T40">
        <f>IFERROR(VLOOKUP($A40,reformattedTable2cerebellum!$A$1:$WW$1800,7,FALSE), "NA")</f>
        <v>4660000</v>
      </c>
      <c r="U40">
        <f>IFERROR(VLOOKUP($A40,reformattedTable2cerebellum!$A$1:$WW$1800,8,FALSE), "NA")</f>
        <v>5290000</v>
      </c>
      <c r="V40">
        <f>IFERROR(VLOOKUP($A40,reformattedTable2cerebellum!$A$1:$WW$1800,9,FALSE), "NA")</f>
        <v>2120000</v>
      </c>
      <c r="W40">
        <f>IFERROR(VLOOKUP($A40,reformattedTable2cerebellum!$A$1:$WW$1800,10,FALSE), "NA")</f>
        <v>1038666</v>
      </c>
      <c r="X40">
        <f>IFERROR(VLOOKUP($A40,reformattedTable2cerebellum!$A$1:$WW$1800,11,FALSE), "NA")</f>
        <v>214440</v>
      </c>
      <c r="Y40">
        <f>IFERROR(VLOOKUP($A40,reformattedTable2cerebellum!$A$1:$WW$1800,12,FALSE), "NA")</f>
        <v>258073</v>
      </c>
      <c r="Z40">
        <f>IFERROR(VLOOKUP($A40,reformattedTable2cerebellum!$A$1:$WW$1800,13,FALSE), "NA")</f>
        <v>85510</v>
      </c>
      <c r="AA40">
        <f>IFERROR(VLOOKUP($A40,reformattedTable2cerebellum!$A$1:$WW$1800,14,FALSE), "NA")</f>
        <v>0.253</v>
      </c>
      <c r="AB40" t="str">
        <f>IFERROR(VLOOKUP($A40,reformattedTable2cerebellum!$A$1:$WW$1800,15,FALSE), "NA")</f>
        <v>NA</v>
      </c>
      <c r="AC40" t="str">
        <f>IFERROR(VLOOKUP($A40,reformattedTable2cerebellum!$A$1:$WW$1800,16,FALSE), "NA")</f>
        <v>Sarko et al., 2009</v>
      </c>
      <c r="AD40" t="str">
        <f>IFERROR(VLOOKUP($A40,reformattedTable2cerebellum!$A$1:$WW$1800,17,FALSE), "NA")</f>
        <v>Sorex_fumeus</v>
      </c>
      <c r="AE40">
        <f>IFERROR(VLOOKUP($A40,reformattedTable3RoB!$A$1:$WW$1800,4,FALSE), "NA")</f>
        <v>7.1999999999999995E-2</v>
      </c>
      <c r="AF40">
        <f>IFERROR(VLOOKUP($A40,reformattedTable3RoB!$A$1:$WW$1800,5,FALSE), "NA")</f>
        <v>0.01</v>
      </c>
      <c r="AG40">
        <f>IFERROR(VLOOKUP($A40,reformattedTable3RoB!$A$1:$WW$1800,6,FALSE), "NA")</f>
        <v>5560000</v>
      </c>
      <c r="AH40">
        <f>IFERROR(VLOOKUP($A40,reformattedTable3RoB!$A$1:$WW$1800,7,FALSE), "NA")</f>
        <v>1490000</v>
      </c>
      <c r="AI40">
        <f>IFERROR(VLOOKUP($A40,reformattedTable3RoB!$A$1:$WW$1800,8,FALSE), "NA")</f>
        <v>8280000</v>
      </c>
      <c r="AJ40">
        <f>IFERROR(VLOOKUP($A40,reformattedTable3RoB!$A$1:$WW$1800,9,FALSE), "NA")</f>
        <v>1440000</v>
      </c>
      <c r="AK40">
        <f>IFERROR(VLOOKUP($A40,reformattedTable3RoB!$A$1:$WW$1800,10,FALSE), "NA")</f>
        <v>75941</v>
      </c>
      <c r="AL40">
        <f>IFERROR(VLOOKUP($A40,reformattedTable3RoB!$A$1:$WW$1800,11,FALSE), "NA")</f>
        <v>11870</v>
      </c>
      <c r="AM40">
        <f>IFERROR(VLOOKUP($A40,reformattedTable3RoB!$A$1:$WW$1800,12,FALSE), "NA")</f>
        <v>114880</v>
      </c>
      <c r="AN40">
        <f>IFERROR(VLOOKUP($A40,reformattedTable3RoB!$A$1:$WW$1800,13,FALSE), "NA")</f>
        <v>17860</v>
      </c>
      <c r="AO40">
        <f>IFERROR(VLOOKUP($A40,reformattedTable3RoB!$A$1:$WW$1800,14,FALSE), "NA")</f>
        <v>1.4890000000000001</v>
      </c>
      <c r="AP40">
        <f>IFERROR(VLOOKUP($A40,reformattedTable3RoB!$A$1:$WW$1800,15,FALSE), "NA")</f>
        <v>0.29399999999999998</v>
      </c>
      <c r="AQ40" t="str">
        <f>IFERROR(VLOOKUP($A40,reformattedTable3RoB!$A$1:$WW$1800,16,FALSE), "NA")</f>
        <v>Sarko et al., 2009</v>
      </c>
      <c r="AR40" t="str">
        <f>IFERROR(VLOOKUP($A40,reformattedTable3RoB!$A$1:$WW$1800,17,FALSE), "NA")</f>
        <v>Sorex_fumeus</v>
      </c>
      <c r="AS40">
        <f>IFERROR(VLOOKUP($A40,reformattedTable4olfactory_bulb!$A$1:$WV$1800,4,FALSE), "NA")</f>
        <v>1.2E-2</v>
      </c>
      <c r="AT40">
        <f>IFERROR(VLOOKUP($A40,reformattedTable4olfactory_bulb!$A$1:$WV$1800,5,FALSE), "NA")</f>
        <v>2E-3</v>
      </c>
      <c r="AU40">
        <f>IFERROR(VLOOKUP($A40,reformattedTable4olfactory_bulb!$A$1:$WV$1800,6,FALSE), "NA")</f>
        <v>3330000</v>
      </c>
      <c r="AV40">
        <f>IFERROR(VLOOKUP($A40,reformattedTable4olfactory_bulb!$A$1:$WV$1800,7,FALSE), "NA")</f>
        <v>1050000</v>
      </c>
      <c r="AW40">
        <f>IFERROR(VLOOKUP($A40,reformattedTable4olfactory_bulb!$A$1:$WV$1800,8,FALSE), "NA")</f>
        <v>2760000</v>
      </c>
      <c r="AX40">
        <f>IFERROR(VLOOKUP($A40,reformattedTable4olfactory_bulb!$A$1:$WV$1800,9,FALSE), "NA")</f>
        <v>130000</v>
      </c>
      <c r="AY40">
        <f>IFERROR(VLOOKUP($A40,reformattedTable4olfactory_bulb!$A$1:$WV$1800,10,FALSE), "NA")</f>
        <v>289806</v>
      </c>
      <c r="AZ40">
        <f>IFERROR(VLOOKUP($A40,reformattedTable4olfactory_bulb!$A$1:$WV$1800,11,FALSE), "NA")</f>
        <v>124350</v>
      </c>
      <c r="BA40">
        <f>IFERROR(VLOOKUP($A40,reformattedTable4olfactory_bulb!$A$1:$WV$1800,12,FALSE), "NA")</f>
        <v>235249</v>
      </c>
      <c r="BB40">
        <f>IFERROR(VLOOKUP($A40,reformattedTable4olfactory_bulb!$A$1:$WV$1800,13,FALSE), "NA")</f>
        <v>44620</v>
      </c>
      <c r="BC40">
        <f>IFERROR(VLOOKUP($A40,reformattedTable4olfactory_bulb!$A$1:$WV$1800,14,FALSE), "NA")</f>
        <v>0.82899999999999996</v>
      </c>
      <c r="BD40">
        <f>IFERROR(VLOOKUP($A40,reformattedTable4olfactory_bulb!$A$1:$WV$1800,15,FALSE), "NA")</f>
        <v>214</v>
      </c>
      <c r="BE40" t="str">
        <f>IFERROR(VLOOKUP($A40,reformattedTable4olfactory_bulb!$A$1:$WV$1800,16,FALSE), "NA")</f>
        <v>Sarko et al., 2009</v>
      </c>
      <c r="BF40" t="str">
        <f>IFERROR(VLOOKUP($A40,reformattedTable4olfactory_bulb!$A$1:$WV$1800,17,FALSE), "NA")</f>
        <v>Sorex_fumeus</v>
      </c>
      <c r="BG40">
        <f>IFERROR(VLOOKUP($A40,reformattedTable5whole_brain!$A$1:$WV$1800,4,FALSE), "NA")</f>
        <v>7.8</v>
      </c>
      <c r="BH40">
        <f>IFERROR(VLOOKUP($A40,reformattedTable5whole_brain!$A$1:$WV$1800,5,FALSE), "NA")</f>
        <v>0.1</v>
      </c>
      <c r="BI40">
        <f>IFERROR(VLOOKUP($A40,reformattedTable5whole_brain!$A$1:$WV$1800,6,FALSE), "NA")</f>
        <v>0.17599999999999999</v>
      </c>
      <c r="BJ40">
        <f>IFERROR(VLOOKUP($A40,reformattedTable5whole_brain!$A$1:$WV$1800,7,FALSE), "NA")</f>
        <v>7.0000000000000001E-3</v>
      </c>
      <c r="BK40">
        <f>IFERROR(VLOOKUP($A40,reformattedTable5whole_brain!$A$1:$WV$1800,8,FALSE), "NA")</f>
        <v>36460000</v>
      </c>
      <c r="BL40">
        <f>IFERROR(VLOOKUP($A40,reformattedTable5whole_brain!$A$1:$WV$1800,9,FALSE), "NA")</f>
        <v>4567000</v>
      </c>
      <c r="BM40">
        <f>IFERROR(VLOOKUP($A40,reformattedTable5whole_brain!$A$1:$WV$1800,10,FALSE), "NA")</f>
        <v>22860000</v>
      </c>
      <c r="BN40">
        <f>IFERROR(VLOOKUP($A40,reformattedTable5whole_brain!$A$1:$WV$1800,11,FALSE), "NA")</f>
        <v>3956000</v>
      </c>
      <c r="BO40">
        <f>IFERROR(VLOOKUP($A40,reformattedTable5whole_brain!$A$1:$WV$1800,12,FALSE), "NA")</f>
        <v>61.3</v>
      </c>
      <c r="BP40">
        <f>IFERROR(VLOOKUP($A40,reformattedTable5whole_brain!$A$1:$WV$1800,13,FALSE), "NA")</f>
        <v>1.4</v>
      </c>
      <c r="BQ40" t="str">
        <f>IFERROR(VLOOKUP($A40,reformattedTable5whole_brain!$A$1:$WV$1800,14,FALSE), "NA")</f>
        <v>Sarko et al., 2009</v>
      </c>
      <c r="BR40" t="str">
        <f>IFERROR(VLOOKUP($A40,reformattedTable5whole_brain!$A$1:$WV$1800,15,FALSE), "NA")</f>
        <v>Sorex_fumeus</v>
      </c>
    </row>
    <row r="41" spans="1:70">
      <c r="A41" t="s">
        <v>85</v>
      </c>
      <c r="B41" t="s">
        <v>86</v>
      </c>
      <c r="C41">
        <f>IFERROR(VLOOKUP($A41,reformattedTable1cerebrum!$A$1:$WV$1800,4,FALSE), "NA")</f>
        <v>42.404000000000003</v>
      </c>
      <c r="D41" t="str">
        <f>IFERROR(VLOOKUP($A41,reformattedTable1cerebrum!$A$1:$WV$1800,5,FALSE), "NA")</f>
        <v>NA</v>
      </c>
      <c r="E41">
        <f>IFERROR(VLOOKUP($A41,reformattedTable1cerebrum!$A$1:$WV$1800,6,FALSE), "NA")</f>
        <v>307082404</v>
      </c>
      <c r="F41" t="str">
        <f>IFERROR(VLOOKUP($A41,reformattedTable1cerebrum!$A$1:$WV$1800,7,FALSE), "NA")</f>
        <v>NA</v>
      </c>
      <c r="G41">
        <f>IFERROR(VLOOKUP($A41,reformattedTable1cerebrum!$A$1:$WV$1800,8,FALSE), "NA")</f>
        <v>3250251354</v>
      </c>
      <c r="H41" t="str">
        <f>IFERROR(VLOOKUP($A41,reformattedTable1cerebrum!$A$1:$WV$1800,9,FALSE), "NA")</f>
        <v>NA</v>
      </c>
      <c r="I41">
        <f>IFERROR(VLOOKUP($A41,reformattedTable1cerebrum!$A$1:$WV$1800,10,FALSE), "NA")</f>
        <v>7276</v>
      </c>
      <c r="J41" t="str">
        <f>IFERROR(VLOOKUP($A41,reformattedTable1cerebrum!$A$1:$WV$1800,11,FALSE), "NA")</f>
        <v>NA</v>
      </c>
      <c r="K41">
        <f>IFERROR(VLOOKUP($A41,reformattedTable1cerebrum!$A$1:$WV$1800,12,FALSE), "NA")</f>
        <v>77016</v>
      </c>
      <c r="L41" t="str">
        <f>IFERROR(VLOOKUP($A41,reformattedTable1cerebrum!$A$1:$WV$1800,13,FALSE), "NA")</f>
        <v>NA</v>
      </c>
      <c r="M41">
        <f>IFERROR(VLOOKUP($A41,reformattedTable1cerebrum!$A$1:$WV$1800,14,FALSE), "NA")</f>
        <v>10.585000000000001</v>
      </c>
      <c r="N41" t="str">
        <f>IFERROR(VLOOKUP($A41,reformattedTable1cerebrum!$A$1:$WV$1800,15,FALSE), "NA")</f>
        <v>NA</v>
      </c>
      <c r="O41" t="str">
        <f>IFERROR(VLOOKUP($A41,reformattedTable1cerebrum!$A$1:$WV$1800,16,FALSE), "NA")</f>
        <v>Kazu et al., 2014</v>
      </c>
      <c r="P41" t="str">
        <f>IFERROR(VLOOKUP($A41,reformattedTable1cerebrum!$A$1:$WV$1800,17,FALSE), "NA")</f>
        <v>Sus_scrofa_domesticus</v>
      </c>
      <c r="Q41">
        <f>IFERROR(VLOOKUP($A41,reformattedTable2cerebellum!$A$1:$WW$1800,4,FALSE), "NA")</f>
        <v>8.1280000000000001</v>
      </c>
      <c r="R41" t="str">
        <f>IFERROR(VLOOKUP($A41,reformattedTable2cerebellum!$A$1:$WW$1800,5,FALSE), "NA")</f>
        <v>NA</v>
      </c>
      <c r="S41">
        <f>IFERROR(VLOOKUP($A41,reformattedTable2cerebellum!$A$1:$WW$1800,6,FALSE), "NA")</f>
        <v>1858320313</v>
      </c>
      <c r="T41" t="str">
        <f>IFERROR(VLOOKUP($A41,reformattedTable2cerebellum!$A$1:$WW$1800,7,FALSE), "NA")</f>
        <v>NA</v>
      </c>
      <c r="U41">
        <f>IFERROR(VLOOKUP($A41,reformattedTable2cerebellum!$A$1:$WW$1800,8,FALSE), "NA")</f>
        <v>348710938</v>
      </c>
      <c r="V41" t="str">
        <f>IFERROR(VLOOKUP($A41,reformattedTable2cerebellum!$A$1:$WW$1800,9,FALSE), "NA")</f>
        <v>NA</v>
      </c>
      <c r="W41">
        <f>IFERROR(VLOOKUP($A41,reformattedTable2cerebellum!$A$1:$WW$1800,10,FALSE), "NA")</f>
        <v>228632</v>
      </c>
      <c r="X41" t="str">
        <f>IFERROR(VLOOKUP($A41,reformattedTable2cerebellum!$A$1:$WW$1800,11,FALSE), "NA")</f>
        <v>NA</v>
      </c>
      <c r="Y41">
        <f>IFERROR(VLOOKUP($A41,reformattedTable2cerebellum!$A$1:$WW$1800,12,FALSE), "NA")</f>
        <v>42902</v>
      </c>
      <c r="Z41" t="str">
        <f>IFERROR(VLOOKUP($A41,reformattedTable2cerebellum!$A$1:$WW$1800,13,FALSE), "NA")</f>
        <v>NA</v>
      </c>
      <c r="AA41">
        <f>IFERROR(VLOOKUP($A41,reformattedTable2cerebellum!$A$1:$WW$1800,14,FALSE), "NA")</f>
        <v>0.188</v>
      </c>
      <c r="AB41" t="str">
        <f>IFERROR(VLOOKUP($A41,reformattedTable2cerebellum!$A$1:$WW$1800,15,FALSE), "NA")</f>
        <v>NA</v>
      </c>
      <c r="AC41" t="str">
        <f>IFERROR(VLOOKUP($A41,reformattedTable2cerebellum!$A$1:$WW$1800,16,FALSE), "NA")</f>
        <v>Kazu et al., 2014</v>
      </c>
      <c r="AD41" t="str">
        <f>IFERROR(VLOOKUP($A41,reformattedTable2cerebellum!$A$1:$WW$1800,17,FALSE), "NA")</f>
        <v>Sus_scrofa_domesticus</v>
      </c>
      <c r="AE41">
        <f>IFERROR(VLOOKUP($A41,reformattedTable3RoB!$A$1:$WW$1800,4,FALSE), "NA")</f>
        <v>13.85</v>
      </c>
      <c r="AF41" t="str">
        <f>IFERROR(VLOOKUP($A41,reformattedTable3RoB!$A$1:$WW$1800,5,FALSE), "NA")</f>
        <v>NA</v>
      </c>
      <c r="AG41">
        <f>IFERROR(VLOOKUP($A41,reformattedTable3RoB!$A$1:$WW$1800,6,FALSE), "NA")</f>
        <v>58709836</v>
      </c>
      <c r="AH41" t="str">
        <f>IFERROR(VLOOKUP($A41,reformattedTable3RoB!$A$1:$WW$1800,7,FALSE), "NA")</f>
        <v>NA</v>
      </c>
      <c r="AI41">
        <f>IFERROR(VLOOKUP($A41,reformattedTable3RoB!$A$1:$WW$1800,8,FALSE), "NA")</f>
        <v>1096821414</v>
      </c>
      <c r="AJ41" t="str">
        <f>IFERROR(VLOOKUP($A41,reformattedTable3RoB!$A$1:$WW$1800,9,FALSE), "NA")</f>
        <v>NA</v>
      </c>
      <c r="AK41">
        <f>IFERROR(VLOOKUP($A41,reformattedTable3RoB!$A$1:$WW$1800,10,FALSE), "NA")</f>
        <v>4238</v>
      </c>
      <c r="AL41" t="str">
        <f>IFERROR(VLOOKUP($A41,reformattedTable3RoB!$A$1:$WW$1800,11,FALSE), "NA")</f>
        <v>NA</v>
      </c>
      <c r="AM41">
        <f>IFERROR(VLOOKUP($A41,reformattedTable3RoB!$A$1:$WW$1800,12,FALSE), "NA")</f>
        <v>79192</v>
      </c>
      <c r="AN41" t="str">
        <f>IFERROR(VLOOKUP($A41,reformattedTable3RoB!$A$1:$WW$1800,13,FALSE), "NA")</f>
        <v>NA</v>
      </c>
      <c r="AO41">
        <f>IFERROR(VLOOKUP($A41,reformattedTable3RoB!$A$1:$WW$1800,14,FALSE), "NA")</f>
        <v>18.681999999999999</v>
      </c>
      <c r="AP41" t="str">
        <f>IFERROR(VLOOKUP($A41,reformattedTable3RoB!$A$1:$WW$1800,15,FALSE), "NA")</f>
        <v>NA</v>
      </c>
      <c r="AQ41" t="str">
        <f>IFERROR(VLOOKUP($A41,reformattedTable3RoB!$A$1:$WW$1800,16,FALSE), "NA")</f>
        <v>Kazu et al., 2014</v>
      </c>
      <c r="AR41" t="str">
        <f>IFERROR(VLOOKUP($A41,reformattedTable3RoB!$A$1:$WW$1800,17,FALSE), "NA")</f>
        <v>Sus_scrofa_domesticus</v>
      </c>
      <c r="AS41">
        <f>IFERROR(VLOOKUP($A41,reformattedTable4olfactory_bulb!$A$1:$WV$1800,4,FALSE), "NA")</f>
        <v>0.82199999999999995</v>
      </c>
      <c r="AT41" t="str">
        <f>IFERROR(VLOOKUP($A41,reformattedTable4olfactory_bulb!$A$1:$WV$1800,5,FALSE), "NA")</f>
        <v>NA</v>
      </c>
      <c r="AU41">
        <f>IFERROR(VLOOKUP($A41,reformattedTable4olfactory_bulb!$A$1:$WV$1800,6,FALSE), "NA")</f>
        <v>9195500</v>
      </c>
      <c r="AV41" t="str">
        <f>IFERROR(VLOOKUP($A41,reformattedTable4olfactory_bulb!$A$1:$WV$1800,7,FALSE), "NA")</f>
        <v>NA</v>
      </c>
      <c r="AW41">
        <f>IFERROR(VLOOKUP($A41,reformattedTable4olfactory_bulb!$A$1:$WV$1800,8,FALSE), "NA")</f>
        <v>77554500</v>
      </c>
      <c r="AX41" t="str">
        <f>IFERROR(VLOOKUP($A41,reformattedTable4olfactory_bulb!$A$1:$WV$1800,9,FALSE), "NA")</f>
        <v>NA</v>
      </c>
      <c r="AY41">
        <f>IFERROR(VLOOKUP($A41,reformattedTable4olfactory_bulb!$A$1:$WV$1800,10,FALSE), "NA")</f>
        <v>11187</v>
      </c>
      <c r="AZ41" t="str">
        <f>IFERROR(VLOOKUP($A41,reformattedTable4olfactory_bulb!$A$1:$WV$1800,11,FALSE), "NA")</f>
        <v>NA</v>
      </c>
      <c r="BA41">
        <f>IFERROR(VLOOKUP($A41,reformattedTable4olfactory_bulb!$A$1:$WV$1800,12,FALSE), "NA")</f>
        <v>94348</v>
      </c>
      <c r="BB41" t="str">
        <f>IFERROR(VLOOKUP($A41,reformattedTable4olfactory_bulb!$A$1:$WV$1800,13,FALSE), "NA")</f>
        <v>NA</v>
      </c>
      <c r="BC41">
        <f>IFERROR(VLOOKUP($A41,reformattedTable4olfactory_bulb!$A$1:$WV$1800,14,FALSE), "NA")</f>
        <v>8.4339999999999993</v>
      </c>
      <c r="BD41" t="str">
        <f>IFERROR(VLOOKUP($A41,reformattedTable4olfactory_bulb!$A$1:$WV$1800,15,FALSE), "NA")</f>
        <v>NA</v>
      </c>
      <c r="BE41" t="str">
        <f>IFERROR(VLOOKUP($A41,reformattedTable4olfactory_bulb!$A$1:$WV$1800,16,FALSE), "NA")</f>
        <v>Kazu et al., 2014</v>
      </c>
      <c r="BF41" t="str">
        <f>IFERROR(VLOOKUP($A41,reformattedTable4olfactory_bulb!$A$1:$WV$1800,17,FALSE), "NA")</f>
        <v>Sus_scrofa_domesticus</v>
      </c>
      <c r="BG41">
        <f>IFERROR(VLOOKUP($A41,reformattedTable5whole_brain!$A$1:$WV$1800,4,FALSE), "NA")</f>
        <v>100000</v>
      </c>
      <c r="BH41" t="str">
        <f>IFERROR(VLOOKUP($A41,reformattedTable5whole_brain!$A$1:$WV$1800,5,FALSE), "NA")</f>
        <v>NA</v>
      </c>
      <c r="BI41">
        <f>IFERROR(VLOOKUP($A41,reformattedTable5whole_brain!$A$1:$WV$1800,6,FALSE), "NA")</f>
        <v>64.180000000000007</v>
      </c>
      <c r="BJ41" t="str">
        <f>IFERROR(VLOOKUP($A41,reformattedTable5whole_brain!$A$1:$WV$1800,7,FALSE), "NA")</f>
        <v>NA</v>
      </c>
      <c r="BK41">
        <f>IFERROR(VLOOKUP($A41,reformattedTable5whole_brain!$A$1:$WV$1800,8,FALSE), "NA")</f>
        <v>2224112553</v>
      </c>
      <c r="BL41" t="str">
        <f>IFERROR(VLOOKUP($A41,reformattedTable5whole_brain!$A$1:$WV$1800,9,FALSE), "NA")</f>
        <v>NA</v>
      </c>
      <c r="BM41">
        <f>IFERROR(VLOOKUP($A41,reformattedTable5whole_brain!$A$1:$WV$1800,10,FALSE), "NA")</f>
        <v>4695783705</v>
      </c>
      <c r="BN41" t="str">
        <f>IFERROR(VLOOKUP($A41,reformattedTable5whole_brain!$A$1:$WV$1800,11,FALSE), "NA")</f>
        <v>NA</v>
      </c>
      <c r="BO41">
        <f>IFERROR(VLOOKUP($A41,reformattedTable5whole_brain!$A$1:$WV$1800,12,FALSE), "NA")</f>
        <v>32.1</v>
      </c>
      <c r="BP41" t="str">
        <f>IFERROR(VLOOKUP($A41,reformattedTable5whole_brain!$A$1:$WV$1800,13,FALSE), "NA")</f>
        <v>NA</v>
      </c>
      <c r="BQ41" t="str">
        <f>IFERROR(VLOOKUP($A41,reformattedTable5whole_brain!$A$1:$WV$1800,14,FALSE), "NA")</f>
        <v>Kazu et al., 2014</v>
      </c>
      <c r="BR41" t="str">
        <f>IFERROR(VLOOKUP($A41,reformattedTable5whole_brain!$A$1:$WV$1800,15,FALSE), "NA")</f>
        <v>Sus_scrofa_domesticus</v>
      </c>
    </row>
    <row r="42" spans="1:70">
      <c r="A42" t="s">
        <v>99</v>
      </c>
      <c r="B42" t="s">
        <v>86</v>
      </c>
      <c r="C42">
        <f>IFERROR(VLOOKUP($A42,reformattedTable1cerebrum!$A$1:$WV$1800,4,FALSE), "NA")</f>
        <v>213.37</v>
      </c>
      <c r="D42" t="str">
        <f>IFERROR(VLOOKUP($A42,reformattedTable1cerebrum!$A$1:$WV$1800,5,FALSE), "NA")</f>
        <v>NA</v>
      </c>
      <c r="E42">
        <f>IFERROR(VLOOKUP($A42,reformattedTable1cerebrum!$A$1:$WV$1800,6,FALSE), "NA")</f>
        <v>762567178</v>
      </c>
      <c r="F42" t="str">
        <f>IFERROR(VLOOKUP($A42,reformattedTable1cerebrum!$A$1:$WV$1800,7,FALSE), "NA")</f>
        <v>NA</v>
      </c>
      <c r="G42">
        <f>IFERROR(VLOOKUP($A42,reformattedTable1cerebrum!$A$1:$WV$1800,8,FALSE), "NA")</f>
        <v>12302304448</v>
      </c>
      <c r="H42" t="str">
        <f>IFERROR(VLOOKUP($A42,reformattedTable1cerebrum!$A$1:$WV$1800,9,FALSE), "NA")</f>
        <v>NA</v>
      </c>
      <c r="I42">
        <f>IFERROR(VLOOKUP($A42,reformattedTable1cerebrum!$A$1:$WV$1800,10,FALSE), "NA")</f>
        <v>3574</v>
      </c>
      <c r="J42" t="str">
        <f>IFERROR(VLOOKUP($A42,reformattedTable1cerebrum!$A$1:$WV$1800,11,FALSE), "NA")</f>
        <v>NA</v>
      </c>
      <c r="K42">
        <f>IFERROR(VLOOKUP($A42,reformattedTable1cerebrum!$A$1:$WV$1800,12,FALSE), "NA")</f>
        <v>57657</v>
      </c>
      <c r="L42" t="str">
        <f>IFERROR(VLOOKUP($A42,reformattedTable1cerebrum!$A$1:$WV$1800,13,FALSE), "NA")</f>
        <v>NA</v>
      </c>
      <c r="M42">
        <f>IFERROR(VLOOKUP($A42,reformattedTable1cerebrum!$A$1:$WV$1800,14,FALSE), "NA")</f>
        <v>16.132999999999999</v>
      </c>
      <c r="N42" t="str">
        <f>IFERROR(VLOOKUP($A42,reformattedTable1cerebrum!$A$1:$WV$1800,15,FALSE), "NA")</f>
        <v>NA</v>
      </c>
      <c r="O42" t="str">
        <f>IFERROR(VLOOKUP($A42,reformattedTable1cerebrum!$A$1:$WV$1800,16,FALSE), "NA")</f>
        <v>Kazu et al., 2014</v>
      </c>
      <c r="P42" t="str">
        <f>IFERROR(VLOOKUP($A42,reformattedTable1cerebrum!$A$1:$WV$1800,17,FALSE), "NA")</f>
        <v>Tragelaphus_strepsiceros</v>
      </c>
      <c r="Q42">
        <f>IFERROR(VLOOKUP($A42,reformattedTable2cerebellum!$A$1:$WW$1800,4,FALSE), "NA")</f>
        <v>31.776</v>
      </c>
      <c r="R42" t="str">
        <f>IFERROR(VLOOKUP($A42,reformattedTable2cerebellum!$A$1:$WW$1800,5,FALSE), "NA")</f>
        <v>NA</v>
      </c>
      <c r="S42">
        <f>IFERROR(VLOOKUP($A42,reformattedTable2cerebellum!$A$1:$WW$1800,6,FALSE), "NA")</f>
        <v>4042494141</v>
      </c>
      <c r="T42" t="str">
        <f>IFERROR(VLOOKUP($A42,reformattedTable2cerebellum!$A$1:$WW$1800,7,FALSE), "NA")</f>
        <v>NA</v>
      </c>
      <c r="U42">
        <f>IFERROR(VLOOKUP($A42,reformattedTable2cerebellum!$A$1:$WW$1800,8,FALSE), "NA")</f>
        <v>1266099609</v>
      </c>
      <c r="V42" t="str">
        <f>IFERROR(VLOOKUP($A42,reformattedTable2cerebellum!$A$1:$WW$1800,9,FALSE), "NA")</f>
        <v>NA</v>
      </c>
      <c r="W42">
        <f>IFERROR(VLOOKUP($A42,reformattedTable2cerebellum!$A$1:$WW$1800,10,FALSE), "NA")</f>
        <v>127218</v>
      </c>
      <c r="X42" t="str">
        <f>IFERROR(VLOOKUP($A42,reformattedTable2cerebellum!$A$1:$WW$1800,11,FALSE), "NA")</f>
        <v>NA</v>
      </c>
      <c r="Y42">
        <f>IFERROR(VLOOKUP($A42,reformattedTable2cerebellum!$A$1:$WW$1800,12,FALSE), "NA")</f>
        <v>39845</v>
      </c>
      <c r="Z42" t="str">
        <f>IFERROR(VLOOKUP($A42,reformattedTable2cerebellum!$A$1:$WW$1800,13,FALSE), "NA")</f>
        <v>NA</v>
      </c>
      <c r="AA42">
        <f>IFERROR(VLOOKUP($A42,reformattedTable2cerebellum!$A$1:$WW$1800,14,FALSE), "NA")</f>
        <v>0.313</v>
      </c>
      <c r="AB42" t="str">
        <f>IFERROR(VLOOKUP($A42,reformattedTable2cerebellum!$A$1:$WW$1800,15,FALSE), "NA")</f>
        <v>NA</v>
      </c>
      <c r="AC42" t="str">
        <f>IFERROR(VLOOKUP($A42,reformattedTable2cerebellum!$A$1:$WW$1800,16,FALSE), "NA")</f>
        <v>Kazu et al., 2014</v>
      </c>
      <c r="AD42" t="str">
        <f>IFERROR(VLOOKUP($A42,reformattedTable2cerebellum!$A$1:$WW$1800,17,FALSE), "NA")</f>
        <v>Tragelaphus_strepsiceros</v>
      </c>
      <c r="AE42">
        <f>IFERROR(VLOOKUP($A42,reformattedTable3RoB!$A$1:$WW$1800,4,FALSE), "NA")</f>
        <v>61.716000000000001</v>
      </c>
      <c r="AF42" t="str">
        <f>IFERROR(VLOOKUP($A42,reformattedTable3RoB!$A$1:$WW$1800,5,FALSE), "NA")</f>
        <v>NA</v>
      </c>
      <c r="AG42">
        <f>IFERROR(VLOOKUP($A42,reformattedTable3RoB!$A$1:$WW$1800,6,FALSE), "NA")</f>
        <v>106590230</v>
      </c>
      <c r="AH42" t="str">
        <f>IFERROR(VLOOKUP($A42,reformattedTable3RoB!$A$1:$WW$1800,7,FALSE), "NA")</f>
        <v>NA</v>
      </c>
      <c r="AI42">
        <f>IFERROR(VLOOKUP($A42,reformattedTable3RoB!$A$1:$WW$1800,8,FALSE), "NA")</f>
        <v>3408779523</v>
      </c>
      <c r="AJ42" t="str">
        <f>IFERROR(VLOOKUP($A42,reformattedTable3RoB!$A$1:$WW$1800,9,FALSE), "NA")</f>
        <v>NA</v>
      </c>
      <c r="AK42">
        <f>IFERROR(VLOOKUP($A42,reformattedTable3RoB!$A$1:$WW$1800,10,FALSE), "NA")</f>
        <v>1727</v>
      </c>
      <c r="AL42" t="str">
        <f>IFERROR(VLOOKUP($A42,reformattedTable3RoB!$A$1:$WW$1800,11,FALSE), "NA")</f>
        <v>NA</v>
      </c>
      <c r="AM42">
        <f>IFERROR(VLOOKUP($A42,reformattedTable3RoB!$A$1:$WW$1800,12,FALSE), "NA")</f>
        <v>55233</v>
      </c>
      <c r="AN42" t="str">
        <f>IFERROR(VLOOKUP($A42,reformattedTable3RoB!$A$1:$WW$1800,13,FALSE), "NA")</f>
        <v>NA</v>
      </c>
      <c r="AO42">
        <f>IFERROR(VLOOKUP($A42,reformattedTable3RoB!$A$1:$WW$1800,14,FALSE), "NA")</f>
        <v>31.98</v>
      </c>
      <c r="AP42" t="str">
        <f>IFERROR(VLOOKUP($A42,reformattedTable3RoB!$A$1:$WW$1800,15,FALSE), "NA")</f>
        <v>NA</v>
      </c>
      <c r="AQ42" t="str">
        <f>IFERROR(VLOOKUP($A42,reformattedTable3RoB!$A$1:$WW$1800,16,FALSE), "NA")</f>
        <v>Kazu et al., 2014</v>
      </c>
      <c r="AR42" t="str">
        <f>IFERROR(VLOOKUP($A42,reformattedTable3RoB!$A$1:$WW$1800,17,FALSE), "NA")</f>
        <v>Tragelaphus_strepsiceros</v>
      </c>
      <c r="AS42">
        <f>IFERROR(VLOOKUP($A42,reformattedTable4olfactory_bulb!$A$1:$WV$1800,4,FALSE), "NA")</f>
        <v>5.5460000000000003</v>
      </c>
      <c r="AT42" t="str">
        <f>IFERROR(VLOOKUP($A42,reformattedTable4olfactory_bulb!$A$1:$WV$1800,5,FALSE), "NA")</f>
        <v>NA</v>
      </c>
      <c r="AU42">
        <f>IFERROR(VLOOKUP($A42,reformattedTable4olfactory_bulb!$A$1:$WV$1800,6,FALSE), "NA")</f>
        <v>38331562</v>
      </c>
      <c r="AV42" t="str">
        <f>IFERROR(VLOOKUP($A42,reformattedTable4olfactory_bulb!$A$1:$WV$1800,7,FALSE), "NA")</f>
        <v>NA</v>
      </c>
      <c r="AW42">
        <f>IFERROR(VLOOKUP($A42,reformattedTable4olfactory_bulb!$A$1:$WV$1800,8,FALSE), "NA")</f>
        <v>362731438</v>
      </c>
      <c r="AX42" t="str">
        <f>IFERROR(VLOOKUP($A42,reformattedTable4olfactory_bulb!$A$1:$WV$1800,9,FALSE), "NA")</f>
        <v>NA</v>
      </c>
      <c r="AY42">
        <f>IFERROR(VLOOKUP($A42,reformattedTable4olfactory_bulb!$A$1:$WV$1800,10,FALSE), "NA")</f>
        <v>6912</v>
      </c>
      <c r="AZ42" t="str">
        <f>IFERROR(VLOOKUP($A42,reformattedTable4olfactory_bulb!$A$1:$WV$1800,11,FALSE), "NA")</f>
        <v>NA</v>
      </c>
      <c r="BA42">
        <f>IFERROR(VLOOKUP($A42,reformattedTable4olfactory_bulb!$A$1:$WV$1800,12,FALSE), "NA")</f>
        <v>58913</v>
      </c>
      <c r="BB42" t="str">
        <f>IFERROR(VLOOKUP($A42,reformattedTable4olfactory_bulb!$A$1:$WV$1800,13,FALSE), "NA")</f>
        <v>NA</v>
      </c>
      <c r="BC42">
        <f>IFERROR(VLOOKUP($A42,reformattedTable4olfactory_bulb!$A$1:$WV$1800,14,FALSE), "NA")</f>
        <v>8.5229999999999997</v>
      </c>
      <c r="BD42" t="str">
        <f>IFERROR(VLOOKUP($A42,reformattedTable4olfactory_bulb!$A$1:$WV$1800,15,FALSE), "NA")</f>
        <v>NA</v>
      </c>
      <c r="BE42" t="str">
        <f>IFERROR(VLOOKUP($A42,reformattedTable4olfactory_bulb!$A$1:$WV$1800,16,FALSE), "NA")</f>
        <v>Kazu et al., 2014</v>
      </c>
      <c r="BF42" t="str">
        <f>IFERROR(VLOOKUP($A42,reformattedTable4olfactory_bulb!$A$1:$WV$1800,17,FALSE), "NA")</f>
        <v>Tragelaphus_strepsiceros</v>
      </c>
      <c r="BG42">
        <f>IFERROR(VLOOKUP($A42,reformattedTable5whole_brain!$A$1:$WV$1800,4,FALSE), "NA")</f>
        <v>218000</v>
      </c>
      <c r="BH42" t="str">
        <f>IFERROR(VLOOKUP($A42,reformattedTable5whole_brain!$A$1:$WV$1800,5,FALSE), "NA")</f>
        <v>NA</v>
      </c>
      <c r="BI42">
        <f>IFERROR(VLOOKUP($A42,reformattedTable5whole_brain!$A$1:$WV$1800,6,FALSE), "NA")</f>
        <v>306.86</v>
      </c>
      <c r="BJ42" t="str">
        <f>IFERROR(VLOOKUP($A42,reformattedTable5whole_brain!$A$1:$WV$1800,7,FALSE), "NA")</f>
        <v>NA</v>
      </c>
      <c r="BK42">
        <f>IFERROR(VLOOKUP($A42,reformattedTable5whole_brain!$A$1:$WV$1800,8,FALSE), "NA")</f>
        <v>4911651549</v>
      </c>
      <c r="BL42" t="str">
        <f>IFERROR(VLOOKUP($A42,reformattedTable5whole_brain!$A$1:$WV$1800,9,FALSE), "NA")</f>
        <v>NA</v>
      </c>
      <c r="BM42">
        <f>IFERROR(VLOOKUP($A42,reformattedTable5whole_brain!$A$1:$WV$1800,10,FALSE), "NA")</f>
        <v>16977183580</v>
      </c>
      <c r="BN42" t="str">
        <f>IFERROR(VLOOKUP($A42,reformattedTable5whole_brain!$A$1:$WV$1800,11,FALSE), "NA")</f>
        <v>NA</v>
      </c>
      <c r="BO42">
        <f>IFERROR(VLOOKUP($A42,reformattedTable5whole_brain!$A$1:$WV$1800,12,FALSE), "NA")</f>
        <v>22.4</v>
      </c>
      <c r="BP42" t="str">
        <f>IFERROR(VLOOKUP($A42,reformattedTable5whole_brain!$A$1:$WV$1800,13,FALSE), "NA")</f>
        <v>NA</v>
      </c>
      <c r="BQ42" t="str">
        <f>IFERROR(VLOOKUP($A42,reformattedTable5whole_brain!$A$1:$WV$1800,14,FALSE), "NA")</f>
        <v>Kazu et al., 2014</v>
      </c>
      <c r="BR42" t="str">
        <f>IFERROR(VLOOKUP($A42,reformattedTable5whole_brain!$A$1:$WV$1800,15,FALSE), "NA")</f>
        <v>Tragelaphus_strepsiceros</v>
      </c>
    </row>
    <row r="43" spans="1:70">
      <c r="A43" t="s">
        <v>51</v>
      </c>
      <c r="B43" t="s">
        <v>52</v>
      </c>
      <c r="C43">
        <f>IFERROR(VLOOKUP($A43,reformattedTable1cerebrum!$A$1:$WV$1800,4,FALSE), "NA")</f>
        <v>1.4550000000000001</v>
      </c>
      <c r="D43">
        <f>IFERROR(VLOOKUP($A43,reformattedTable1cerebrum!$A$1:$WV$1800,5,FALSE), "NA")</f>
        <v>0.17399999999999999</v>
      </c>
      <c r="E43">
        <f>IFERROR(VLOOKUP($A43,reformattedTable1cerebrum!$A$1:$WV$1800,6,FALSE), "NA")</f>
        <v>60390000</v>
      </c>
      <c r="F43">
        <f>IFERROR(VLOOKUP($A43,reformattedTable1cerebrum!$A$1:$WV$1800,7,FALSE), "NA")</f>
        <v>26510000</v>
      </c>
      <c r="G43">
        <f>IFERROR(VLOOKUP($A43,reformattedTable1cerebrum!$A$1:$WV$1800,8,FALSE), "NA")</f>
        <v>85580000</v>
      </c>
      <c r="H43">
        <f>IFERROR(VLOOKUP($A43,reformattedTable1cerebrum!$A$1:$WV$1800,9,FALSE), "NA")</f>
        <v>8400000</v>
      </c>
      <c r="I43">
        <f>IFERROR(VLOOKUP($A43,reformattedTable1cerebrum!$A$1:$WV$1800,10,FALSE), "NA")</f>
        <v>42900</v>
      </c>
      <c r="J43">
        <f>IFERROR(VLOOKUP($A43,reformattedTable1cerebrum!$A$1:$WV$1800,11,FALSE), "NA")</f>
        <v>23350</v>
      </c>
      <c r="K43">
        <f>IFERROR(VLOOKUP($A43,reformattedTable1cerebrum!$A$1:$WV$1800,12,FALSE), "NA")</f>
        <v>58900</v>
      </c>
      <c r="L43">
        <f>IFERROR(VLOOKUP($A43,reformattedTable1cerebrum!$A$1:$WV$1800,13,FALSE), "NA")</f>
        <v>1270</v>
      </c>
      <c r="M43">
        <f>IFERROR(VLOOKUP($A43,reformattedTable1cerebrum!$A$1:$WV$1800,14,FALSE), "NA")</f>
        <v>1.417</v>
      </c>
      <c r="N43" t="str">
        <f>IFERROR(VLOOKUP($A43,reformattedTable1cerebrum!$A$1:$WV$1800,15,FALSE), "NA")</f>
        <v>NA</v>
      </c>
      <c r="O43" t="str">
        <f>IFERROR(VLOOKUP($A43,reformattedTable1cerebrum!$A$1:$WV$1800,16,FALSE), "NA")</f>
        <v>Herculano-Houzel et al., 2007</v>
      </c>
      <c r="P43" t="str">
        <f>IFERROR(VLOOKUP($A43,reformattedTable1cerebrum!$A$1:$WV$1800,17,FALSE), "NA")</f>
        <v>Tupaia_glis</v>
      </c>
      <c r="Q43">
        <f>IFERROR(VLOOKUP($A43,reformattedTable2cerebellum!$A$1:$WW$1800,4,FALSE), "NA")</f>
        <v>0.32600000000000001</v>
      </c>
      <c r="R43">
        <f>IFERROR(VLOOKUP($A43,reformattedTable2cerebellum!$A$1:$WW$1800,5,FALSE), "NA")</f>
        <v>1.7999999999999999E-2</v>
      </c>
      <c r="S43">
        <f>IFERROR(VLOOKUP($A43,reformattedTable2cerebellum!$A$1:$WW$1800,6,FALSE), "NA")</f>
        <v>185280000</v>
      </c>
      <c r="T43">
        <f>IFERROR(VLOOKUP($A43,reformattedTable2cerebellum!$A$1:$WW$1800,7,FALSE), "NA")</f>
        <v>16980000</v>
      </c>
      <c r="U43">
        <f>IFERROR(VLOOKUP($A43,reformattedTable2cerebellum!$A$1:$WW$1800,8,FALSE), "NA")</f>
        <v>19980000</v>
      </c>
      <c r="V43">
        <f>IFERROR(VLOOKUP($A43,reformattedTable2cerebellum!$A$1:$WW$1800,9,FALSE), "NA")</f>
        <v>1510000</v>
      </c>
      <c r="W43">
        <f>IFERROR(VLOOKUP($A43,reformattedTable2cerebellum!$A$1:$WW$1800,10,FALSE), "NA")</f>
        <v>571460</v>
      </c>
      <c r="X43">
        <f>IFERROR(VLOOKUP($A43,reformattedTable2cerebellum!$A$1:$WW$1800,11,FALSE), "NA")</f>
        <v>83200</v>
      </c>
      <c r="Y43">
        <f>IFERROR(VLOOKUP($A43,reformattedTable2cerebellum!$A$1:$WW$1800,12,FALSE), "NA")</f>
        <v>61600</v>
      </c>
      <c r="Z43">
        <f>IFERROR(VLOOKUP($A43,reformattedTable2cerebellum!$A$1:$WW$1800,13,FALSE), "NA")</f>
        <v>7990</v>
      </c>
      <c r="AA43">
        <f>IFERROR(VLOOKUP($A43,reformattedTable2cerebellum!$A$1:$WW$1800,14,FALSE), "NA")</f>
        <v>0.108</v>
      </c>
      <c r="AB43" t="str">
        <f>IFERROR(VLOOKUP($A43,reformattedTable2cerebellum!$A$1:$WW$1800,15,FALSE), "NA")</f>
        <v>NA</v>
      </c>
      <c r="AC43" t="str">
        <f>IFERROR(VLOOKUP($A43,reformattedTable2cerebellum!$A$1:$WW$1800,16,FALSE), "NA")</f>
        <v>Herculano-Houzel et al., 2007</v>
      </c>
      <c r="AD43" t="str">
        <f>IFERROR(VLOOKUP($A43,reformattedTable2cerebellum!$A$1:$WW$1800,17,FALSE), "NA")</f>
        <v>Tupaia_glis</v>
      </c>
      <c r="AE43">
        <f>IFERROR(VLOOKUP($A43,reformattedTable3RoB!$A$1:$WW$1800,4,FALSE), "NA")</f>
        <v>0.91900000000000004</v>
      </c>
      <c r="AF43">
        <f>IFERROR(VLOOKUP($A43,reformattedTable3RoB!$A$1:$WW$1800,5,FALSE), "NA")</f>
        <v>7.1999999999999995E-2</v>
      </c>
      <c r="AG43">
        <f>IFERROR(VLOOKUP($A43,reformattedTable3RoB!$A$1:$WW$1800,6,FALSE), "NA")</f>
        <v>22480000</v>
      </c>
      <c r="AH43" t="str">
        <f>IFERROR(VLOOKUP($A43,reformattedTable3RoB!$A$1:$WW$1800,7,FALSE), "NA")</f>
        <v>NA</v>
      </c>
      <c r="AI43">
        <f>IFERROR(VLOOKUP($A43,reformattedTable3RoB!$A$1:$WW$1800,8,FALSE), "NA")</f>
        <v>87080000</v>
      </c>
      <c r="AJ43" t="str">
        <f>IFERROR(VLOOKUP($A43,reformattedTable3RoB!$A$1:$WW$1800,9,FALSE), "NA")</f>
        <v>NA</v>
      </c>
      <c r="AK43">
        <f>IFERROR(VLOOKUP($A43,reformattedTable3RoB!$A$1:$WW$1800,10,FALSE), "NA")</f>
        <v>25900</v>
      </c>
      <c r="AL43" t="str">
        <f>IFERROR(VLOOKUP($A43,reformattedTable3RoB!$A$1:$WW$1800,11,FALSE), "NA")</f>
        <v>NA</v>
      </c>
      <c r="AM43">
        <f>IFERROR(VLOOKUP($A43,reformattedTable3RoB!$A$1:$WW$1800,12,FALSE), "NA")</f>
        <v>100320</v>
      </c>
      <c r="AN43" t="str">
        <f>IFERROR(VLOOKUP($A43,reformattedTable3RoB!$A$1:$WW$1800,13,FALSE), "NA")</f>
        <v>NA</v>
      </c>
      <c r="AO43">
        <f>IFERROR(VLOOKUP($A43,reformattedTable3RoB!$A$1:$WW$1800,14,FALSE), "NA")</f>
        <v>3.8740000000000001</v>
      </c>
      <c r="AP43" t="str">
        <f>IFERROR(VLOOKUP($A43,reformattedTable3RoB!$A$1:$WW$1800,15,FALSE), "NA")</f>
        <v>NA</v>
      </c>
      <c r="AQ43" t="str">
        <f>IFERROR(VLOOKUP($A43,reformattedTable3RoB!$A$1:$WW$1800,16,FALSE), "NA")</f>
        <v>Herculano-Houzel et al., 2007</v>
      </c>
      <c r="AR43" t="str">
        <f>IFERROR(VLOOKUP($A43,reformattedTable3RoB!$A$1:$WW$1800,17,FALSE), "NA")</f>
        <v>Tupaia_glis</v>
      </c>
      <c r="AS43">
        <f>IFERROR(VLOOKUP($A43,reformattedTable4olfactory_bulb!$A$1:$WV$1800,4,FALSE), "NA")</f>
        <v>0.1</v>
      </c>
      <c r="AT43">
        <f>IFERROR(VLOOKUP($A43,reformattedTable4olfactory_bulb!$A$1:$WV$1800,5,FALSE), "NA")</f>
        <v>3.2000000000000001E-2</v>
      </c>
      <c r="AU43">
        <f>IFERROR(VLOOKUP($A43,reformattedTable4olfactory_bulb!$A$1:$WV$1800,6,FALSE), "NA")</f>
        <v>12700000</v>
      </c>
      <c r="AV43">
        <f>IFERROR(VLOOKUP($A43,reformattedTable4olfactory_bulb!$A$1:$WV$1800,7,FALSE), "NA")</f>
        <v>3584952</v>
      </c>
      <c r="AW43">
        <f>IFERROR(VLOOKUP($A43,reformattedTable4olfactory_bulb!$A$1:$WV$1800,8,FALSE), "NA")</f>
        <v>20068000</v>
      </c>
      <c r="AX43">
        <f>IFERROR(VLOOKUP($A43,reformattedTable4olfactory_bulb!$A$1:$WV$1800,9,FALSE), "NA")</f>
        <v>6541838</v>
      </c>
      <c r="AY43">
        <f>IFERROR(VLOOKUP($A43,reformattedTable4olfactory_bulb!$A$1:$WV$1800,10,FALSE), "NA")</f>
        <v>130173</v>
      </c>
      <c r="AZ43">
        <f>IFERROR(VLOOKUP($A43,reformattedTable4olfactory_bulb!$A$1:$WV$1800,11,FALSE), "NA")</f>
        <v>17451</v>
      </c>
      <c r="BA43">
        <f>IFERROR(VLOOKUP($A43,reformattedTable4olfactory_bulb!$A$1:$WV$1800,12,FALSE), "NA")</f>
        <v>205876</v>
      </c>
      <c r="BB43">
        <f>IFERROR(VLOOKUP($A43,reformattedTable4olfactory_bulb!$A$1:$WV$1800,13,FALSE), "NA")</f>
        <v>51596</v>
      </c>
      <c r="BC43">
        <f>IFERROR(VLOOKUP($A43,reformattedTable4olfactory_bulb!$A$1:$WV$1800,14,FALSE), "NA")</f>
        <v>1.58</v>
      </c>
      <c r="BD43" t="str">
        <f>IFERROR(VLOOKUP($A43,reformattedTable4olfactory_bulb!$A$1:$WV$1800,15,FALSE), "NA")</f>
        <v>NA</v>
      </c>
      <c r="BE43" t="str">
        <f>IFERROR(VLOOKUP($A43,reformattedTable4olfactory_bulb!$A$1:$WV$1800,16,FALSE), "NA")</f>
        <v>Herculano-Houzel et al., 2007</v>
      </c>
      <c r="BF43" t="str">
        <f>IFERROR(VLOOKUP($A43,reformattedTable4olfactory_bulb!$A$1:$WV$1800,17,FALSE), "NA")</f>
        <v>Tupaia_glis</v>
      </c>
      <c r="BG43">
        <f>IFERROR(VLOOKUP($A43,reformattedTable5whole_brain!$A$1:$WV$1800,4,FALSE), "NA")</f>
        <v>172.5</v>
      </c>
      <c r="BH43">
        <f>IFERROR(VLOOKUP($A43,reformattedTable5whole_brain!$A$1:$WV$1800,5,FALSE), "NA")</f>
        <v>3.5</v>
      </c>
      <c r="BI43">
        <f>IFERROR(VLOOKUP($A43,reformattedTable5whole_brain!$A$1:$WV$1800,6,FALSE), "NA")</f>
        <v>2.7519999999999998</v>
      </c>
      <c r="BJ43">
        <f>IFERROR(VLOOKUP($A43,reformattedTable5whole_brain!$A$1:$WV$1800,7,FALSE), "NA")</f>
        <v>1.0999999999999999E-2</v>
      </c>
      <c r="BK43">
        <f>IFERROR(VLOOKUP($A43,reformattedTable5whole_brain!$A$1:$WV$1800,8,FALSE), "NA")</f>
        <v>261400000</v>
      </c>
      <c r="BL43" t="str">
        <f>IFERROR(VLOOKUP($A43,reformattedTable5whole_brain!$A$1:$WV$1800,9,FALSE), "NA")</f>
        <v>NA</v>
      </c>
      <c r="BM43">
        <f>IFERROR(VLOOKUP($A43,reformattedTable5whole_brain!$A$1:$WV$1800,10,FALSE), "NA")</f>
        <v>199650000</v>
      </c>
      <c r="BN43" t="str">
        <f>IFERROR(VLOOKUP($A43,reformattedTable5whole_brain!$A$1:$WV$1800,11,FALSE), "NA")</f>
        <v>NA</v>
      </c>
      <c r="BO43">
        <f>IFERROR(VLOOKUP($A43,reformattedTable5whole_brain!$A$1:$WV$1800,12,FALSE), "NA")</f>
        <v>56.7</v>
      </c>
      <c r="BP43" t="str">
        <f>IFERROR(VLOOKUP($A43,reformattedTable5whole_brain!$A$1:$WV$1800,13,FALSE), "NA")</f>
        <v>NA</v>
      </c>
      <c r="BQ43" t="str">
        <f>IFERROR(VLOOKUP($A43,reformattedTable5whole_brain!$A$1:$WV$1800,14,FALSE), "NA")</f>
        <v>Herculano-Houzel et al., 2007</v>
      </c>
      <c r="BR43" t="str">
        <f>IFERROR(VLOOKUP($A43,reformattedTable5whole_brain!$A$1:$WV$1800,15,FALSE), "NA")</f>
        <v>Tupaia_glis</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5" ma:contentTypeDescription="Create a new document." ma:contentTypeScope="" ma:versionID="acb3cbe4b9dee1876b3bbe7116f679b3">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ca927c27970307cd175704f09b582c5c"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68B7FF-018B-46A1-8C18-3378A1905AB9}"/>
</file>

<file path=customXml/itemProps2.xml><?xml version="1.0" encoding="utf-8"?>
<ds:datastoreItem xmlns:ds="http://schemas.openxmlformats.org/officeDocument/2006/customXml" ds:itemID="{D0A8FAE4-E9CC-4C0D-8ACA-5FD1A1E4D0FF}">
  <ds:schemaRefs>
    <ds:schemaRef ds:uri="http://www.w3.org/XML/1998/namespace"/>
    <ds:schemaRef ds:uri="http://schemas.microsoft.com/office/2006/documentManagement/types"/>
    <ds:schemaRef ds:uri="http://schemas.openxmlformats.org/package/2006/metadata/core-properties"/>
    <ds:schemaRef ds:uri="http://purl.org/dc/dcmitype/"/>
    <ds:schemaRef ds:uri="http://purl.org/dc/elements/1.1/"/>
    <ds:schemaRef ds:uri="8e1efd23-f4ba-42d2-85fd-6a510437bae6"/>
    <ds:schemaRef ds:uri="http://schemas.microsoft.com/office/infopath/2007/PartnerControls"/>
    <ds:schemaRef ds:uri="3bad6c6a-329d-45e9-b8b0-1ebecc8a8764"/>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79F12C70-C22D-46B6-AB29-69290F284D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publishedTable1cerebral cortex</vt:lpstr>
      <vt:lpstr>publishedTable2cerebellum</vt:lpstr>
      <vt:lpstr>publishedTable3RoB</vt:lpstr>
      <vt:lpstr>publishedTable4olfactory bulb</vt:lpstr>
      <vt:lpstr>publishedTable5whole brain</vt:lpstr>
      <vt:lpstr>reformattedTable1cerebrum</vt:lpstr>
      <vt:lpstr>reformattedTable2cerebellum</vt:lpstr>
      <vt:lpstr>reformattedTable3RoB</vt:lpstr>
      <vt:lpstr>reformattedTable4olfactory_bulb</vt:lpstr>
      <vt:lpstr>reformattedTable5whole_brain</vt:lpstr>
      <vt:lpstr>Tables1_5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de Sousa</dc:creator>
  <cp:lastModifiedBy>Alexandra de Sousa</cp:lastModifiedBy>
  <dcterms:created xsi:type="dcterms:W3CDTF">2023-05-04T01:43:50Z</dcterms:created>
  <dcterms:modified xsi:type="dcterms:W3CDTF">2023-07-06T21:02:22Z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