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166925"/>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13" documentId="11_98B1384586C750A2339FF6DFCCF4AC280E0411F7" xr6:coauthVersionLast="47" xr6:coauthVersionMax="47" xr10:uidLastSave="{6F16B44B-E577-0F43-B5F6-B999EC997B41}"/>
  <bookViews>
    <workbookView xWindow="34560" yWindow="-580" windowWidth="45780" windowHeight="19960" xr2:uid="{00000000-000D-0000-FFFF-FFFF00000000}"/>
  </bookViews>
  <sheets>
    <sheet name="Sheet1" sheetId="1" r:id="rId1"/>
    <sheet name="File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 l="1"/>
  <c r="G24" i="1"/>
  <c r="I24" i="1"/>
  <c r="H24" i="1" s="1"/>
  <c r="E25" i="1"/>
  <c r="G25" i="1"/>
  <c r="I25" i="1"/>
  <c r="H25" i="1" s="1"/>
  <c r="J24" i="1"/>
  <c r="L24" i="1" s="1"/>
  <c r="M24" i="1" s="1" a="1"/>
  <c r="M24" i="1" s="1"/>
  <c r="J25" i="1"/>
  <c r="L25" i="1" s="1"/>
  <c r="M25" i="1" s="1" a="1"/>
  <c r="M25" i="1" s="1"/>
  <c r="J198" i="1"/>
  <c r="L198" i="1" s="1"/>
  <c r="M198" i="1" s="1" a="1"/>
  <c r="M198" i="1" s="1"/>
  <c r="I198" i="1"/>
  <c r="H198" i="1" s="1"/>
  <c r="F198" i="1" s="1"/>
  <c r="K198" i="1" s="1"/>
  <c r="G198" i="1"/>
  <c r="E198" i="1"/>
  <c r="J197" i="1"/>
  <c r="L197" i="1" s="1"/>
  <c r="M197" i="1" s="1" a="1"/>
  <c r="M197" i="1" s="1"/>
  <c r="I197" i="1"/>
  <c r="H197" i="1" s="1"/>
  <c r="F197" i="1" s="1"/>
  <c r="K197" i="1" s="1"/>
  <c r="G197" i="1"/>
  <c r="E197" i="1"/>
  <c r="J196" i="1"/>
  <c r="L196" i="1" s="1"/>
  <c r="M196" i="1" s="1" a="1"/>
  <c r="M196" i="1" s="1"/>
  <c r="I196" i="1"/>
  <c r="H196" i="1" s="1"/>
  <c r="G196" i="1"/>
  <c r="E196" i="1"/>
  <c r="T195" i="1"/>
  <c r="J195" i="1"/>
  <c r="L195" i="1" s="1"/>
  <c r="M195" i="1" s="1" a="1"/>
  <c r="M195" i="1" s="1"/>
  <c r="I195" i="1"/>
  <c r="H195" i="1" s="1"/>
  <c r="F195" i="1" s="1"/>
  <c r="K195" i="1" s="1"/>
  <c r="G195" i="1"/>
  <c r="E195" i="1"/>
  <c r="T194" i="1"/>
  <c r="L194" i="1"/>
  <c r="M194" i="1" s="1" a="1"/>
  <c r="M194" i="1" s="1"/>
  <c r="J194" i="1"/>
  <c r="I194" i="1"/>
  <c r="H194" i="1" s="1"/>
  <c r="G194" i="1"/>
  <c r="E194" i="1"/>
  <c r="L193" i="1"/>
  <c r="M193" i="1" s="1" a="1"/>
  <c r="M193" i="1" s="1"/>
  <c r="J193" i="1"/>
  <c r="I193" i="1"/>
  <c r="H193" i="1" s="1"/>
  <c r="G193" i="1"/>
  <c r="E193" i="1"/>
  <c r="J192" i="1"/>
  <c r="L192" i="1" s="1"/>
  <c r="M192" i="1" s="1" a="1"/>
  <c r="M192" i="1" s="1"/>
  <c r="I192" i="1"/>
  <c r="H192" i="1" s="1"/>
  <c r="G192" i="1"/>
  <c r="E192" i="1"/>
  <c r="J191" i="1"/>
  <c r="L191" i="1" s="1"/>
  <c r="M191" i="1" s="1" a="1"/>
  <c r="M191" i="1" s="1"/>
  <c r="I191" i="1"/>
  <c r="H191" i="1" s="1"/>
  <c r="G191" i="1"/>
  <c r="E191" i="1"/>
  <c r="J190" i="1"/>
  <c r="L190" i="1" s="1"/>
  <c r="M190" i="1" s="1" a="1"/>
  <c r="M190" i="1" s="1"/>
  <c r="I190" i="1"/>
  <c r="H190" i="1" s="1"/>
  <c r="G190" i="1"/>
  <c r="E190" i="1"/>
  <c r="L189" i="1"/>
  <c r="M189" i="1" s="1" a="1"/>
  <c r="M189" i="1" s="1"/>
  <c r="J189" i="1"/>
  <c r="I189" i="1"/>
  <c r="H189" i="1" s="1"/>
  <c r="G189" i="1"/>
  <c r="E189" i="1"/>
  <c r="L188" i="1"/>
  <c r="M188" i="1" s="1" a="1"/>
  <c r="M188" i="1" s="1"/>
  <c r="J188" i="1"/>
  <c r="I188" i="1"/>
  <c r="H188" i="1" s="1"/>
  <c r="G188" i="1"/>
  <c r="E188" i="1"/>
  <c r="J187" i="1"/>
  <c r="L187" i="1" s="1"/>
  <c r="M187" i="1" s="1" a="1"/>
  <c r="M187" i="1" s="1"/>
  <c r="I187" i="1"/>
  <c r="H187" i="1" s="1"/>
  <c r="G187" i="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s="1"/>
  <c r="G184" i="1"/>
  <c r="E184" i="1"/>
  <c r="J183" i="1"/>
  <c r="L183" i="1" s="1"/>
  <c r="M183" i="1" s="1" a="1"/>
  <c r="M183" i="1" s="1"/>
  <c r="I183" i="1"/>
  <c r="H183" i="1" s="1"/>
  <c r="G183" i="1"/>
  <c r="E183" i="1"/>
  <c r="J182" i="1"/>
  <c r="L182" i="1" s="1"/>
  <c r="M182" i="1" s="1" a="1"/>
  <c r="M182" i="1" s="1"/>
  <c r="I182" i="1"/>
  <c r="H182" i="1"/>
  <c r="G182" i="1"/>
  <c r="E182" i="1"/>
  <c r="J181" i="1"/>
  <c r="L181" i="1" s="1"/>
  <c r="M181" i="1" s="1" a="1"/>
  <c r="M181" i="1" s="1"/>
  <c r="I181" i="1"/>
  <c r="H181" i="1" s="1"/>
  <c r="G181" i="1"/>
  <c r="E181" i="1"/>
  <c r="J180" i="1"/>
  <c r="L180" i="1" s="1"/>
  <c r="M180" i="1" s="1" a="1"/>
  <c r="M180" i="1" s="1"/>
  <c r="I180" i="1"/>
  <c r="H180" i="1" s="1"/>
  <c r="G180" i="1"/>
  <c r="E180"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s="1"/>
  <c r="G177" i="1"/>
  <c r="E177" i="1"/>
  <c r="J176" i="1"/>
  <c r="L176" i="1" s="1"/>
  <c r="M176" i="1" s="1" a="1"/>
  <c r="M176" i="1" s="1"/>
  <c r="I176" i="1"/>
  <c r="H176" i="1" s="1"/>
  <c r="G176" i="1"/>
  <c r="E176" i="1"/>
  <c r="J175" i="1"/>
  <c r="L175" i="1" s="1"/>
  <c r="M175" i="1" s="1" a="1"/>
  <c r="M175" i="1" s="1"/>
  <c r="I175" i="1"/>
  <c r="H175" i="1" s="1"/>
  <c r="G175" i="1"/>
  <c r="E175" i="1"/>
  <c r="J174" i="1"/>
  <c r="L174" i="1" s="1"/>
  <c r="M174" i="1" s="1" a="1"/>
  <c r="M174" i="1" s="1"/>
  <c r="I174" i="1"/>
  <c r="H174" i="1" s="1"/>
  <c r="G174" i="1"/>
  <c r="E174" i="1"/>
  <c r="J173" i="1"/>
  <c r="L173" i="1" s="1"/>
  <c r="M173" i="1" s="1" a="1"/>
  <c r="M173" i="1" s="1"/>
  <c r="I173" i="1"/>
  <c r="H173" i="1" s="1"/>
  <c r="G173" i="1"/>
  <c r="E173" i="1"/>
  <c r="J172" i="1"/>
  <c r="L172" i="1" s="1"/>
  <c r="M172" i="1" s="1" a="1"/>
  <c r="M172" i="1" s="1"/>
  <c r="I172" i="1"/>
  <c r="H172" i="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J166" i="1"/>
  <c r="L166" i="1" s="1"/>
  <c r="M166" i="1" s="1" a="1"/>
  <c r="M166" i="1" s="1"/>
  <c r="I166" i="1"/>
  <c r="H166" i="1" s="1"/>
  <c r="G166" i="1"/>
  <c r="E166" i="1"/>
  <c r="J165" i="1"/>
  <c r="L165" i="1" s="1"/>
  <c r="M165" i="1" s="1" a="1"/>
  <c r="M165" i="1" s="1"/>
  <c r="I165" i="1"/>
  <c r="H165" i="1" s="1"/>
  <c r="G165" i="1"/>
  <c r="E165" i="1"/>
  <c r="J164" i="1"/>
  <c r="L164" i="1" s="1"/>
  <c r="M164" i="1" s="1" a="1"/>
  <c r="M164" i="1" s="1"/>
  <c r="I164" i="1"/>
  <c r="H164" i="1" s="1"/>
  <c r="G164" i="1"/>
  <c r="E164" i="1"/>
  <c r="J163" i="1"/>
  <c r="L163" i="1" s="1"/>
  <c r="M163" i="1" s="1" a="1"/>
  <c r="M163" i="1" s="1"/>
  <c r="I163" i="1"/>
  <c r="H163" i="1" s="1"/>
  <c r="G163" i="1"/>
  <c r="E163" i="1"/>
  <c r="J162" i="1"/>
  <c r="L162" i="1" s="1"/>
  <c r="M162" i="1" s="1" a="1"/>
  <c r="M162" i="1" s="1"/>
  <c r="I162" i="1"/>
  <c r="H162" i="1" s="1"/>
  <c r="G162" i="1"/>
  <c r="E162" i="1"/>
  <c r="J161" i="1"/>
  <c r="L161" i="1" s="1"/>
  <c r="M161" i="1" s="1" a="1"/>
  <c r="M161" i="1" s="1"/>
  <c r="I161" i="1"/>
  <c r="H161" i="1" s="1"/>
  <c r="G161" i="1"/>
  <c r="E161" i="1"/>
  <c r="J160" i="1"/>
  <c r="L160" i="1" s="1"/>
  <c r="M160" i="1" s="1" a="1"/>
  <c r="M160" i="1" s="1"/>
  <c r="I160" i="1"/>
  <c r="H160" i="1" s="1"/>
  <c r="G160" i="1"/>
  <c r="E160" i="1"/>
  <c r="J159" i="1"/>
  <c r="L159" i="1" s="1"/>
  <c r="M159" i="1" s="1" a="1"/>
  <c r="M159" i="1" s="1"/>
  <c r="I159" i="1"/>
  <c r="H159" i="1" s="1"/>
  <c r="G159" i="1"/>
  <c r="E159" i="1"/>
  <c r="J158" i="1"/>
  <c r="L158" i="1" s="1"/>
  <c r="M158" i="1" s="1" a="1"/>
  <c r="M158" i="1" s="1"/>
  <c r="I158" i="1"/>
  <c r="H158" i="1" s="1"/>
  <c r="G158" i="1"/>
  <c r="E158" i="1"/>
  <c r="J157" i="1"/>
  <c r="L157" i="1" s="1"/>
  <c r="M157" i="1" s="1" a="1"/>
  <c r="M157" i="1" s="1"/>
  <c r="I157" i="1"/>
  <c r="H157" i="1" s="1"/>
  <c r="G157" i="1"/>
  <c r="E157" i="1"/>
  <c r="J156" i="1"/>
  <c r="L156" i="1" s="1"/>
  <c r="M156" i="1" s="1" a="1"/>
  <c r="M156" i="1" s="1"/>
  <c r="I156" i="1"/>
  <c r="H156" i="1" s="1"/>
  <c r="G156" i="1"/>
  <c r="E156" i="1"/>
  <c r="J155" i="1"/>
  <c r="L155" i="1" s="1"/>
  <c r="M155" i="1" s="1" a="1"/>
  <c r="M155" i="1" s="1"/>
  <c r="I155" i="1"/>
  <c r="H155" i="1" s="1"/>
  <c r="G155" i="1"/>
  <c r="E155" i="1"/>
  <c r="J154" i="1"/>
  <c r="L154" i="1" s="1"/>
  <c r="M154" i="1" s="1" a="1"/>
  <c r="M154" i="1" s="1"/>
  <c r="I154" i="1"/>
  <c r="H154" i="1" s="1"/>
  <c r="G154" i="1"/>
  <c r="E154" i="1"/>
  <c r="J153" i="1"/>
  <c r="L153" i="1" s="1"/>
  <c r="M153" i="1" s="1" a="1"/>
  <c r="M153" i="1" s="1"/>
  <c r="I153" i="1"/>
  <c r="H153" i="1" s="1"/>
  <c r="G153" i="1"/>
  <c r="E153" i="1"/>
  <c r="T152" i="1"/>
  <c r="J152" i="1"/>
  <c r="L152" i="1" s="1"/>
  <c r="M152" i="1" s="1" a="1"/>
  <c r="M152" i="1" s="1"/>
  <c r="I152" i="1"/>
  <c r="H152" i="1" s="1"/>
  <c r="F152" i="1" s="1"/>
  <c r="K152" i="1" s="1"/>
  <c r="G152" i="1"/>
  <c r="E152" i="1"/>
  <c r="T151" i="1"/>
  <c r="J151" i="1"/>
  <c r="L151" i="1" s="1"/>
  <c r="M151" i="1" s="1" a="1"/>
  <c r="M151" i="1" s="1"/>
  <c r="I151" i="1"/>
  <c r="H151" i="1" s="1"/>
  <c r="G151" i="1"/>
  <c r="E151" i="1"/>
  <c r="J150" i="1"/>
  <c r="L150" i="1" s="1"/>
  <c r="M150" i="1" s="1" a="1"/>
  <c r="M150" i="1" s="1"/>
  <c r="I150" i="1"/>
  <c r="H150" i="1" s="1"/>
  <c r="G150" i="1"/>
  <c r="E150" i="1"/>
  <c r="J149" i="1"/>
  <c r="L149" i="1" s="1"/>
  <c r="M149" i="1" s="1" a="1"/>
  <c r="M149" i="1" s="1"/>
  <c r="I149" i="1"/>
  <c r="H149" i="1" s="1"/>
  <c r="G149" i="1"/>
  <c r="E149" i="1"/>
  <c r="J148" i="1"/>
  <c r="L148" i="1" s="1"/>
  <c r="M148" i="1" s="1" a="1"/>
  <c r="M148" i="1" s="1"/>
  <c r="I148" i="1"/>
  <c r="H148" i="1" s="1"/>
  <c r="G148" i="1"/>
  <c r="E148" i="1"/>
  <c r="J147" i="1"/>
  <c r="L147" i="1" s="1"/>
  <c r="M147" i="1" s="1" a="1"/>
  <c r="M147" i="1" s="1"/>
  <c r="I147" i="1"/>
  <c r="H147" i="1" s="1"/>
  <c r="G147" i="1"/>
  <c r="E147" i="1"/>
  <c r="J146" i="1"/>
  <c r="L146" i="1" s="1"/>
  <c r="M146" i="1" s="1" a="1"/>
  <c r="M146" i="1" s="1"/>
  <c r="I146" i="1"/>
  <c r="H146" i="1" s="1"/>
  <c r="G146" i="1"/>
  <c r="E146" i="1"/>
  <c r="J145" i="1"/>
  <c r="L145" i="1" s="1"/>
  <c r="M145" i="1" s="1" a="1"/>
  <c r="M145" i="1" s="1"/>
  <c r="I145" i="1"/>
  <c r="H145" i="1" s="1"/>
  <c r="G145" i="1"/>
  <c r="E145" i="1"/>
  <c r="J144" i="1"/>
  <c r="L144" i="1" s="1"/>
  <c r="M144" i="1" s="1" a="1"/>
  <c r="M144" i="1" s="1"/>
  <c r="I144" i="1"/>
  <c r="H144" i="1" s="1"/>
  <c r="G144" i="1"/>
  <c r="E144" i="1"/>
  <c r="J143" i="1"/>
  <c r="L143" i="1" s="1"/>
  <c r="M143" i="1" s="1" a="1"/>
  <c r="M143" i="1" s="1"/>
  <c r="I143" i="1"/>
  <c r="H143" i="1" s="1"/>
  <c r="G143" i="1"/>
  <c r="E143" i="1"/>
  <c r="J142" i="1"/>
  <c r="L142" i="1" s="1"/>
  <c r="M142" i="1" s="1" a="1"/>
  <c r="M142" i="1" s="1"/>
  <c r="I142" i="1"/>
  <c r="H142" i="1" s="1"/>
  <c r="G142" i="1"/>
  <c r="E142" i="1"/>
  <c r="J141" i="1"/>
  <c r="L141" i="1" s="1"/>
  <c r="M141" i="1" s="1" a="1"/>
  <c r="M141" i="1" s="1"/>
  <c r="I141" i="1"/>
  <c r="H141" i="1" s="1"/>
  <c r="G141" i="1"/>
  <c r="E141" i="1"/>
  <c r="J140" i="1"/>
  <c r="L140" i="1" s="1"/>
  <c r="M140" i="1" s="1" a="1"/>
  <c r="M140" i="1" s="1"/>
  <c r="I140" i="1"/>
  <c r="H140" i="1" s="1"/>
  <c r="G140" i="1"/>
  <c r="E140" i="1"/>
  <c r="J139" i="1"/>
  <c r="L139" i="1" s="1"/>
  <c r="M139" i="1" s="1" a="1"/>
  <c r="M139" i="1" s="1"/>
  <c r="I139" i="1"/>
  <c r="H139" i="1" s="1"/>
  <c r="G139" i="1"/>
  <c r="E139" i="1"/>
  <c r="J138" i="1"/>
  <c r="L138" i="1" s="1"/>
  <c r="M138" i="1" s="1" a="1"/>
  <c r="M138" i="1" s="1"/>
  <c r="I138" i="1"/>
  <c r="H138" i="1" s="1"/>
  <c r="G138" i="1"/>
  <c r="E138" i="1"/>
  <c r="T137"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M133" i="1" a="1"/>
  <c r="M133" i="1" s="1"/>
  <c r="J133" i="1"/>
  <c r="L133" i="1" s="1"/>
  <c r="I133" i="1"/>
  <c r="H133" i="1" s="1"/>
  <c r="G133" i="1"/>
  <c r="E133" i="1"/>
  <c r="J132" i="1"/>
  <c r="L132" i="1" s="1"/>
  <c r="M132" i="1" s="1" a="1"/>
  <c r="M132" i="1" s="1"/>
  <c r="I132" i="1"/>
  <c r="H132" i="1" s="1"/>
  <c r="G132" i="1"/>
  <c r="E132" i="1"/>
  <c r="J131" i="1"/>
  <c r="L131" i="1" s="1"/>
  <c r="M131" i="1" s="1" a="1"/>
  <c r="M131" i="1" s="1"/>
  <c r="I131" i="1"/>
  <c r="H131" i="1" s="1"/>
  <c r="G131" i="1"/>
  <c r="E131" i="1"/>
  <c r="T130" i="1"/>
  <c r="J130" i="1"/>
  <c r="L130" i="1" s="1"/>
  <c r="M130" i="1" s="1" a="1"/>
  <c r="M130" i="1" s="1"/>
  <c r="I130" i="1"/>
  <c r="H130" i="1"/>
  <c r="F130" i="1" s="1"/>
  <c r="K130" i="1" s="1"/>
  <c r="G130" i="1"/>
  <c r="E130" i="1"/>
  <c r="J129" i="1"/>
  <c r="L129" i="1" s="1"/>
  <c r="M129" i="1" s="1" a="1"/>
  <c r="M129" i="1" s="1"/>
  <c r="I129" i="1"/>
  <c r="H129" i="1" s="1"/>
  <c r="G129" i="1"/>
  <c r="E129" i="1"/>
  <c r="J128" i="1"/>
  <c r="L128" i="1" s="1"/>
  <c r="M128" i="1" s="1" a="1"/>
  <c r="M128" i="1" s="1"/>
  <c r="I128" i="1"/>
  <c r="H128" i="1"/>
  <c r="G128" i="1"/>
  <c r="E128" i="1"/>
  <c r="J127" i="1"/>
  <c r="L127" i="1" s="1"/>
  <c r="M127" i="1" s="1" a="1"/>
  <c r="M127" i="1" s="1"/>
  <c r="I127" i="1"/>
  <c r="H127" i="1" s="1"/>
  <c r="G127" i="1"/>
  <c r="E127" i="1"/>
  <c r="J126" i="1"/>
  <c r="L126" i="1" s="1"/>
  <c r="M126" i="1" s="1" a="1"/>
  <c r="M126" i="1" s="1"/>
  <c r="I126" i="1"/>
  <c r="H126" i="1" s="1"/>
  <c r="G126" i="1"/>
  <c r="E126" i="1"/>
  <c r="L125" i="1"/>
  <c r="M125" i="1" s="1" a="1"/>
  <c r="M125" i="1" s="1"/>
  <c r="J125" i="1"/>
  <c r="I125" i="1"/>
  <c r="H125" i="1" s="1"/>
  <c r="G125" i="1"/>
  <c r="E125" i="1"/>
  <c r="J124" i="1"/>
  <c r="L124" i="1" s="1"/>
  <c r="M124" i="1" s="1" a="1"/>
  <c r="M124" i="1" s="1"/>
  <c r="I124" i="1"/>
  <c r="H124" i="1" s="1"/>
  <c r="G124" i="1"/>
  <c r="E124" i="1"/>
  <c r="J123" i="1"/>
  <c r="L123" i="1" s="1"/>
  <c r="M123" i="1" s="1" a="1"/>
  <c r="M123" i="1" s="1"/>
  <c r="I123" i="1"/>
  <c r="H123" i="1" s="1"/>
  <c r="G123" i="1"/>
  <c r="E123" i="1"/>
  <c r="J122" i="1"/>
  <c r="L122" i="1" s="1"/>
  <c r="M122" i="1" s="1" a="1"/>
  <c r="M122" i="1" s="1"/>
  <c r="I122" i="1"/>
  <c r="H122" i="1" s="1"/>
  <c r="G122" i="1"/>
  <c r="E122" i="1"/>
  <c r="J121" i="1"/>
  <c r="L121" i="1" s="1"/>
  <c r="M121" i="1" s="1" a="1"/>
  <c r="M121" i="1" s="1"/>
  <c r="I121" i="1"/>
  <c r="H121" i="1"/>
  <c r="G121" i="1"/>
  <c r="E121" i="1"/>
  <c r="J120" i="1"/>
  <c r="L120" i="1" s="1"/>
  <c r="M120" i="1" s="1" a="1"/>
  <c r="M120" i="1" s="1"/>
  <c r="I120" i="1"/>
  <c r="H120" i="1" s="1"/>
  <c r="G120" i="1"/>
  <c r="E120" i="1"/>
  <c r="J119" i="1"/>
  <c r="L119" i="1" s="1"/>
  <c r="M119" i="1" s="1" a="1"/>
  <c r="M119" i="1" s="1"/>
  <c r="I119" i="1"/>
  <c r="H119" i="1" s="1"/>
  <c r="G119" i="1"/>
  <c r="E119" i="1"/>
  <c r="J118" i="1"/>
  <c r="L118" i="1" s="1"/>
  <c r="M118" i="1" s="1" a="1"/>
  <c r="M118" i="1" s="1"/>
  <c r="I118" i="1"/>
  <c r="H118" i="1" s="1"/>
  <c r="G118" i="1"/>
  <c r="E118" i="1"/>
  <c r="J117" i="1"/>
  <c r="L117" i="1" s="1"/>
  <c r="M117" i="1" s="1" a="1"/>
  <c r="M117" i="1" s="1"/>
  <c r="I117" i="1"/>
  <c r="H117" i="1"/>
  <c r="G117" i="1"/>
  <c r="E117" i="1"/>
  <c r="J116" i="1"/>
  <c r="L116" i="1" s="1"/>
  <c r="M116" i="1" s="1" a="1"/>
  <c r="M116" i="1" s="1"/>
  <c r="I116" i="1"/>
  <c r="H116" i="1"/>
  <c r="F116" i="1" s="1"/>
  <c r="K116" i="1" s="1"/>
  <c r="G116" i="1"/>
  <c r="E116" i="1"/>
  <c r="J115" i="1"/>
  <c r="L115" i="1" s="1"/>
  <c r="M115" i="1" s="1" a="1"/>
  <c r="M115" i="1" s="1"/>
  <c r="I115" i="1"/>
  <c r="H115" i="1" s="1"/>
  <c r="G115" i="1"/>
  <c r="E115" i="1"/>
  <c r="J114" i="1"/>
  <c r="L114" i="1" s="1"/>
  <c r="M114" i="1" s="1" a="1"/>
  <c r="M114" i="1" s="1"/>
  <c r="I114" i="1"/>
  <c r="H114" i="1" s="1"/>
  <c r="F114" i="1" s="1"/>
  <c r="K114" i="1" s="1"/>
  <c r="G114" i="1"/>
  <c r="E114" i="1"/>
  <c r="J113" i="1"/>
  <c r="L113" i="1" s="1"/>
  <c r="M113" i="1" s="1" a="1"/>
  <c r="M113" i="1" s="1"/>
  <c r="I113" i="1"/>
  <c r="H113" i="1" s="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J108" i="1"/>
  <c r="L108" i="1" s="1"/>
  <c r="M108" i="1" s="1" a="1"/>
  <c r="M108" i="1" s="1"/>
  <c r="I108" i="1"/>
  <c r="H108" i="1"/>
  <c r="G108" i="1"/>
  <c r="E108" i="1"/>
  <c r="J107" i="1"/>
  <c r="L107" i="1" s="1"/>
  <c r="M107" i="1" s="1" a="1"/>
  <c r="M107" i="1" s="1"/>
  <c r="I107" i="1"/>
  <c r="H107" i="1" s="1"/>
  <c r="G107" i="1"/>
  <c r="E107" i="1"/>
  <c r="J106" i="1"/>
  <c r="L106" i="1" s="1"/>
  <c r="M106" i="1" s="1" a="1"/>
  <c r="M106" i="1" s="1"/>
  <c r="I106" i="1"/>
  <c r="H106" i="1" s="1"/>
  <c r="G106" i="1"/>
  <c r="E106" i="1"/>
  <c r="J105" i="1"/>
  <c r="L105" i="1" s="1"/>
  <c r="M105" i="1" s="1" a="1"/>
  <c r="M105" i="1" s="1"/>
  <c r="I105" i="1"/>
  <c r="H105" i="1" s="1"/>
  <c r="G105" i="1"/>
  <c r="E105" i="1"/>
  <c r="L104" i="1"/>
  <c r="M104" i="1" s="1" a="1"/>
  <c r="M104" i="1" s="1"/>
  <c r="J104" i="1"/>
  <c r="I104" i="1"/>
  <c r="H104" i="1" s="1"/>
  <c r="G104" i="1"/>
  <c r="E104" i="1"/>
  <c r="J103" i="1"/>
  <c r="L103" i="1" s="1"/>
  <c r="M103" i="1" s="1" a="1"/>
  <c r="M103" i="1" s="1"/>
  <c r="I103" i="1"/>
  <c r="H103" i="1"/>
  <c r="G103" i="1"/>
  <c r="E103" i="1"/>
  <c r="J102" i="1"/>
  <c r="L102" i="1" s="1"/>
  <c r="M102" i="1" s="1" a="1"/>
  <c r="M102" i="1" s="1"/>
  <c r="I102" i="1"/>
  <c r="H102" i="1" s="1"/>
  <c r="G102" i="1"/>
  <c r="E102" i="1"/>
  <c r="J101" i="1"/>
  <c r="L101" i="1" s="1"/>
  <c r="M101" i="1" s="1" a="1"/>
  <c r="M101" i="1" s="1"/>
  <c r="I101" i="1"/>
  <c r="H101" i="1" s="1"/>
  <c r="G101" i="1"/>
  <c r="E101" i="1"/>
  <c r="L100" i="1"/>
  <c r="M100" i="1" s="1" a="1"/>
  <c r="M100" i="1" s="1"/>
  <c r="J100" i="1"/>
  <c r="I100" i="1"/>
  <c r="H100" i="1" s="1"/>
  <c r="G100" i="1"/>
  <c r="E100" i="1"/>
  <c r="J99" i="1"/>
  <c r="L99" i="1" s="1"/>
  <c r="M99" i="1" s="1" a="1"/>
  <c r="M99" i="1" s="1"/>
  <c r="I99" i="1"/>
  <c r="H99" i="1" s="1"/>
  <c r="G99" i="1"/>
  <c r="E99" i="1"/>
  <c r="J98" i="1"/>
  <c r="L98" i="1" s="1"/>
  <c r="M98" i="1" s="1" a="1"/>
  <c r="M98" i="1" s="1"/>
  <c r="I98" i="1"/>
  <c r="H98" i="1" s="1"/>
  <c r="G98" i="1"/>
  <c r="E98" i="1"/>
  <c r="J97" i="1"/>
  <c r="L97" i="1" s="1"/>
  <c r="M97" i="1" s="1" a="1"/>
  <c r="M97" i="1" s="1"/>
  <c r="I97" i="1"/>
  <c r="H97" i="1" s="1"/>
  <c r="F97" i="1" s="1"/>
  <c r="K97" i="1" s="1"/>
  <c r="G97" i="1"/>
  <c r="E97" i="1"/>
  <c r="J96" i="1"/>
  <c r="L96" i="1" s="1"/>
  <c r="M96" i="1" s="1" a="1"/>
  <c r="M96" i="1" s="1"/>
  <c r="I96" i="1"/>
  <c r="H96" i="1" s="1"/>
  <c r="G96" i="1"/>
  <c r="E96" i="1"/>
  <c r="J95" i="1"/>
  <c r="L95" i="1" s="1"/>
  <c r="M95" i="1" s="1" a="1"/>
  <c r="M95" i="1" s="1"/>
  <c r="I95" i="1"/>
  <c r="H95" i="1" s="1"/>
  <c r="G95" i="1"/>
  <c r="E95" i="1"/>
  <c r="J94" i="1"/>
  <c r="L94" i="1" s="1"/>
  <c r="M94" i="1" s="1" a="1"/>
  <c r="M94" i="1" s="1"/>
  <c r="I94" i="1"/>
  <c r="H94" i="1" s="1"/>
  <c r="G94" i="1"/>
  <c r="E94" i="1"/>
  <c r="J93" i="1"/>
  <c r="L93" i="1" s="1"/>
  <c r="M93" i="1" s="1" a="1"/>
  <c r="M93" i="1" s="1"/>
  <c r="I93" i="1"/>
  <c r="H93" i="1"/>
  <c r="G93" i="1"/>
  <c r="E93" i="1"/>
  <c r="J92" i="1"/>
  <c r="L92" i="1" s="1"/>
  <c r="M92" i="1" s="1" a="1"/>
  <c r="M92" i="1" s="1"/>
  <c r="I92" i="1"/>
  <c r="H92" i="1"/>
  <c r="G92" i="1"/>
  <c r="E92" i="1"/>
  <c r="T91" i="1"/>
  <c r="J91" i="1"/>
  <c r="L91" i="1" s="1"/>
  <c r="M91" i="1" s="1" a="1"/>
  <c r="M91" i="1" s="1"/>
  <c r="I91" i="1"/>
  <c r="H91" i="1" s="1"/>
  <c r="G91" i="1"/>
  <c r="E91" i="1"/>
  <c r="T90" i="1"/>
  <c r="J90" i="1"/>
  <c r="L90" i="1" s="1"/>
  <c r="M90" i="1" s="1" a="1"/>
  <c r="M90" i="1" s="1"/>
  <c r="I90" i="1"/>
  <c r="H90" i="1" s="1"/>
  <c r="F90" i="1" s="1"/>
  <c r="K90" i="1" s="1"/>
  <c r="G90" i="1"/>
  <c r="E90" i="1"/>
  <c r="T89" i="1"/>
  <c r="J89" i="1"/>
  <c r="L89" i="1" s="1"/>
  <c r="M89" i="1" s="1" a="1"/>
  <c r="M89" i="1" s="1"/>
  <c r="I89" i="1"/>
  <c r="H89" i="1" s="1"/>
  <c r="G89" i="1"/>
  <c r="E89" i="1"/>
  <c r="T88" i="1"/>
  <c r="J88" i="1"/>
  <c r="L88" i="1" s="1"/>
  <c r="M88" i="1" s="1" a="1"/>
  <c r="M88" i="1" s="1"/>
  <c r="I88" i="1"/>
  <c r="H88" i="1" s="1"/>
  <c r="G88" i="1"/>
  <c r="E88" i="1"/>
  <c r="J87" i="1"/>
  <c r="L87" i="1" s="1"/>
  <c r="M87" i="1" s="1" a="1"/>
  <c r="M87" i="1" s="1"/>
  <c r="I87" i="1"/>
  <c r="H87" i="1" s="1"/>
  <c r="G87" i="1"/>
  <c r="E87" i="1"/>
  <c r="J86" i="1"/>
  <c r="L86" i="1" s="1"/>
  <c r="M86" i="1" s="1" a="1"/>
  <c r="M86" i="1" s="1"/>
  <c r="I86" i="1"/>
  <c r="H86" i="1" s="1"/>
  <c r="G86" i="1"/>
  <c r="E86" i="1"/>
  <c r="J85" i="1"/>
  <c r="L85" i="1" s="1"/>
  <c r="M85" i="1" s="1" a="1"/>
  <c r="M85" i="1" s="1"/>
  <c r="I85" i="1"/>
  <c r="H85" i="1" s="1"/>
  <c r="G85" i="1"/>
  <c r="E85" i="1"/>
  <c r="J84" i="1"/>
  <c r="L84" i="1" s="1"/>
  <c r="M84" i="1" s="1" a="1"/>
  <c r="M84" i="1" s="1"/>
  <c r="I84" i="1"/>
  <c r="H84" i="1" s="1"/>
  <c r="G84" i="1"/>
  <c r="E84" i="1"/>
  <c r="J83" i="1"/>
  <c r="L83" i="1" s="1"/>
  <c r="M83" i="1" s="1" a="1"/>
  <c r="M83" i="1" s="1"/>
  <c r="I83" i="1"/>
  <c r="H83" i="1" s="1"/>
  <c r="G83" i="1"/>
  <c r="E83" i="1"/>
  <c r="J82" i="1"/>
  <c r="L82" i="1" s="1"/>
  <c r="M82" i="1" s="1" a="1"/>
  <c r="M82" i="1" s="1"/>
  <c r="I82" i="1"/>
  <c r="H82" i="1" s="1"/>
  <c r="G82" i="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F79" i="1" s="1"/>
  <c r="K79" i="1" s="1"/>
  <c r="G79" i="1"/>
  <c r="E79" i="1"/>
  <c r="J78" i="1"/>
  <c r="L78" i="1" s="1"/>
  <c r="M78" i="1" s="1" a="1"/>
  <c r="M78" i="1" s="1"/>
  <c r="I78" i="1"/>
  <c r="H78" i="1" s="1"/>
  <c r="G78" i="1"/>
  <c r="E78" i="1"/>
  <c r="J77" i="1"/>
  <c r="L77" i="1" s="1"/>
  <c r="M77" i="1" s="1" a="1"/>
  <c r="M77" i="1" s="1"/>
  <c r="I77" i="1"/>
  <c r="H77" i="1" s="1"/>
  <c r="G77" i="1"/>
  <c r="E77" i="1"/>
  <c r="L76" i="1"/>
  <c r="M76" i="1" s="1" a="1"/>
  <c r="M76" i="1" s="1"/>
  <c r="J76" i="1"/>
  <c r="I76" i="1"/>
  <c r="H76" i="1" s="1"/>
  <c r="G76" i="1"/>
  <c r="E76" i="1"/>
  <c r="J75" i="1"/>
  <c r="L75" i="1" s="1"/>
  <c r="M75" i="1" s="1" a="1"/>
  <c r="M75" i="1" s="1"/>
  <c r="I75" i="1"/>
  <c r="H75" i="1" s="1"/>
  <c r="G75" i="1"/>
  <c r="F75" i="1" s="1"/>
  <c r="K75" i="1" s="1"/>
  <c r="E75" i="1"/>
  <c r="J74" i="1"/>
  <c r="L74" i="1" s="1"/>
  <c r="M74" i="1" s="1" a="1"/>
  <c r="M74" i="1" s="1"/>
  <c r="I74" i="1"/>
  <c r="H74" i="1" s="1"/>
  <c r="G74" i="1"/>
  <c r="E74" i="1"/>
  <c r="J73" i="1"/>
  <c r="L73" i="1" s="1"/>
  <c r="M73" i="1" s="1" a="1"/>
  <c r="M73" i="1" s="1"/>
  <c r="I73" i="1"/>
  <c r="H73" i="1" s="1"/>
  <c r="G73" i="1"/>
  <c r="E73" i="1"/>
  <c r="J72" i="1"/>
  <c r="L72" i="1" s="1"/>
  <c r="M72" i="1" s="1" a="1"/>
  <c r="M72" i="1" s="1"/>
  <c r="I72" i="1"/>
  <c r="H72" i="1" s="1"/>
  <c r="G72" i="1"/>
  <c r="E72" i="1"/>
  <c r="J71" i="1"/>
  <c r="L71" i="1" s="1"/>
  <c r="M71" i="1" s="1" a="1"/>
  <c r="M71" i="1" s="1"/>
  <c r="I71" i="1"/>
  <c r="H71" i="1" s="1"/>
  <c r="G71" i="1"/>
  <c r="E71" i="1"/>
  <c r="J70" i="1"/>
  <c r="L70" i="1" s="1"/>
  <c r="M70" i="1" s="1" a="1"/>
  <c r="M70" i="1" s="1"/>
  <c r="I70" i="1"/>
  <c r="H70" i="1" s="1"/>
  <c r="G70" i="1"/>
  <c r="E70" i="1"/>
  <c r="T69" i="1"/>
  <c r="J69" i="1"/>
  <c r="L69" i="1" s="1"/>
  <c r="M69" i="1" s="1" a="1"/>
  <c r="M69" i="1" s="1"/>
  <c r="I69" i="1"/>
  <c r="H69" i="1" s="1"/>
  <c r="G69" i="1"/>
  <c r="F69" i="1" s="1"/>
  <c r="K69" i="1" s="1"/>
  <c r="E69" i="1"/>
  <c r="J68" i="1"/>
  <c r="L68" i="1" s="1"/>
  <c r="M68" i="1" s="1" a="1"/>
  <c r="M68" i="1" s="1"/>
  <c r="I68" i="1"/>
  <c r="H68" i="1" s="1"/>
  <c r="G68" i="1"/>
  <c r="E68" i="1"/>
  <c r="J67" i="1"/>
  <c r="L67" i="1" s="1"/>
  <c r="M67" i="1" s="1" a="1"/>
  <c r="M67" i="1" s="1"/>
  <c r="I67" i="1"/>
  <c r="H67" i="1" s="1"/>
  <c r="G67" i="1"/>
  <c r="E67" i="1"/>
  <c r="T66" i="1"/>
  <c r="J66" i="1"/>
  <c r="L66" i="1" s="1"/>
  <c r="M66" i="1" s="1" a="1"/>
  <c r="M66" i="1" s="1"/>
  <c r="I66" i="1"/>
  <c r="H66" i="1" s="1"/>
  <c r="G66" i="1"/>
  <c r="E66" i="1"/>
  <c r="J65" i="1"/>
  <c r="L65" i="1" s="1"/>
  <c r="M65" i="1" s="1" a="1"/>
  <c r="M65" i="1" s="1"/>
  <c r="I65" i="1"/>
  <c r="H65" i="1" s="1"/>
  <c r="G65" i="1"/>
  <c r="E65" i="1"/>
  <c r="J64" i="1"/>
  <c r="L64" i="1" s="1"/>
  <c r="M64" i="1" s="1" a="1"/>
  <c r="M64" i="1" s="1"/>
  <c r="I64" i="1"/>
  <c r="H64" i="1" s="1"/>
  <c r="G64" i="1"/>
  <c r="E64" i="1"/>
  <c r="J63" i="1"/>
  <c r="L63" i="1" s="1"/>
  <c r="M63" i="1" s="1" a="1"/>
  <c r="M63" i="1" s="1"/>
  <c r="I63" i="1"/>
  <c r="H63" i="1" s="1"/>
  <c r="G63" i="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9" i="1"/>
  <c r="L59" i="1" s="1"/>
  <c r="M59" i="1" s="1" a="1"/>
  <c r="M59" i="1" s="1"/>
  <c r="I59" i="1"/>
  <c r="H59" i="1" s="1"/>
  <c r="G59" i="1"/>
  <c r="E59" i="1"/>
  <c r="J58" i="1"/>
  <c r="L58" i="1" s="1"/>
  <c r="M58" i="1" s="1" a="1"/>
  <c r="M58" i="1" s="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J52" i="1"/>
  <c r="L52" i="1" s="1"/>
  <c r="M52" i="1" s="1" a="1"/>
  <c r="M52" i="1" s="1"/>
  <c r="I52" i="1"/>
  <c r="H52" i="1" s="1"/>
  <c r="G52" i="1"/>
  <c r="E52" i="1"/>
  <c r="J51" i="1"/>
  <c r="L51" i="1" s="1"/>
  <c r="M51" i="1" s="1" a="1"/>
  <c r="M51" i="1" s="1"/>
  <c r="I51" i="1"/>
  <c r="H51" i="1" s="1"/>
  <c r="G51" i="1"/>
  <c r="E51" i="1"/>
  <c r="J50" i="1"/>
  <c r="L50" i="1" s="1"/>
  <c r="M50" i="1" s="1" a="1"/>
  <c r="M50" i="1" s="1"/>
  <c r="I50" i="1"/>
  <c r="H50" i="1" s="1"/>
  <c r="G50" i="1"/>
  <c r="E50" i="1"/>
  <c r="J49" i="1"/>
  <c r="L49" i="1" s="1"/>
  <c r="M49" i="1" s="1" a="1"/>
  <c r="M49" i="1" s="1"/>
  <c r="I49" i="1"/>
  <c r="H49" i="1" s="1"/>
  <c r="G49" i="1"/>
  <c r="E49" i="1"/>
  <c r="J48" i="1"/>
  <c r="L48" i="1" s="1"/>
  <c r="M48" i="1" s="1" a="1"/>
  <c r="M48" i="1" s="1"/>
  <c r="I48" i="1"/>
  <c r="H48" i="1"/>
  <c r="G48" i="1"/>
  <c r="E48" i="1"/>
  <c r="J47" i="1"/>
  <c r="L47" i="1" s="1"/>
  <c r="M47" i="1" s="1" a="1"/>
  <c r="M47" i="1" s="1"/>
  <c r="I47" i="1"/>
  <c r="H47" i="1" s="1"/>
  <c r="G47" i="1"/>
  <c r="E47" i="1"/>
  <c r="J46" i="1"/>
  <c r="L46" i="1" s="1"/>
  <c r="M46" i="1" s="1" a="1"/>
  <c r="M46" i="1" s="1"/>
  <c r="I46" i="1"/>
  <c r="H46" i="1" s="1"/>
  <c r="G46" i="1"/>
  <c r="E46" i="1"/>
  <c r="J45" i="1"/>
  <c r="L45" i="1" s="1"/>
  <c r="M45" i="1" s="1" a="1"/>
  <c r="M45" i="1" s="1"/>
  <c r="I45" i="1"/>
  <c r="H45" i="1" s="1"/>
  <c r="G45" i="1"/>
  <c r="E45" i="1"/>
  <c r="J44" i="1"/>
  <c r="L44" i="1" s="1"/>
  <c r="M44" i="1" s="1" a="1"/>
  <c r="M44" i="1" s="1"/>
  <c r="I44" i="1"/>
  <c r="H44" i="1" s="1"/>
  <c r="G44" i="1"/>
  <c r="E44" i="1"/>
  <c r="J43" i="1"/>
  <c r="L43" i="1" s="1"/>
  <c r="M43" i="1" s="1" a="1"/>
  <c r="M43" i="1" s="1"/>
  <c r="I43" i="1"/>
  <c r="H43" i="1" s="1"/>
  <c r="G43" i="1"/>
  <c r="E43" i="1"/>
  <c r="J42" i="1"/>
  <c r="L42" i="1" s="1"/>
  <c r="M42" i="1" s="1" a="1"/>
  <c r="M42" i="1" s="1"/>
  <c r="I42" i="1"/>
  <c r="H42" i="1"/>
  <c r="G42" i="1"/>
  <c r="E42" i="1"/>
  <c r="J41" i="1"/>
  <c r="L41" i="1" s="1"/>
  <c r="M41" i="1" s="1" a="1"/>
  <c r="M41" i="1" s="1"/>
  <c r="I41" i="1"/>
  <c r="H41" i="1" s="1"/>
  <c r="G41" i="1"/>
  <c r="E41" i="1"/>
  <c r="J40" i="1"/>
  <c r="L40" i="1" s="1"/>
  <c r="M40" i="1" s="1" a="1"/>
  <c r="M40" i="1" s="1"/>
  <c r="I40" i="1"/>
  <c r="H40" i="1" s="1"/>
  <c r="G40" i="1"/>
  <c r="E40" i="1"/>
  <c r="J39" i="1"/>
  <c r="L39" i="1" s="1"/>
  <c r="M39" i="1" s="1" a="1"/>
  <c r="M39" i="1" s="1"/>
  <c r="I39" i="1"/>
  <c r="H39" i="1" s="1"/>
  <c r="G39" i="1"/>
  <c r="E39" i="1"/>
  <c r="J38" i="1"/>
  <c r="L38" i="1" s="1"/>
  <c r="M38" i="1" s="1" a="1"/>
  <c r="M38" i="1" s="1"/>
  <c r="I38" i="1"/>
  <c r="H38" i="1" s="1"/>
  <c r="G38" i="1"/>
  <c r="E38" i="1"/>
  <c r="T37" i="1"/>
  <c r="J37" i="1"/>
  <c r="L37" i="1" s="1"/>
  <c r="M37" i="1" s="1" a="1"/>
  <c r="M37" i="1" s="1"/>
  <c r="I37" i="1"/>
  <c r="H37" i="1" s="1"/>
  <c r="F37" i="1" s="1"/>
  <c r="K37" i="1" s="1"/>
  <c r="G37" i="1"/>
  <c r="E37" i="1"/>
  <c r="J36" i="1"/>
  <c r="L36" i="1" s="1"/>
  <c r="M36" i="1" s="1" a="1"/>
  <c r="M36" i="1" s="1"/>
  <c r="I36" i="1"/>
  <c r="H36" i="1" s="1"/>
  <c r="F36" i="1" s="1"/>
  <c r="K36" i="1" s="1"/>
  <c r="G36" i="1"/>
  <c r="E36" i="1"/>
  <c r="J35" i="1"/>
  <c r="L35" i="1" s="1"/>
  <c r="M35" i="1" s="1" a="1"/>
  <c r="M35" i="1" s="1"/>
  <c r="I35" i="1"/>
  <c r="H35" i="1" s="1"/>
  <c r="G35" i="1"/>
  <c r="E35" i="1"/>
  <c r="J34" i="1"/>
  <c r="L34" i="1" s="1"/>
  <c r="M34" i="1" s="1" a="1"/>
  <c r="M34" i="1" s="1"/>
  <c r="I34" i="1"/>
  <c r="H34" i="1" s="1"/>
  <c r="G34" i="1"/>
  <c r="E34" i="1"/>
  <c r="T33" i="1"/>
  <c r="J33" i="1"/>
  <c r="L33" i="1" s="1"/>
  <c r="M33" i="1" s="1" a="1"/>
  <c r="M33" i="1" s="1"/>
  <c r="I33" i="1"/>
  <c r="H33" i="1" s="1"/>
  <c r="F33" i="1" s="1"/>
  <c r="K33" i="1" s="1"/>
  <c r="G33" i="1"/>
  <c r="E33" i="1"/>
  <c r="J32" i="1"/>
  <c r="L32" i="1" s="1"/>
  <c r="M32" i="1" s="1" a="1"/>
  <c r="M32" i="1" s="1"/>
  <c r="I32" i="1"/>
  <c r="H32" i="1" s="1"/>
  <c r="G32" i="1"/>
  <c r="F32" i="1" s="1"/>
  <c r="K32" i="1" s="1"/>
  <c r="E32" i="1"/>
  <c r="J31" i="1"/>
  <c r="L31" i="1" s="1"/>
  <c r="M31" i="1" s="1" a="1"/>
  <c r="M31" i="1" s="1"/>
  <c r="I31" i="1"/>
  <c r="H31" i="1" s="1"/>
  <c r="G31" i="1"/>
  <c r="E31" i="1"/>
  <c r="J30" i="1"/>
  <c r="L30" i="1" s="1"/>
  <c r="M30" i="1" s="1" a="1"/>
  <c r="M30" i="1" s="1"/>
  <c r="I30" i="1"/>
  <c r="H30" i="1" s="1"/>
  <c r="G30" i="1"/>
  <c r="E30" i="1"/>
  <c r="J29" i="1"/>
  <c r="L29" i="1" s="1"/>
  <c r="M29" i="1" s="1" a="1"/>
  <c r="M29" i="1" s="1"/>
  <c r="I29" i="1"/>
  <c r="H29" i="1" s="1"/>
  <c r="G29" i="1"/>
  <c r="E29" i="1"/>
  <c r="J28" i="1"/>
  <c r="L28" i="1" s="1"/>
  <c r="M28" i="1" s="1" a="1"/>
  <c r="M28" i="1" s="1"/>
  <c r="I28" i="1"/>
  <c r="H28" i="1" s="1"/>
  <c r="G28" i="1"/>
  <c r="E28" i="1"/>
  <c r="T27" i="1"/>
  <c r="J27" i="1"/>
  <c r="L27" i="1" s="1"/>
  <c r="M27" i="1" s="1" a="1"/>
  <c r="M27" i="1" s="1"/>
  <c r="I27" i="1"/>
  <c r="H27" i="1" s="1"/>
  <c r="F27" i="1" s="1"/>
  <c r="K27" i="1" s="1"/>
  <c r="G27" i="1"/>
  <c r="E27" i="1"/>
  <c r="J26" i="1"/>
  <c r="L26" i="1" s="1"/>
  <c r="M26" i="1" s="1" a="1"/>
  <c r="M26" i="1" s="1"/>
  <c r="I26" i="1"/>
  <c r="H26" i="1" s="1"/>
  <c r="G26" i="1"/>
  <c r="E26" i="1"/>
  <c r="J23" i="1"/>
  <c r="L23" i="1" s="1"/>
  <c r="M23" i="1" s="1" a="1"/>
  <c r="M23" i="1" s="1"/>
  <c r="I23" i="1"/>
  <c r="H23" i="1"/>
  <c r="G23" i="1"/>
  <c r="E23" i="1"/>
  <c r="J22" i="1"/>
  <c r="L22" i="1" s="1"/>
  <c r="M22" i="1" s="1" a="1"/>
  <c r="M22" i="1" s="1"/>
  <c r="I22" i="1"/>
  <c r="H22" i="1" s="1"/>
  <c r="F22" i="1" s="1"/>
  <c r="K22" i="1" s="1"/>
  <c r="G22" i="1"/>
  <c r="E22" i="1"/>
  <c r="J21" i="1"/>
  <c r="L21" i="1" s="1"/>
  <c r="M21" i="1" s="1" a="1"/>
  <c r="M21" i="1" s="1"/>
  <c r="I21" i="1"/>
  <c r="H21" i="1" s="1"/>
  <c r="F21" i="1" s="1"/>
  <c r="K21" i="1" s="1"/>
  <c r="G21" i="1"/>
  <c r="E21" i="1"/>
  <c r="J20" i="1"/>
  <c r="L20" i="1" s="1"/>
  <c r="M20" i="1" s="1" a="1"/>
  <c r="M20" i="1" s="1"/>
  <c r="I20" i="1"/>
  <c r="H20" i="1" s="1"/>
  <c r="F20" i="1" s="1"/>
  <c r="K20" i="1" s="1"/>
  <c r="G20" i="1"/>
  <c r="E20" i="1"/>
  <c r="J19" i="1"/>
  <c r="L19" i="1" s="1"/>
  <c r="M19" i="1" s="1" a="1"/>
  <c r="M19" i="1" s="1"/>
  <c r="I19" i="1"/>
  <c r="H19" i="1" s="1"/>
  <c r="G19" i="1"/>
  <c r="E19" i="1"/>
  <c r="J18" i="1"/>
  <c r="L18" i="1" s="1"/>
  <c r="M18" i="1" s="1" a="1"/>
  <c r="M18" i="1" s="1"/>
  <c r="I18" i="1"/>
  <c r="H18" i="1" s="1"/>
  <c r="F18" i="1" s="1"/>
  <c r="K18" i="1" s="1"/>
  <c r="G18" i="1"/>
  <c r="E18" i="1"/>
  <c r="J17" i="1"/>
  <c r="L17" i="1" s="1"/>
  <c r="M17" i="1" s="1" a="1"/>
  <c r="M17" i="1" s="1"/>
  <c r="I17" i="1"/>
  <c r="H17" i="1" s="1"/>
  <c r="G17" i="1"/>
  <c r="E17" i="1"/>
  <c r="L16" i="1"/>
  <c r="M16" i="1" s="1" a="1"/>
  <c r="M16" i="1" s="1"/>
  <c r="J16" i="1"/>
  <c r="I16" i="1"/>
  <c r="H16" i="1" s="1"/>
  <c r="G16" i="1"/>
  <c r="E16" i="1"/>
  <c r="J15" i="1"/>
  <c r="L15" i="1" s="1"/>
  <c r="M15" i="1" s="1" a="1"/>
  <c r="M15" i="1" s="1"/>
  <c r="I15" i="1"/>
  <c r="H15" i="1" s="1"/>
  <c r="G15" i="1"/>
  <c r="E15" i="1"/>
  <c r="J14" i="1"/>
  <c r="L14" i="1" s="1"/>
  <c r="M14" i="1" s="1" a="1"/>
  <c r="M14" i="1" s="1"/>
  <c r="I14" i="1"/>
  <c r="H14" i="1"/>
  <c r="G14" i="1"/>
  <c r="E14" i="1"/>
  <c r="J13" i="1"/>
  <c r="L13" i="1" s="1"/>
  <c r="M13" i="1" s="1" a="1"/>
  <c r="M13" i="1" s="1"/>
  <c r="I13" i="1"/>
  <c r="H13" i="1" s="1"/>
  <c r="G13" i="1"/>
  <c r="E13" i="1"/>
  <c r="J12" i="1"/>
  <c r="L12" i="1" s="1"/>
  <c r="M12" i="1" s="1" a="1"/>
  <c r="M12" i="1" s="1"/>
  <c r="I12" i="1"/>
  <c r="H12" i="1"/>
  <c r="F12" i="1" s="1"/>
  <c r="K12" i="1" s="1"/>
  <c r="G12" i="1"/>
  <c r="E12" i="1"/>
  <c r="J11" i="1"/>
  <c r="L11" i="1" s="1"/>
  <c r="M11" i="1" s="1" a="1"/>
  <c r="M11" i="1" s="1"/>
  <c r="I11" i="1"/>
  <c r="H11" i="1" s="1"/>
  <c r="G11" i="1"/>
  <c r="E11" i="1"/>
  <c r="J10" i="1"/>
  <c r="L10" i="1" s="1"/>
  <c r="M10" i="1" s="1" a="1"/>
  <c r="M10" i="1" s="1"/>
  <c r="I10" i="1"/>
  <c r="H10" i="1" s="1"/>
  <c r="F10" i="1" s="1"/>
  <c r="K10" i="1" s="1"/>
  <c r="G10" i="1"/>
  <c r="E10" i="1"/>
  <c r="J9" i="1"/>
  <c r="L9" i="1" s="1"/>
  <c r="M9" i="1" s="1" a="1"/>
  <c r="M9" i="1" s="1"/>
  <c r="I9" i="1"/>
  <c r="H9" i="1" s="1"/>
  <c r="G9" i="1"/>
  <c r="E9" i="1"/>
  <c r="J8" i="1"/>
  <c r="L8" i="1" s="1"/>
  <c r="M8" i="1" s="1" a="1"/>
  <c r="M8" i="1" s="1"/>
  <c r="I8" i="1"/>
  <c r="H8" i="1" s="1"/>
  <c r="G8" i="1"/>
  <c r="E8" i="1"/>
  <c r="J7" i="1"/>
  <c r="L7" i="1" s="1"/>
  <c r="M7" i="1" s="1" a="1"/>
  <c r="M7" i="1" s="1"/>
  <c r="I7" i="1"/>
  <c r="H7" i="1" s="1"/>
  <c r="F7" i="1" s="1"/>
  <c r="K7" i="1" s="1"/>
  <c r="G7" i="1"/>
  <c r="E7" i="1"/>
  <c r="L6" i="1"/>
  <c r="M6" i="1" s="1" a="1"/>
  <c r="M6" i="1" s="1"/>
  <c r="J6" i="1"/>
  <c r="I6" i="1"/>
  <c r="H6" i="1" s="1"/>
  <c r="F6" i="1" s="1"/>
  <c r="K6" i="1" s="1"/>
  <c r="G6" i="1"/>
  <c r="E6" i="1"/>
  <c r="J5" i="1"/>
  <c r="L5" i="1" s="1"/>
  <c r="M5" i="1" s="1" a="1"/>
  <c r="M5" i="1" s="1"/>
  <c r="I5" i="1"/>
  <c r="H5" i="1" s="1"/>
  <c r="G5" i="1"/>
  <c r="E5" i="1"/>
  <c r="J4" i="1"/>
  <c r="L4" i="1" s="1"/>
  <c r="M4" i="1" s="1" a="1"/>
  <c r="M4" i="1" s="1"/>
  <c r="I4" i="1"/>
  <c r="H4" i="1" s="1"/>
  <c r="G4" i="1"/>
  <c r="E4" i="1"/>
  <c r="J3" i="1"/>
  <c r="L3" i="1" s="1"/>
  <c r="M3" i="1" s="1" a="1"/>
  <c r="M3" i="1" s="1"/>
  <c r="I3" i="1"/>
  <c r="H3" i="1" s="1"/>
  <c r="F3" i="1" s="1"/>
  <c r="K3" i="1" s="1"/>
  <c r="G3" i="1"/>
  <c r="E3" i="1"/>
  <c r="J2" i="1"/>
  <c r="L2" i="1" s="1"/>
  <c r="M2" i="1" s="1" a="1"/>
  <c r="M2" i="1" s="1"/>
  <c r="I2" i="1"/>
  <c r="H2" i="1" s="1"/>
  <c r="G2" i="1"/>
  <c r="E2" i="1"/>
  <c r="F4" i="1" l="1"/>
  <c r="K4" i="1" s="1"/>
  <c r="F117" i="1"/>
  <c r="K117" i="1" s="1"/>
  <c r="F121" i="1"/>
  <c r="K121" i="1" s="1"/>
  <c r="F8" i="1"/>
  <c r="K8" i="1" s="1"/>
  <c r="F13" i="1"/>
  <c r="K13" i="1" s="1"/>
  <c r="F28" i="1"/>
  <c r="K28" i="1" s="1"/>
  <c r="F35" i="1"/>
  <c r="K35" i="1" s="1"/>
  <c r="F78" i="1"/>
  <c r="K78" i="1" s="1"/>
  <c r="F83" i="1"/>
  <c r="K83" i="1" s="1"/>
  <c r="F96" i="1"/>
  <c r="K96" i="1" s="1"/>
  <c r="F137" i="1"/>
  <c r="K137" i="1" s="1"/>
  <c r="F11" i="1"/>
  <c r="K11" i="1" s="1"/>
  <c r="F113" i="1"/>
  <c r="K113" i="1" s="1"/>
  <c r="F142" i="1"/>
  <c r="K142" i="1" s="1"/>
  <c r="F147" i="1"/>
  <c r="K147" i="1" s="1"/>
  <c r="F16" i="1"/>
  <c r="K16" i="1" s="1"/>
  <c r="F14" i="1"/>
  <c r="K14" i="1" s="1"/>
  <c r="F23" i="1"/>
  <c r="K23" i="1" s="1"/>
  <c r="F118" i="1"/>
  <c r="K118" i="1" s="1"/>
  <c r="F127" i="1"/>
  <c r="K127" i="1" s="1"/>
  <c r="F129" i="1"/>
  <c r="K129" i="1" s="1"/>
  <c r="F68" i="1"/>
  <c r="K68" i="1" s="1"/>
  <c r="F87" i="1"/>
  <c r="K87" i="1" s="1"/>
  <c r="F136" i="1"/>
  <c r="K136" i="1" s="1"/>
  <c r="F24" i="1"/>
  <c r="K24" i="1" s="1"/>
  <c r="F25" i="1"/>
  <c r="K25" i="1" s="1"/>
  <c r="F162" i="1"/>
  <c r="K162" i="1" s="1"/>
  <c r="F182" i="1"/>
  <c r="K182" i="1" s="1"/>
  <c r="F102" i="1"/>
  <c r="K102" i="1" s="1"/>
  <c r="F133" i="1"/>
  <c r="K133" i="1" s="1"/>
  <c r="F158" i="1"/>
  <c r="K158" i="1" s="1"/>
  <c r="F178" i="1"/>
  <c r="K178" i="1" s="1"/>
  <c r="F193" i="1"/>
  <c r="K193" i="1" s="1"/>
  <c r="F160" i="1"/>
  <c r="K160" i="1" s="1"/>
  <c r="F29" i="1"/>
  <c r="K29" i="1" s="1"/>
  <c r="F5" i="1"/>
  <c r="K5" i="1" s="1"/>
  <c r="F85" i="1"/>
  <c r="K85" i="1" s="1"/>
  <c r="F112" i="1"/>
  <c r="K112" i="1" s="1"/>
  <c r="F131" i="1"/>
  <c r="K131" i="1" s="1"/>
  <c r="F156" i="1"/>
  <c r="K156" i="1" s="1"/>
  <c r="F176" i="1"/>
  <c r="K176" i="1" s="1"/>
  <c r="F180" i="1"/>
  <c r="K180" i="1" s="1"/>
  <c r="F9" i="1"/>
  <c r="K9" i="1" s="1"/>
  <c r="F61" i="1"/>
  <c r="K61" i="1" s="1"/>
  <c r="F154" i="1"/>
  <c r="K154" i="1" s="1"/>
  <c r="F174" i="1"/>
  <c r="K174" i="1" s="1"/>
  <c r="F26" i="1"/>
  <c r="K26" i="1" s="1"/>
  <c r="F30" i="1"/>
  <c r="K30" i="1" s="1"/>
  <c r="F92" i="1"/>
  <c r="K92" i="1" s="1"/>
  <c r="F123" i="1"/>
  <c r="K123" i="1" s="1"/>
  <c r="F172" i="1"/>
  <c r="K172" i="1" s="1"/>
  <c r="F192" i="1"/>
  <c r="K192" i="1" s="1"/>
  <c r="F2" i="1"/>
  <c r="K2" i="1" s="1"/>
  <c r="F140" i="1"/>
  <c r="K140" i="1" s="1"/>
  <c r="F145" i="1"/>
  <c r="K145" i="1" s="1"/>
  <c r="F150" i="1"/>
  <c r="K150" i="1" s="1"/>
  <c r="F168" i="1"/>
  <c r="K168" i="1" s="1"/>
  <c r="F188" i="1"/>
  <c r="K188" i="1" s="1"/>
  <c r="F17" i="1"/>
  <c r="K17" i="1" s="1"/>
  <c r="F19" i="1"/>
  <c r="K19" i="1" s="1"/>
  <c r="F60" i="1"/>
  <c r="K60" i="1" s="1"/>
  <c r="F166" i="1"/>
  <c r="K166" i="1" s="1"/>
  <c r="F186" i="1"/>
  <c r="K186" i="1" s="1"/>
  <c r="F170" i="1"/>
  <c r="K170" i="1" s="1"/>
  <c r="F15" i="1"/>
  <c r="K15" i="1" s="1"/>
  <c r="F31" i="1"/>
  <c r="K31" i="1" s="1"/>
  <c r="F77" i="1"/>
  <c r="K77" i="1" s="1"/>
  <c r="F84" i="1"/>
  <c r="K84" i="1" s="1"/>
  <c r="F101" i="1"/>
  <c r="K101" i="1" s="1"/>
  <c r="F107" i="1"/>
  <c r="K107" i="1" s="1"/>
  <c r="F124" i="1"/>
  <c r="K124" i="1" s="1"/>
  <c r="F126" i="1"/>
  <c r="K126" i="1" s="1"/>
  <c r="F132" i="1"/>
  <c r="K132" i="1" s="1"/>
  <c r="F134" i="1"/>
  <c r="K134" i="1" s="1"/>
  <c r="F164" i="1"/>
  <c r="K164" i="1" s="1"/>
  <c r="F184" i="1"/>
  <c r="K184" i="1" s="1"/>
  <c r="F135" i="1"/>
  <c r="K135" i="1" s="1"/>
  <c r="F71" i="1"/>
  <c r="K71" i="1" s="1"/>
  <c r="F73" i="1"/>
  <c r="K73" i="1" s="1"/>
  <c r="F81" i="1"/>
  <c r="K81" i="1" s="1"/>
  <c r="F93" i="1"/>
  <c r="K93" i="1" s="1"/>
  <c r="F105" i="1"/>
  <c r="K105" i="1" s="1"/>
  <c r="F196" i="1"/>
  <c r="K196" i="1" s="1"/>
  <c r="F99" i="1"/>
  <c r="K99" i="1" s="1"/>
  <c r="F110" i="1"/>
  <c r="K110" i="1" s="1"/>
  <c r="F120" i="1"/>
  <c r="K120" i="1" s="1"/>
  <c r="F34" i="1"/>
  <c r="K34" i="1" s="1"/>
  <c r="F65" i="1"/>
  <c r="K65" i="1" s="1"/>
  <c r="F86" i="1"/>
  <c r="K86" i="1" s="1"/>
  <c r="F88" i="1"/>
  <c r="K88" i="1" s="1"/>
  <c r="F98" i="1"/>
  <c r="K98" i="1" s="1"/>
  <c r="F138" i="1"/>
  <c r="K138" i="1" s="1"/>
  <c r="F143" i="1"/>
  <c r="K143" i="1" s="1"/>
  <c r="F148" i="1"/>
  <c r="K148" i="1" s="1"/>
  <c r="F190" i="1"/>
  <c r="K190" i="1" s="1"/>
  <c r="F76" i="1"/>
  <c r="K76" i="1" s="1"/>
  <c r="F141" i="1"/>
  <c r="K141" i="1" s="1"/>
  <c r="F146" i="1"/>
  <c r="K146" i="1" s="1"/>
  <c r="F151" i="1"/>
  <c r="K151" i="1" s="1"/>
  <c r="F74" i="1"/>
  <c r="K74" i="1" s="1"/>
  <c r="F119" i="1"/>
  <c r="K119" i="1" s="1"/>
  <c r="F70" i="1"/>
  <c r="K70" i="1" s="1"/>
  <c r="F80" i="1"/>
  <c r="K80" i="1" s="1"/>
  <c r="F94" i="1"/>
  <c r="K94" i="1" s="1"/>
  <c r="F100" i="1"/>
  <c r="K100" i="1" s="1"/>
  <c r="F115" i="1"/>
  <c r="K115" i="1" s="1"/>
  <c r="F122" i="1"/>
  <c r="K122" i="1" s="1"/>
  <c r="F125" i="1"/>
  <c r="K125" i="1" s="1"/>
  <c r="F128" i="1"/>
  <c r="K128" i="1" s="1"/>
  <c r="F187" i="1"/>
  <c r="K187" i="1" s="1"/>
  <c r="F64" i="1"/>
  <c r="K64" i="1" s="1"/>
  <c r="F139" i="1"/>
  <c r="K139" i="1" s="1"/>
  <c r="F144" i="1"/>
  <c r="K144" i="1" s="1"/>
  <c r="F149" i="1"/>
  <c r="K149" i="1" s="1"/>
  <c r="F189" i="1"/>
  <c r="K189" i="1" s="1"/>
  <c r="F194" i="1"/>
  <c r="K194" i="1" s="1"/>
  <c r="F72" i="1"/>
  <c r="K72" i="1" s="1"/>
  <c r="F82" i="1"/>
  <c r="K82" i="1" s="1"/>
  <c r="F67" i="1"/>
  <c r="K67" i="1" s="1"/>
  <c r="F91" i="1"/>
  <c r="K91" i="1" s="1"/>
  <c r="F103" i="1"/>
  <c r="K103" i="1" s="1"/>
  <c r="F191" i="1"/>
  <c r="K191" i="1" s="1"/>
  <c r="F42" i="1"/>
  <c r="K42" i="1" s="1"/>
  <c r="F47" i="1"/>
  <c r="K47" i="1" s="1"/>
  <c r="F52" i="1"/>
  <c r="K52" i="1" s="1"/>
  <c r="F57" i="1"/>
  <c r="K57" i="1" s="1"/>
  <c r="F62" i="1"/>
  <c r="K62" i="1" s="1"/>
  <c r="F46" i="1"/>
  <c r="K46" i="1" s="1"/>
  <c r="F51" i="1"/>
  <c r="K51" i="1" s="1"/>
  <c r="F66" i="1"/>
  <c r="K66" i="1" s="1"/>
  <c r="F95" i="1"/>
  <c r="K95" i="1" s="1"/>
  <c r="F41" i="1"/>
  <c r="K41" i="1" s="1"/>
  <c r="F45" i="1"/>
  <c r="K45" i="1" s="1"/>
  <c r="F55" i="1"/>
  <c r="K55" i="1" s="1"/>
  <c r="F39" i="1"/>
  <c r="K39" i="1" s="1"/>
  <c r="F44" i="1"/>
  <c r="K44" i="1" s="1"/>
  <c r="F49" i="1"/>
  <c r="K49" i="1" s="1"/>
  <c r="F54" i="1"/>
  <c r="K54" i="1" s="1"/>
  <c r="F59" i="1"/>
  <c r="K59" i="1" s="1"/>
  <c r="F40" i="1"/>
  <c r="K40" i="1" s="1"/>
  <c r="F50" i="1"/>
  <c r="K50" i="1" s="1"/>
  <c r="F89" i="1"/>
  <c r="K89" i="1" s="1"/>
  <c r="F56" i="1"/>
  <c r="K56" i="1" s="1"/>
  <c r="F38" i="1"/>
  <c r="K38" i="1" s="1"/>
  <c r="F43" i="1"/>
  <c r="K43" i="1" s="1"/>
  <c r="F48" i="1"/>
  <c r="K48" i="1" s="1"/>
  <c r="F53" i="1"/>
  <c r="K53" i="1" s="1"/>
  <c r="F58" i="1"/>
  <c r="K58" i="1" s="1"/>
  <c r="F108" i="1"/>
  <c r="K108" i="1" s="1"/>
  <c r="F106" i="1"/>
  <c r="K106" i="1" s="1"/>
  <c r="F111" i="1"/>
  <c r="K111" i="1" s="1"/>
  <c r="F153" i="1"/>
  <c r="K153" i="1" s="1"/>
  <c r="F155" i="1"/>
  <c r="K155" i="1" s="1"/>
  <c r="F157" i="1"/>
  <c r="K157" i="1" s="1"/>
  <c r="F159" i="1"/>
  <c r="K159" i="1" s="1"/>
  <c r="F161" i="1"/>
  <c r="K161" i="1" s="1"/>
  <c r="F163" i="1"/>
  <c r="K163" i="1" s="1"/>
  <c r="F165" i="1"/>
  <c r="K165" i="1" s="1"/>
  <c r="F167" i="1"/>
  <c r="K167" i="1" s="1"/>
  <c r="F169" i="1"/>
  <c r="K169" i="1" s="1"/>
  <c r="F171" i="1"/>
  <c r="K171" i="1" s="1"/>
  <c r="F173" i="1"/>
  <c r="K173" i="1" s="1"/>
  <c r="F175" i="1"/>
  <c r="K175" i="1" s="1"/>
  <c r="F177" i="1"/>
  <c r="K177" i="1" s="1"/>
  <c r="F179" i="1"/>
  <c r="K179" i="1" s="1"/>
  <c r="F181" i="1"/>
  <c r="K181" i="1" s="1"/>
  <c r="F183" i="1"/>
  <c r="K183" i="1" s="1"/>
  <c r="F185" i="1"/>
  <c r="K185" i="1" s="1"/>
  <c r="F63" i="1"/>
  <c r="K63" i="1" s="1"/>
  <c r="F104" i="1"/>
  <c r="K104" i="1" s="1"/>
  <c r="F109" i="1"/>
  <c r="K109" i="1" s="1"/>
</calcChain>
</file>

<file path=xl/sharedStrings.xml><?xml version="1.0" encoding="utf-8"?>
<sst xmlns="http://schemas.openxmlformats.org/spreadsheetml/2006/main" count="2384" uniqueCount="921">
  <si>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</si>
  <si>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</si>
  <si>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</si>
  <si>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</si>
  <si>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</si>
  <si>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</si>
  <si>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</si>
  <si>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</si>
  <si>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</si>
  <si>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</si>
  <si>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</si>
  <si>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</si>
  <si>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</si>
  <si>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</si>
  <si>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</si>
  <si>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</si>
  <si>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</si>
  <si>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</si>
  <si>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</si>
  <si>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</si>
  <si>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</si>
  <si>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</si>
  <si>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</si>
  <si>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</si>
  <si>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</si>
  <si>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</si>
  <si>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</si>
  <si>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</si>
  <si>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</si>
  <si>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</si>
  <si>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</si>
  <si>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</si>
  <si>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</si>
  <si>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</si>
  <si>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</si>
  <si>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</si>
  <si>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</si>
  <si>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</si>
  <si>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</si>
  <si>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</si>
  <si>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</si>
  <si>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</si>
  <si>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</si>
  <si>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</si>
  <si>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</si>
  <si>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</si>
  <si>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</si>
  <si>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</si>
  <si>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</si>
  <si>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</si>
  <si>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</si>
  <si>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</si>
  <si>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</si>
  <si>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</si>
  <si>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</si>
  <si>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</si>
  <si>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</si>
  <si>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</si>
  <si>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</si>
  <si>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</si>
  <si>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</si>
  <si>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</si>
  <si>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</si>
  <si>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</si>
  <si>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</si>
  <si>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</si>
  <si>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</si>
  <si>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</si>
  <si>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</si>
  <si>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</si>
  <si>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</si>
  <si>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</si>
  <si>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</si>
  <si>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</si>
  <si>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</si>
  <si>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</si>
  <si>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</si>
  <si>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</si>
  <si>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</si>
  <si>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</si>
  <si>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</si>
  <si>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</si>
  <si>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</si>
  <si>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</si>
  <si>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</si>
  <si>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</si>
  <si>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</si>
  <si>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</si>
  <si>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</si>
  <si>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</si>
  <si>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</si>
  <si>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</si>
  <si>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</si>
  <si>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</si>
  <si>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</si>
  <si>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</si>
  <si>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</si>
  <si>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</si>
  <si>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</si>
  <si>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</si>
  <si>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</si>
  <si>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</si>
  <si>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</si>
  <si>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</si>
  <si>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</si>
  <si>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</si>
  <si>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</si>
  <si>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</si>
  <si>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</si>
  <si>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</si>
  <si>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</si>
  <si>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</si>
  <si>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</si>
  <si>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</si>
  <si>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</si>
  <si>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</si>
  <si>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</si>
  <si>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</si>
  <si>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</si>
  <si>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</si>
  <si>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</si>
  <si>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</si>
  <si>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</si>
  <si>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</si>
  <si>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</si>
  <si>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</si>
  <si>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</si>
  <si>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</si>
  <si>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</si>
  <si>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</si>
  <si>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</si>
  <si>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</si>
  <si>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</si>
  <si>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</si>
  <si>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</si>
  <si>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</si>
  <si>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</si>
  <si>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</si>
  <si>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</si>
  <si>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</si>
  <si>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</si>
  <si>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</si>
  <si>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</si>
  <si>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</si>
  <si>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</si>
  <si>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</si>
  <si>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</si>
  <si>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</si>
  <si>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</si>
  <si>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</si>
  <si>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</si>
  <si>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</si>
  <si>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</si>
  <si>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</si>
  <si>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</si>
  <si>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</si>
  <si>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</si>
  <si>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</si>
  <si>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</si>
  <si>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</si>
  <si>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</si>
  <si>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</si>
  <si>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</si>
  <si>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</si>
  <si>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</si>
  <si>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</si>
  <si>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</si>
  <si>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</si>
  <si>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</si>
  <si>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</si>
  <si>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</si>
  <si>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</si>
  <si>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</si>
  <si>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</si>
  <si>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</si>
  <si>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</si>
  <si>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</si>
  <si>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</si>
  <si>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</si>
  <si>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</si>
  <si>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</si>
  <si>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</si>
  <si>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</si>
  <si>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</si>
  <si>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</si>
  <si>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</si>
  <si>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</si>
  <si>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</si>
  <si>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</si>
  <si>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</si>
  <si>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</si>
  <si>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</si>
  <si>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</si>
  <si>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</si>
  <si>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</si>
  <si>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</si>
  <si>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</si>
  <si>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</si>
  <si>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</si>
  <si>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</si>
  <si>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</si>
  <si>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</si>
  <si>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</si>
  <si>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</si>
  <si>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</si>
  <si>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</si>
  <si>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</si>
  <si>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</si>
  <si>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</si>
  <si>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</si>
  <si>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</si>
  <si>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</si>
  <si>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</si>
  <si>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</si>
  <si>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</si>
  <si>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</si>
  <si>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</si>
  <si>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</si>
  <si>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</si>
  <si>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</si>
  <si>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</si>
  <si>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</si>
  <si>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</si>
  <si>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</si>
  <si>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</si>
  <si>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</si>
  <si>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</si>
  <si>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</si>
  <si>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</si>
  <si>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</si>
  <si>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</si>
  <si>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</si>
  <si>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</si>
  <si>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</si>
  <si>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</si>
  <si>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</si>
  <si>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</si>
  <si>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</si>
  <si>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</si>
  <si>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</si>
  <si>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</si>
  <si>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</si>
  <si>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</si>
  <si>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</si>
  <si>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</si>
  <si>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</si>
  <si>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</si>
  <si>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</si>
  <si>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</si>
  <si>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</si>
  <si>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</si>
  <si>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</si>
  <si>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</si>
  <si>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</si>
  <si>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</si>
  <si>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</si>
  <si>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</si>
  <si>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</si>
  <si>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</si>
  <si>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</si>
  <si>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</si>
  <si>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</si>
  <si>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</si>
  <si>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</si>
  <si>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</si>
  <si>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</si>
  <si>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</si>
  <si>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</si>
  <si>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</si>
  <si>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</si>
  <si>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</si>
  <si>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</si>
  <si>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</si>
  <si>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</si>
  <si>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</si>
  <si>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</si>
  <si>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</si>
  <si>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</si>
  <si>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</si>
  <si>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</si>
  <si>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</si>
  <si>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</si>
  <si>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</si>
  <si>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</si>
  <si>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</si>
  <si>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</si>
  <si>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</si>
  <si>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</si>
  <si>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</si>
  <si>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</si>
  <si>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</si>
  <si>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</si>
  <si>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</si>
  <si>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</si>
  <si>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</si>
  <si>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</si>
  <si>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</si>
  <si>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</si>
  <si>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</si>
  <si>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</si>
  <si>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</si>
  <si>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</si>
  <si>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</si>
  <si>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</si>
  <si>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</si>
  <si>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</si>
  <si>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</si>
  <si>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</si>
  <si>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</si>
  <si>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</si>
  <si>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</si>
  <si>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</si>
  <si>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</si>
  <si>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</si>
  <si>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</si>
  <si>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</si>
  <si>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</si>
  <si>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</si>
  <si>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</si>
  <si>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</si>
  <si>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</si>
  <si>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</si>
  <si>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</si>
  <si>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</si>
  <si>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</si>
  <si>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</si>
  <si>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</si>
  <si>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</si>
  <si>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</si>
  <si>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</si>
  <si>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</si>
  <si>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</si>
  <si>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</si>
  <si>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</si>
  <si>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</si>
  <si>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</si>
  <si>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</si>
  <si>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</si>
  <si>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</si>
  <si>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</si>
  <si>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</si>
  <si>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</si>
  <si>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</si>
  <si>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</si>
  <si>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</si>
  <si>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</si>
  <si>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</si>
  <si>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</si>
  <si>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</si>
  <si>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</si>
  <si>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</si>
  <si>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</si>
  <si>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</si>
  <si>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</si>
  <si>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</si>
  <si>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</si>
  <si>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</si>
  <si>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</si>
  <si>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</si>
  <si>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</si>
  <si>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</si>
  <si>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</si>
  <si>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</si>
  <si>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</si>
  <si>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</si>
  <si>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</si>
  <si>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</si>
  <si>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</si>
  <si>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</si>
  <si>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</si>
  <si>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</si>
  <si>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</si>
  <si>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</si>
  <si>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</si>
  <si>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</si>
  <si>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</si>
  <si>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</si>
  <si>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</si>
  <si>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</si>
  <si>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</si>
  <si>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</si>
  <si>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</si>
  <si>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</si>
  <si>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</si>
  <si>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</si>
  <si>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</si>
  <si>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</si>
  <si>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</si>
  <si>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</si>
  <si>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</si>
  <si>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</si>
  <si>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</si>
  <si>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</si>
  <si>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</si>
  <si>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</si>
  <si>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</si>
  <si>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</si>
  <si>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</si>
  <si>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</si>
  <si>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</si>
  <si>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</si>
  <si>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</si>
  <si>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</si>
  <si>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</si>
  <si>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</si>
  <si>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</si>
  <si>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</si>
  <si>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</si>
  <si>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</si>
  <si>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</si>
  <si>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</si>
  <si>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</si>
  <si>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</si>
  <si>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</si>
  <si>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</si>
  <si>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</si>
  <si>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</si>
  <si>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</si>
  <si>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</si>
  <si>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</si>
  <si>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</si>
  <si>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</si>
  <si>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</si>
  <si>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</si>
  <si>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</si>
  <si>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</si>
  <si>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</si>
  <si>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</si>
  <si>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</si>
  <si>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</si>
  <si>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</si>
  <si>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</si>
  <si>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</si>
  <si>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</si>
  <si>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</si>
  <si>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</si>
  <si>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</si>
  <si>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</si>
  <si>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</si>
  <si>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</si>
  <si>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</si>
  <si>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</si>
  <si>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</si>
  <si>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</si>
  <si>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</si>
  <si>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</si>
  <si>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</si>
  <si>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</si>
  <si>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</si>
  <si>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</si>
  <si>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</si>
  <si>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</si>
  <si>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</si>
  <si>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</si>
  <si>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</si>
  <si>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</si>
  <si>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</si>
  <si>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</si>
  <si>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</si>
  <si>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</si>
  <si>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</si>
  <si>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</si>
  <si>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</si>
  <si>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</si>
  <si>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</si>
  <si>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</si>
  <si>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</si>
  <si>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</si>
  <si>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</si>
  <si>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</si>
  <si>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</si>
  <si>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</si>
  <si>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</si>
  <si>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</si>
  <si>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</si>
  <si>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</si>
  <si>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</si>
  <si>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</si>
  <si>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</si>
  <si>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</si>
  <si>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</si>
  <si>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</si>
  <si>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</si>
  <si>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</si>
  <si>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</si>
  <si>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</si>
  <si>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</si>
  <si>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</si>
  <si>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</si>
  <si>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</si>
  <si>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</si>
  <si>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</si>
  <si>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</si>
  <si>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</si>
  <si>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</si>
  <si>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</si>
  <si>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</si>
  <si>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</si>
  <si>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</si>
  <si>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</si>
  <si>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</si>
  <si>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</si>
  <si>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</si>
  <si>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</si>
  <si>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</si>
  <si>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</si>
  <si>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</si>
  <si>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</si>
  <si>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</si>
  <si>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</si>
  <si>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</si>
  <si>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</si>
  <si>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</si>
  <si>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</si>
  <si>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</si>
  <si>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</si>
  <si>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</si>
  <si>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</si>
  <si>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</si>
  <si>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</si>
  <si>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</si>
  <si>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</si>
  <si>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</si>
  <si>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</si>
  <si>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</si>
  <si>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</si>
  <si>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</si>
  <si>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</si>
  <si>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</si>
  <si>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</si>
  <si>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</si>
  <si>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</si>
  <si>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</si>
  <si>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</si>
  <si>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</si>
  <si>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</si>
  <si>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</si>
  <si>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</si>
  <si>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</si>
  <si>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</si>
  <si>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</si>
  <si>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</si>
  <si>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</si>
  <si>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</si>
  <si>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</si>
  <si>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</si>
  <si>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</si>
  <si>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</si>
  <si>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</si>
  <si>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</si>
  <si>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</si>
  <si>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</si>
  <si>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</si>
  <si>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</si>
  <si>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</si>
  <si>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</si>
  <si>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</si>
  <si>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</si>
  <si>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</si>
  <si>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</si>
  <si>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</si>
  <si>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</si>
  <si>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</si>
  <si>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</si>
  <si>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</si>
  <si>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</si>
  <si>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</si>
  <si>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</si>
  <si>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</si>
  <si>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</si>
  <si>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</si>
  <si>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</si>
  <si>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</si>
  <si>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</si>
  <si>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</si>
  <si>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</si>
  <si>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</si>
  <si>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</si>
  <si>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</si>
  <si>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</si>
  <si>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</si>
  <si>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</si>
  <si>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data/species_predictors.xlsx</t>
  </si>
  <si>
    <t>need to record steps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</si>
  <si>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</si>
  <si>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</si>
  <si>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</si>
  <si>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</si>
  <si>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</si>
  <si>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</si>
  <si>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</si>
  <si>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</si>
  <si>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</si>
  <si>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</si>
  <si>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</si>
  <si>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</si>
  <si>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</si>
  <si>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</si>
  <si>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</si>
  <si>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</si>
  <si>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</si>
  <si>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</si>
  <si>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</si>
  <si>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</si>
  <si>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</si>
  <si>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</si>
  <si>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</si>
  <si>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</si>
  <si>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</si>
  <si>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</si>
  <si>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</si>
  <si>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</si>
  <si>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</si>
  <si>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</si>
  <si>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</si>
  <si>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</si>
  <si>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</si>
  <si>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</si>
  <si>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</si>
  <si>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</si>
  <si>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</si>
  <si>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</si>
  <si>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</si>
  <si>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</si>
  <si>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</si>
  <si>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</si>
  <si>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</si>
  <si>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</si>
  <si>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</si>
  <si>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</si>
  <si>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</si>
  <si>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</si>
  <si>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</si>
  <si>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</si>
  <si>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</si>
  <si>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</si>
  <si>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</si>
  <si>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</si>
  <si>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</si>
  <si>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</si>
  <si>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</si>
  <si>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</si>
  <si>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</si>
  <si>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</si>
  <si>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</si>
  <si>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</si>
  <si>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</si>
  <si>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</si>
  <si>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</si>
  <si>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</si>
  <si>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</si>
  <si>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</si>
  <si>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</si>
  <si>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</si>
  <si>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</si>
  <si>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</si>
  <si>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</si>
  <si>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</si>
  <si>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</si>
  <si>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</si>
  <si>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</si>
  <si>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</si>
  <si>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</si>
  <si>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</si>
  <si>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</si>
  <si>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</si>
  <si>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</si>
  <si>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</si>
  <si>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</si>
  <si>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</si>
  <si>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</si>
  <si>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</si>
  <si>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</si>
  <si>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</si>
  <si>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</si>
  <si>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</si>
  <si>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</si>
  <si>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</si>
  <si>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</si>
  <si>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</si>
  <si>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</si>
  <si>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</si>
  <si>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</si>
  <si>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</si>
  <si>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</si>
  <si>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</si>
  <si>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</si>
  <si>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</si>
  <si>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</si>
  <si>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</si>
  <si>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</si>
  <si>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</si>
  <si>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</si>
  <si>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</si>
  <si>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</si>
  <si>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</si>
  <si>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</si>
  <si>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</si>
  <si>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</si>
  <si>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</si>
  <si>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</si>
  <si>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</si>
  <si>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</si>
  <si>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</si>
  <si>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</si>
  <si>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</si>
  <si>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</si>
  <si>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</si>
  <si>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</si>
  <si>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</si>
  <si>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</si>
  <si>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</si>
  <si>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</si>
  <si>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Stephan, H., Frahm, H., &amp; Baron, G. (1981). New and revised data on volumes of brain structures in insectivores and primates. Folia Primatol (Basel), 35(1), 1-29. https://doi.org/10.1159/000155964</t>
  </si>
  <si>
    <t>Table VIII</t>
  </si>
  <si>
    <t>Table VIII. Volumes of components of the diencephalon (mm3) in primates</t>
  </si>
  <si>
    <t>Stephan, H., Frahm, H., &amp; Baron, G. (1981). New and revised data on volumes of brain structures in insectivores and primates. Folia Primatol (Basel), 35(1), 1-29. https://doi.org/10.1159/000155965</t>
  </si>
  <si>
    <t>Table IX</t>
  </si>
  <si>
    <t>Table IX. Volumes of visual cortex (area striata) and lateral geniculate body (mm3) in primates</t>
  </si>
  <si>
    <t>Stephan, H., Frahm, H., &amp; Baron, G. (1981). New and revised data on volumes of brain structures in insectivores and primates. Folia Primatol (Basel), 35(1), 1-29. https://doi.org/10.1159/000155966</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</si>
  <si>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</si>
  <si>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</si>
  <si>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</si>
  <si>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</si>
  <si>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</si>
  <si>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</si>
  <si>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</si>
  <si>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</si>
  <si>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</si>
  <si>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</si>
  <si>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</si>
  <si>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</si>
  <si>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</si>
  <si>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</si>
  <si>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</si>
  <si>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</si>
  <si>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</si>
  <si>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</si>
  <si>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</si>
  <si>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</si>
  <si>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</si>
  <si>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</si>
  <si>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</si>
  <si>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</si>
  <si>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</si>
  <si>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</si>
  <si>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</si>
  <si>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</si>
  <si>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MamFuncDat.txt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</si>
  <si>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</si>
  <si>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</si>
  <si>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</si>
  <si>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mammal_gait.txt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</si>
  <si>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</si>
  <si>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</si>
  <si>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</si>
  <si>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</si>
  <si>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</si>
  <si>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</si>
  <si>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</si>
  <si>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</si>
  <si>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</si>
  <si>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</si>
  <si>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</si>
  <si>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</si>
  <si>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</si>
  <si>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</si>
  <si>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</si>
  <si>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</si>
  <si>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</si>
  <si>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</si>
  <si>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</si>
  <si>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</si>
  <si>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Table1</t>
  </si>
  <si>
    <t>Development of cortical folding (review)</t>
  </si>
  <si>
    <t>cortical folding / gyrification</t>
  </si>
  <si>
    <t>Mammals (+ primates)</t>
  </si>
  <si>
    <t>cortical folding (gyrification index)</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</si>
  <si>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</si>
  <si>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</si>
  <si>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</si>
  <si>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</si>
  <si>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</si>
  <si>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</si>
  <si>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</si>
  <si>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</si>
  <si>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</si>
  <si>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</si>
  <si>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</si>
  <si>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</si>
  <si>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</si>
  <si>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</si>
  <si>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</si>
  <si>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</si>
  <si>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</si>
  <si>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</si>
  <si>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</si>
  <si>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</si>
  <si>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10.1007%2Fs004220000205_Figure3.tsv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</si>
  <si>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</si>
  <si>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</si>
  <si>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</si>
  <si>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</si>
  <si>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</si>
  <si>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</si>
  <si>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</si>
  <si>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</si>
  <si>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</si>
  <si>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</si>
  <si>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</si>
  <si>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</si>
  <si>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</si>
  <si>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</si>
  <si>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</si>
  <si>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10.1016%2Fj.zool.2020.125753_SupplementaryTable.tsv</t>
  </si>
  <si>
    <t>10.1016%2Fs0047-2484(03)00028-9_Table1.tsv</t>
  </si>
  <si>
    <t>10.1016%2Fs0047-2484(03)00028-9_Table2.tsv</t>
  </si>
  <si>
    <t>10.1016%2Fs0166-4328(98)00151-x_Table1.tsv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</si>
  <si>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</si>
  <si>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</si>
  <si>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</si>
  <si>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</si>
  <si>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</si>
  <si>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</si>
  <si>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</si>
  <si>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</si>
  <si>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</si>
  <si>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</si>
  <si>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</si>
  <si>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</si>
  <si>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</si>
  <si>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</si>
  <si>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</si>
  <si>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10.1073%2Fpnas.0305760101_Table2.tsv</t>
  </si>
  <si>
    <t>10.1073%2Fpnas.0905777106_TableS1.tsv</t>
  </si>
  <si>
    <t>10.1073%2Fpnas.1716956116_SupplementaryTableS1.tsv</t>
  </si>
  <si>
    <t>10.1093%2Fcercor%2Fbhy315_Table4.tsv</t>
  </si>
  <si>
    <t>10.1093%2Fjmammal%2Fgyz043_SupplementaryDataSD1.tsv</t>
  </si>
  <si>
    <t>10.1093%2Foso%2F9780198568742.003.0006_Table6.1.tsv</t>
  </si>
  <si>
    <t>10.1093%2Fscan%2Fnsv128_TableS1.tsv</t>
  </si>
  <si>
    <t>10.1093%2Fscan%2Fnsv128_TableS2.tsv</t>
  </si>
  <si>
    <t>10.1098%2Frspb.2015.1853_Table1.tsv</t>
  </si>
  <si>
    <t>10.1098%2Frspb.2015.1853_Table2.tsv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</si>
  <si>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</si>
  <si>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</si>
  <si>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</si>
  <si>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</si>
  <si>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</si>
  <si>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</si>
  <si>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</si>
  <si>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</si>
  <si>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</si>
  <si>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</si>
  <si>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</si>
  <si>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</si>
  <si>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</si>
  <si>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</si>
  <si>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</si>
  <si>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</si>
  <si>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</si>
  <si>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</si>
  <si>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</si>
  <si>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</si>
  <si>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</si>
  <si>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</si>
  <si>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</si>
  <si>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</si>
  <si>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</si>
  <si>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</si>
  <si>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</si>
  <si>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</si>
  <si>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</si>
  <si>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</si>
  <si>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</si>
  <si>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</si>
  <si>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</si>
  <si>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10.1159%2F000452856_TableS1.tsv</t>
  </si>
  <si>
    <t>10.1371%2Fjournal.pbio.1002000_TableS1.tsv</t>
  </si>
  <si>
    <t>10.1371%2Fjournal.pbio.1002000_TableS8.tsv</t>
  </si>
  <si>
    <t>10.1523%2FJNEUROSCI.2339-19.2020_Table1.tsv</t>
  </si>
  <si>
    <t>10.1523%2FJNEUROSCI.2339-19.2020_unpublished.tsv</t>
  </si>
  <si>
    <t>10.3389%2Ffnana.2013.00035_Figure2TopLeft.tsv</t>
  </si>
  <si>
    <t>10.3389%2Ffnana.2013.00035_Table1-a.tsv</t>
  </si>
  <si>
    <t>10.3389%2Ffnana.2013.00035_Table1-b.tsv</t>
  </si>
  <si>
    <t>10.3389%2Ffnana.2017.00118_Table1.tsv</t>
  </si>
  <si>
    <t>10.3389%2Ffnhum.2013.00424_TableS2partial.tsv</t>
  </si>
  <si>
    <t>10.3389%2Ffnhum.2014.00277_Table1.tsv</t>
  </si>
  <si>
    <t>10.3389%2Ffnins.2021.632853_TABLE1.tsv</t>
  </si>
  <si>
    <t>10.6084%2Fm9.figshare.c.3899422.v1_Dataset1.tsv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</si>
  <si>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</si>
  <si>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</si>
  <si>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</si>
  <si>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</si>
  <si>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</si>
  <si>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</si>
  <si>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</si>
  <si>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</si>
  <si>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</si>
  <si>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</si>
  <si>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</si>
  <si>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NQ%3A61662_APPENDIXI.tsv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</si>
  <si>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</si>
  <si>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</si>
  <si>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</si>
  <si>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</si>
  <si>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</si>
  <si>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</si>
  <si>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</si>
  <si>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</si>
  <si>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</si>
  <si>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</si>
  <si>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</si>
  <si>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</si>
  <si>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</si>
  <si>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</si>
  <si>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</si>
  <si>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</si>
  <si>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Boyer, D. M., &amp; Harrington, A. R. (2018). Scaling of bony canals for encephalic vessels in euarchontans: Implications for the role of the vertebral artery and brain metabolism. J Hum Evol, 114, 85-101. https://doi.org/10.1016/j.jhevol.2017.09.003</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</si>
  <si>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</si>
  <si>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</si>
  <si>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Table 1 Taxon list and species mean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</si>
</sst>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font>
    <font>
      <sz val="12"/>
      <color rgb="FF3F3F76"/>
      <name val="Calibri"/>
      <family val="2"/>
    </font>
    <font>
      <b/>
      <sz val="12"/>
      <color rgb="FF3F3F76"/>
      <name val="Calibri"/>
      <family val="2"/>
    </font>
    <font>
      <sz val="12"/>
      <color theme="1"/>
      <name val="Calibri"/>
      <family val="2"/>
    </font>
    <font>
      <sz val="12"/>
      <color rgb="FF3F3F76"/>
      <name val="Calibri"/>
      <family val="2"/>
      <scheme val="minor"/>
    </font>
  </fonts>
  <fills count="3">
    <fill>
      <patternFill patternType="none"/>
    </fill>
    <fill>
      <patternFill patternType="gray125"/>
    </fill>
    <fill>
      <patternFill patternType="solid">
        <fgColor rgb="FFFFCC99"/>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right style="thin">
        <color rgb="FF7F7F7F"/>
      </right>
      <top/>
      <bottom/>
      <diagonal/>
    </border>
  </borders>
  <cellStyleXfs count="2">
    <xf numFmtId="0" fontId="0" fillId="0" borderId="0"/>
    <xf numFmtId="0" fontId="5" fillId="2" borderId="1" applyNumberFormat="0" applyAlignment="0" applyProtection="0"/>
  </cellStyleXfs>
  <cellXfs count="9">
    <xf numFmtId="0" fontId="0" fillId="0" borderId="0" xfId="0"/>
    <xf numFmtId="0" fontId="1" fillId="0" borderId="0" xfId="0" applyFont="1"/>
    <xf numFmtId="0" fontId="2" fillId="2" borderId="1" xfId="0" applyFont="1" applyFill="1" applyBorder="1"/>
    <xf numFmtId="0" fontId="2" fillId="2" borderId="0" xfId="0" applyFont="1" applyFill="1"/>
    <xf numFmtId="0" fontId="2" fillId="2" borderId="2" xfId="0" applyFont="1" applyFill="1" applyBorder="1"/>
    <xf numFmtId="0" fontId="3" fillId="2" borderId="1" xfId="0" applyFont="1" applyFill="1" applyBorder="1"/>
    <xf numFmtId="0" fontId="4" fillId="0" borderId="1" xfId="0" applyFont="1" applyBorder="1"/>
    <xf numFmtId="0" fontId="4" fillId="0" borderId="3" xfId="0" applyFont="1" applyBorder="1"/>
    <xf numFmtId="0" fontId="5" fillId="2" borderId="1" xfId="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arger.com/bbe/article-pdf/86/3-4/145/2264694/000437413.pdf" TargetMode="External"/><Relationship Id="rId13" Type="http://schemas.openxmlformats.org/officeDocument/2006/relationships/hyperlink" Target="https://karger.com/bbe/article-pdf/86/3-4/145/2264694/000437413.pdf" TargetMode="External"/><Relationship Id="rId18" Type="http://schemas.openxmlformats.org/officeDocument/2006/relationships/hyperlink" Target="https://github.com/ManyPrimates/mp1_short_term_memory/raw/master/data/species_predictors.xlsx" TargetMode="External"/><Relationship Id="rId3" Type="http://schemas.openxmlformats.org/officeDocument/2006/relationships/hyperlink" Target="https://static-content.springer.com/esm/art%3A10.1038%2Fs41467-020-14356-3/MediaObjects/41467_2020_14356_MOESM6_ESM.xlsx" TargetMode="External"/><Relationship Id="rId7" Type="http://schemas.openxmlformats.org/officeDocument/2006/relationships/hyperlink" Target="https://www.pnas.org/doi/suppl/10.1073/pnas.0905777106/suppl_file/0905777106si.pdf" TargetMode="External"/><Relationship Id="rId12" Type="http://schemas.openxmlformats.org/officeDocument/2006/relationships/hyperlink" Target="https://karger.com/bbe/article-pdf/86/3-4/145/2264694/000437413.pdf" TargetMode="External"/><Relationship Id="rId17" Type="http://schemas.openxmlformats.org/officeDocument/2006/relationships/hyperlink" Target="https://static-content.springer.com/esm/art%3A10.1038%2Fs41598-018-26062-8/MediaObjects/41598_2018_26062_MOESM1_ESM.docx" TargetMode="External"/><Relationship Id="rId2" Type="http://schemas.openxmlformats.org/officeDocument/2006/relationships/hyperlink" Target="https://elifesciences.org/download/aHR0cHM6Ly9jZG4uZWxpZmVzY2llbmNlcy5vcmcvYXJ0aWNsZXMvNzc4NzUvZWxpZmUtNzc4NzUtdjEucGRmP2Nhbm9uaWNhbFVyaT1odHRwczovL2VsaWZlc2NpZW5jZXMub3JnL2FydGljbGVzLzc3ODc1/elife-77875-v1.pdf?_hash=NStjcL9fTlmy3AQDwSiM0YgMVB3UYjO8nDg0UbwN5gM%3D" TargetMode="External"/><Relationship Id="rId16" Type="http://schemas.openxmlformats.org/officeDocument/2006/relationships/hyperlink" Target="https://static-content.springer.com/esm/art%3A10.1038%2Fs41598-018-26062-8/MediaObjects/41598_2018_26062_MOESM1_ESM.docx" TargetMode="External"/><Relationship Id="rId1" Type="http://schemas.openxmlformats.org/officeDocument/2006/relationships/hyperlink" Target="https://cdn.elifesciences.org/articles/77875/elife-77875-supp3-v1.xlsx" TargetMode="External"/><Relationship Id="rId6" Type="http://schemas.openxmlformats.org/officeDocument/2006/relationships/hyperlink" Target="https://www.pnas.org/doi/suppl/10.1073/pnas.0905777106/suppl_file/0905777106si.pdf" TargetMode="External"/><Relationship Id="rId11" Type="http://schemas.openxmlformats.org/officeDocument/2006/relationships/hyperlink" Target="https://karger.com/bbe/article-pdf/86/3-4/145/2264694/000437413.pdf" TargetMode="External"/><Relationship Id="rId5" Type="http://schemas.openxmlformats.org/officeDocument/2006/relationships/hyperlink" Target="https://www.researchgate.net/publication/299027052_Developmental_constraints_on_or_developmental_structure_in_brain_evolution" TargetMode="External"/><Relationship Id="rId15" Type="http://schemas.openxmlformats.org/officeDocument/2006/relationships/hyperlink" Target="https://doi.org/10.3389/fnana.2017.00118" TargetMode="External"/><Relationship Id="rId10" Type="http://schemas.openxmlformats.org/officeDocument/2006/relationships/hyperlink" Target="https://karger.com/bbe/article-pdf/86/3-4/145/2264694/000437413.pdf" TargetMode="External"/><Relationship Id="rId19" Type="http://schemas.openxmlformats.org/officeDocument/2006/relationships/hyperlink" Target="https://figshare.com/ndownloader/files/9479092" TargetMode="External"/><Relationship Id="rId4" Type="http://schemas.openxmlformats.org/officeDocument/2006/relationships/hyperlink" Target="https://ndownloader.figstatic.com/files/7428211" TargetMode="External"/><Relationship Id="rId9" Type="http://schemas.openxmlformats.org/officeDocument/2006/relationships/hyperlink" Target="https://karger.com/bbe/article-pdf/86/3-4/145/2264694/000437413.pdf" TargetMode="External"/><Relationship Id="rId14" Type="http://schemas.openxmlformats.org/officeDocument/2006/relationships/hyperlink" Target="https://karger.com/bbe/article-pdf/86/3-4/145/2264694/00043741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98"/>
  <sheetViews>
    <sheetView tabSelected="1" zoomScale="111" zoomScaleNormal="111" workbookViewId="0">
      <pane xSplit="2" ySplit="1" topLeftCell="N2" activePane="bottomRight" state="frozen"/>
      <selection pane="topRight" activeCell="B1" sqref="B1"/>
      <selection pane="bottomLeft" activeCell="A2" sqref="A2"/>
      <selection pane="bottomRight" activeCell="AC8" sqref="AC8"/>
    </sheetView>
  </sheetViews>
  <sheetFormatPr baseColWidth="10" defaultRowHeight="16" x14ac:dyDescent="0.2"/>
  <cols>
    <col min="1" max="1" width="67.1640625" customWidth="1"/>
    <col min="2" max="2" width="1.6640625" customWidth="1"/>
    <col min="3" max="3" width="42.6640625" customWidth="1"/>
    <col min="4" max="4" width="8.5" customWidth="1"/>
    <col min="5" max="5" width="1.5" customWidth="1"/>
    <col min="6" max="6" width="26" customWidth="1"/>
    <col min="7" max="8" width="10.33203125" customWidth="1"/>
    <col min="9" max="9" width="6.1640625" customWidth="1"/>
    <col min="10" max="10" width="37.1640625" customWidth="1"/>
    <col min="11" max="11" width="46.1640625" customWidth="1"/>
    <col min="12" max="12" width="41.33203125" customWidth="1"/>
    <col min="13" max="13" width="48" customWidth="1"/>
    <col min="14" max="17" width="7.33203125" style="8" customWidth="1"/>
    <col min="18" max="18" width="16.6640625" style="8" customWidth="1"/>
    <col min="19" max="26" width="7.33203125" style="8" customWidth="1"/>
    <col min="27" max="27" width="10.6640625" style="8" customWidth="1"/>
    <col min="28" max="39" width="7.33203125" style="8" customWidth="1"/>
    <col min="40" max="40" width="10.83203125" style="8"/>
  </cols>
  <sheetData>
    <row r="1" spans="1:39" ht="16" customHeight="1" x14ac:dyDescent="0.2">
      <c r="A1" s="5" t="s">
        <v>0</v>
      </c>
      <c r="B1" s="5" t="s">
        <v>1</v>
      </c>
      <c r="C1" s="5" t="s">
        <v>2</v>
      </c>
      <c r="D1" s="5" t="s">
        <v>3</v>
      </c>
      <c r="E1" s="1" t="s">
        <v>4</v>
      </c>
      <c r="F1" s="1" t="s">
        <v>5</v>
      </c>
      <c r="G1" s="1" t="s">
        <v>6</v>
      </c>
      <c r="H1" s="1" t="s">
        <v>7</v>
      </c>
      <c r="I1" s="1" t="s">
        <v>8</v>
      </c>
      <c r="J1" s="1" t="s">
        <v>9</v>
      </c>
      <c r="K1" s="1" t="s">
        <v>10</v>
      </c>
      <c r="L1" s="1" t="s">
        <v>11</v>
      </c>
      <c r="M1" s="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row>
    <row r="2" spans="1:39" ht="16" customHeight="1" x14ac:dyDescent="0.2">
      <c r="A2" s="2" t="s">
        <v>39</v>
      </c>
      <c r="D2" s="2" t="s">
        <v>40</v>
      </c>
      <c r="E2" t="str">
        <f t="shared" ref="E2:E35" si="0">RIGHT(A2,1)</f>
        <v>5</v>
      </c>
      <c r="F2" t="str">
        <f t="shared" ref="F2:F35" si="1">G2 &amp; IF(H2&lt;&gt;"", "_" &amp; H2, "_") &amp; IF(I2&lt;&gt;"", "_" &amp; I2, "_") &amp; IF(B2&lt;&gt;"", "_" &amp; B2, "")</f>
        <v>Andelin_etal_2019</v>
      </c>
      <c r="G2" t="str">
        <f t="shared" ref="G2:G35" si="2">SUBSTITUTE(SUBSTITUTE(_xlfn.TEXTBEFORE(A2,","), "-", ""), " ", "")</f>
        <v>Andelin</v>
      </c>
      <c r="H2" t="str">
        <f t="shared" ref="H2:H35"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t="str">
        <f t="shared" ref="I2:I35" si="4">_xlfn.TEXTBEFORE(_xlfn.TEXTAFTER(A2, "("), ")")</f>
        <v>2019</v>
      </c>
      <c r="J2" t="str">
        <f t="shared" ref="J2:J35" si="5">_xlfn.LET(
_xlpm.doi,IF(C2&lt;&gt;"",C2,_xlfn.TEXTAFTER(A2,"https://doi.org/")),
SUBSTITUTE(
SUBSTITUTE(
SUBSTITUTE(
SUBSTITUTE(
_xlpm.doi,
"/","%2F"),
":","%3A"),
"&lt;","%3C"),
"&gt;","%3E")
)</f>
        <v>10.1093%2Fcercor%2Fbhy315</v>
      </c>
      <c r="K2" t="str">
        <f t="shared" ref="K2:K42" si="6">TRIM(_xlfn.TEXTJOIN("_",FALSE,F2,(SUBSTITUTE(SUBSTITUTE(D2," ",""), "_", ""))))</f>
        <v>Andelin_etal_2019_Table4</v>
      </c>
      <c r="L2" t="str">
        <f t="shared" ref="L2:L35" si="7">J2 &amp; "_" &amp; SUBSTITUTE(SUBSTITUTE(SUBSTITUTE(D2,CHAR(160),"")," ",""),"_","")</f>
        <v>10.1093%2Fcercor%2Fbhy315_Table4</v>
      </c>
      <c r="M2" t="str">
        <f t="array" ref="M2">IFERROR(INDEX(FileList!$A$1:$A$100,MATCH(TRUE,EXACT(L2,_xlfn.TEXTBEFORE(FileList!$A$1:$A$100,".tsv")),0)),"notfound")</f>
        <v>10.1093%2Fcercor%2Fbhy315_Table4.tsv</v>
      </c>
      <c r="P2" s="8" t="s">
        <v>41</v>
      </c>
      <c r="V2" s="8" t="s">
        <v>42</v>
      </c>
      <c r="AJ2" s="8" t="s">
        <v>43</v>
      </c>
      <c r="AL2" s="8" t="s">
        <v>43</v>
      </c>
      <c r="AM2" s="8" t="s">
        <v>43</v>
      </c>
    </row>
    <row r="3" spans="1:39" ht="16" customHeight="1" x14ac:dyDescent="0.2">
      <c r="A3" s="2" t="s">
        <v>44</v>
      </c>
      <c r="D3" s="2" t="s">
        <v>45</v>
      </c>
      <c r="E3" t="str">
        <f t="shared" si="0"/>
        <v>3</v>
      </c>
      <c r="F3" t="str">
        <f t="shared" si="1"/>
        <v>Ashwell__2020</v>
      </c>
      <c r="G3" t="str">
        <f t="shared" si="2"/>
        <v>Ashwell</v>
      </c>
      <c r="H3" t="str">
        <f t="shared" si="3"/>
        <v/>
      </c>
      <c r="I3" t="str">
        <f t="shared" si="4"/>
        <v>2020</v>
      </c>
      <c r="J3" t="str">
        <f t="shared" si="5"/>
        <v>10.1016%2Fj.zool.2020.125753</v>
      </c>
      <c r="K3" t="str">
        <f t="shared" si="6"/>
        <v>Ashwell__2020_SupplementaryTable</v>
      </c>
      <c r="L3" t="str">
        <f t="shared" si="7"/>
        <v>10.1016%2Fj.zool.2020.125753_SupplementaryTable</v>
      </c>
      <c r="M3" t="str">
        <f t="array" ref="M3">IFERROR(INDEX(FileList!$A$1:$A$100,MATCH(TRUE,EXACT(L3,_xlfn.TEXTBEFORE(FileList!$A$1:$A$100,".tsv")),0)),"notfound")</f>
        <v>10.1016%2Fj.zool.2020.125753_SupplementaryTable.tsv</v>
      </c>
      <c r="N3" s="8" t="s">
        <v>46</v>
      </c>
      <c r="P3" s="8" t="s">
        <v>41</v>
      </c>
      <c r="Y3" s="8" t="s">
        <v>47</v>
      </c>
    </row>
    <row r="4" spans="1:39" ht="16" customHeight="1" x14ac:dyDescent="0.2">
      <c r="A4" s="2" t="s">
        <v>48</v>
      </c>
      <c r="D4" s="2" t="s">
        <v>49</v>
      </c>
      <c r="E4" t="str">
        <f t="shared" si="0"/>
        <v>9</v>
      </c>
      <c r="F4" t="str">
        <f t="shared" si="1"/>
        <v>AvelinodeSouza_etal_2025</v>
      </c>
      <c r="G4" t="str">
        <f t="shared" si="2"/>
        <v>AvelinodeSouza</v>
      </c>
      <c r="H4" t="str">
        <f t="shared" si="3"/>
        <v>etal</v>
      </c>
      <c r="I4" t="str">
        <f t="shared" si="4"/>
        <v>2025</v>
      </c>
      <c r="J4" t="str">
        <f t="shared" si="5"/>
        <v>10.1002%2Fcne.70089</v>
      </c>
      <c r="K4" t="str">
        <f t="shared" si="6"/>
        <v>AvelinodeSouza_etal_2025_TABLE1</v>
      </c>
      <c r="L4" t="str">
        <f t="shared" si="7"/>
        <v>10.1002%2Fcne.70089_TABLE1</v>
      </c>
      <c r="M4" t="str">
        <f t="array" ref="M4">IFERROR(INDEX(FileList!$A$1:$A$100,MATCH(TRUE,EXACT(L4,_xlfn.TEXTBEFORE(FileList!$A$1:$A$100,".tsv")),0)),"notfound")</f>
        <v>10.1002%2Fcne.70089_TABLE1.tsv</v>
      </c>
      <c r="N4" s="8" t="s">
        <v>50</v>
      </c>
      <c r="P4" s="8" t="s">
        <v>41</v>
      </c>
      <c r="Q4" s="8" t="s">
        <v>51</v>
      </c>
      <c r="R4" s="8" t="s">
        <v>52</v>
      </c>
      <c r="S4" s="8" t="s">
        <v>53</v>
      </c>
      <c r="T4" s="8" t="s">
        <v>54</v>
      </c>
      <c r="U4" s="8" t="s">
        <v>55</v>
      </c>
      <c r="V4" s="8" t="s">
        <v>42</v>
      </c>
      <c r="W4" s="8" t="s">
        <v>56</v>
      </c>
      <c r="X4" s="8" t="s">
        <v>57</v>
      </c>
      <c r="Y4" s="8" t="s">
        <v>58</v>
      </c>
      <c r="AG4" s="8" t="s">
        <v>59</v>
      </c>
      <c r="AH4" s="8" t="s">
        <v>60</v>
      </c>
      <c r="AI4" s="8" t="s">
        <v>61</v>
      </c>
      <c r="AJ4" s="8" t="s">
        <v>62</v>
      </c>
      <c r="AK4" s="8" t="s">
        <v>63</v>
      </c>
      <c r="AL4" s="8" t="s">
        <v>63</v>
      </c>
      <c r="AM4" s="8" t="s">
        <v>64</v>
      </c>
    </row>
    <row r="5" spans="1:39" ht="16" customHeight="1" x14ac:dyDescent="0.2">
      <c r="A5" s="2" t="s">
        <v>65</v>
      </c>
      <c r="D5" s="2" t="s">
        <v>66</v>
      </c>
      <c r="E5" t="str">
        <f t="shared" si="0"/>
        <v>7</v>
      </c>
      <c r="F5" t="str">
        <f t="shared" si="1"/>
        <v>Balzeau_etal_2012</v>
      </c>
      <c r="G5" t="str">
        <f t="shared" si="2"/>
        <v>Balzeau</v>
      </c>
      <c r="H5" t="str">
        <f t="shared" si="3"/>
        <v>etal</v>
      </c>
      <c r="I5" t="str">
        <f t="shared" si="4"/>
        <v>2012</v>
      </c>
      <c r="J5" t="str">
        <f t="shared" si="5"/>
        <v>10.1016%2Fj.jhevol.2012.03.007</v>
      </c>
      <c r="K5" t="str">
        <f t="shared" si="6"/>
        <v>Balzeau_etal_2012_Table3</v>
      </c>
      <c r="L5" t="str">
        <f t="shared" si="7"/>
        <v>10.1016%2Fj.jhevol.2012.03.007_Table3</v>
      </c>
      <c r="M5" t="str">
        <f t="array" ref="M5">IFERROR(INDEX(FileList!$A$1:$A$100,MATCH(TRUE,EXACT(L5,_xlfn.TEXTBEFORE(FileList!$A$1:$A$100,".tsv")),0)),"notfound")</f>
        <v>10.1016%2Fj.jhevol.2012.03.007_Table3.tsv</v>
      </c>
      <c r="N5" s="8" t="s">
        <v>67</v>
      </c>
    </row>
    <row r="6" spans="1:39" ht="16" customHeight="1" x14ac:dyDescent="0.2">
      <c r="A6" s="2" t="s">
        <v>65</v>
      </c>
      <c r="D6" s="2" t="s">
        <v>68</v>
      </c>
      <c r="E6" t="str">
        <f t="shared" si="0"/>
        <v>7</v>
      </c>
      <c r="F6" t="str">
        <f t="shared" si="1"/>
        <v>Balzeau_etal_2012</v>
      </c>
      <c r="G6" t="str">
        <f t="shared" si="2"/>
        <v>Balzeau</v>
      </c>
      <c r="H6" t="str">
        <f t="shared" si="3"/>
        <v>etal</v>
      </c>
      <c r="I6" t="str">
        <f t="shared" si="4"/>
        <v>2012</v>
      </c>
      <c r="J6" t="str">
        <f t="shared" si="5"/>
        <v>10.1016%2Fj.jhevol.2012.03.007</v>
      </c>
      <c r="K6" t="str">
        <f t="shared" si="6"/>
        <v>Balzeau_etal_2012_Table5</v>
      </c>
      <c r="L6" t="str">
        <f t="shared" si="7"/>
        <v>10.1016%2Fj.jhevol.2012.03.007_Table5</v>
      </c>
      <c r="M6" t="str">
        <f t="array" ref="M6">IFERROR(INDEX(FileList!$A$1:$A$100,MATCH(TRUE,EXACT(L6,_xlfn.TEXTBEFORE(FileList!$A$1:$A$100,".tsv")),0)),"notfound")</f>
        <v>10.1016%2Fj.jhevol.2012.03.007_Table5.tsv</v>
      </c>
      <c r="N6" s="8" t="s">
        <v>69</v>
      </c>
    </row>
    <row r="7" spans="1:39" ht="16" customHeight="1" x14ac:dyDescent="0.2">
      <c r="A7" s="2" t="s">
        <v>70</v>
      </c>
      <c r="D7" s="2" t="s">
        <v>71</v>
      </c>
      <c r="E7" t="str">
        <f t="shared" si="0"/>
        <v>1</v>
      </c>
      <c r="F7" t="str">
        <f t="shared" si="1"/>
        <v>BarbeitoAndres_etal_2019</v>
      </c>
      <c r="G7" t="str">
        <f t="shared" si="2"/>
        <v>BarbeitoAndres</v>
      </c>
      <c r="H7" t="str">
        <f t="shared" si="3"/>
        <v>etal</v>
      </c>
      <c r="I7" t="str">
        <f t="shared" si="4"/>
        <v>2019</v>
      </c>
      <c r="J7" t="str">
        <f t="shared" si="5"/>
        <v>10.1242%2Fjeb.204651</v>
      </c>
      <c r="K7" t="str">
        <f t="shared" si="6"/>
        <v>BarbeitoAndres_etal_2019_celldensity</v>
      </c>
      <c r="L7" t="str">
        <f t="shared" si="7"/>
        <v>10.1242%2Fjeb.204651_celldensity</v>
      </c>
      <c r="M7" t="str">
        <f t="array" ref="M7">IFERROR(INDEX(FileList!$A$1:$A$100,MATCH(TRUE,EXACT(L7,_xlfn.TEXTBEFORE(FileList!$A$1:$A$100,".tsv")),0)),"notfound")</f>
        <v>notfound</v>
      </c>
      <c r="AG7" s="8" t="s">
        <v>59</v>
      </c>
      <c r="AJ7" s="8" t="s">
        <v>43</v>
      </c>
      <c r="AL7" s="8" t="s">
        <v>43</v>
      </c>
      <c r="AM7" s="8" t="s">
        <v>43</v>
      </c>
    </row>
    <row r="8" spans="1:39" ht="16" customHeight="1" x14ac:dyDescent="0.2">
      <c r="A8" s="2" t="s">
        <v>70</v>
      </c>
      <c r="D8" s="2" t="s">
        <v>72</v>
      </c>
      <c r="E8" t="str">
        <f t="shared" si="0"/>
        <v>1</v>
      </c>
      <c r="F8" t="str">
        <f t="shared" si="1"/>
        <v>BarbeitoAndres_etal_2019</v>
      </c>
      <c r="G8" t="str">
        <f t="shared" si="2"/>
        <v>BarbeitoAndres</v>
      </c>
      <c r="H8" t="str">
        <f t="shared" si="3"/>
        <v>etal</v>
      </c>
      <c r="I8" t="str">
        <f t="shared" si="4"/>
        <v>2019</v>
      </c>
      <c r="J8" t="str">
        <f t="shared" si="5"/>
        <v>10.1242%2Fjeb.204651</v>
      </c>
      <c r="K8" t="str">
        <f t="shared" si="6"/>
        <v>BarbeitoAndres_etal_2019_cellnumber</v>
      </c>
      <c r="L8" t="str">
        <f t="shared" si="7"/>
        <v>10.1242%2Fjeb.204651_cellnumber</v>
      </c>
      <c r="M8" t="str">
        <f t="array" ref="M8">IFERROR(INDEX(FileList!$A$1:$A$100,MATCH(TRUE,EXACT(L8,_xlfn.TEXTBEFORE(FileList!$A$1:$A$100,".tsv")),0)),"notfound")</f>
        <v>notfound</v>
      </c>
      <c r="AG8" s="8" t="s">
        <v>59</v>
      </c>
      <c r="AJ8" s="8" t="s">
        <v>43</v>
      </c>
      <c r="AL8" s="8" t="s">
        <v>43</v>
      </c>
      <c r="AM8" s="8" t="s">
        <v>43</v>
      </c>
    </row>
    <row r="9" spans="1:39" ht="16" customHeight="1" x14ac:dyDescent="0.2">
      <c r="A9" s="2" t="s">
        <v>70</v>
      </c>
      <c r="D9" s="2" t="s">
        <v>73</v>
      </c>
      <c r="E9" t="str">
        <f t="shared" si="0"/>
        <v>1</v>
      </c>
      <c r="F9" t="str">
        <f t="shared" si="1"/>
        <v>BarbeitoAndres_etal_2019</v>
      </c>
      <c r="G9" t="str">
        <f t="shared" si="2"/>
        <v>BarbeitoAndres</v>
      </c>
      <c r="H9" t="str">
        <f t="shared" si="3"/>
        <v>etal</v>
      </c>
      <c r="I9" t="str">
        <f t="shared" si="4"/>
        <v>2019</v>
      </c>
      <c r="J9" t="str">
        <f t="shared" si="5"/>
        <v>10.1242%2Fjeb.204651</v>
      </c>
      <c r="K9" t="str">
        <f t="shared" si="6"/>
        <v>BarbeitoAndres_etal_2019_volumes</v>
      </c>
      <c r="L9" t="str">
        <f t="shared" si="7"/>
        <v>10.1242%2Fjeb.204651_volumes</v>
      </c>
      <c r="M9" t="str">
        <f t="array" ref="M9">IFERROR(INDEX(FileList!$A$1:$A$100,MATCH(TRUE,EXACT(L9,_xlfn.TEXTBEFORE(FileList!$A$1:$A$100,".tsv")),0)),"notfound")</f>
        <v>notfound</v>
      </c>
      <c r="AG9" s="8" t="s">
        <v>59</v>
      </c>
      <c r="AJ9" s="8" t="s">
        <v>43</v>
      </c>
      <c r="AL9" s="8" t="s">
        <v>43</v>
      </c>
      <c r="AM9" s="8" t="s">
        <v>43</v>
      </c>
    </row>
    <row r="10" spans="1:39" ht="16" customHeight="1" x14ac:dyDescent="0.2">
      <c r="A10" s="2" t="s">
        <v>74</v>
      </c>
      <c r="D10" s="2" t="s">
        <v>75</v>
      </c>
      <c r="E10" t="str">
        <f t="shared" si="0"/>
        <v>7</v>
      </c>
      <c r="F10" t="str">
        <f t="shared" si="1"/>
        <v>Barger_etal_2014</v>
      </c>
      <c r="G10" t="str">
        <f t="shared" si="2"/>
        <v>Barger</v>
      </c>
      <c r="H10" t="str">
        <f t="shared" si="3"/>
        <v>etal</v>
      </c>
      <c r="I10" t="str">
        <f t="shared" si="4"/>
        <v>2014</v>
      </c>
      <c r="J10" t="str">
        <f t="shared" si="5"/>
        <v>10.3389%2Ffnhum.2014.00277</v>
      </c>
      <c r="K10" t="str">
        <f t="shared" si="6"/>
        <v>Barger_etal_2014_Table1</v>
      </c>
      <c r="L10" t="str">
        <f t="shared" si="7"/>
        <v>10.3389%2Ffnhum.2014.00277_Table1</v>
      </c>
      <c r="M10" t="str">
        <f t="array" ref="M10">IFERROR(INDEX(FileList!$A$1:$A$100,MATCH(TRUE,EXACT(L10,_xlfn.TEXTBEFORE(FileList!$A$1:$A$100,".tsv")),0)),"notfound")</f>
        <v>notfound</v>
      </c>
      <c r="N10" s="8" t="s">
        <v>76</v>
      </c>
      <c r="Z10" s="8" t="s">
        <v>77</v>
      </c>
      <c r="AF10" s="8" t="s">
        <v>78</v>
      </c>
      <c r="AG10" s="8" t="s">
        <v>77</v>
      </c>
    </row>
    <row r="11" spans="1:39" ht="16" customHeight="1" x14ac:dyDescent="0.2">
      <c r="A11" s="2" t="s">
        <v>79</v>
      </c>
      <c r="D11" s="2" t="s">
        <v>49</v>
      </c>
      <c r="E11" t="str">
        <f t="shared" si="0"/>
        <v>4</v>
      </c>
      <c r="F11" t="str">
        <f t="shared" si="1"/>
        <v>Barger_etal_2007</v>
      </c>
      <c r="G11" t="str">
        <f t="shared" si="2"/>
        <v>Barger</v>
      </c>
      <c r="H11" t="str">
        <f t="shared" si="3"/>
        <v>etal</v>
      </c>
      <c r="I11" t="str">
        <f t="shared" si="4"/>
        <v>2007</v>
      </c>
      <c r="J11" t="str">
        <f t="shared" si="5"/>
        <v>10.1002%2Fajpa.20684</v>
      </c>
      <c r="K11" t="str">
        <f t="shared" si="6"/>
        <v>Barger_etal_2007_TABLE1</v>
      </c>
      <c r="L11" t="str">
        <f t="shared" si="7"/>
        <v>10.1002%2Fajpa.20684_TABLE1</v>
      </c>
      <c r="M11" t="str">
        <f t="array" ref="M11">IFERROR(INDEX(FileList!$A$1:$A$100,MATCH(TRUE,EXACT(L11,_xlfn.TEXTBEFORE(FileList!$A$1:$A$100,".tsv")),0)),"notfound")</f>
        <v>10.1002%2Fajpa.20684_TABLE1.tsv</v>
      </c>
      <c r="N11" s="8" t="s">
        <v>80</v>
      </c>
      <c r="P11" s="8" t="s">
        <v>41</v>
      </c>
      <c r="Z11" s="8" t="s">
        <v>77</v>
      </c>
      <c r="AF11" s="8" t="s">
        <v>81</v>
      </c>
      <c r="AG11" s="8" t="s">
        <v>77</v>
      </c>
      <c r="AI11" s="8" t="s">
        <v>82</v>
      </c>
      <c r="AJ11" s="8" t="s">
        <v>83</v>
      </c>
      <c r="AL11" s="8" t="s">
        <v>63</v>
      </c>
      <c r="AM11" s="8" t="s">
        <v>84</v>
      </c>
    </row>
    <row r="12" spans="1:39" ht="16" customHeight="1" x14ac:dyDescent="0.2">
      <c r="A12" s="2" t="s">
        <v>85</v>
      </c>
      <c r="D12" s="2" t="s">
        <v>86</v>
      </c>
      <c r="E12" t="str">
        <f t="shared" si="0"/>
        <v>6</v>
      </c>
      <c r="F12" t="str">
        <f t="shared" si="1"/>
        <v>Barks_etal_2014</v>
      </c>
      <c r="G12" t="str">
        <f t="shared" si="2"/>
        <v>Barks</v>
      </c>
      <c r="H12" t="str">
        <f t="shared" si="3"/>
        <v>etal</v>
      </c>
      <c r="I12" t="str">
        <f t="shared" si="4"/>
        <v>2014</v>
      </c>
      <c r="J12" t="str">
        <f t="shared" si="5"/>
        <v>10.1002%2Fajpa.22646</v>
      </c>
      <c r="K12" t="str">
        <f t="shared" si="6"/>
        <v>Barks_etal_2014_Fig4A</v>
      </c>
      <c r="L12" t="str">
        <f t="shared" si="7"/>
        <v>10.1002%2Fajpa.22646_Fig4A</v>
      </c>
      <c r="M12" t="str">
        <f t="array" ref="M12">IFERROR(INDEX(FileList!$A$1:$A$100,MATCH(TRUE,EXACT(L12,_xlfn.TEXTBEFORE(FileList!$A$1:$A$100,".tsv")),0)),"notfound")</f>
        <v>10.1002%2Fajpa.22646_Fig4A.tsv</v>
      </c>
      <c r="O12" s="8" t="s">
        <v>87</v>
      </c>
      <c r="P12" s="8" t="s">
        <v>41</v>
      </c>
      <c r="Y12" s="8" t="s">
        <v>88</v>
      </c>
    </row>
    <row r="13" spans="1:39" ht="16" customHeight="1" x14ac:dyDescent="0.2">
      <c r="A13" s="2" t="s">
        <v>85</v>
      </c>
      <c r="D13" s="2" t="s">
        <v>89</v>
      </c>
      <c r="E13" t="str">
        <f t="shared" si="0"/>
        <v>6</v>
      </c>
      <c r="F13" t="str">
        <f t="shared" si="1"/>
        <v>Barks_etal_2014</v>
      </c>
      <c r="G13" t="str">
        <f t="shared" si="2"/>
        <v>Barks</v>
      </c>
      <c r="H13" t="str">
        <f t="shared" si="3"/>
        <v>etal</v>
      </c>
      <c r="I13" t="str">
        <f t="shared" si="4"/>
        <v>2014</v>
      </c>
      <c r="J13" t="str">
        <f t="shared" si="5"/>
        <v>10.1002%2Fajpa.22646</v>
      </c>
      <c r="K13" t="str">
        <f t="shared" si="6"/>
        <v>Barks_etal_2014_Fig5A</v>
      </c>
      <c r="L13" t="str">
        <f t="shared" si="7"/>
        <v>10.1002%2Fajpa.22646_Fig5A</v>
      </c>
      <c r="M13" t="str">
        <f t="array" ref="M13">IFERROR(INDEX(FileList!$A$1:$A$100,MATCH(TRUE,EXACT(L13,_xlfn.TEXTBEFORE(FileList!$A$1:$A$100,".tsv")),0)),"notfound")</f>
        <v>10.1002%2Fajpa.22646_Fig5A.tsv</v>
      </c>
      <c r="O13" s="8" t="s">
        <v>90</v>
      </c>
      <c r="P13" s="8" t="s">
        <v>41</v>
      </c>
    </row>
    <row r="14" spans="1:39" ht="16" customHeight="1" x14ac:dyDescent="0.2">
      <c r="A14" s="2" t="s">
        <v>85</v>
      </c>
      <c r="D14" s="2" t="s">
        <v>49</v>
      </c>
      <c r="E14" t="str">
        <f t="shared" si="0"/>
        <v>6</v>
      </c>
      <c r="F14" t="str">
        <f t="shared" si="1"/>
        <v>Barks_etal_2014</v>
      </c>
      <c r="G14" t="str">
        <f t="shared" si="2"/>
        <v>Barks</v>
      </c>
      <c r="H14" t="str">
        <f t="shared" si="3"/>
        <v>etal</v>
      </c>
      <c r="I14" t="str">
        <f t="shared" si="4"/>
        <v>2014</v>
      </c>
      <c r="J14" t="str">
        <f t="shared" si="5"/>
        <v>10.1002%2Fajpa.22646</v>
      </c>
      <c r="K14" t="str">
        <f t="shared" si="6"/>
        <v>Barks_etal_2014_TABLE1</v>
      </c>
      <c r="L14" t="str">
        <f t="shared" si="7"/>
        <v>10.1002%2Fajpa.22646_TABLE1</v>
      </c>
      <c r="M14" t="str">
        <f t="array" ref="M14">IFERROR(INDEX(FileList!$A$1:$A$100,MATCH(TRUE,EXACT(L14,_xlfn.TEXTBEFORE(FileList!$A$1:$A$100,".tsv")),0)),"notfound")</f>
        <v>10.1002%2Fajpa.22646_TABLE1.tsv</v>
      </c>
      <c r="N14" s="8" t="s">
        <v>91</v>
      </c>
      <c r="P14" s="8" t="s">
        <v>41</v>
      </c>
      <c r="Y14" s="8" t="s">
        <v>88</v>
      </c>
    </row>
    <row r="15" spans="1:39" ht="16" customHeight="1" x14ac:dyDescent="0.2">
      <c r="A15" s="2" t="s">
        <v>85</v>
      </c>
      <c r="D15" s="2" t="s">
        <v>92</v>
      </c>
      <c r="E15" t="str">
        <f t="shared" si="0"/>
        <v>6</v>
      </c>
      <c r="F15" t="str">
        <f t="shared" si="1"/>
        <v>Barks_etal_2014</v>
      </c>
      <c r="G15" t="str">
        <f t="shared" si="2"/>
        <v>Barks</v>
      </c>
      <c r="H15" t="str">
        <f t="shared" si="3"/>
        <v>etal</v>
      </c>
      <c r="I15" t="str">
        <f t="shared" si="4"/>
        <v>2014</v>
      </c>
      <c r="J15" t="str">
        <f t="shared" si="5"/>
        <v>10.1002%2Fajpa.22646</v>
      </c>
      <c r="K15" t="str">
        <f t="shared" si="6"/>
        <v>Barks_etal_2014_TABLE2</v>
      </c>
      <c r="L15" t="str">
        <f t="shared" si="7"/>
        <v>10.1002%2Fajpa.22646_TABLE2</v>
      </c>
      <c r="M15" t="str">
        <f t="array" ref="M15">IFERROR(INDEX(FileList!$A$1:$A$100,MATCH(TRUE,EXACT(L15,_xlfn.TEXTBEFORE(FileList!$A$1:$A$100,".tsv")),0)),"notfound")</f>
        <v>10.1002%2Fajpa.22646_TABLE2.tsv</v>
      </c>
      <c r="N15" s="8" t="s">
        <v>93</v>
      </c>
      <c r="P15" s="8" t="s">
        <v>41</v>
      </c>
    </row>
    <row r="16" spans="1:39" ht="16" customHeight="1" x14ac:dyDescent="0.2">
      <c r="A16" s="2" t="s">
        <v>85</v>
      </c>
      <c r="D16" s="2" t="s">
        <v>94</v>
      </c>
      <c r="E16" t="str">
        <f t="shared" si="0"/>
        <v>6</v>
      </c>
      <c r="F16" t="str">
        <f t="shared" si="1"/>
        <v>Barks_etal_2014</v>
      </c>
      <c r="G16" t="str">
        <f t="shared" si="2"/>
        <v>Barks</v>
      </c>
      <c r="H16" t="str">
        <f t="shared" si="3"/>
        <v>etal</v>
      </c>
      <c r="I16" t="str">
        <f t="shared" si="4"/>
        <v>2014</v>
      </c>
      <c r="J16" t="str">
        <f t="shared" si="5"/>
        <v>10.1002%2Fajpa.22646</v>
      </c>
      <c r="K16" t="str">
        <f t="shared" si="6"/>
        <v>Barks_etal_2014_unpublishedviaDeCasien</v>
      </c>
      <c r="L16" t="str">
        <f t="shared" si="7"/>
        <v>10.1002%2Fajpa.22646_unpublishedviaDeCasien</v>
      </c>
      <c r="M16" t="str">
        <f t="array" ref="M16">IFERROR(INDEX(FileList!$A$1:$A$100,MATCH(TRUE,EXACT(L16,_xlfn.TEXTBEFORE(FileList!$A$1:$A$100,".tsv")),0)),"notfound")</f>
        <v>10.1002%2Fajpa.22646_unpublishedviaDeCasien.tsv</v>
      </c>
      <c r="O16" s="8" t="s">
        <v>95</v>
      </c>
    </row>
    <row r="17" spans="1:39" ht="16" customHeight="1" x14ac:dyDescent="0.2">
      <c r="A17" s="2" t="s">
        <v>96</v>
      </c>
      <c r="C17" s="2" t="s">
        <v>97</v>
      </c>
      <c r="D17" s="2" t="s">
        <v>75</v>
      </c>
      <c r="E17" t="str">
        <f t="shared" si="0"/>
        <v>9</v>
      </c>
      <c r="F17" t="str">
        <f t="shared" si="1"/>
        <v>Baron_etal_1988</v>
      </c>
      <c r="G17" t="str">
        <f t="shared" si="2"/>
        <v>Baron</v>
      </c>
      <c r="H17" t="str">
        <f t="shared" si="3"/>
        <v>etal</v>
      </c>
      <c r="I17" t="str">
        <f t="shared" si="4"/>
        <v>1988</v>
      </c>
      <c r="J17" t="str">
        <f t="shared" si="5"/>
        <v>PMID%3A3216099</v>
      </c>
      <c r="K17" t="str">
        <f t="shared" si="6"/>
        <v>Baron_etal_1988_Table1</v>
      </c>
      <c r="L17" t="str">
        <f t="shared" si="7"/>
        <v>PMID%3A3216099_Table1</v>
      </c>
      <c r="M17" t="str">
        <f t="array" ref="M17">IFERROR(INDEX(FileList!$A$1:$A$100,MATCH(TRUE,EXACT(L17,_xlfn.TEXTBEFORE(FileList!$A$1:$A$100,".tsv")),0)),"notfound")</f>
        <v>notfound</v>
      </c>
      <c r="N17" s="8" t="s">
        <v>98</v>
      </c>
      <c r="P17" s="8" t="s">
        <v>41</v>
      </c>
      <c r="Y17" s="8" t="s">
        <v>99</v>
      </c>
      <c r="Z17" s="8" t="s">
        <v>99</v>
      </c>
      <c r="AF17" s="8" t="s">
        <v>78</v>
      </c>
      <c r="AG17" s="8" t="s">
        <v>99</v>
      </c>
      <c r="AI17" s="8" t="s">
        <v>100</v>
      </c>
      <c r="AJ17" s="8" t="s">
        <v>101</v>
      </c>
      <c r="AL17" s="8" t="s">
        <v>63</v>
      </c>
      <c r="AM17" s="8" t="s">
        <v>84</v>
      </c>
    </row>
    <row r="18" spans="1:39" ht="17" customHeight="1" x14ac:dyDescent="0.2">
      <c r="A18" s="2" t="s">
        <v>102</v>
      </c>
      <c r="C18" s="2" t="s">
        <v>103</v>
      </c>
      <c r="D18" s="2" t="s">
        <v>75</v>
      </c>
      <c r="E18" t="str">
        <f t="shared" si="0"/>
        <v>5</v>
      </c>
      <c r="F18" t="str">
        <f t="shared" si="1"/>
        <v>Baron_etal_1983</v>
      </c>
      <c r="G18" t="str">
        <f t="shared" si="2"/>
        <v>Baron</v>
      </c>
      <c r="H18" t="str">
        <f t="shared" si="3"/>
        <v>etal</v>
      </c>
      <c r="I18" t="str">
        <f t="shared" si="4"/>
        <v>1983</v>
      </c>
      <c r="J18" t="str">
        <f t="shared" si="5"/>
        <v>PMID%3A6663055</v>
      </c>
      <c r="K18" t="str">
        <f t="shared" si="6"/>
        <v>Baron_etal_1983_Table1</v>
      </c>
      <c r="L18" t="str">
        <f t="shared" si="7"/>
        <v>PMID%3A6663055_Table1</v>
      </c>
      <c r="M18" t="str">
        <f t="array" ref="M18">IFERROR(INDEX(FileList!$A$1:$A$100,MATCH(TRUE,EXACT(L18,_xlfn.TEXTBEFORE(FileList!$A$1:$A$100,".tsv")),0)),"notfound")</f>
        <v>notfound</v>
      </c>
      <c r="P18" s="8" t="s">
        <v>41</v>
      </c>
      <c r="V18" s="8" t="s">
        <v>42</v>
      </c>
      <c r="W18" s="8" t="s">
        <v>104</v>
      </c>
      <c r="Y18" s="8" t="s">
        <v>99</v>
      </c>
      <c r="Z18" s="8" t="s">
        <v>99</v>
      </c>
      <c r="AF18" s="8" t="s">
        <v>78</v>
      </c>
      <c r="AG18" s="8" t="s">
        <v>99</v>
      </c>
      <c r="AI18" s="8" t="s">
        <v>105</v>
      </c>
      <c r="AJ18" s="8" t="s">
        <v>101</v>
      </c>
      <c r="AK18" s="8" t="s">
        <v>63</v>
      </c>
      <c r="AL18" s="8" t="s">
        <v>63</v>
      </c>
      <c r="AM18" s="8" t="s">
        <v>84</v>
      </c>
    </row>
    <row r="19" spans="1:39" ht="17" customHeight="1" x14ac:dyDescent="0.2">
      <c r="A19" s="2" t="s">
        <v>106</v>
      </c>
      <c r="C19" s="2" t="s">
        <v>107</v>
      </c>
      <c r="D19" s="2" t="s">
        <v>75</v>
      </c>
      <c r="E19" t="str">
        <f t="shared" si="0"/>
        <v>6</v>
      </c>
      <c r="F19" t="str">
        <f t="shared" si="1"/>
        <v>Baron_etal_1987</v>
      </c>
      <c r="G19" t="str">
        <f t="shared" si="2"/>
        <v>Baron</v>
      </c>
      <c r="H19" t="str">
        <f t="shared" si="3"/>
        <v>etal</v>
      </c>
      <c r="I19" t="str">
        <f t="shared" si="4"/>
        <v>1987</v>
      </c>
      <c r="J19" t="str">
        <f t="shared" si="5"/>
        <v>PMID%3A3116076</v>
      </c>
      <c r="K19" t="str">
        <f t="shared" si="6"/>
        <v>Baron_etal_1987_Table1</v>
      </c>
      <c r="L19" t="str">
        <f t="shared" si="7"/>
        <v>PMID%3A3116076_Table1</v>
      </c>
      <c r="M19" t="str">
        <f t="array" ref="M19">IFERROR(INDEX(FileList!$A$1:$A$100,MATCH(TRUE,EXACT(L19,_xlfn.TEXTBEFORE(FileList!$A$1:$A$100,".tsv")),0)),"notfound")</f>
        <v>notfound</v>
      </c>
      <c r="P19" s="8" t="s">
        <v>41</v>
      </c>
      <c r="V19" s="8" t="s">
        <v>42</v>
      </c>
      <c r="W19" s="8" t="s">
        <v>104</v>
      </c>
      <c r="Y19" s="8" t="s">
        <v>99</v>
      </c>
      <c r="Z19" s="8" t="s">
        <v>99</v>
      </c>
      <c r="AF19" s="8" t="s">
        <v>78</v>
      </c>
      <c r="AG19" s="8" t="s">
        <v>99</v>
      </c>
      <c r="AI19" s="8" t="s">
        <v>108</v>
      </c>
      <c r="AJ19" s="8" t="s">
        <v>101</v>
      </c>
      <c r="AK19" s="8" t="s">
        <v>63</v>
      </c>
      <c r="AL19" s="8" t="s">
        <v>63</v>
      </c>
      <c r="AM19" s="8" t="s">
        <v>84</v>
      </c>
    </row>
    <row r="20" spans="1:39" ht="16" customHeight="1" x14ac:dyDescent="0.2">
      <c r="A20" s="2" t="s">
        <v>109</v>
      </c>
      <c r="C20" s="2" t="s">
        <v>110</v>
      </c>
      <c r="D20" s="2" t="s">
        <v>75</v>
      </c>
      <c r="E20" t="str">
        <f t="shared" si="0"/>
        <v>3</v>
      </c>
      <c r="F20" t="str">
        <f t="shared" si="1"/>
        <v>Baron_etal_1990</v>
      </c>
      <c r="G20" t="str">
        <f t="shared" si="2"/>
        <v>Baron</v>
      </c>
      <c r="H20" t="str">
        <f t="shared" si="3"/>
        <v>etal</v>
      </c>
      <c r="I20" t="str">
        <f t="shared" si="4"/>
        <v>1990</v>
      </c>
      <c r="J20" t="str">
        <f t="shared" si="5"/>
        <v>PMID%3A2358663</v>
      </c>
      <c r="K20" t="str">
        <f t="shared" si="6"/>
        <v>Baron_etal_1990_Table1</v>
      </c>
      <c r="L20" t="str">
        <f t="shared" si="7"/>
        <v>PMID%3A2358663_Table1</v>
      </c>
      <c r="M20" t="str">
        <f t="array" ref="M20">IFERROR(INDEX(FileList!$A$1:$A$100,MATCH(TRUE,EXACT(L20,_xlfn.TEXTBEFORE(FileList!$A$1:$A$100,".tsv")),0)),"notfound")</f>
        <v>notfound</v>
      </c>
      <c r="N20" s="8" t="s">
        <v>111</v>
      </c>
      <c r="P20" s="8" t="s">
        <v>41</v>
      </c>
      <c r="V20" s="8" t="s">
        <v>42</v>
      </c>
      <c r="W20" s="8" t="s">
        <v>104</v>
      </c>
      <c r="Y20" s="8" t="s">
        <v>99</v>
      </c>
      <c r="Z20" s="8" t="s">
        <v>99</v>
      </c>
      <c r="AF20" s="8" t="s">
        <v>78</v>
      </c>
      <c r="AG20" s="8" t="s">
        <v>112</v>
      </c>
      <c r="AI20" s="8" t="s">
        <v>113</v>
      </c>
      <c r="AJ20" s="8" t="s">
        <v>101</v>
      </c>
      <c r="AK20" s="8" t="s">
        <v>63</v>
      </c>
      <c r="AL20" s="8" t="s">
        <v>63</v>
      </c>
      <c r="AM20" s="8" t="s">
        <v>84</v>
      </c>
    </row>
    <row r="21" spans="1:39" ht="16" customHeight="1" x14ac:dyDescent="0.2">
      <c r="A21" s="2" t="s">
        <v>114</v>
      </c>
      <c r="D21" s="2" t="s">
        <v>75</v>
      </c>
      <c r="E21" t="str">
        <f t="shared" si="0"/>
        <v>3</v>
      </c>
      <c r="F21" t="str">
        <f t="shared" si="1"/>
        <v>Bauernfeind_etal_2013</v>
      </c>
      <c r="G21" t="str">
        <f t="shared" si="2"/>
        <v>Bauernfeind</v>
      </c>
      <c r="H21" t="str">
        <f t="shared" si="3"/>
        <v>etal</v>
      </c>
      <c r="I21" t="str">
        <f t="shared" si="4"/>
        <v>2013</v>
      </c>
      <c r="J21" t="str">
        <f t="shared" si="5"/>
        <v>10.1016%2Fj.jhevol.2012.12.003</v>
      </c>
      <c r="K21" t="str">
        <f t="shared" si="6"/>
        <v>Bauernfeind_etal_2013_Table1</v>
      </c>
      <c r="L21" t="str">
        <f t="shared" si="7"/>
        <v>10.1016%2Fj.jhevol.2012.12.003_Table1</v>
      </c>
      <c r="M21" t="str">
        <f t="array" ref="M21">IFERROR(INDEX(FileList!$A$1:$A$100,MATCH(TRUE,EXACT(L21,_xlfn.TEXTBEFORE(FileList!$A$1:$A$100,".tsv")),0)),"notfound")</f>
        <v>10.1016%2Fj.jhevol.2012.12.003_Table1.tsv</v>
      </c>
      <c r="N21" s="8" t="s">
        <v>115</v>
      </c>
      <c r="P21" s="8" t="s">
        <v>41</v>
      </c>
      <c r="V21" s="8" t="s">
        <v>42</v>
      </c>
      <c r="Y21" s="8" t="s">
        <v>116</v>
      </c>
      <c r="AF21" s="8" t="s">
        <v>78</v>
      </c>
      <c r="AG21" s="8" t="s">
        <v>112</v>
      </c>
      <c r="AI21" s="8" t="s">
        <v>117</v>
      </c>
      <c r="AJ21" s="8" t="s">
        <v>118</v>
      </c>
      <c r="AK21" s="8" t="s">
        <v>63</v>
      </c>
      <c r="AL21" s="8" t="s">
        <v>63</v>
      </c>
      <c r="AM21" s="8" t="s">
        <v>84</v>
      </c>
    </row>
    <row r="22" spans="1:39" ht="16" customHeight="1" x14ac:dyDescent="0.2">
      <c r="A22" s="2" t="s">
        <v>114</v>
      </c>
      <c r="D22" s="2" t="s">
        <v>119</v>
      </c>
      <c r="E22" t="str">
        <f t="shared" si="0"/>
        <v>3</v>
      </c>
      <c r="F22" t="str">
        <f t="shared" si="1"/>
        <v>Bauernfeind_etal_2013</v>
      </c>
      <c r="G22" t="str">
        <f t="shared" si="2"/>
        <v>Bauernfeind</v>
      </c>
      <c r="H22" t="str">
        <f t="shared" si="3"/>
        <v>etal</v>
      </c>
      <c r="I22" t="str">
        <f t="shared" si="4"/>
        <v>2013</v>
      </c>
      <c r="J22" t="str">
        <f t="shared" si="5"/>
        <v>10.1016%2Fj.jhevol.2012.12.003</v>
      </c>
      <c r="K22" t="str">
        <f t="shared" si="6"/>
        <v>Bauernfeind_etal_2013_Table2</v>
      </c>
      <c r="L22" t="str">
        <f t="shared" si="7"/>
        <v>10.1016%2Fj.jhevol.2012.12.003_Table2</v>
      </c>
      <c r="M22" t="str">
        <f t="array" ref="M22">IFERROR(INDEX(FileList!$A$1:$A$100,MATCH(TRUE,EXACT(L22,_xlfn.TEXTBEFORE(FileList!$A$1:$A$100,".tsv")),0)),"notfound")</f>
        <v>10.1016%2Fj.jhevol.2012.12.003_Table2.tsv</v>
      </c>
      <c r="P22" s="8" t="s">
        <v>41</v>
      </c>
      <c r="V22" s="8" t="s">
        <v>42</v>
      </c>
      <c r="Y22" s="8" t="s">
        <v>116</v>
      </c>
      <c r="AF22" s="8" t="s">
        <v>78</v>
      </c>
      <c r="AG22" s="8" t="s">
        <v>112</v>
      </c>
      <c r="AI22" s="8" t="s">
        <v>117</v>
      </c>
      <c r="AJ22" s="8" t="s">
        <v>118</v>
      </c>
      <c r="AK22" s="8" t="s">
        <v>63</v>
      </c>
      <c r="AL22" s="8" t="s">
        <v>63</v>
      </c>
      <c r="AM22" s="8" t="s">
        <v>84</v>
      </c>
    </row>
    <row r="23" spans="1:39" ht="16" customHeight="1" x14ac:dyDescent="0.2">
      <c r="A23" s="2" t="s">
        <v>114</v>
      </c>
      <c r="D23" s="2" t="s">
        <v>66</v>
      </c>
      <c r="E23" t="str">
        <f t="shared" si="0"/>
        <v>3</v>
      </c>
      <c r="F23" t="str">
        <f t="shared" si="1"/>
        <v>Bauernfeind_etal_2013</v>
      </c>
      <c r="G23" t="str">
        <f t="shared" si="2"/>
        <v>Bauernfeind</v>
      </c>
      <c r="H23" t="str">
        <f t="shared" si="3"/>
        <v>etal</v>
      </c>
      <c r="I23" t="str">
        <f t="shared" si="4"/>
        <v>2013</v>
      </c>
      <c r="J23" t="str">
        <f t="shared" si="5"/>
        <v>10.1016%2Fj.jhevol.2012.12.003</v>
      </c>
      <c r="K23" t="str">
        <f t="shared" si="6"/>
        <v>Bauernfeind_etal_2013_Table3</v>
      </c>
      <c r="L23" t="str">
        <f t="shared" si="7"/>
        <v>10.1016%2Fj.jhevol.2012.12.003_Table3</v>
      </c>
      <c r="M23" t="str">
        <f t="array" ref="M23">IFERROR(INDEX(FileList!$A$1:$A$100,MATCH(TRUE,EXACT(L23,_xlfn.TEXTBEFORE(FileList!$A$1:$A$100,".tsv")),0)),"notfound")</f>
        <v>notfound</v>
      </c>
      <c r="V23" s="8" t="s">
        <v>42</v>
      </c>
      <c r="Y23" s="8" t="s">
        <v>116</v>
      </c>
      <c r="AF23" s="8" t="s">
        <v>78</v>
      </c>
      <c r="AG23" s="8" t="s">
        <v>112</v>
      </c>
      <c r="AI23" s="8" t="s">
        <v>117</v>
      </c>
      <c r="AJ23" s="8" t="s">
        <v>118</v>
      </c>
      <c r="AK23" s="8" t="s">
        <v>63</v>
      </c>
      <c r="AL23" s="8" t="s">
        <v>63</v>
      </c>
      <c r="AM23" s="8" t="s">
        <v>84</v>
      </c>
    </row>
    <row r="24" spans="1:39" ht="16" customHeight="1" x14ac:dyDescent="0.2">
      <c r="A24" s="2" t="s">
        <v>917</v>
      </c>
      <c r="D24" s="2" t="s">
        <v>75</v>
      </c>
      <c r="E24" t="str">
        <f t="shared" ref="E24:E25" si="8">RIGHT(A24,1)</f>
        <v>3</v>
      </c>
      <c r="F24" t="str">
        <f t="shared" ref="F24:F25" si="9">G24 &amp; IF(H24&lt;&gt;"", "_" &amp; H24, "_") &amp; IF(I24&lt;&gt;"", "_" &amp; I24, "_") &amp; IF(B24&lt;&gt;"", "_" &amp; B24, "")</f>
        <v>Boyer_Harrington_2018</v>
      </c>
      <c r="G24" t="str">
        <f t="shared" ref="G24:G25" si="10">SUBSTITUTE(SUBSTITUTE(_xlfn.TEXTBEFORE(A24,","), "-", ""), " ", "")</f>
        <v>Boyer</v>
      </c>
      <c r="H24" t="str">
        <f t="shared" ref="H24:H25" si="11">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Harrington</v>
      </c>
      <c r="I24" t="str">
        <f t="shared" ref="I24:I25" si="12">_xlfn.TEXTBEFORE(_xlfn.TEXTAFTER(A24, "("), ")")</f>
        <v>2018</v>
      </c>
      <c r="J24" t="str">
        <f t="shared" ref="J24:J25" si="13">_xlfn.LET(
_xlpm.doi,IF(C24&lt;&gt;"",C24,_xlfn.TEXTAFTER(A24,"https://doi.org/")),
SUBSTITUTE(
SUBSTITUTE(
SUBSTITUTE(
SUBSTITUTE(
_xlpm.doi,
"/","%2F"),
":","%3A"),
"&lt;","%3C"),
"&gt;","%3E")
)</f>
        <v>10.1016%2Fj.jhevol.2017.09.003</v>
      </c>
      <c r="K24" t="str">
        <f>TRIM(_xlfn.TEXTJOIN("_",FALSE,F24,(SUBSTITUTE(SUBSTITUTE(D24," ",""), "_", ""))))</f>
        <v>Boyer_Harrington_2018_Table1</v>
      </c>
      <c r="L24" t="str">
        <f>J24 &amp; "_" &amp; SUBSTITUTE(SUBSTITUTE(SUBSTITUTE(D24,CHAR(160),"")," ",""),"_","")</f>
        <v>10.1016%2Fj.jhevol.2017.09.003_Table1</v>
      </c>
      <c r="M24" t="str">
        <f t="array" ref="M24">IFERROR(INDEX(FileList!$A$1:$A$100,MATCH(TRUE,EXACT(L24,_xlfn.TEXTBEFORE(FileList!$A$1:$A$100,".tsv")),0)),"notfound")</f>
        <v>notfound</v>
      </c>
      <c r="N24" s="8" t="s">
        <v>920</v>
      </c>
    </row>
    <row r="25" spans="1:39" ht="16" customHeight="1" x14ac:dyDescent="0.2">
      <c r="A25" s="2" t="s">
        <v>918</v>
      </c>
      <c r="D25" s="2" t="s">
        <v>919</v>
      </c>
      <c r="E25" t="str">
        <f t="shared" si="8"/>
        <v>2</v>
      </c>
      <c r="F25" t="str">
        <f t="shared" si="9"/>
        <v>Boyer_Harrington_2019</v>
      </c>
      <c r="G25" t="str">
        <f t="shared" si="10"/>
        <v>Boyer</v>
      </c>
      <c r="H25" t="str">
        <f t="shared" si="11"/>
        <v>Harrington</v>
      </c>
      <c r="I25" t="str">
        <f t="shared" si="12"/>
        <v>2019</v>
      </c>
      <c r="J25" t="str">
        <f t="shared" si="13"/>
        <v>10.1016%2Fj.jhevol.2018.10.002</v>
      </c>
      <c r="K25" t="str">
        <f>TRIM(_xlfn.TEXTJOIN("_",FALSE,F25,(SUBSTITUTE(SUBSTITUTE(D25," ",""), "_", ""))))</f>
        <v>Boyer_Harrington_2019_SOMTableS6</v>
      </c>
      <c r="L25" t="str">
        <f>J25 &amp; "_" &amp; SUBSTITUTE(SUBSTITUTE(SUBSTITUTE(D25,CHAR(160),"")," ",""),"_","")</f>
        <v>10.1016%2Fj.jhevol.2018.10.002_SOMTableS6</v>
      </c>
      <c r="M25" t="str">
        <f t="array" ref="M25">IFERROR(INDEX(FileList!$A$1:$A$100,MATCH(TRUE,EXACT(L25,_xlfn.TEXTBEFORE(FileList!$A$1:$A$100,".tsv")),0)),"notfound")</f>
        <v>notfound</v>
      </c>
    </row>
    <row r="26" spans="1:39" ht="16" customHeight="1" x14ac:dyDescent="0.2">
      <c r="A26" s="2" t="s">
        <v>120</v>
      </c>
      <c r="C26" s="2" t="s">
        <v>121</v>
      </c>
      <c r="D26" s="2" t="s">
        <v>122</v>
      </c>
      <c r="E26" t="str">
        <f t="shared" si="0"/>
        <v>0</v>
      </c>
      <c r="F26" t="str">
        <f t="shared" si="1"/>
        <v>Brodmann__1913</v>
      </c>
      <c r="G26" t="str">
        <f t="shared" si="2"/>
        <v>Brodmann</v>
      </c>
      <c r="H26" t="str">
        <f t="shared" si="3"/>
        <v/>
      </c>
      <c r="I26" t="str">
        <f t="shared" si="4"/>
        <v>1913</v>
      </c>
      <c r="J26" t="str">
        <f t="shared" si="5"/>
        <v>10.0000%2Fplaceholder</v>
      </c>
      <c r="K26" t="str">
        <f t="shared" si="6"/>
        <v>Brodmann__1913_Tabelle1</v>
      </c>
      <c r="L26" t="str">
        <f t="shared" si="7"/>
        <v>10.0000%2Fplaceholder_Tabelle1</v>
      </c>
      <c r="M26" t="str">
        <f t="array" ref="M26">IFERROR(INDEX(FileList!$A$1:$A$100,MATCH(TRUE,EXACT(L26,_xlfn.TEXTBEFORE(FileList!$A$1:$A$100,".tsv")),0)),"notfound")</f>
        <v>notfound</v>
      </c>
      <c r="AI26" s="8" t="s">
        <v>123</v>
      </c>
      <c r="AJ26" s="8" t="s">
        <v>124</v>
      </c>
      <c r="AL26" s="8" t="s">
        <v>63</v>
      </c>
      <c r="AM26" s="8" t="s">
        <v>123</v>
      </c>
    </row>
    <row r="27" spans="1:39" ht="16" customHeight="1" x14ac:dyDescent="0.2">
      <c r="A27" s="2" t="s">
        <v>125</v>
      </c>
      <c r="D27" s="2" t="s">
        <v>126</v>
      </c>
      <c r="E27" t="str">
        <f t="shared" si="0"/>
        <v>3</v>
      </c>
      <c r="F27" t="str">
        <f t="shared" si="1"/>
        <v>Burger_etal_2019</v>
      </c>
      <c r="G27" t="str">
        <f t="shared" si="2"/>
        <v>Burger</v>
      </c>
      <c r="H27" t="str">
        <f t="shared" si="3"/>
        <v>etal</v>
      </c>
      <c r="I27" t="str">
        <f t="shared" si="4"/>
        <v>2019</v>
      </c>
      <c r="J27" t="str">
        <f t="shared" si="5"/>
        <v>10.1093%2Fjmammal%2Fgyz043</v>
      </c>
      <c r="K27" t="str">
        <f t="shared" si="6"/>
        <v>Burger_etal_2019_SupplementaryDataSD1</v>
      </c>
      <c r="L27" t="str">
        <f t="shared" si="7"/>
        <v>10.1093%2Fjmammal%2Fgyz043_SupplementaryDataSD1</v>
      </c>
      <c r="M27" t="str">
        <f t="array" ref="M27">IFERROR(INDEX(FileList!$A$1:$A$100,MATCH(TRUE,EXACT(L27,_xlfn.TEXTBEFORE(FileList!$A$1:$A$100,".tsv")),0)),"notfound")</f>
        <v>10.1093%2Fjmammal%2Fgyz043_SupplementaryDataSD1.tsv</v>
      </c>
      <c r="O27" s="8" t="s">
        <v>127</v>
      </c>
      <c r="P27" s="8" t="s">
        <v>41</v>
      </c>
      <c r="Q27" s="8" t="s">
        <v>128</v>
      </c>
      <c r="R27" s="8" t="s">
        <v>129</v>
      </c>
      <c r="S27" s="8" t="s">
        <v>130</v>
      </c>
      <c r="T27" s="8" t="str">
        <f>IF(S27="N", R27, "write file name")</f>
        <v>gyz043_suppl_Supplement_Data.csv</v>
      </c>
      <c r="U27" s="8" t="s">
        <v>131</v>
      </c>
      <c r="V27" s="8" t="s">
        <v>42</v>
      </c>
      <c r="W27" s="8" t="s">
        <v>132</v>
      </c>
      <c r="AB27" s="8" t="s">
        <v>133</v>
      </c>
      <c r="AH27" s="8" t="s">
        <v>134</v>
      </c>
      <c r="AI27" s="8" t="s">
        <v>135</v>
      </c>
      <c r="AJ27" s="8" t="s">
        <v>136</v>
      </c>
      <c r="AK27" s="8" t="s">
        <v>137</v>
      </c>
      <c r="AL27" s="8" t="s">
        <v>137</v>
      </c>
      <c r="AM27" s="8" t="s">
        <v>138</v>
      </c>
    </row>
    <row r="28" spans="1:39" ht="16" customHeight="1" x14ac:dyDescent="0.2">
      <c r="A28" s="2" t="s">
        <v>139</v>
      </c>
      <c r="D28" s="2" t="s">
        <v>140</v>
      </c>
      <c r="E28" t="str">
        <f t="shared" si="0"/>
        <v>9</v>
      </c>
      <c r="F28" t="str">
        <f t="shared" si="1"/>
        <v>Burish_etal_2010</v>
      </c>
      <c r="G28" t="str">
        <f t="shared" si="2"/>
        <v>Burish</v>
      </c>
      <c r="H28" t="str">
        <f t="shared" si="3"/>
        <v>etal</v>
      </c>
      <c r="I28" t="str">
        <f t="shared" si="4"/>
        <v>2010</v>
      </c>
      <c r="J28" t="str">
        <f t="shared" si="5"/>
        <v>10.1159%2F000319019</v>
      </c>
      <c r="K28" t="str">
        <f t="shared" si="6"/>
        <v>Burish_etal_2010_SupplementaryTable1</v>
      </c>
      <c r="L28" t="str">
        <f t="shared" si="7"/>
        <v>10.1159%2F000319019_SupplementaryTable1</v>
      </c>
      <c r="M28" t="str">
        <f t="array" ref="M28">IFERROR(INDEX(FileList!$A$1:$A$100,MATCH(TRUE,EXACT(L28,_xlfn.TEXTBEFORE(FileList!$A$1:$A$100,".tsv")),0)),"notfound")</f>
        <v>10.1159%2F000319019_SupplementaryTable1.tsv</v>
      </c>
      <c r="N28" s="8" t="s">
        <v>141</v>
      </c>
      <c r="P28" s="8" t="s">
        <v>142</v>
      </c>
      <c r="R28" s="8" t="s">
        <v>143</v>
      </c>
      <c r="Y28" s="8" t="s">
        <v>58</v>
      </c>
      <c r="Z28" s="8" t="s">
        <v>58</v>
      </c>
      <c r="AA28" s="8" t="s">
        <v>144</v>
      </c>
      <c r="AG28" s="8" t="s">
        <v>59</v>
      </c>
      <c r="AH28" s="8" t="s">
        <v>145</v>
      </c>
      <c r="AJ28" s="8" t="s">
        <v>146</v>
      </c>
      <c r="AK28" s="8" t="s">
        <v>147</v>
      </c>
      <c r="AL28" s="8" t="s">
        <v>43</v>
      </c>
      <c r="AM28" s="8" t="s">
        <v>43</v>
      </c>
    </row>
    <row r="29" spans="1:39" ht="16" customHeight="1" x14ac:dyDescent="0.2">
      <c r="A29" s="2" t="s">
        <v>139</v>
      </c>
      <c r="D29" s="2" t="s">
        <v>75</v>
      </c>
      <c r="E29" t="str">
        <f t="shared" si="0"/>
        <v>9</v>
      </c>
      <c r="F29" t="str">
        <f t="shared" si="1"/>
        <v>Burish_etal_2010</v>
      </c>
      <c r="G29" t="str">
        <f t="shared" si="2"/>
        <v>Burish</v>
      </c>
      <c r="H29" t="str">
        <f t="shared" si="3"/>
        <v>etal</v>
      </c>
      <c r="I29" t="str">
        <f t="shared" si="4"/>
        <v>2010</v>
      </c>
      <c r="J29" t="str">
        <f t="shared" si="5"/>
        <v>10.1159%2F000319019</v>
      </c>
      <c r="K29" t="str">
        <f t="shared" si="6"/>
        <v>Burish_etal_2010_Table1</v>
      </c>
      <c r="L29" t="str">
        <f t="shared" si="7"/>
        <v>10.1159%2F000319019_Table1</v>
      </c>
      <c r="M29" t="str">
        <f t="array" ref="M29">IFERROR(INDEX(FileList!$A$1:$A$100,MATCH(TRUE,EXACT(L29,_xlfn.TEXTBEFORE(FileList!$A$1:$A$100,".tsv")),0)),"notfound")</f>
        <v>10.1159%2F000319019_Table1.tsv</v>
      </c>
      <c r="N29" s="8" t="s">
        <v>148</v>
      </c>
      <c r="P29" s="8" t="s">
        <v>41</v>
      </c>
      <c r="Q29" s="8" t="s">
        <v>51</v>
      </c>
      <c r="R29" s="8" t="s">
        <v>149</v>
      </c>
      <c r="T29" s="8" t="s">
        <v>150</v>
      </c>
      <c r="U29" s="8" t="s">
        <v>55</v>
      </c>
      <c r="V29" s="8" t="s">
        <v>42</v>
      </c>
      <c r="X29" s="8" t="s">
        <v>151</v>
      </c>
      <c r="Y29" s="8" t="s">
        <v>58</v>
      </c>
      <c r="Z29" s="8" t="s">
        <v>58</v>
      </c>
      <c r="AA29" s="8" t="s">
        <v>144</v>
      </c>
      <c r="AC29" s="8" t="s">
        <v>152</v>
      </c>
      <c r="AG29" s="8" t="s">
        <v>59</v>
      </c>
      <c r="AH29" s="8" t="s">
        <v>145</v>
      </c>
      <c r="AJ29" s="8" t="s">
        <v>146</v>
      </c>
      <c r="AK29" s="8" t="s">
        <v>153</v>
      </c>
      <c r="AL29" s="8" t="s">
        <v>43</v>
      </c>
      <c r="AM29" s="8" t="s">
        <v>43</v>
      </c>
    </row>
    <row r="30" spans="1:39" ht="16" customHeight="1" x14ac:dyDescent="0.2">
      <c r="A30" s="2" t="s">
        <v>154</v>
      </c>
      <c r="D30" s="2" t="s">
        <v>75</v>
      </c>
      <c r="E30" t="str">
        <f t="shared" si="0"/>
        <v>0</v>
      </c>
      <c r="F30" t="str">
        <f t="shared" si="1"/>
        <v>Bush_Allman_2003</v>
      </c>
      <c r="G30" t="str">
        <f t="shared" si="2"/>
        <v>Bush</v>
      </c>
      <c r="H30" t="str">
        <f t="shared" si="3"/>
        <v>Allman</v>
      </c>
      <c r="I30" t="str">
        <f t="shared" si="4"/>
        <v>2003</v>
      </c>
      <c r="J30" t="str">
        <f t="shared" si="5"/>
        <v>10.1159%2F000068880</v>
      </c>
      <c r="K30" t="str">
        <f t="shared" si="6"/>
        <v>Bush_Allman_2003_Table1</v>
      </c>
      <c r="L30" t="str">
        <f t="shared" si="7"/>
        <v>10.1159%2F000068880_Table1</v>
      </c>
      <c r="M30" t="str">
        <f t="array" ref="M30">IFERROR(INDEX(FileList!$A$1:$A$100,MATCH(TRUE,EXACT(L30,_xlfn.TEXTBEFORE(FileList!$A$1:$A$100,".tsv")),0)),"notfound")</f>
        <v>10.1159%2F000068880_Table1.tsv</v>
      </c>
      <c r="N30" s="8" t="s">
        <v>155</v>
      </c>
      <c r="P30" s="8" t="s">
        <v>156</v>
      </c>
      <c r="Y30" s="8" t="s">
        <v>157</v>
      </c>
      <c r="Z30" s="8" t="s">
        <v>158</v>
      </c>
    </row>
    <row r="31" spans="1:39" ht="16" customHeight="1" x14ac:dyDescent="0.2">
      <c r="A31" s="2" t="s">
        <v>159</v>
      </c>
      <c r="B31" s="2" t="s">
        <v>160</v>
      </c>
      <c r="D31" s="2" t="s">
        <v>119</v>
      </c>
      <c r="E31" t="str">
        <f t="shared" si="0"/>
        <v>1</v>
      </c>
      <c r="F31" t="str">
        <f t="shared" si="1"/>
        <v>Bush_Allman_2004_a</v>
      </c>
      <c r="G31" t="str">
        <f t="shared" si="2"/>
        <v>Bush</v>
      </c>
      <c r="H31" t="str">
        <f t="shared" si="3"/>
        <v>Allman</v>
      </c>
      <c r="I31" t="str">
        <f t="shared" si="4"/>
        <v>2004</v>
      </c>
      <c r="J31" t="str">
        <f t="shared" si="5"/>
        <v>10.1073%2Fpnas.0305760101</v>
      </c>
      <c r="K31" t="str">
        <f t="shared" si="6"/>
        <v>Bush_Allman_2004_a_Table2</v>
      </c>
      <c r="L31" t="str">
        <f t="shared" si="7"/>
        <v>10.1073%2Fpnas.0305760101_Table2</v>
      </c>
      <c r="M31" t="str">
        <f t="array" ref="M31">IFERROR(INDEX(FileList!$A$1:$A$100,MATCH(TRUE,EXACT(L31,_xlfn.TEXTBEFORE(FileList!$A$1:$A$100,".tsv")),0)),"notfound")</f>
        <v>10.1073%2Fpnas.0305760101_Table2.tsv</v>
      </c>
      <c r="N31" s="8" t="s">
        <v>161</v>
      </c>
      <c r="P31" s="8" t="s">
        <v>162</v>
      </c>
      <c r="R31" s="8" t="s">
        <v>163</v>
      </c>
      <c r="S31" s="8" t="s">
        <v>53</v>
      </c>
      <c r="T31" s="8" t="s">
        <v>164</v>
      </c>
      <c r="U31" s="8" t="s">
        <v>55</v>
      </c>
      <c r="V31" s="8" t="s">
        <v>42</v>
      </c>
      <c r="Y31" s="8" t="s">
        <v>157</v>
      </c>
      <c r="Z31" s="8" t="s">
        <v>158</v>
      </c>
      <c r="AF31" s="8" t="s">
        <v>78</v>
      </c>
      <c r="AG31" s="8" t="s">
        <v>112</v>
      </c>
      <c r="AH31" s="8" t="s">
        <v>165</v>
      </c>
      <c r="AI31" s="8" t="s">
        <v>166</v>
      </c>
      <c r="AK31" s="8" t="s">
        <v>63</v>
      </c>
    </row>
    <row r="32" spans="1:39" ht="16" customHeight="1" x14ac:dyDescent="0.2">
      <c r="A32" s="2" t="s">
        <v>167</v>
      </c>
      <c r="B32" s="2" t="s">
        <v>168</v>
      </c>
      <c r="D32" s="2" t="s">
        <v>49</v>
      </c>
      <c r="E32" t="str">
        <f t="shared" si="0"/>
        <v>4</v>
      </c>
      <c r="F32" t="str">
        <f t="shared" si="1"/>
        <v>Bush_Allman_2004_b</v>
      </c>
      <c r="G32" t="str">
        <f t="shared" si="2"/>
        <v>Bush</v>
      </c>
      <c r="H32" t="str">
        <f t="shared" si="3"/>
        <v>Allman</v>
      </c>
      <c r="I32" t="str">
        <f t="shared" si="4"/>
        <v>2004</v>
      </c>
      <c r="J32" t="str">
        <f t="shared" si="5"/>
        <v>10.1002%2Far.a.20114</v>
      </c>
      <c r="K32" t="str">
        <f t="shared" si="6"/>
        <v>Bush_Allman_2004_b_TABLE1</v>
      </c>
      <c r="L32" t="str">
        <f t="shared" si="7"/>
        <v>10.1002%2Far.a.20114_TABLE1</v>
      </c>
      <c r="M32" t="str">
        <f t="array" ref="M32">IFERROR(INDEX(FileList!$A$1:$A$100,MATCH(TRUE,EXACT(L32,_xlfn.TEXTBEFORE(FileList!$A$1:$A$100,".tsv")),0)),"notfound")</f>
        <v>10.1002%2Far.a.20114_TABLE1.tsv</v>
      </c>
      <c r="N32" s="8" t="s">
        <v>169</v>
      </c>
      <c r="P32" s="8" t="s">
        <v>162</v>
      </c>
      <c r="R32" s="8" t="s">
        <v>170</v>
      </c>
      <c r="S32" s="8" t="s">
        <v>53</v>
      </c>
      <c r="T32" s="8" t="s">
        <v>171</v>
      </c>
      <c r="U32" s="8" t="s">
        <v>55</v>
      </c>
      <c r="V32" s="8" t="s">
        <v>42</v>
      </c>
      <c r="Y32" s="8" t="s">
        <v>157</v>
      </c>
      <c r="Z32" s="8" t="s">
        <v>158</v>
      </c>
      <c r="AF32" s="8" t="s">
        <v>78</v>
      </c>
      <c r="AG32" s="8" t="s">
        <v>172</v>
      </c>
      <c r="AH32" s="8" t="s">
        <v>173</v>
      </c>
      <c r="AI32" s="8" t="s">
        <v>174</v>
      </c>
      <c r="AK32" s="8" t="s">
        <v>63</v>
      </c>
    </row>
    <row r="33" spans="1:39" ht="16" customHeight="1" x14ac:dyDescent="0.2">
      <c r="A33" s="2" t="s">
        <v>175</v>
      </c>
      <c r="D33" s="2" t="s">
        <v>176</v>
      </c>
      <c r="E33" t="str">
        <f t="shared" si="0"/>
        <v>5</v>
      </c>
      <c r="F33" t="str">
        <f t="shared" si="1"/>
        <v>Caspar_etal_2022</v>
      </c>
      <c r="G33" t="str">
        <f t="shared" si="2"/>
        <v>Caspar</v>
      </c>
      <c r="H33" t="str">
        <f t="shared" si="3"/>
        <v>etal</v>
      </c>
      <c r="I33" t="str">
        <f t="shared" si="4"/>
        <v>2022</v>
      </c>
      <c r="J33" t="str">
        <f t="shared" si="5"/>
        <v>10.7554%2FeLife.77875</v>
      </c>
      <c r="K33" t="str">
        <f t="shared" si="6"/>
        <v>Caspar_etal_2022_Supplementaryfile3</v>
      </c>
      <c r="L33" t="str">
        <f t="shared" si="7"/>
        <v>10.7554%2FeLife.77875_Supplementaryfile3</v>
      </c>
      <c r="M33" t="str">
        <f t="array" ref="M33">IFERROR(INDEX(FileList!$A$1:$A$100,MATCH(TRUE,EXACT(L33,_xlfn.TEXTBEFORE(FileList!$A$1:$A$100,".tsv")),0)),"notfound")</f>
        <v>notfound</v>
      </c>
      <c r="N33" s="8" t="s">
        <v>177</v>
      </c>
      <c r="P33" s="8" t="s">
        <v>41</v>
      </c>
      <c r="Q33" s="8" t="s">
        <v>51</v>
      </c>
      <c r="R33" s="8" t="s">
        <v>178</v>
      </c>
      <c r="S33" s="8" t="s">
        <v>130</v>
      </c>
      <c r="T33" s="8" t="str">
        <f>IF(S33="N", R33, "write file name")</f>
        <v>elife-77875-supp3-v1.xlsx</v>
      </c>
      <c r="U33" s="8" t="s">
        <v>179</v>
      </c>
      <c r="V33" s="8" t="s">
        <v>42</v>
      </c>
      <c r="W33" s="8" t="s">
        <v>180</v>
      </c>
      <c r="X33" s="8" t="s">
        <v>181</v>
      </c>
      <c r="AH33" s="8" t="s">
        <v>173</v>
      </c>
      <c r="AI33" s="8" t="s">
        <v>182</v>
      </c>
      <c r="AJ33" s="8" t="s">
        <v>118</v>
      </c>
      <c r="AK33" s="8" t="s">
        <v>137</v>
      </c>
      <c r="AL33" s="8" t="s">
        <v>137</v>
      </c>
      <c r="AM33" s="8" t="s">
        <v>183</v>
      </c>
    </row>
    <row r="34" spans="1:39" ht="16" customHeight="1" x14ac:dyDescent="0.2">
      <c r="A34" s="2" t="s">
        <v>175</v>
      </c>
      <c r="D34" s="2" t="s">
        <v>75</v>
      </c>
      <c r="E34" t="str">
        <f t="shared" si="0"/>
        <v>5</v>
      </c>
      <c r="F34" t="str">
        <f t="shared" si="1"/>
        <v>Caspar_etal_2022</v>
      </c>
      <c r="G34" t="str">
        <f t="shared" si="2"/>
        <v>Caspar</v>
      </c>
      <c r="H34" t="str">
        <f t="shared" si="3"/>
        <v>etal</v>
      </c>
      <c r="I34" t="str">
        <f t="shared" si="4"/>
        <v>2022</v>
      </c>
      <c r="J34" t="str">
        <f t="shared" si="5"/>
        <v>10.7554%2FeLife.77875</v>
      </c>
      <c r="K34" t="str">
        <f t="shared" si="6"/>
        <v>Caspar_etal_2022_Table1</v>
      </c>
      <c r="L34" t="str">
        <f t="shared" si="7"/>
        <v>10.7554%2FeLife.77875_Table1</v>
      </c>
      <c r="M34" t="str">
        <f t="array" ref="M34">IFERROR(INDEX(FileList!$A$1:$A$100,MATCH(TRUE,EXACT(L34,_xlfn.TEXTBEFORE(FileList!$A$1:$A$100,".tsv")),0)),"notfound")</f>
        <v>notfound</v>
      </c>
      <c r="N34" s="8" t="s">
        <v>184</v>
      </c>
      <c r="P34" s="8" t="s">
        <v>41</v>
      </c>
      <c r="Q34" s="8" t="s">
        <v>51</v>
      </c>
      <c r="R34" s="8" t="s">
        <v>185</v>
      </c>
      <c r="S34" s="8" t="s">
        <v>53</v>
      </c>
      <c r="T34" s="8" t="s">
        <v>186</v>
      </c>
      <c r="U34" s="8" t="s">
        <v>55</v>
      </c>
      <c r="V34" s="8" t="s">
        <v>42</v>
      </c>
      <c r="W34" s="8" t="s">
        <v>187</v>
      </c>
      <c r="X34" s="8" t="s">
        <v>188</v>
      </c>
      <c r="AB34" s="8" t="s">
        <v>189</v>
      </c>
      <c r="AH34" s="8" t="s">
        <v>173</v>
      </c>
      <c r="AI34" s="8" t="s">
        <v>190</v>
      </c>
      <c r="AJ34" s="8" t="s">
        <v>118</v>
      </c>
      <c r="AK34" s="8" t="s">
        <v>191</v>
      </c>
      <c r="AL34" s="8" t="s">
        <v>137</v>
      </c>
      <c r="AM34" s="8" t="s">
        <v>192</v>
      </c>
    </row>
    <row r="35" spans="1:39" ht="16" customHeight="1" x14ac:dyDescent="0.2">
      <c r="A35" s="2" t="s">
        <v>193</v>
      </c>
      <c r="D35" s="2" t="s">
        <v>194</v>
      </c>
      <c r="E35" t="str">
        <f t="shared" si="0"/>
        <v>1</v>
      </c>
      <c r="F35" t="str">
        <f t="shared" si="1"/>
        <v>Caves_etal_2018</v>
      </c>
      <c r="G35" t="str">
        <f t="shared" si="2"/>
        <v>Caves</v>
      </c>
      <c r="H35" t="str">
        <f t="shared" si="3"/>
        <v>etal</v>
      </c>
      <c r="I35" t="str">
        <f t="shared" si="4"/>
        <v>2018</v>
      </c>
      <c r="J35" t="str">
        <f t="shared" si="5"/>
        <v>10.1016%2Fj.tree.2018.03.001</v>
      </c>
      <c r="K35" t="str">
        <f t="shared" si="6"/>
        <v>Caves_etal_2018_TableS1</v>
      </c>
      <c r="L35" t="str">
        <f t="shared" si="7"/>
        <v>10.1016%2Fj.tree.2018.03.001_TableS1</v>
      </c>
      <c r="M35" t="str">
        <f t="array" ref="M35">IFERROR(INDEX(FileList!$A$1:$A$100,MATCH(TRUE,EXACT(L35,_xlfn.TEXTBEFORE(FileList!$A$1:$A$100,".tsv")),0)),"notfound")</f>
        <v>notfound</v>
      </c>
    </row>
    <row r="36" spans="1:39" ht="16" customHeight="1" x14ac:dyDescent="0.2">
      <c r="A36" s="2" t="s">
        <v>195</v>
      </c>
      <c r="D36" s="2" t="s">
        <v>196</v>
      </c>
      <c r="E36" t="str">
        <f t="shared" ref="E36:E67" si="14">RIGHT(A36,1)</f>
        <v>5</v>
      </c>
      <c r="F36" t="str">
        <f t="shared" ref="F36:F67" si="15">G36 &amp; IF(H36&lt;&gt;"", "_" &amp; H36, "_") &amp; IF(I36&lt;&gt;"", "_" &amp; I36, "_") &amp; IF(B36&lt;&gt;"", "_" &amp; B36, "")</f>
        <v>Changizi__2001</v>
      </c>
      <c r="G36" t="str">
        <f t="shared" ref="G36:G67" si="16">SUBSTITUTE(SUBSTITUTE(_xlfn.TEXTBEFORE(A36,","), "-", ""), " ", "")</f>
        <v>Changizi</v>
      </c>
      <c r="H36" t="str">
        <f t="shared" ref="H36:H67" si="17">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
      </c>
      <c r="I36" t="str">
        <f t="shared" ref="I36:I67" si="18">_xlfn.TEXTBEFORE(_xlfn.TEXTAFTER(A36, "("), ")")</f>
        <v>2001</v>
      </c>
      <c r="J36" t="str">
        <f t="shared" ref="J36:J67" si="19">_xlfn.LET(
_xlpm.doi,IF(C36&lt;&gt;"",C36,_xlfn.TEXTAFTER(A36,"https://doi.org/")),
SUBSTITUTE(
SUBSTITUTE(
SUBSTITUTE(
SUBSTITUTE(
_xlpm.doi,
"/","%2F"),
":","%3A"),
"&lt;","%3C"),
"&gt;","%3E")
)</f>
        <v>10.1007%2Fs004220000205</v>
      </c>
      <c r="K36" t="str">
        <f t="shared" si="6"/>
        <v>Changizi__2001_Figure3</v>
      </c>
      <c r="L36" t="str">
        <f t="shared" ref="L36:L67" si="20">J36 &amp; "_" &amp; SUBSTITUTE(SUBSTITUTE(SUBSTITUTE(D36,CHAR(160),"")," ",""),"_","")</f>
        <v>10.1007%2Fs004220000205_Figure3</v>
      </c>
      <c r="M36" t="str">
        <f t="array" ref="M36">IFERROR(INDEX(FileList!$A$1:$A$100,MATCH(TRUE,EXACT(L36,_xlfn.TEXTBEFORE(FileList!$A$1:$A$100,".tsv")),0)),"notfound")</f>
        <v>10.1007%2Fs004220000205_Figure3.tsv</v>
      </c>
      <c r="P36" s="8" t="s">
        <v>197</v>
      </c>
      <c r="Q36" s="8" t="s">
        <v>198</v>
      </c>
      <c r="R36" s="8" t="s">
        <v>199</v>
      </c>
      <c r="S36" s="8" t="s">
        <v>53</v>
      </c>
      <c r="T36" s="8" t="s">
        <v>200</v>
      </c>
      <c r="U36" s="8" t="s">
        <v>55</v>
      </c>
      <c r="V36" s="8" t="s">
        <v>201</v>
      </c>
      <c r="W36" s="8" t="s">
        <v>202</v>
      </c>
      <c r="AB36" s="8" t="s">
        <v>203</v>
      </c>
      <c r="AI36" s="8" t="s">
        <v>204</v>
      </c>
      <c r="AJ36" s="8" t="s">
        <v>136</v>
      </c>
      <c r="AK36" s="8" t="s">
        <v>205</v>
      </c>
      <c r="AL36" s="8" t="s">
        <v>137</v>
      </c>
      <c r="AM36" s="8" t="s">
        <v>206</v>
      </c>
    </row>
    <row r="37" spans="1:39" ht="16" customHeight="1" x14ac:dyDescent="0.2">
      <c r="A37" s="2" t="s">
        <v>207</v>
      </c>
      <c r="D37" s="2" t="s">
        <v>208</v>
      </c>
      <c r="E37" t="str">
        <f t="shared" si="14"/>
        <v>3</v>
      </c>
      <c r="F37" t="str">
        <f t="shared" si="15"/>
        <v>Chen_Wiens_2020</v>
      </c>
      <c r="G37" t="str">
        <f t="shared" si="16"/>
        <v>Chen</v>
      </c>
      <c r="H37" t="str">
        <f t="shared" si="17"/>
        <v>Wiens</v>
      </c>
      <c r="I37" t="str">
        <f t="shared" si="18"/>
        <v>2020</v>
      </c>
      <c r="J37" t="str">
        <f t="shared" si="19"/>
        <v>10.1038%2Fs41467-020-14356-3</v>
      </c>
      <c r="K37" t="str">
        <f t="shared" si="6"/>
        <v>Chen_Wiens_2020_SupplementaryData3</v>
      </c>
      <c r="L37" t="str">
        <f t="shared" si="20"/>
        <v>10.1038%2Fs41467-020-14356-3_SupplementaryData3</v>
      </c>
      <c r="M37" t="str">
        <f t="array" ref="M37">IFERROR(INDEX(FileList!$A$1:$A$100,MATCH(TRUE,EXACT(L37,_xlfn.TEXTBEFORE(FileList!$A$1:$A$100,".tsv")),0)),"notfound")</f>
        <v>10.1038%2Fs41467-020-14356-3_SupplementaryData3.tsv</v>
      </c>
      <c r="P37" s="8" t="s">
        <v>41</v>
      </c>
      <c r="Q37" s="8" t="s">
        <v>51</v>
      </c>
      <c r="R37" s="8" t="s">
        <v>209</v>
      </c>
      <c r="S37" s="8" t="s">
        <v>130</v>
      </c>
      <c r="T37" s="8" t="str">
        <f>IF(S37="N", R37, "write file name")</f>
        <v>41467_2020_14356_MOESM6_ESM.xlsx</v>
      </c>
      <c r="U37" s="8" t="s">
        <v>179</v>
      </c>
      <c r="V37" s="8" t="s">
        <v>42</v>
      </c>
      <c r="W37" s="8" t="s">
        <v>180</v>
      </c>
      <c r="X37" s="8" t="s">
        <v>210</v>
      </c>
      <c r="AA37" s="8" t="s">
        <v>211</v>
      </c>
      <c r="AB37" s="8" t="s">
        <v>212</v>
      </c>
      <c r="AH37" s="8" t="s">
        <v>213</v>
      </c>
      <c r="AI37" s="8" t="s">
        <v>214</v>
      </c>
      <c r="AJ37" s="8" t="s">
        <v>215</v>
      </c>
      <c r="AK37" s="8" t="s">
        <v>137</v>
      </c>
      <c r="AL37" s="8" t="s">
        <v>137</v>
      </c>
      <c r="AM37" s="8" t="s">
        <v>216</v>
      </c>
    </row>
    <row r="38" spans="1:39" ht="16" customHeight="1" x14ac:dyDescent="0.2">
      <c r="A38" s="2" t="s">
        <v>217</v>
      </c>
      <c r="D38" s="2" t="s">
        <v>218</v>
      </c>
      <c r="E38" t="str">
        <f t="shared" si="14"/>
        <v>7</v>
      </c>
      <c r="F38" t="str">
        <f t="shared" si="15"/>
        <v>Collins_etal_2010</v>
      </c>
      <c r="G38" t="str">
        <f t="shared" si="16"/>
        <v>Collins</v>
      </c>
      <c r="H38" t="str">
        <f t="shared" si="17"/>
        <v>etal</v>
      </c>
      <c r="I38" t="str">
        <f t="shared" si="18"/>
        <v>2010</v>
      </c>
      <c r="J38" t="str">
        <f t="shared" si="19"/>
        <v>10.1073%2Fpnas.1010356107</v>
      </c>
      <c r="K38" t="str">
        <f t="shared" si="6"/>
        <v>Collins_etal_2010_DatasetS1</v>
      </c>
      <c r="L38" t="str">
        <f t="shared" si="20"/>
        <v>10.1073%2Fpnas.1010356107_DatasetS1</v>
      </c>
      <c r="M38" t="str">
        <f t="array" ref="M38">IFERROR(INDEX(FileList!$A$1:$A$100,MATCH(TRUE,EXACT(L38,_xlfn.TEXTBEFORE(FileList!$A$1:$A$100,".tsv")),0)),"notfound")</f>
        <v>notfound</v>
      </c>
      <c r="Y38" s="8" t="s">
        <v>219</v>
      </c>
      <c r="AI38" s="8" t="s">
        <v>220</v>
      </c>
      <c r="AJ38" s="8" t="s">
        <v>118</v>
      </c>
      <c r="AK38" s="8" t="s">
        <v>63</v>
      </c>
      <c r="AL38" s="8" t="s">
        <v>63</v>
      </c>
      <c r="AM38" s="8" t="s">
        <v>123</v>
      </c>
    </row>
    <row r="39" spans="1:39" ht="16" customHeight="1" x14ac:dyDescent="0.2">
      <c r="A39" s="2" t="s">
        <v>221</v>
      </c>
      <c r="D39" s="2" t="s">
        <v>75</v>
      </c>
      <c r="E39" t="str">
        <f t="shared" si="14"/>
        <v>3</v>
      </c>
      <c r="F39" t="str">
        <f t="shared" si="15"/>
        <v>Collins_etal_2016</v>
      </c>
      <c r="G39" t="str">
        <f t="shared" si="16"/>
        <v>Collins</v>
      </c>
      <c r="H39" t="str">
        <f t="shared" si="17"/>
        <v>etal</v>
      </c>
      <c r="I39" t="str">
        <f t="shared" si="18"/>
        <v>2016</v>
      </c>
      <c r="J39" t="str">
        <f t="shared" si="19"/>
        <v>10.1073%2Fpnas.1524208113</v>
      </c>
      <c r="K39" t="str">
        <f t="shared" si="6"/>
        <v>Collins_etal_2016_Table1</v>
      </c>
      <c r="L39" t="str">
        <f t="shared" si="20"/>
        <v>10.1073%2Fpnas.1524208113_Table1</v>
      </c>
      <c r="M39" t="str">
        <f t="array" ref="M39">IFERROR(INDEX(FileList!$A$1:$A$100,MATCH(TRUE,EXACT(L39,_xlfn.TEXTBEFORE(FileList!$A$1:$A$100,".tsv")),0)),"notfound")</f>
        <v>notfound</v>
      </c>
      <c r="N39" s="8" t="s">
        <v>222</v>
      </c>
      <c r="V39" s="8" t="s">
        <v>42</v>
      </c>
      <c r="Y39" s="8" t="s">
        <v>219</v>
      </c>
      <c r="Z39" s="8" t="s">
        <v>58</v>
      </c>
      <c r="AG39" s="8" t="s">
        <v>59</v>
      </c>
      <c r="AI39" s="8" t="s">
        <v>223</v>
      </c>
      <c r="AJ39" s="8" t="s">
        <v>118</v>
      </c>
      <c r="AK39" s="8" t="s">
        <v>63</v>
      </c>
      <c r="AL39" s="8" t="s">
        <v>63</v>
      </c>
      <c r="AM39" s="8" t="s">
        <v>224</v>
      </c>
    </row>
    <row r="40" spans="1:39" ht="16" customHeight="1" x14ac:dyDescent="0.2">
      <c r="A40" s="2" t="s">
        <v>225</v>
      </c>
      <c r="D40" s="2" t="s">
        <v>75</v>
      </c>
      <c r="E40" t="str">
        <f t="shared" si="14"/>
        <v>5</v>
      </c>
      <c r="F40" t="str">
        <f t="shared" si="15"/>
        <v>deSousa_etal_2013</v>
      </c>
      <c r="G40" t="str">
        <f t="shared" si="16"/>
        <v>deSousa</v>
      </c>
      <c r="H40" t="str">
        <f t="shared" si="17"/>
        <v>etal</v>
      </c>
      <c r="I40" t="str">
        <f t="shared" si="18"/>
        <v>2013</v>
      </c>
      <c r="J40" t="str">
        <f t="shared" si="19"/>
        <v>10.1159%2F000346495</v>
      </c>
      <c r="K40" t="str">
        <f t="shared" si="6"/>
        <v>deSousa_etal_2013_Table1</v>
      </c>
      <c r="L40" t="str">
        <f t="shared" si="20"/>
        <v>10.1159%2F000346495_Table1</v>
      </c>
      <c r="M40" t="str">
        <f t="array" ref="M40">IFERROR(INDEX(FileList!$A$1:$A$100,MATCH(TRUE,EXACT(L40,_xlfn.TEXTBEFORE(FileList!$A$1:$A$100,".tsv")),0)),"notfound")</f>
        <v>10.1159%2F000346495_Table1.tsv</v>
      </c>
      <c r="N40" s="8" t="s">
        <v>226</v>
      </c>
      <c r="P40" s="8" t="s">
        <v>162</v>
      </c>
      <c r="R40" s="8" t="s">
        <v>227</v>
      </c>
      <c r="S40" s="8" t="s">
        <v>53</v>
      </c>
      <c r="T40" s="8" t="s">
        <v>228</v>
      </c>
      <c r="U40" s="8" t="s">
        <v>55</v>
      </c>
      <c r="V40" s="8" t="s">
        <v>42</v>
      </c>
      <c r="Y40" s="8" t="s">
        <v>229</v>
      </c>
      <c r="Z40" s="8" t="s">
        <v>230</v>
      </c>
      <c r="AF40" s="8" t="s">
        <v>78</v>
      </c>
      <c r="AG40" s="8" t="s">
        <v>112</v>
      </c>
      <c r="AH40" s="8" t="s">
        <v>231</v>
      </c>
      <c r="AI40" s="8" t="s">
        <v>232</v>
      </c>
      <c r="AJ40" s="8" t="s">
        <v>233</v>
      </c>
      <c r="AK40" s="8" t="s">
        <v>63</v>
      </c>
      <c r="AL40" s="8" t="s">
        <v>63</v>
      </c>
      <c r="AM40" s="8" t="s">
        <v>84</v>
      </c>
    </row>
    <row r="41" spans="1:39" ht="16" customHeight="1" x14ac:dyDescent="0.2">
      <c r="A41" s="2" t="s">
        <v>234</v>
      </c>
      <c r="D41" s="2" t="s">
        <v>235</v>
      </c>
      <c r="E41" t="str">
        <f t="shared" si="14"/>
        <v>1</v>
      </c>
      <c r="F41" t="str">
        <f t="shared" si="15"/>
        <v>deSousa_etal_2010</v>
      </c>
      <c r="G41" t="str">
        <f t="shared" si="16"/>
        <v>deSousa</v>
      </c>
      <c r="H41" t="str">
        <f t="shared" si="17"/>
        <v>etal</v>
      </c>
      <c r="I41" t="str">
        <f t="shared" si="18"/>
        <v>2010</v>
      </c>
      <c r="J41" t="str">
        <f t="shared" si="19"/>
        <v>10.1016%2Fj.jhevol.2009.11.011</v>
      </c>
      <c r="K41" t="str">
        <f t="shared" si="6"/>
        <v>deSousa_etal_2010_SupTable2</v>
      </c>
      <c r="L41" t="str">
        <f t="shared" si="20"/>
        <v>10.1016%2Fj.jhevol.2009.11.011_SupTable2</v>
      </c>
      <c r="M41" t="str">
        <f t="array" ref="M41">IFERROR(INDEX(FileList!$A$1:$A$100,MATCH(TRUE,EXACT(L41,_xlfn.TEXTBEFORE(FileList!$A$1:$A$100,".tsv")),0)),"notfound")</f>
        <v>10.1016%2Fj.jhevol.2009.11.011_SupTable2.tsv</v>
      </c>
      <c r="N41" s="8" t="s">
        <v>236</v>
      </c>
      <c r="O41" s="8" t="s">
        <v>237</v>
      </c>
      <c r="P41" s="8" t="s">
        <v>41</v>
      </c>
      <c r="R41" s="8" t="s">
        <v>238</v>
      </c>
      <c r="S41" s="8" t="s">
        <v>53</v>
      </c>
      <c r="T41" s="8" t="s">
        <v>239</v>
      </c>
      <c r="V41" s="8" t="s">
        <v>240</v>
      </c>
      <c r="X41" s="8" t="s">
        <v>241</v>
      </c>
      <c r="Y41" s="8" t="s">
        <v>242</v>
      </c>
      <c r="Z41" s="8" t="s">
        <v>230</v>
      </c>
      <c r="AB41" s="8" t="s">
        <v>243</v>
      </c>
      <c r="AC41" s="8" t="s">
        <v>244</v>
      </c>
      <c r="AD41" s="8" t="s">
        <v>245</v>
      </c>
      <c r="AF41" s="8" t="s">
        <v>78</v>
      </c>
      <c r="AG41" s="8" t="s">
        <v>112</v>
      </c>
      <c r="AH41" s="8" t="s">
        <v>246</v>
      </c>
      <c r="AI41" s="8" t="s">
        <v>247</v>
      </c>
      <c r="AJ41" s="8" t="s">
        <v>233</v>
      </c>
      <c r="AK41" s="8" t="s">
        <v>63</v>
      </c>
      <c r="AL41" s="8" t="s">
        <v>63</v>
      </c>
      <c r="AM41" s="8" t="s">
        <v>84</v>
      </c>
    </row>
    <row r="42" spans="1:39" ht="16" customHeight="1" x14ac:dyDescent="0.2">
      <c r="A42" s="2" t="s">
        <v>234</v>
      </c>
      <c r="D42" s="2" t="s">
        <v>75</v>
      </c>
      <c r="E42" t="str">
        <f t="shared" si="14"/>
        <v>1</v>
      </c>
      <c r="F42" t="str">
        <f t="shared" si="15"/>
        <v>deSousa_etal_2010</v>
      </c>
      <c r="G42" t="str">
        <f t="shared" si="16"/>
        <v>deSousa</v>
      </c>
      <c r="H42" t="str">
        <f t="shared" si="17"/>
        <v>etal</v>
      </c>
      <c r="I42" t="str">
        <f t="shared" si="18"/>
        <v>2010</v>
      </c>
      <c r="J42" t="str">
        <f t="shared" si="19"/>
        <v>10.1016%2Fj.jhevol.2009.11.011</v>
      </c>
      <c r="K42" t="str">
        <f t="shared" si="6"/>
        <v>deSousa_etal_2010_Table1</v>
      </c>
      <c r="L42" t="str">
        <f t="shared" si="20"/>
        <v>10.1016%2Fj.jhevol.2009.11.011_Table1</v>
      </c>
      <c r="M42" t="str">
        <f t="array" ref="M42">IFERROR(INDEX(FileList!$A$1:$A$100,MATCH(TRUE,EXACT(L42,_xlfn.TEXTBEFORE(FileList!$A$1:$A$100,".tsv")),0)),"notfound")</f>
        <v>10.1016%2Fj.jhevol.2009.11.011_Table1.tsv</v>
      </c>
      <c r="N42" s="8" t="s">
        <v>248</v>
      </c>
      <c r="V42" s="8" t="s">
        <v>42</v>
      </c>
      <c r="Y42" s="8" t="s">
        <v>229</v>
      </c>
      <c r="Z42" s="8" t="s">
        <v>230</v>
      </c>
      <c r="AF42" s="8" t="s">
        <v>249</v>
      </c>
      <c r="AG42" s="8" t="s">
        <v>112</v>
      </c>
      <c r="AI42" s="8" t="s">
        <v>250</v>
      </c>
      <c r="AJ42" s="8" t="s">
        <v>233</v>
      </c>
      <c r="AK42" s="8" t="s">
        <v>63</v>
      </c>
      <c r="AL42" s="8" t="s">
        <v>63</v>
      </c>
      <c r="AM42" s="8" t="s">
        <v>84</v>
      </c>
    </row>
    <row r="43" spans="1:39" ht="16" customHeight="1" x14ac:dyDescent="0.2">
      <c r="A43" s="2" t="s">
        <v>251</v>
      </c>
      <c r="D43" s="2" t="s">
        <v>252</v>
      </c>
      <c r="E43" t="str">
        <f t="shared" si="14"/>
        <v>0</v>
      </c>
      <c r="F43" t="str">
        <f t="shared" si="15"/>
        <v>DeCasien_Higham_2019</v>
      </c>
      <c r="G43" t="str">
        <f t="shared" si="16"/>
        <v>DeCasien</v>
      </c>
      <c r="H43" t="str">
        <f t="shared" si="17"/>
        <v>Higham</v>
      </c>
      <c r="I43" t="str">
        <f t="shared" si="18"/>
        <v>2019</v>
      </c>
      <c r="J43" t="str">
        <f t="shared" si="19"/>
        <v>10.1038%2Fs41559-019-0969-0</v>
      </c>
      <c r="K43" t="str">
        <f>TRIM(_xlfn.TEXTJOIN("_",FALSE,F43,(SUBSTITUTE(SUBSTITUTE(D44," ",""), "_", ""))))</f>
        <v>DeCasien_Higham_2019_SupplementaryData1-BrainRegion</v>
      </c>
      <c r="L43" t="str">
        <f t="shared" si="20"/>
        <v>10.1038%2Fs41559-019-0969-0_SupplementaryData1-ActivityPeriod</v>
      </c>
      <c r="M43" t="str">
        <f t="array" ref="M43">IFERROR(INDEX(FileList!$A$1:$A$100,MATCH(TRUE,EXACT(L43,_xlfn.TEXTBEFORE(FileList!$A$1:$A$100,".tsv")),0)),"notfound")</f>
        <v>notfound</v>
      </c>
      <c r="N43" s="8" t="s">
        <v>253</v>
      </c>
      <c r="U43" s="8" t="s">
        <v>179</v>
      </c>
      <c r="V43" s="8" t="s">
        <v>254</v>
      </c>
      <c r="W43" s="8" t="s">
        <v>180</v>
      </c>
      <c r="X43" s="8" t="s">
        <v>255</v>
      </c>
      <c r="AF43" s="8" t="s">
        <v>78</v>
      </c>
      <c r="AH43" s="8" t="s">
        <v>173</v>
      </c>
      <c r="AI43" s="8" t="s">
        <v>256</v>
      </c>
      <c r="AJ43" s="8" t="s">
        <v>118</v>
      </c>
      <c r="AK43" s="8" t="s">
        <v>137</v>
      </c>
      <c r="AL43" s="8" t="s">
        <v>137</v>
      </c>
      <c r="AM43" s="8" t="s">
        <v>257</v>
      </c>
    </row>
    <row r="44" spans="1:39" ht="16" customHeight="1" x14ac:dyDescent="0.2">
      <c r="A44" s="2" t="s">
        <v>251</v>
      </c>
      <c r="D44" s="2" t="s">
        <v>258</v>
      </c>
      <c r="E44" t="str">
        <f t="shared" si="14"/>
        <v>0</v>
      </c>
      <c r="F44" t="str">
        <f t="shared" si="15"/>
        <v>DeCasien_Higham_2019</v>
      </c>
      <c r="G44" t="str">
        <f t="shared" si="16"/>
        <v>DeCasien</v>
      </c>
      <c r="H44" t="str">
        <f t="shared" si="17"/>
        <v>Higham</v>
      </c>
      <c r="I44" t="str">
        <f t="shared" si="18"/>
        <v>2019</v>
      </c>
      <c r="J44" t="str">
        <f t="shared" si="19"/>
        <v>10.1038%2Fs41559-019-0969-0</v>
      </c>
      <c r="K44" t="str">
        <f>TRIM(_xlfn.TEXTJOIN("_",FALSE,F44,(SUBSTITUTE(SUBSTITUTE(D44," ",""), "_", ""))))</f>
        <v>DeCasien_Higham_2019_SupplementaryData1-BrainRegion</v>
      </c>
      <c r="L44" t="str">
        <f t="shared" si="20"/>
        <v>10.1038%2Fs41559-019-0969-0_SupplementaryData1-BrainRegion</v>
      </c>
      <c r="M44" t="str">
        <f t="array" ref="M44">IFERROR(INDEX(FileList!$A$1:$A$100,MATCH(TRUE,EXACT(L44,_xlfn.TEXTBEFORE(FileList!$A$1:$A$100,".tsv")),0)),"notfound")</f>
        <v>notfound</v>
      </c>
      <c r="N44" s="8" t="s">
        <v>253</v>
      </c>
      <c r="U44" s="8" t="s">
        <v>179</v>
      </c>
      <c r="V44" s="8" t="s">
        <v>254</v>
      </c>
      <c r="W44" s="8" t="s">
        <v>180</v>
      </c>
      <c r="X44" s="8" t="s">
        <v>255</v>
      </c>
      <c r="AB44" s="8" t="s">
        <v>259</v>
      </c>
      <c r="AF44" s="8" t="s">
        <v>78</v>
      </c>
      <c r="AH44" s="8" t="s">
        <v>173</v>
      </c>
      <c r="AI44" s="8" t="s">
        <v>260</v>
      </c>
      <c r="AJ44" s="8" t="s">
        <v>118</v>
      </c>
      <c r="AK44" s="8" t="s">
        <v>137</v>
      </c>
      <c r="AL44" s="8" t="s">
        <v>137</v>
      </c>
      <c r="AM44" s="8" t="s">
        <v>84</v>
      </c>
    </row>
    <row r="45" spans="1:39" ht="15" customHeight="1" x14ac:dyDescent="0.2">
      <c r="A45" s="2" t="s">
        <v>251</v>
      </c>
      <c r="D45" s="2" t="s">
        <v>261</v>
      </c>
      <c r="E45" t="str">
        <f t="shared" si="14"/>
        <v>0</v>
      </c>
      <c r="F45" t="str">
        <f t="shared" si="15"/>
        <v>DeCasien_Higham_2019</v>
      </c>
      <c r="G45" t="str">
        <f t="shared" si="16"/>
        <v>DeCasien</v>
      </c>
      <c r="H45" t="str">
        <f t="shared" si="17"/>
        <v>Higham</v>
      </c>
      <c r="I45" t="str">
        <f t="shared" si="18"/>
        <v>2019</v>
      </c>
      <c r="J45" t="str">
        <f t="shared" si="19"/>
        <v>10.1038%2Fs41559-019-0969-0</v>
      </c>
      <c r="K45" t="str">
        <f>TRIM(_xlfn.TEXTJOIN("_",FALSE,F45,(SUBSTITUTE(SUBSTITUTE(D46," ",""), "_", ""))))</f>
        <v>DeCasien_Higham_2019_SupplementaryData1-SocialSystem</v>
      </c>
      <c r="L45" t="str">
        <f t="shared" si="20"/>
        <v>10.1038%2Fs41559-019-0969-0_SupplementaryData1-Diet</v>
      </c>
      <c r="M45" t="str">
        <f t="array" ref="M45">IFERROR(INDEX(FileList!$A$1:$A$100,MATCH(TRUE,EXACT(L45,_xlfn.TEXTBEFORE(FileList!$A$1:$A$100,".tsv")),0)),"notfound")</f>
        <v>notfound</v>
      </c>
      <c r="N45" s="8" t="s">
        <v>253</v>
      </c>
      <c r="U45" s="8" t="s">
        <v>179</v>
      </c>
      <c r="V45" s="8" t="s">
        <v>254</v>
      </c>
      <c r="W45" s="8" t="s">
        <v>180</v>
      </c>
      <c r="X45" s="8" t="s">
        <v>255</v>
      </c>
      <c r="AF45" s="8" t="s">
        <v>78</v>
      </c>
      <c r="AH45" s="8" t="s">
        <v>173</v>
      </c>
      <c r="AI45" s="8" t="s">
        <v>262</v>
      </c>
      <c r="AJ45" s="8" t="s">
        <v>118</v>
      </c>
      <c r="AK45" s="8" t="s">
        <v>137</v>
      </c>
      <c r="AL45" s="8" t="s">
        <v>137</v>
      </c>
      <c r="AM45" s="8" t="s">
        <v>263</v>
      </c>
    </row>
    <row r="46" spans="1:39" ht="16" customHeight="1" x14ac:dyDescent="0.2">
      <c r="A46" s="2" t="s">
        <v>251</v>
      </c>
      <c r="D46" s="2" t="s">
        <v>264</v>
      </c>
      <c r="E46" t="str">
        <f t="shared" si="14"/>
        <v>0</v>
      </c>
      <c r="F46" t="str">
        <f t="shared" si="15"/>
        <v>DeCasien_Higham_2019</v>
      </c>
      <c r="G46" t="str">
        <f t="shared" si="16"/>
        <v>DeCasien</v>
      </c>
      <c r="H46" t="str">
        <f t="shared" si="17"/>
        <v>Higham</v>
      </c>
      <c r="I46" t="str">
        <f t="shared" si="18"/>
        <v>2019</v>
      </c>
      <c r="J46" t="str">
        <f t="shared" si="19"/>
        <v>10.1038%2Fs41559-019-0969-0</v>
      </c>
      <c r="K46" t="str">
        <f t="shared" ref="K46:K77" si="21">TRIM(_xlfn.TEXTJOIN("_",FALSE,F46,(SUBSTITUTE(SUBSTITUTE(D46," ",""), "_", ""))))</f>
        <v>DeCasien_Higham_2019_SupplementaryData1-SocialSystem</v>
      </c>
      <c r="L46" t="str">
        <f t="shared" si="20"/>
        <v>10.1038%2Fs41559-019-0969-0_SupplementaryData1-SocialSystem</v>
      </c>
      <c r="M46" t="str">
        <f t="array" ref="M46">IFERROR(INDEX(FileList!$A$1:$A$100,MATCH(TRUE,EXACT(L46,_xlfn.TEXTBEFORE(FileList!$A$1:$A$100,".tsv")),0)),"notfound")</f>
        <v>notfound</v>
      </c>
      <c r="N46" s="8" t="s">
        <v>253</v>
      </c>
      <c r="U46" s="8" t="s">
        <v>179</v>
      </c>
      <c r="V46" s="8" t="s">
        <v>254</v>
      </c>
      <c r="W46" s="8" t="s">
        <v>180</v>
      </c>
      <c r="X46" s="8" t="s">
        <v>255</v>
      </c>
      <c r="AF46" s="8" t="s">
        <v>78</v>
      </c>
      <c r="AH46" s="8" t="s">
        <v>173</v>
      </c>
      <c r="AI46" s="8" t="s">
        <v>265</v>
      </c>
      <c r="AJ46" s="8" t="s">
        <v>118</v>
      </c>
      <c r="AK46" s="8" t="s">
        <v>137</v>
      </c>
      <c r="AL46" s="8" t="s">
        <v>137</v>
      </c>
      <c r="AM46" s="8" t="s">
        <v>266</v>
      </c>
    </row>
    <row r="47" spans="1:39" ht="16" customHeight="1" x14ac:dyDescent="0.2">
      <c r="A47" s="2" t="s">
        <v>267</v>
      </c>
      <c r="D47" s="2" t="s">
        <v>75</v>
      </c>
      <c r="E47" t="str">
        <f t="shared" si="14"/>
        <v>0</v>
      </c>
      <c r="F47" t="str">
        <f t="shared" si="15"/>
        <v>DosSantos_etal_2020</v>
      </c>
      <c r="G47" t="str">
        <f t="shared" si="16"/>
        <v>DosSantos</v>
      </c>
      <c r="H47" t="str">
        <f t="shared" si="17"/>
        <v>etal</v>
      </c>
      <c r="I47" t="str">
        <f t="shared" si="18"/>
        <v>2020</v>
      </c>
      <c r="J47" t="str">
        <f t="shared" si="19"/>
        <v>10.1523%2FJNEUROSCI.2339-19.2020</v>
      </c>
      <c r="K47" t="str">
        <f t="shared" si="21"/>
        <v>DosSantos_etal_2020_Table1</v>
      </c>
      <c r="L47" t="str">
        <f t="shared" si="20"/>
        <v>10.1523%2FJNEUROSCI.2339-19.2020_Table1</v>
      </c>
      <c r="M47" t="str">
        <f t="array" ref="M47">IFERROR(INDEX(FileList!$A$1:$A$100,MATCH(TRUE,EXACT(L47,_xlfn.TEXTBEFORE(FileList!$A$1:$A$100,".tsv")),0)),"notfound")</f>
        <v>notfound</v>
      </c>
      <c r="O47" s="8" t="s">
        <v>268</v>
      </c>
      <c r="P47" s="8" t="s">
        <v>41</v>
      </c>
      <c r="Q47" s="8" t="s">
        <v>51</v>
      </c>
      <c r="R47" s="8" t="s">
        <v>269</v>
      </c>
      <c r="S47" s="8" t="s">
        <v>53</v>
      </c>
      <c r="T47" s="8" t="s">
        <v>270</v>
      </c>
      <c r="U47" s="8" t="s">
        <v>271</v>
      </c>
      <c r="V47" s="8" t="s">
        <v>42</v>
      </c>
      <c r="Y47" s="8" t="s">
        <v>58</v>
      </c>
      <c r="Z47" s="8" t="s">
        <v>58</v>
      </c>
      <c r="AC47" s="8" t="s">
        <v>272</v>
      </c>
      <c r="AE47" s="8" t="s">
        <v>273</v>
      </c>
      <c r="AG47" s="8" t="s">
        <v>59</v>
      </c>
      <c r="AH47" s="8" t="s">
        <v>274</v>
      </c>
      <c r="AI47" s="8" t="s">
        <v>275</v>
      </c>
      <c r="AJ47" s="8" t="s">
        <v>136</v>
      </c>
      <c r="AK47" s="8" t="s">
        <v>276</v>
      </c>
      <c r="AL47" s="8" t="s">
        <v>63</v>
      </c>
      <c r="AM47" s="8" t="s">
        <v>277</v>
      </c>
    </row>
    <row r="48" spans="1:39" ht="16" customHeight="1" x14ac:dyDescent="0.2">
      <c r="A48" s="2" t="s">
        <v>267</v>
      </c>
      <c r="D48" s="2" t="s">
        <v>278</v>
      </c>
      <c r="E48" t="str">
        <f t="shared" si="14"/>
        <v>0</v>
      </c>
      <c r="F48" t="str">
        <f t="shared" si="15"/>
        <v>DosSantos_etal_2020</v>
      </c>
      <c r="G48" t="str">
        <f t="shared" si="16"/>
        <v>DosSantos</v>
      </c>
      <c r="H48" t="str">
        <f t="shared" si="17"/>
        <v>etal</v>
      </c>
      <c r="I48" t="str">
        <f t="shared" si="18"/>
        <v>2020</v>
      </c>
      <c r="J48" t="str">
        <f t="shared" si="19"/>
        <v>10.1523%2FJNEUROSCI.2339-19.2020</v>
      </c>
      <c r="K48" t="str">
        <f t="shared" si="21"/>
        <v>DosSantos_etal_2020_unpublished</v>
      </c>
      <c r="L48" t="str">
        <f t="shared" si="20"/>
        <v>10.1523%2FJNEUROSCI.2339-19.2020_unpublished</v>
      </c>
      <c r="M48" t="str">
        <f t="array" ref="M48">IFERROR(INDEX(FileList!$A$1:$A$100,MATCH(TRUE,EXACT(L48,_xlfn.TEXTBEFORE(FileList!$A$1:$A$100,".tsv")),0)),"notfound")</f>
        <v>notfound</v>
      </c>
      <c r="O48" s="8" t="s">
        <v>279</v>
      </c>
      <c r="P48" s="8" t="s">
        <v>41</v>
      </c>
      <c r="Q48" s="8" t="s">
        <v>51</v>
      </c>
      <c r="R48" s="8" t="s">
        <v>269</v>
      </c>
      <c r="S48" s="8" t="s">
        <v>53</v>
      </c>
      <c r="T48" s="8" t="s">
        <v>270</v>
      </c>
      <c r="U48" s="8" t="s">
        <v>271</v>
      </c>
      <c r="V48" s="8" t="s">
        <v>42</v>
      </c>
      <c r="X48" s="8" t="s">
        <v>280</v>
      </c>
      <c r="Y48" s="8" t="s">
        <v>58</v>
      </c>
      <c r="Z48" s="8" t="s">
        <v>58</v>
      </c>
      <c r="AC48" s="8" t="s">
        <v>281</v>
      </c>
      <c r="AG48" s="8" t="s">
        <v>59</v>
      </c>
      <c r="AH48" s="8" t="s">
        <v>274</v>
      </c>
      <c r="AI48" s="8" t="s">
        <v>275</v>
      </c>
      <c r="AJ48" s="8" t="s">
        <v>136</v>
      </c>
      <c r="AK48" s="8" t="s">
        <v>276</v>
      </c>
      <c r="AL48" s="8" t="s">
        <v>63</v>
      </c>
      <c r="AM48" s="8" t="s">
        <v>277</v>
      </c>
    </row>
    <row r="49" spans="1:39" ht="16" customHeight="1" x14ac:dyDescent="0.2">
      <c r="A49" s="2" t="s">
        <v>282</v>
      </c>
      <c r="D49" s="2" t="s">
        <v>194</v>
      </c>
      <c r="E49" t="str">
        <f t="shared" si="14"/>
        <v>6</v>
      </c>
      <c r="F49" t="str">
        <f t="shared" si="15"/>
        <v>DosSantos_etal_2017</v>
      </c>
      <c r="G49" t="str">
        <f t="shared" si="16"/>
        <v>DosSantos</v>
      </c>
      <c r="H49" t="str">
        <f t="shared" si="17"/>
        <v>etal</v>
      </c>
      <c r="I49" t="str">
        <f t="shared" si="18"/>
        <v>2017</v>
      </c>
      <c r="J49" t="str">
        <f t="shared" si="19"/>
        <v>10.1159%2F000452856</v>
      </c>
      <c r="K49" t="str">
        <f t="shared" si="21"/>
        <v>DosSantos_etal_2017_TableS1</v>
      </c>
      <c r="L49" t="str">
        <f t="shared" si="20"/>
        <v>10.1159%2F000452856_TableS1</v>
      </c>
      <c r="M49" t="str">
        <f t="array" ref="M49">IFERROR(INDEX(FileList!$A$1:$A$100,MATCH(TRUE,EXACT(L49,_xlfn.TEXTBEFORE(FileList!$A$1:$A$100,".tsv")),0)),"notfound")</f>
        <v>10.1159%2F000452856_TableS1.tsv</v>
      </c>
      <c r="O49" s="8" t="s">
        <v>283</v>
      </c>
      <c r="P49" s="8" t="s">
        <v>41</v>
      </c>
      <c r="Q49" s="8" t="s">
        <v>51</v>
      </c>
      <c r="R49" s="8" t="s">
        <v>284</v>
      </c>
      <c r="S49" s="8" t="s">
        <v>53</v>
      </c>
      <c r="T49" s="8" t="s">
        <v>285</v>
      </c>
      <c r="U49" s="8" t="s">
        <v>286</v>
      </c>
      <c r="V49" s="8" t="s">
        <v>287</v>
      </c>
      <c r="W49" s="8" t="s">
        <v>180</v>
      </c>
      <c r="X49" s="8" t="s">
        <v>288</v>
      </c>
      <c r="Y49" s="8" t="s">
        <v>58</v>
      </c>
      <c r="Z49" s="8" t="s">
        <v>58</v>
      </c>
      <c r="AC49" s="8" t="s">
        <v>289</v>
      </c>
      <c r="AG49" s="8" t="s">
        <v>59</v>
      </c>
      <c r="AH49" s="8" t="s">
        <v>290</v>
      </c>
      <c r="AI49" s="8" t="s">
        <v>275</v>
      </c>
      <c r="AJ49" s="8" t="s">
        <v>291</v>
      </c>
      <c r="AK49" s="8" t="s">
        <v>63</v>
      </c>
      <c r="AL49" s="8" t="s">
        <v>63</v>
      </c>
      <c r="AM49" s="8" t="s">
        <v>64</v>
      </c>
    </row>
    <row r="50" spans="1:39" ht="16" customHeight="1" x14ac:dyDescent="0.2">
      <c r="A50" s="2" t="s">
        <v>292</v>
      </c>
      <c r="D50" s="2" t="s">
        <v>49</v>
      </c>
      <c r="E50" t="str">
        <f t="shared" si="14"/>
        <v>3</v>
      </c>
      <c r="F50" t="str">
        <f t="shared" si="15"/>
        <v>Eagleman_Vaughn_2021</v>
      </c>
      <c r="G50" t="str">
        <f t="shared" si="16"/>
        <v>Eagleman</v>
      </c>
      <c r="H50" t="str">
        <f t="shared" si="17"/>
        <v>Vaughn</v>
      </c>
      <c r="I50" t="str">
        <f t="shared" si="18"/>
        <v>2021</v>
      </c>
      <c r="J50" t="str">
        <f t="shared" si="19"/>
        <v>10.3389%2Ffnins.2021.632853</v>
      </c>
      <c r="K50" t="str">
        <f t="shared" si="21"/>
        <v>Eagleman_Vaughn_2021_TABLE1</v>
      </c>
      <c r="L50" t="str">
        <f t="shared" si="20"/>
        <v>10.3389%2Ffnins.2021.632853_TABLE1</v>
      </c>
      <c r="M50" t="str">
        <f t="array" ref="M50">IFERROR(INDEX(FileList!$A$1:$A$100,MATCH(TRUE,EXACT(L50,_xlfn.TEXTBEFORE(FileList!$A$1:$A$100,".tsv")),0)),"notfound")</f>
        <v>notfound</v>
      </c>
      <c r="N50" s="8" t="s">
        <v>293</v>
      </c>
      <c r="U50" s="8" t="s">
        <v>55</v>
      </c>
      <c r="AI50" s="8" t="s">
        <v>294</v>
      </c>
      <c r="AJ50" s="8" t="s">
        <v>136</v>
      </c>
      <c r="AK50" s="8" t="s">
        <v>137</v>
      </c>
      <c r="AL50" s="8" t="s">
        <v>137</v>
      </c>
      <c r="AM50" s="8" t="s">
        <v>295</v>
      </c>
    </row>
    <row r="51" spans="1:39" ht="16" customHeight="1" x14ac:dyDescent="0.2">
      <c r="A51" s="2" t="s">
        <v>296</v>
      </c>
      <c r="D51" s="2" t="s">
        <v>49</v>
      </c>
      <c r="E51" t="str">
        <f t="shared" si="14"/>
        <v>5</v>
      </c>
      <c r="F51" t="str">
        <f t="shared" si="15"/>
        <v>Falcone_etal_2019</v>
      </c>
      <c r="G51" t="str">
        <f t="shared" si="16"/>
        <v>Falcone</v>
      </c>
      <c r="H51" t="str">
        <f t="shared" si="17"/>
        <v>etal</v>
      </c>
      <c r="I51" t="str">
        <f t="shared" si="18"/>
        <v>2019</v>
      </c>
      <c r="J51" t="str">
        <f t="shared" si="19"/>
        <v>10.1002%2Fcne.24605</v>
      </c>
      <c r="K51" t="str">
        <f t="shared" si="21"/>
        <v>Falcone_etal_2019_TABLE1</v>
      </c>
      <c r="L51" t="str">
        <f t="shared" si="20"/>
        <v>10.1002%2Fcne.24605_TABLE1</v>
      </c>
      <c r="M51" t="str">
        <f t="array" ref="M51">IFERROR(INDEX(FileList!$A$1:$A$100,MATCH(TRUE,EXACT(L51,_xlfn.TEXTBEFORE(FileList!$A$1:$A$100,".tsv")),0)),"notfound")</f>
        <v>10.1002%2Fcne.24605_TABLE1.tsv</v>
      </c>
      <c r="N51" s="8" t="s">
        <v>297</v>
      </c>
      <c r="U51" s="8" t="s">
        <v>55</v>
      </c>
      <c r="AI51" s="8" t="s">
        <v>298</v>
      </c>
      <c r="AJ51" s="8" t="s">
        <v>299</v>
      </c>
      <c r="AK51" s="8" t="s">
        <v>63</v>
      </c>
      <c r="AL51" s="8" t="s">
        <v>63</v>
      </c>
      <c r="AM51" s="8" t="s">
        <v>300</v>
      </c>
    </row>
    <row r="52" spans="1:39" ht="16" customHeight="1" x14ac:dyDescent="0.2">
      <c r="A52" s="2" t="s">
        <v>296</v>
      </c>
      <c r="D52" s="2" t="s">
        <v>92</v>
      </c>
      <c r="E52" t="str">
        <f t="shared" si="14"/>
        <v>5</v>
      </c>
      <c r="F52" t="str">
        <f t="shared" si="15"/>
        <v>Falcone_etal_2019</v>
      </c>
      <c r="G52" t="str">
        <f t="shared" si="16"/>
        <v>Falcone</v>
      </c>
      <c r="H52" t="str">
        <f t="shared" si="17"/>
        <v>etal</v>
      </c>
      <c r="I52" t="str">
        <f t="shared" si="18"/>
        <v>2019</v>
      </c>
      <c r="J52" t="str">
        <f t="shared" si="19"/>
        <v>10.1002%2Fcne.24605</v>
      </c>
      <c r="K52" t="str">
        <f t="shared" si="21"/>
        <v>Falcone_etal_2019_TABLE2</v>
      </c>
      <c r="L52" t="str">
        <f t="shared" si="20"/>
        <v>10.1002%2Fcne.24605_TABLE2</v>
      </c>
      <c r="M52" t="str">
        <f t="array" ref="M52">IFERROR(INDEX(FileList!$A$1:$A$100,MATCH(TRUE,EXACT(L52,_xlfn.TEXTBEFORE(FileList!$A$1:$A$100,".tsv")),0)),"notfound")</f>
        <v>10.1002%2Fcne.24605_TABLE2.tsv</v>
      </c>
      <c r="N52" s="8" t="s">
        <v>301</v>
      </c>
      <c r="U52" s="8" t="s">
        <v>55</v>
      </c>
      <c r="AI52" s="8" t="s">
        <v>298</v>
      </c>
      <c r="AJ52" s="8" t="s">
        <v>299</v>
      </c>
      <c r="AK52" s="8" t="s">
        <v>63</v>
      </c>
      <c r="AL52" s="8" t="s">
        <v>63</v>
      </c>
      <c r="AM52" s="8" t="s">
        <v>300</v>
      </c>
    </row>
    <row r="53" spans="1:39" ht="16" customHeight="1" x14ac:dyDescent="0.2">
      <c r="A53" s="2" t="s">
        <v>302</v>
      </c>
      <c r="D53" s="2" t="s">
        <v>303</v>
      </c>
      <c r="E53" t="str">
        <f t="shared" si="14"/>
        <v>6</v>
      </c>
      <c r="F53" t="str">
        <f t="shared" si="15"/>
        <v>Finlay_etal_2006</v>
      </c>
      <c r="G53" t="str">
        <f t="shared" si="16"/>
        <v>Finlay</v>
      </c>
      <c r="H53" t="str">
        <f t="shared" si="17"/>
        <v>etal</v>
      </c>
      <c r="I53" t="str">
        <f t="shared" si="18"/>
        <v>2006</v>
      </c>
      <c r="J53" t="str">
        <f t="shared" si="19"/>
        <v>10.1093%2Foso%2F9780198568742.003.0006</v>
      </c>
      <c r="K53" t="str">
        <f t="shared" si="21"/>
        <v>Finlay_etal_2006_Table6.1</v>
      </c>
      <c r="L53" t="str">
        <f t="shared" si="20"/>
        <v>10.1093%2Foso%2F9780198568742.003.0006_Table6.1</v>
      </c>
      <c r="M53" t="str">
        <f t="array" ref="M53">IFERROR(INDEX(FileList!$A$1:$A$100,MATCH(TRUE,EXACT(L53,_xlfn.TEXTBEFORE(FileList!$A$1:$A$100,".tsv")),0)),"notfound")</f>
        <v>10.1093%2Foso%2F9780198568742.003.0006_Table6.1.tsv</v>
      </c>
      <c r="P53" s="8" t="s">
        <v>197</v>
      </c>
      <c r="Q53" s="8" t="s">
        <v>198</v>
      </c>
      <c r="R53" s="8" t="s">
        <v>304</v>
      </c>
      <c r="S53" s="8" t="s">
        <v>53</v>
      </c>
      <c r="T53" s="8" t="s">
        <v>305</v>
      </c>
      <c r="U53" s="8" t="s">
        <v>55</v>
      </c>
      <c r="V53" s="8" t="s">
        <v>42</v>
      </c>
      <c r="W53" s="8" t="s">
        <v>187</v>
      </c>
      <c r="X53" s="8" t="s">
        <v>306</v>
      </c>
      <c r="AB53" s="8" t="s">
        <v>203</v>
      </c>
      <c r="AH53" s="8" t="s">
        <v>134</v>
      </c>
      <c r="AI53" s="8" t="s">
        <v>307</v>
      </c>
      <c r="AJ53" s="8" t="s">
        <v>136</v>
      </c>
      <c r="AK53" s="8" t="s">
        <v>205</v>
      </c>
      <c r="AL53" s="8" t="s">
        <v>137</v>
      </c>
      <c r="AM53" s="8" t="s">
        <v>308</v>
      </c>
    </row>
    <row r="54" spans="1:39" ht="16" customHeight="1" x14ac:dyDescent="0.2">
      <c r="A54" s="2" t="s">
        <v>309</v>
      </c>
      <c r="C54" s="2" t="s">
        <v>310</v>
      </c>
      <c r="D54" s="2" t="s">
        <v>75</v>
      </c>
      <c r="E54" t="str">
        <f t="shared" si="14"/>
        <v>8</v>
      </c>
      <c r="F54" t="str">
        <f t="shared" si="15"/>
        <v>Frahm_Zilles_1994</v>
      </c>
      <c r="G54" t="str">
        <f t="shared" si="16"/>
        <v>Frahm</v>
      </c>
      <c r="H54" t="str">
        <f t="shared" si="17"/>
        <v>Zilles</v>
      </c>
      <c r="I54" t="str">
        <f t="shared" si="18"/>
        <v>1994</v>
      </c>
      <c r="J54" t="str">
        <f t="shared" si="19"/>
        <v>PMID%3A7983368</v>
      </c>
      <c r="K54" t="str">
        <f t="shared" si="21"/>
        <v>Frahm_Zilles_1994_Table1</v>
      </c>
      <c r="L54" t="str">
        <f t="shared" si="20"/>
        <v>PMID%3A7983368_Table1</v>
      </c>
      <c r="M54" t="str">
        <f t="array" ref="M54">IFERROR(INDEX(FileList!$A$1:$A$100,MATCH(TRUE,EXACT(L54,_xlfn.TEXTBEFORE(FileList!$A$1:$A$100,".tsv")),0)),"notfound")</f>
        <v>notfound</v>
      </c>
      <c r="N54" s="8" t="s">
        <v>311</v>
      </c>
      <c r="V54" s="8" t="s">
        <v>42</v>
      </c>
      <c r="W54" s="8" t="s">
        <v>104</v>
      </c>
      <c r="Y54" s="8" t="s">
        <v>99</v>
      </c>
      <c r="Z54" s="8" t="s">
        <v>99</v>
      </c>
      <c r="AF54" s="8" t="s">
        <v>78</v>
      </c>
      <c r="AG54" s="8" t="s">
        <v>112</v>
      </c>
      <c r="AI54" s="8" t="s">
        <v>312</v>
      </c>
      <c r="AJ54" s="8" t="s">
        <v>101</v>
      </c>
      <c r="AK54" s="8" t="s">
        <v>63</v>
      </c>
      <c r="AL54" s="8" t="s">
        <v>63</v>
      </c>
      <c r="AM54" s="8" t="s">
        <v>84</v>
      </c>
    </row>
    <row r="55" spans="1:39" ht="16" customHeight="1" x14ac:dyDescent="0.2">
      <c r="A55" s="2" t="s">
        <v>309</v>
      </c>
      <c r="C55" s="2" t="s">
        <v>310</v>
      </c>
      <c r="D55" s="2" t="s">
        <v>119</v>
      </c>
      <c r="E55" t="str">
        <f t="shared" si="14"/>
        <v>8</v>
      </c>
      <c r="F55" t="str">
        <f t="shared" si="15"/>
        <v>Frahm_Zilles_1994</v>
      </c>
      <c r="G55" t="str">
        <f t="shared" si="16"/>
        <v>Frahm</v>
      </c>
      <c r="H55" t="str">
        <f t="shared" si="17"/>
        <v>Zilles</v>
      </c>
      <c r="I55" t="str">
        <f t="shared" si="18"/>
        <v>1994</v>
      </c>
      <c r="J55" t="str">
        <f t="shared" si="19"/>
        <v>PMID%3A7983368</v>
      </c>
      <c r="K55" t="str">
        <f t="shared" si="21"/>
        <v>Frahm_Zilles_1994_Table2</v>
      </c>
      <c r="L55" t="str">
        <f t="shared" si="20"/>
        <v>PMID%3A7983368_Table2</v>
      </c>
      <c r="M55" t="str">
        <f t="array" ref="M55">IFERROR(INDEX(FileList!$A$1:$A$100,MATCH(TRUE,EXACT(L55,_xlfn.TEXTBEFORE(FileList!$A$1:$A$100,".tsv")),0)),"notfound")</f>
        <v>notfound</v>
      </c>
    </row>
    <row r="56" spans="1:39" ht="16" customHeight="1" x14ac:dyDescent="0.2">
      <c r="A56" s="2" t="s">
        <v>313</v>
      </c>
      <c r="C56" s="2" t="s">
        <v>314</v>
      </c>
      <c r="D56" s="2" t="s">
        <v>75</v>
      </c>
      <c r="E56" t="str">
        <f t="shared" si="14"/>
        <v>3</v>
      </c>
      <c r="F56" t="str">
        <f t="shared" si="15"/>
        <v>Frahm_etal_1997</v>
      </c>
      <c r="G56" t="str">
        <f t="shared" si="16"/>
        <v>Frahm</v>
      </c>
      <c r="H56" t="str">
        <f t="shared" si="17"/>
        <v>etal</v>
      </c>
      <c r="I56" t="str">
        <f t="shared" si="18"/>
        <v>1997</v>
      </c>
      <c r="J56" t="str">
        <f t="shared" si="19"/>
        <v>PMID%3A9176733</v>
      </c>
      <c r="K56" t="str">
        <f t="shared" si="21"/>
        <v>Frahm_etal_1997_Table1</v>
      </c>
      <c r="L56" t="str">
        <f t="shared" si="20"/>
        <v>PMID%3A9176733_Table1</v>
      </c>
      <c r="M56" t="str">
        <f t="array" ref="M56">IFERROR(INDEX(FileList!$A$1:$A$100,MATCH(TRUE,EXACT(L56,_xlfn.TEXTBEFORE(FileList!$A$1:$A$100,".tsv")),0)),"notfound")</f>
        <v>notfound</v>
      </c>
      <c r="N56" s="8" t="s">
        <v>315</v>
      </c>
      <c r="V56" s="8" t="s">
        <v>42</v>
      </c>
      <c r="W56" s="8" t="s">
        <v>104</v>
      </c>
      <c r="Y56" s="8" t="s">
        <v>99</v>
      </c>
      <c r="Z56" s="8" t="s">
        <v>99</v>
      </c>
      <c r="AF56" s="8" t="s">
        <v>78</v>
      </c>
      <c r="AG56" s="8" t="s">
        <v>112</v>
      </c>
      <c r="AI56" s="8" t="s">
        <v>316</v>
      </c>
      <c r="AJ56" s="8" t="s">
        <v>101</v>
      </c>
      <c r="AK56" s="8" t="s">
        <v>63</v>
      </c>
      <c r="AL56" s="8" t="s">
        <v>63</v>
      </c>
      <c r="AM56" s="8" t="s">
        <v>84</v>
      </c>
    </row>
    <row r="57" spans="1:39" ht="19" customHeight="1" x14ac:dyDescent="0.2">
      <c r="A57" s="2" t="s">
        <v>317</v>
      </c>
      <c r="C57" s="2" t="s">
        <v>318</v>
      </c>
      <c r="D57" s="2" t="s">
        <v>75</v>
      </c>
      <c r="E57" t="str">
        <f t="shared" si="14"/>
        <v>9</v>
      </c>
      <c r="F57" t="str">
        <f t="shared" si="15"/>
        <v>Frahm_etal_1984</v>
      </c>
      <c r="G57" t="str">
        <f t="shared" si="16"/>
        <v>Frahm</v>
      </c>
      <c r="H57" t="str">
        <f t="shared" si="17"/>
        <v>etal</v>
      </c>
      <c r="I57" t="str">
        <f t="shared" si="18"/>
        <v>1984</v>
      </c>
      <c r="J57" t="str">
        <f t="shared" si="19"/>
        <v>PMID%3A6501869</v>
      </c>
      <c r="K57" t="str">
        <f t="shared" si="21"/>
        <v>Frahm_etal_1984_Table1</v>
      </c>
      <c r="L57" t="str">
        <f t="shared" si="20"/>
        <v>PMID%3A6501869_Table1</v>
      </c>
      <c r="M57" t="str">
        <f t="array" ref="M57">IFERROR(INDEX(FileList!$A$1:$A$100,MATCH(TRUE,EXACT(L57,_xlfn.TEXTBEFORE(FileList!$A$1:$A$100,".tsv")),0)),"notfound")</f>
        <v>notfound</v>
      </c>
      <c r="N57" s="8" t="s">
        <v>319</v>
      </c>
      <c r="V57" s="8" t="s">
        <v>42</v>
      </c>
      <c r="W57" s="8" t="s">
        <v>104</v>
      </c>
      <c r="Y57" s="8" t="s">
        <v>99</v>
      </c>
      <c r="Z57" s="8" t="s">
        <v>99</v>
      </c>
      <c r="AF57" s="8" t="s">
        <v>78</v>
      </c>
      <c r="AG57" s="8" t="s">
        <v>112</v>
      </c>
      <c r="AI57" s="8" t="s">
        <v>320</v>
      </c>
      <c r="AJ57" s="8" t="s">
        <v>101</v>
      </c>
      <c r="AK57" s="8" t="s">
        <v>63</v>
      </c>
      <c r="AL57" s="8" t="s">
        <v>63</v>
      </c>
      <c r="AM57" s="8" t="s">
        <v>84</v>
      </c>
    </row>
    <row r="58" spans="1:39" ht="17" customHeight="1" x14ac:dyDescent="0.2">
      <c r="A58" s="2" t="s">
        <v>321</v>
      </c>
      <c r="C58" s="2" t="s">
        <v>322</v>
      </c>
      <c r="D58" s="2" t="s">
        <v>119</v>
      </c>
      <c r="E58" t="str">
        <f t="shared" si="14"/>
        <v>7</v>
      </c>
      <c r="F58" t="str">
        <f t="shared" si="15"/>
        <v>Frahm_etal_1982</v>
      </c>
      <c r="G58" t="str">
        <f t="shared" si="16"/>
        <v>Frahm</v>
      </c>
      <c r="H58" t="str">
        <f t="shared" si="17"/>
        <v>etal</v>
      </c>
      <c r="I58" t="str">
        <f t="shared" si="18"/>
        <v>1982</v>
      </c>
      <c r="J58" t="str">
        <f t="shared" si="19"/>
        <v>PMID%3A7161477</v>
      </c>
      <c r="K58" t="str">
        <f t="shared" si="21"/>
        <v>Frahm_etal_1982_Table2</v>
      </c>
      <c r="L58" t="str">
        <f t="shared" si="20"/>
        <v>PMID%3A7161477_Table2</v>
      </c>
      <c r="M58" t="str">
        <f t="array" ref="M58">IFERROR(INDEX(FileList!$A$1:$A$100,MATCH(TRUE,EXACT(L58,_xlfn.TEXTBEFORE(FileList!$A$1:$A$100,".tsv")),0)),"notfound")</f>
        <v>notfound</v>
      </c>
      <c r="N58" s="8" t="s">
        <v>323</v>
      </c>
      <c r="V58" s="8" t="s">
        <v>42</v>
      </c>
      <c r="W58" s="8" t="s">
        <v>104</v>
      </c>
      <c r="Y58" s="8" t="s">
        <v>99</v>
      </c>
      <c r="Z58" s="8" t="s">
        <v>99</v>
      </c>
      <c r="AF58" s="8" t="s">
        <v>78</v>
      </c>
      <c r="AG58" s="8" t="s">
        <v>112</v>
      </c>
      <c r="AI58" s="8" t="s">
        <v>324</v>
      </c>
      <c r="AJ58" s="8" t="s">
        <v>101</v>
      </c>
      <c r="AK58" s="8" t="s">
        <v>63</v>
      </c>
      <c r="AL58" s="8" t="s">
        <v>63</v>
      </c>
      <c r="AM58" s="8" t="s">
        <v>84</v>
      </c>
    </row>
    <row r="59" spans="1:39" ht="17" customHeight="1" x14ac:dyDescent="0.2">
      <c r="A59" s="2" t="s">
        <v>325</v>
      </c>
      <c r="C59" s="2" t="s">
        <v>326</v>
      </c>
      <c r="D59" s="2" t="s">
        <v>75</v>
      </c>
      <c r="E59" t="str">
        <f t="shared" si="14"/>
        <v>0</v>
      </c>
      <c r="F59" t="str">
        <f t="shared" si="15"/>
        <v>Frahm_etal_1998</v>
      </c>
      <c r="G59" t="str">
        <f t="shared" si="16"/>
        <v>Frahm</v>
      </c>
      <c r="H59" t="str">
        <f t="shared" si="17"/>
        <v>etal</v>
      </c>
      <c r="I59" t="str">
        <f t="shared" si="18"/>
        <v>1998</v>
      </c>
      <c r="J59" t="str">
        <f t="shared" si="19"/>
        <v>PMID%3A9672110</v>
      </c>
      <c r="K59" t="str">
        <f t="shared" si="21"/>
        <v>Frahm_etal_1998_Table1</v>
      </c>
      <c r="L59" t="str">
        <f t="shared" si="20"/>
        <v>PMID%3A9672110_Table1</v>
      </c>
      <c r="M59" t="str">
        <f t="array" ref="M59">IFERROR(INDEX(FileList!$A$1:$A$100,MATCH(TRUE,EXACT(L59,_xlfn.TEXTBEFORE(FileList!$A$1:$A$100,".tsv")),0)),"notfound")</f>
        <v>notfound</v>
      </c>
      <c r="N59" s="8" t="s">
        <v>327</v>
      </c>
      <c r="V59" s="8" t="s">
        <v>42</v>
      </c>
      <c r="W59" s="8" t="s">
        <v>104</v>
      </c>
      <c r="Y59" s="8" t="s">
        <v>99</v>
      </c>
      <c r="Z59" s="8" t="s">
        <v>99</v>
      </c>
      <c r="AF59" s="8" t="s">
        <v>78</v>
      </c>
      <c r="AG59" s="8" t="s">
        <v>112</v>
      </c>
      <c r="AI59" s="8" t="s">
        <v>328</v>
      </c>
      <c r="AJ59" s="8" t="s">
        <v>101</v>
      </c>
      <c r="AK59" s="8" t="s">
        <v>63</v>
      </c>
      <c r="AL59" s="8" t="s">
        <v>63</v>
      </c>
      <c r="AM59" s="8" t="s">
        <v>84</v>
      </c>
    </row>
    <row r="60" spans="1:39" ht="17" customHeight="1" x14ac:dyDescent="0.2">
      <c r="A60" s="2" t="s">
        <v>329</v>
      </c>
      <c r="D60" s="2" t="s">
        <v>75</v>
      </c>
      <c r="E60" t="str">
        <f t="shared" si="14"/>
        <v>x</v>
      </c>
      <c r="F60" t="str">
        <f t="shared" si="15"/>
        <v>Fu_etal_2013</v>
      </c>
      <c r="G60" t="str">
        <f t="shared" si="16"/>
        <v>Fu</v>
      </c>
      <c r="H60" t="str">
        <f t="shared" si="17"/>
        <v>etal</v>
      </c>
      <c r="I60" t="str">
        <f t="shared" si="18"/>
        <v>2013</v>
      </c>
      <c r="J60" t="str">
        <f t="shared" si="19"/>
        <v>10.1007%2Fs00429-012-0462-x</v>
      </c>
      <c r="K60" t="str">
        <f t="shared" si="21"/>
        <v>Fu_etal_2013_Table1</v>
      </c>
      <c r="L60" t="str">
        <f t="shared" si="20"/>
        <v>10.1007%2Fs00429-012-0462-x_Table1</v>
      </c>
      <c r="M60" t="str">
        <f t="array" ref="M60">IFERROR(INDEX(FileList!$A$1:$A$100,MATCH(TRUE,EXACT(L60,_xlfn.TEXTBEFORE(FileList!$A$1:$A$100,".tsv")),0)),"notfound")</f>
        <v>notfound</v>
      </c>
      <c r="N60" s="8" t="s">
        <v>330</v>
      </c>
      <c r="P60" s="8" t="s">
        <v>331</v>
      </c>
      <c r="AA60" s="8" t="s">
        <v>144</v>
      </c>
      <c r="AJ60" s="8" t="s">
        <v>43</v>
      </c>
      <c r="AK60" s="8" t="s">
        <v>332</v>
      </c>
      <c r="AL60" s="8" t="s">
        <v>43</v>
      </c>
      <c r="AM60" s="8" t="s">
        <v>43</v>
      </c>
    </row>
    <row r="61" spans="1:39" ht="17" customHeight="1" x14ac:dyDescent="0.2">
      <c r="A61" s="2" t="s">
        <v>333</v>
      </c>
      <c r="D61" s="2" t="s">
        <v>194</v>
      </c>
      <c r="E61" t="str">
        <f t="shared" si="14"/>
        <v>6</v>
      </c>
      <c r="F61" t="str">
        <f t="shared" si="15"/>
        <v>Garwicz_etal_2009</v>
      </c>
      <c r="G61" t="str">
        <f t="shared" si="16"/>
        <v>Garwicz</v>
      </c>
      <c r="H61" t="str">
        <f t="shared" si="17"/>
        <v>etal</v>
      </c>
      <c r="I61" t="str">
        <f t="shared" si="18"/>
        <v>2009</v>
      </c>
      <c r="J61" t="str">
        <f t="shared" si="19"/>
        <v>10.1073%2Fpnas.0905777106</v>
      </c>
      <c r="K61" t="str">
        <f t="shared" si="21"/>
        <v>Garwicz_etal_2009_TableS1</v>
      </c>
      <c r="L61" t="str">
        <f t="shared" si="20"/>
        <v>10.1073%2Fpnas.0905777106_TableS1</v>
      </c>
      <c r="M61" t="str">
        <f t="array" ref="M61">IFERROR(INDEX(FileList!$A$1:$A$100,MATCH(TRUE,EXACT(L61,_xlfn.TEXTBEFORE(FileList!$A$1:$A$100,".tsv")),0)),"notfound")</f>
        <v>10.1073%2Fpnas.0905777106_TableS1.tsv</v>
      </c>
      <c r="N61" s="8" t="s">
        <v>334</v>
      </c>
      <c r="U61" s="8" t="s">
        <v>55</v>
      </c>
      <c r="W61" s="8" t="s">
        <v>180</v>
      </c>
      <c r="X61" s="8" t="s">
        <v>335</v>
      </c>
      <c r="AJ61" s="8" t="s">
        <v>136</v>
      </c>
      <c r="AL61" s="8" t="s">
        <v>137</v>
      </c>
      <c r="AM61" s="8" t="s">
        <v>336</v>
      </c>
    </row>
    <row r="62" spans="1:39" ht="17" customHeight="1" x14ac:dyDescent="0.2">
      <c r="A62" s="2" t="s">
        <v>333</v>
      </c>
      <c r="D62" s="2" t="s">
        <v>337</v>
      </c>
      <c r="E62" t="str">
        <f t="shared" si="14"/>
        <v>6</v>
      </c>
      <c r="F62" t="str">
        <f t="shared" si="15"/>
        <v>Garwicz_etal_2009</v>
      </c>
      <c r="G62" t="str">
        <f t="shared" si="16"/>
        <v>Garwicz</v>
      </c>
      <c r="H62" t="str">
        <f t="shared" si="17"/>
        <v>etal</v>
      </c>
      <c r="I62" t="str">
        <f t="shared" si="18"/>
        <v>2009</v>
      </c>
      <c r="J62" t="str">
        <f t="shared" si="19"/>
        <v>10.1073%2Fpnas.0905777106</v>
      </c>
      <c r="K62" t="str">
        <f t="shared" si="21"/>
        <v>Garwicz_etal_2009_TableS2</v>
      </c>
      <c r="L62" t="str">
        <f t="shared" si="20"/>
        <v>10.1073%2Fpnas.0905777106_TableS2</v>
      </c>
      <c r="M62" t="str">
        <f t="array" ref="M62">IFERROR(INDEX(FileList!$A$1:$A$100,MATCH(TRUE,EXACT(L62,_xlfn.TEXTBEFORE(FileList!$A$1:$A$100,".tsv")),0)),"notfound")</f>
        <v>notfound</v>
      </c>
      <c r="N62" s="8" t="s">
        <v>338</v>
      </c>
      <c r="U62" s="8" t="s">
        <v>55</v>
      </c>
      <c r="W62" s="8" t="s">
        <v>180</v>
      </c>
      <c r="X62" s="8" t="s">
        <v>335</v>
      </c>
      <c r="AJ62" s="8" t="s">
        <v>136</v>
      </c>
      <c r="AL62" s="8" t="s">
        <v>137</v>
      </c>
      <c r="AM62" s="8" t="s">
        <v>336</v>
      </c>
    </row>
    <row r="63" spans="1:39" ht="16" customHeight="1" x14ac:dyDescent="0.2">
      <c r="A63" s="2" t="s">
        <v>339</v>
      </c>
      <c r="D63" s="2" t="s">
        <v>337</v>
      </c>
      <c r="E63" t="str">
        <f t="shared" si="14"/>
        <v>0</v>
      </c>
      <c r="F63" t="str">
        <f t="shared" si="15"/>
        <v>Genoud_etal_2018</v>
      </c>
      <c r="G63" t="str">
        <f t="shared" si="16"/>
        <v>Genoud</v>
      </c>
      <c r="H63" t="str">
        <f t="shared" si="17"/>
        <v>etal</v>
      </c>
      <c r="I63" t="str">
        <f t="shared" si="18"/>
        <v>2018</v>
      </c>
      <c r="J63" t="str">
        <f t="shared" si="19"/>
        <v>10.1111%2Fbrv.12350</v>
      </c>
      <c r="K63" t="str">
        <f t="shared" si="21"/>
        <v>Genoud_etal_2018_TableS2</v>
      </c>
      <c r="L63" t="str">
        <f t="shared" si="20"/>
        <v>10.1111%2Fbrv.12350_TableS2</v>
      </c>
      <c r="M63" t="str">
        <f t="array" ref="M63">IFERROR(INDEX(FileList!$A$1:$A$100,MATCH(TRUE,EXACT(L63,_xlfn.TEXTBEFORE(FileList!$A$1:$A$100,".tsv")),0)),"notfound")</f>
        <v>notfound</v>
      </c>
      <c r="N63" s="8" t="s">
        <v>340</v>
      </c>
      <c r="P63" s="8" t="s">
        <v>331</v>
      </c>
      <c r="AA63" s="8" t="s">
        <v>341</v>
      </c>
      <c r="AJ63" s="8" t="s">
        <v>43</v>
      </c>
      <c r="AL63" s="8" t="s">
        <v>43</v>
      </c>
      <c r="AM63" s="8" t="s">
        <v>43</v>
      </c>
    </row>
    <row r="64" spans="1:39" ht="16" customHeight="1" x14ac:dyDescent="0.2">
      <c r="A64" s="2" t="s">
        <v>342</v>
      </c>
      <c r="D64" s="2" t="s">
        <v>194</v>
      </c>
      <c r="E64" t="str">
        <f t="shared" si="14"/>
        <v>8</v>
      </c>
      <c r="F64" t="str">
        <f t="shared" si="15"/>
        <v>Granatosky__2018</v>
      </c>
      <c r="G64" t="str">
        <f t="shared" si="16"/>
        <v>Granatosky</v>
      </c>
      <c r="H64" t="str">
        <f t="shared" si="17"/>
        <v/>
      </c>
      <c r="I64" t="str">
        <f t="shared" si="18"/>
        <v>2018</v>
      </c>
      <c r="J64" t="str">
        <f t="shared" si="19"/>
        <v>10.1111%2Fjzo.12608</v>
      </c>
      <c r="K64" t="str">
        <f t="shared" si="21"/>
        <v>Granatosky__2018_TableS1</v>
      </c>
      <c r="L64" t="str">
        <f t="shared" si="20"/>
        <v>10.1111%2Fjzo.12608_TableS1</v>
      </c>
      <c r="M64" t="str">
        <f t="array" ref="M64">IFERROR(INDEX(FileList!$A$1:$A$100,MATCH(TRUE,EXACT(L64,_xlfn.TEXTBEFORE(FileList!$A$1:$A$100,".tsv")),0)),"notfound")</f>
        <v>notfound</v>
      </c>
      <c r="N64" s="8" t="s">
        <v>343</v>
      </c>
      <c r="P64" s="8" t="s">
        <v>331</v>
      </c>
      <c r="X64" s="8" t="s">
        <v>344</v>
      </c>
      <c r="AJ64" s="8" t="s">
        <v>136</v>
      </c>
      <c r="AL64" s="8" t="s">
        <v>137</v>
      </c>
      <c r="AM64" s="8" t="s">
        <v>345</v>
      </c>
    </row>
    <row r="65" spans="1:39" ht="16" customHeight="1" x14ac:dyDescent="0.2">
      <c r="A65" s="2" t="s">
        <v>346</v>
      </c>
      <c r="D65" s="2" t="s">
        <v>347</v>
      </c>
      <c r="E65" t="str">
        <f t="shared" si="14"/>
        <v>7</v>
      </c>
      <c r="F65" t="str">
        <f t="shared" si="15"/>
        <v>Haarlem_etal_2026</v>
      </c>
      <c r="G65" t="str">
        <f t="shared" si="16"/>
        <v>Haarlem</v>
      </c>
      <c r="H65" t="str">
        <f t="shared" si="17"/>
        <v>etal</v>
      </c>
      <c r="I65" t="str">
        <f t="shared" si="18"/>
        <v>2026</v>
      </c>
      <c r="J65" t="str">
        <f t="shared" si="19"/>
        <v>10.1038%2Fs41559-026-02994-7</v>
      </c>
      <c r="K65" t="str">
        <f t="shared" si="21"/>
        <v>Haarlem_etal_2026_CFFdataset</v>
      </c>
      <c r="L65" t="str">
        <f t="shared" si="20"/>
        <v>10.1038%2Fs41559-026-02994-7_CFFdataset</v>
      </c>
      <c r="M65" t="str">
        <f t="array" ref="M65">IFERROR(INDEX(FileList!$A$1:$A$100,MATCH(TRUE,EXACT(L65,_xlfn.TEXTBEFORE(FileList!$A$1:$A$100,".tsv")),0)),"notfound")</f>
        <v>notfound</v>
      </c>
      <c r="N65" s="8" t="s">
        <v>347</v>
      </c>
      <c r="X65" s="8" t="s">
        <v>344</v>
      </c>
      <c r="AJ65" s="8" t="s">
        <v>43</v>
      </c>
      <c r="AL65" s="8" t="s">
        <v>43</v>
      </c>
      <c r="AM65" s="8" t="s">
        <v>43</v>
      </c>
    </row>
    <row r="66" spans="1:39" ht="16" customHeight="1" x14ac:dyDescent="0.2">
      <c r="A66" s="2" t="s">
        <v>348</v>
      </c>
      <c r="D66" s="2" t="s">
        <v>349</v>
      </c>
      <c r="E66" t="str">
        <f t="shared" si="14"/>
        <v>4</v>
      </c>
      <c r="F66" t="str">
        <f t="shared" si="15"/>
        <v>Heffner_Masterton_1983</v>
      </c>
      <c r="G66" t="str">
        <f t="shared" si="16"/>
        <v>Heffner</v>
      </c>
      <c r="H66" t="str">
        <f t="shared" si="17"/>
        <v>Masterton</v>
      </c>
      <c r="I66" t="str">
        <f t="shared" si="18"/>
        <v>1983</v>
      </c>
      <c r="J66" t="str">
        <f t="shared" si="19"/>
        <v>10.1159%2F000121494</v>
      </c>
      <c r="K66" t="str">
        <f t="shared" si="21"/>
        <v>Heffner_Masterton_1983_TableI</v>
      </c>
      <c r="L66" t="str">
        <f t="shared" si="20"/>
        <v>10.1159%2F000121494_TableI</v>
      </c>
      <c r="M66" t="str">
        <f t="array" ref="M66">IFERROR(INDEX(FileList!$A$1:$A$100,MATCH(TRUE,EXACT(L66,_xlfn.TEXTBEFORE(FileList!$A$1:$A$100,".tsv")),0)),"notfound")</f>
        <v>notfound</v>
      </c>
      <c r="P66" s="8" t="s">
        <v>331</v>
      </c>
      <c r="Q66" s="8" t="s">
        <v>198</v>
      </c>
      <c r="T66" s="8" t="str">
        <f>IF(S66="N", R66, "write file name")</f>
        <v>write file name</v>
      </c>
      <c r="U66" s="8" t="s">
        <v>55</v>
      </c>
      <c r="V66" s="8" t="s">
        <v>42</v>
      </c>
      <c r="W66" s="8" t="s">
        <v>202</v>
      </c>
      <c r="X66" s="8" t="s">
        <v>344</v>
      </c>
      <c r="AD66" s="8" t="s">
        <v>350</v>
      </c>
      <c r="AH66" s="8" t="s">
        <v>134</v>
      </c>
      <c r="AI66" s="8" t="s">
        <v>351</v>
      </c>
      <c r="AJ66" s="8" t="s">
        <v>136</v>
      </c>
      <c r="AL66" s="8" t="s">
        <v>137</v>
      </c>
      <c r="AM66" s="8" t="s">
        <v>352</v>
      </c>
    </row>
    <row r="67" spans="1:39" ht="16" customHeight="1" x14ac:dyDescent="0.2">
      <c r="A67" s="2" t="s">
        <v>353</v>
      </c>
      <c r="D67" s="2" t="s">
        <v>349</v>
      </c>
      <c r="E67" t="str">
        <f t="shared" si="14"/>
        <v>1</v>
      </c>
      <c r="F67" t="str">
        <f t="shared" si="15"/>
        <v>Heffner_Masterton_1975</v>
      </c>
      <c r="G67" t="str">
        <f t="shared" si="16"/>
        <v>Heffner</v>
      </c>
      <c r="H67" t="str">
        <f t="shared" si="17"/>
        <v>Masterton</v>
      </c>
      <c r="I67" t="str">
        <f t="shared" si="18"/>
        <v>1975</v>
      </c>
      <c r="J67" t="str">
        <f t="shared" si="19"/>
        <v>10.1159%2F000124401</v>
      </c>
      <c r="K67" t="str">
        <f t="shared" si="21"/>
        <v>Heffner_Masterton_1975_TableI</v>
      </c>
      <c r="L67" t="str">
        <f t="shared" si="20"/>
        <v>10.1159%2F000124401_TableI</v>
      </c>
      <c r="M67" t="str">
        <f t="array" ref="M67">IFERROR(INDEX(FileList!$A$1:$A$100,MATCH(TRUE,EXACT(L67,_xlfn.TEXTBEFORE(FileList!$A$1:$A$100,".tsv")),0)),"notfound")</f>
        <v>10.1159%2F000124401_TableI.tsv</v>
      </c>
      <c r="P67" s="8" t="s">
        <v>41</v>
      </c>
      <c r="Q67" s="8" t="s">
        <v>51</v>
      </c>
      <c r="R67" s="8" t="s">
        <v>354</v>
      </c>
      <c r="S67" s="8" t="s">
        <v>53</v>
      </c>
      <c r="T67" s="8" t="s">
        <v>355</v>
      </c>
      <c r="U67" s="8" t="s">
        <v>55</v>
      </c>
      <c r="V67" s="8" t="s">
        <v>42</v>
      </c>
      <c r="W67" s="8" t="s">
        <v>202</v>
      </c>
      <c r="X67" s="8" t="s">
        <v>344</v>
      </c>
      <c r="AA67" s="8" t="s">
        <v>356</v>
      </c>
      <c r="AH67" s="8" t="s">
        <v>134</v>
      </c>
      <c r="AI67" s="8" t="s">
        <v>351</v>
      </c>
      <c r="AJ67" s="8" t="s">
        <v>136</v>
      </c>
      <c r="AK67" s="8" t="s">
        <v>357</v>
      </c>
      <c r="AL67" s="8" t="s">
        <v>358</v>
      </c>
      <c r="AM67" s="8" t="s">
        <v>359</v>
      </c>
    </row>
    <row r="68" spans="1:39" ht="16" customHeight="1" x14ac:dyDescent="0.2">
      <c r="A68" s="2" t="s">
        <v>360</v>
      </c>
      <c r="C68" s="2" t="s">
        <v>361</v>
      </c>
      <c r="D68" s="2" t="s">
        <v>49</v>
      </c>
      <c r="E68" t="str">
        <f t="shared" ref="E68:E99" si="22">RIGHT(A68,1)</f>
        <v>8</v>
      </c>
      <c r="F68" t="str">
        <f t="shared" ref="F68:F99" si="23">G68 &amp; IF(H68&lt;&gt;"", "_" &amp; H68, "_") &amp; IF(I68&lt;&gt;"", "_" &amp; I68, "_") &amp; IF(B68&lt;&gt;"", "_" &amp; B68, "")</f>
        <v>Heiss_etal_2004</v>
      </c>
      <c r="G68" t="str">
        <f t="shared" ref="G68:G99" si="24">SUBSTITUTE(SUBSTITUTE(_xlfn.TEXTBEFORE(A68,","), "-", ""), " ", "")</f>
        <v>Heiss</v>
      </c>
      <c r="H68" t="str">
        <f t="shared" ref="H68:H99" si="25">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etal</v>
      </c>
      <c r="I68" t="str">
        <f t="shared" ref="I68:I99" si="26">_xlfn.TEXTBEFORE(_xlfn.TEXTAFTER(A68, "("), ")")</f>
        <v>2004</v>
      </c>
      <c r="J68" t="str">
        <f t="shared" ref="J68:J99" si="27">_xlfn.LET(
_xlpm.doi,IF(C68&lt;&gt;"",C68,_xlfn.TEXTAFTER(A68,"https://doi.org/")),
SUBSTITUTE(
SUBSTITUTE(
SUBSTITUTE(
SUBSTITUTE(
_xlpm.doi,
"/","%2F"),
":","%3A"),
"&lt;","%3C"),
"&gt;","%3E")
)</f>
        <v>PMID%3A15534048</v>
      </c>
      <c r="K68" t="str">
        <f t="shared" si="21"/>
        <v>Heiss_etal_2004_TABLE1</v>
      </c>
      <c r="L68" t="str">
        <f t="shared" ref="L68:L99" si="28">J68 &amp; "_" &amp; SUBSTITUTE(SUBSTITUTE(SUBSTITUTE(D68,CHAR(160),"")," ",""),"_","")</f>
        <v>PMID%3A15534048_TABLE1</v>
      </c>
      <c r="M68" t="str">
        <f t="array" ref="M68">IFERROR(INDEX(FileList!$A$1:$A$100,MATCH(TRUE,EXACT(L68,_xlfn.TEXTBEFORE(FileList!$A$1:$A$100,".tsv")),0)),"notfound")</f>
        <v>notfound</v>
      </c>
      <c r="N68" s="8" t="s">
        <v>362</v>
      </c>
      <c r="X68" s="8" t="s">
        <v>344</v>
      </c>
      <c r="AI68" s="8" t="s">
        <v>363</v>
      </c>
      <c r="AJ68" s="8" t="s">
        <v>364</v>
      </c>
      <c r="AL68" s="8" t="s">
        <v>63</v>
      </c>
      <c r="AM68" s="8" t="s">
        <v>365</v>
      </c>
    </row>
    <row r="69" spans="1:39" ht="16" customHeight="1" x14ac:dyDescent="0.2">
      <c r="A69" s="2" t="s">
        <v>366</v>
      </c>
      <c r="D69" s="2" t="s">
        <v>194</v>
      </c>
      <c r="E69" t="str">
        <f t="shared" si="22"/>
        <v>8</v>
      </c>
      <c r="F69" t="str">
        <f t="shared" si="23"/>
        <v>Heldstab_etal_2016</v>
      </c>
      <c r="G69" t="str">
        <f t="shared" si="24"/>
        <v>Heldstab</v>
      </c>
      <c r="H69" t="str">
        <f t="shared" si="25"/>
        <v>etal</v>
      </c>
      <c r="I69" t="str">
        <f t="shared" si="26"/>
        <v>2016</v>
      </c>
      <c r="J69" t="str">
        <f t="shared" si="27"/>
        <v>10.1038%2Fsrep24528</v>
      </c>
      <c r="K69" t="str">
        <f t="shared" si="21"/>
        <v>Heldstab_etal_2016_TableS1</v>
      </c>
      <c r="L69" t="str">
        <f t="shared" si="28"/>
        <v>10.1038%2Fsrep24528_TableS1</v>
      </c>
      <c r="M69" t="str">
        <f t="array" ref="M69">IFERROR(INDEX(FileList!$A$1:$A$100,MATCH(TRUE,EXACT(L69,_xlfn.TEXTBEFORE(FileList!$A$1:$A$100,".tsv")),0)),"notfound")</f>
        <v>notfound</v>
      </c>
      <c r="P69" s="8" t="s">
        <v>331</v>
      </c>
      <c r="Q69" s="8" t="s">
        <v>198</v>
      </c>
      <c r="T69" s="8" t="str">
        <f>IF(S69="N", R69, "write file name")</f>
        <v>write file name</v>
      </c>
      <c r="U69" s="8" t="s">
        <v>55</v>
      </c>
      <c r="V69" s="8" t="s">
        <v>42</v>
      </c>
      <c r="X69" s="8" t="s">
        <v>344</v>
      </c>
      <c r="AH69" s="8" t="s">
        <v>173</v>
      </c>
      <c r="AI69" s="8" t="s">
        <v>367</v>
      </c>
      <c r="AJ69" s="8" t="s">
        <v>118</v>
      </c>
      <c r="AL69" s="8" t="s">
        <v>137</v>
      </c>
      <c r="AM69" s="8" t="s">
        <v>368</v>
      </c>
    </row>
    <row r="70" spans="1:39" ht="16" customHeight="1" x14ac:dyDescent="0.2">
      <c r="A70" s="2" t="s">
        <v>369</v>
      </c>
      <c r="D70" s="2" t="s">
        <v>75</v>
      </c>
      <c r="E70" t="str">
        <f t="shared" si="22"/>
        <v>3</v>
      </c>
      <c r="F70" t="str">
        <f t="shared" si="23"/>
        <v>HerculanoHouzel__2015</v>
      </c>
      <c r="G70" t="str">
        <f t="shared" si="24"/>
        <v>HerculanoHouzel</v>
      </c>
      <c r="H70" t="str">
        <f t="shared" si="25"/>
        <v/>
      </c>
      <c r="I70" t="str">
        <f t="shared" si="26"/>
        <v>2015</v>
      </c>
      <c r="J70" t="str">
        <f t="shared" si="27"/>
        <v>10.1098%2Frspb.2015.1853</v>
      </c>
      <c r="K70" t="str">
        <f t="shared" si="21"/>
        <v>HerculanoHouzel__2015_Table1</v>
      </c>
      <c r="L70" t="str">
        <f t="shared" si="28"/>
        <v>10.1098%2Frspb.2015.1853_Table1</v>
      </c>
      <c r="M70" t="str">
        <f t="array" ref="M70">IFERROR(INDEX(FileList!$A$1:$A$100,MATCH(TRUE,EXACT(L70,_xlfn.TEXTBEFORE(FileList!$A$1:$A$100,".tsv")),0)),"notfound")</f>
        <v>10.1098%2Frspb.2015.1853_Table1.tsv</v>
      </c>
      <c r="U70" s="8" t="s">
        <v>55</v>
      </c>
      <c r="V70" s="8" t="s">
        <v>42</v>
      </c>
      <c r="AI70" s="8" t="s">
        <v>370</v>
      </c>
      <c r="AJ70" s="8" t="s">
        <v>136</v>
      </c>
      <c r="AL70" s="8" t="s">
        <v>358</v>
      </c>
      <c r="AM70" s="8" t="s">
        <v>371</v>
      </c>
    </row>
    <row r="71" spans="1:39" ht="16" customHeight="1" x14ac:dyDescent="0.2">
      <c r="A71" s="2" t="s">
        <v>369</v>
      </c>
      <c r="D71" s="2" t="s">
        <v>119</v>
      </c>
      <c r="E71" t="str">
        <f t="shared" si="22"/>
        <v>3</v>
      </c>
      <c r="F71" t="str">
        <f t="shared" si="23"/>
        <v>HerculanoHouzel__2015</v>
      </c>
      <c r="G71" t="str">
        <f t="shared" si="24"/>
        <v>HerculanoHouzel</v>
      </c>
      <c r="H71" t="str">
        <f t="shared" si="25"/>
        <v/>
      </c>
      <c r="I71" t="str">
        <f t="shared" si="26"/>
        <v>2015</v>
      </c>
      <c r="J71" t="str">
        <f t="shared" si="27"/>
        <v>10.1098%2Frspb.2015.1853</v>
      </c>
      <c r="K71" t="str">
        <f t="shared" si="21"/>
        <v>HerculanoHouzel__2015_Table2</v>
      </c>
      <c r="L71" t="str">
        <f t="shared" si="28"/>
        <v>10.1098%2Frspb.2015.1853_Table2</v>
      </c>
      <c r="M71" t="str">
        <f t="array" ref="M71">IFERROR(INDEX(FileList!$A$1:$A$100,MATCH(TRUE,EXACT(L71,_xlfn.TEXTBEFORE(FileList!$A$1:$A$100,".tsv")),0)),"notfound")</f>
        <v>10.1098%2Frspb.2015.1853_Table2.tsv</v>
      </c>
      <c r="N71" s="8" t="s">
        <v>372</v>
      </c>
      <c r="U71" s="8" t="s">
        <v>55</v>
      </c>
      <c r="V71" s="8" t="s">
        <v>42</v>
      </c>
      <c r="AI71" s="8" t="s">
        <v>373</v>
      </c>
      <c r="AJ71" s="8" t="s">
        <v>136</v>
      </c>
      <c r="AK71" s="8" t="s">
        <v>137</v>
      </c>
      <c r="AL71" s="8" t="s">
        <v>358</v>
      </c>
      <c r="AM71" s="8" t="s">
        <v>374</v>
      </c>
    </row>
    <row r="72" spans="1:39" ht="16" customHeight="1" x14ac:dyDescent="0.2">
      <c r="A72" s="2" t="s">
        <v>375</v>
      </c>
      <c r="D72" s="2" t="s">
        <v>75</v>
      </c>
      <c r="E72" t="str">
        <f t="shared" si="22"/>
        <v>3</v>
      </c>
      <c r="F72" t="str">
        <f t="shared" si="23"/>
        <v>HerculanoHouzel_etal_2015</v>
      </c>
      <c r="G72" t="str">
        <f t="shared" si="24"/>
        <v>HerculanoHouzel</v>
      </c>
      <c r="H72" t="str">
        <f t="shared" si="25"/>
        <v>etal</v>
      </c>
      <c r="I72" t="str">
        <f t="shared" si="26"/>
        <v>2015</v>
      </c>
      <c r="J72" t="str">
        <f t="shared" si="27"/>
        <v>10.1159%2F000437413</v>
      </c>
      <c r="K72" t="str">
        <f t="shared" si="21"/>
        <v>HerculanoHouzel_etal_2015_Table1</v>
      </c>
      <c r="L72" t="str">
        <f t="shared" si="28"/>
        <v>10.1159%2F000437413_Table1</v>
      </c>
      <c r="M72" t="str">
        <f t="array" ref="M72">IFERROR(INDEX(FileList!$A$1:$A$100,MATCH(TRUE,EXACT(L72,_xlfn.TEXTBEFORE(FileList!$A$1:$A$100,".tsv")),0)),"notfound")</f>
        <v>10.1159%2F000437413_Table1.tsv</v>
      </c>
      <c r="N72" s="8" t="s">
        <v>376</v>
      </c>
      <c r="P72" s="8" t="s">
        <v>41</v>
      </c>
      <c r="Q72" s="8" t="s">
        <v>51</v>
      </c>
      <c r="R72" s="8" t="s">
        <v>377</v>
      </c>
      <c r="S72" s="8" t="s">
        <v>53</v>
      </c>
      <c r="T72" s="8" t="s">
        <v>378</v>
      </c>
      <c r="U72" s="8" t="s">
        <v>55</v>
      </c>
      <c r="V72" s="8" t="s">
        <v>42</v>
      </c>
      <c r="W72" s="8" t="s">
        <v>187</v>
      </c>
      <c r="X72" s="8" t="s">
        <v>344</v>
      </c>
      <c r="Y72" s="8" t="s">
        <v>58</v>
      </c>
      <c r="Z72" s="8" t="s">
        <v>58</v>
      </c>
      <c r="AC72" s="8" t="s">
        <v>379</v>
      </c>
      <c r="AG72" s="8" t="s">
        <v>59</v>
      </c>
      <c r="AH72" s="8" t="s">
        <v>60</v>
      </c>
      <c r="AI72" s="8" t="s">
        <v>275</v>
      </c>
      <c r="AJ72" s="8" t="s">
        <v>380</v>
      </c>
      <c r="AL72" s="8" t="s">
        <v>63</v>
      </c>
      <c r="AM72" s="8" t="s">
        <v>64</v>
      </c>
    </row>
    <row r="73" spans="1:39" ht="16" customHeight="1" x14ac:dyDescent="0.2">
      <c r="A73" s="2" t="s">
        <v>375</v>
      </c>
      <c r="D73" s="2" t="s">
        <v>119</v>
      </c>
      <c r="E73" t="str">
        <f t="shared" si="22"/>
        <v>3</v>
      </c>
      <c r="F73" t="str">
        <f t="shared" si="23"/>
        <v>HerculanoHouzel_etal_2015</v>
      </c>
      <c r="G73" t="str">
        <f t="shared" si="24"/>
        <v>HerculanoHouzel</v>
      </c>
      <c r="H73" t="str">
        <f t="shared" si="25"/>
        <v>etal</v>
      </c>
      <c r="I73" t="str">
        <f t="shared" si="26"/>
        <v>2015</v>
      </c>
      <c r="J73" t="str">
        <f t="shared" si="27"/>
        <v>10.1159%2F000437413</v>
      </c>
      <c r="K73" t="str">
        <f t="shared" si="21"/>
        <v>HerculanoHouzel_etal_2015_Table2</v>
      </c>
      <c r="L73" t="str">
        <f t="shared" si="28"/>
        <v>10.1159%2F000437413_Table2</v>
      </c>
      <c r="M73" t="str">
        <f t="array" ref="M73">IFERROR(INDEX(FileList!$A$1:$A$100,MATCH(TRUE,EXACT(L73,_xlfn.TEXTBEFORE(FileList!$A$1:$A$100,".tsv")),0)),"notfound")</f>
        <v>10.1159%2F000437413_Table2.tsv</v>
      </c>
      <c r="N73" s="8" t="s">
        <v>381</v>
      </c>
      <c r="P73" s="8" t="s">
        <v>41</v>
      </c>
      <c r="Q73" s="8" t="s">
        <v>51</v>
      </c>
      <c r="R73" s="8" t="s">
        <v>382</v>
      </c>
      <c r="S73" s="8" t="s">
        <v>53</v>
      </c>
      <c r="T73" s="8" t="s">
        <v>383</v>
      </c>
      <c r="U73" s="8" t="s">
        <v>55</v>
      </c>
      <c r="V73" s="8" t="s">
        <v>42</v>
      </c>
      <c r="W73" s="8" t="s">
        <v>187</v>
      </c>
      <c r="X73" s="8" t="s">
        <v>344</v>
      </c>
      <c r="Y73" s="8" t="s">
        <v>58</v>
      </c>
      <c r="Z73" s="8" t="s">
        <v>58</v>
      </c>
      <c r="AG73" s="8" t="s">
        <v>59</v>
      </c>
      <c r="AH73" s="8" t="s">
        <v>60</v>
      </c>
      <c r="AI73" s="8" t="s">
        <v>275</v>
      </c>
      <c r="AJ73" s="8" t="s">
        <v>380</v>
      </c>
      <c r="AL73" s="8" t="s">
        <v>63</v>
      </c>
      <c r="AM73" s="8" t="s">
        <v>64</v>
      </c>
    </row>
    <row r="74" spans="1:39" ht="16" customHeight="1" x14ac:dyDescent="0.2">
      <c r="A74" s="2" t="s">
        <v>375</v>
      </c>
      <c r="D74" s="2" t="s">
        <v>66</v>
      </c>
      <c r="E74" t="str">
        <f t="shared" si="22"/>
        <v>3</v>
      </c>
      <c r="F74" t="str">
        <f t="shared" si="23"/>
        <v>HerculanoHouzel_etal_2015</v>
      </c>
      <c r="G74" t="str">
        <f t="shared" si="24"/>
        <v>HerculanoHouzel</v>
      </c>
      <c r="H74" t="str">
        <f t="shared" si="25"/>
        <v>etal</v>
      </c>
      <c r="I74" t="str">
        <f t="shared" si="26"/>
        <v>2015</v>
      </c>
      <c r="J74" t="str">
        <f t="shared" si="27"/>
        <v>10.1159%2F000437413</v>
      </c>
      <c r="K74" t="str">
        <f t="shared" si="21"/>
        <v>HerculanoHouzel_etal_2015_Table3</v>
      </c>
      <c r="L74" t="str">
        <f t="shared" si="28"/>
        <v>10.1159%2F000437413_Table3</v>
      </c>
      <c r="M74" t="str">
        <f t="array" ref="M74">IFERROR(INDEX(FileList!$A$1:$A$100,MATCH(TRUE,EXACT(L74,_xlfn.TEXTBEFORE(FileList!$A$1:$A$100,".tsv")),0)),"notfound")</f>
        <v>10.1159%2F000437413_Table3.tsv</v>
      </c>
      <c r="N74" s="8" t="s">
        <v>384</v>
      </c>
      <c r="P74" s="8" t="s">
        <v>41</v>
      </c>
      <c r="Q74" s="8" t="s">
        <v>51</v>
      </c>
      <c r="R74" s="8" t="s">
        <v>385</v>
      </c>
      <c r="S74" s="8" t="s">
        <v>53</v>
      </c>
      <c r="T74" s="8" t="s">
        <v>386</v>
      </c>
      <c r="U74" s="8" t="s">
        <v>55</v>
      </c>
      <c r="V74" s="8" t="s">
        <v>42</v>
      </c>
      <c r="W74" s="8" t="s">
        <v>187</v>
      </c>
      <c r="X74" s="8" t="s">
        <v>344</v>
      </c>
      <c r="Y74" s="8" t="s">
        <v>58</v>
      </c>
      <c r="Z74" s="8" t="s">
        <v>58</v>
      </c>
      <c r="AG74" s="8" t="s">
        <v>59</v>
      </c>
      <c r="AH74" s="8" t="s">
        <v>60</v>
      </c>
      <c r="AI74" s="8" t="s">
        <v>275</v>
      </c>
      <c r="AJ74" s="8" t="s">
        <v>380</v>
      </c>
      <c r="AL74" s="8" t="s">
        <v>63</v>
      </c>
      <c r="AM74" s="8" t="s">
        <v>64</v>
      </c>
    </row>
    <row r="75" spans="1:39" ht="16" customHeight="1" x14ac:dyDescent="0.2">
      <c r="A75" s="2" t="s">
        <v>375</v>
      </c>
      <c r="D75" s="2" t="s">
        <v>40</v>
      </c>
      <c r="E75" t="str">
        <f t="shared" si="22"/>
        <v>3</v>
      </c>
      <c r="F75" t="str">
        <f t="shared" si="23"/>
        <v>HerculanoHouzel_etal_2015</v>
      </c>
      <c r="G75" t="str">
        <f t="shared" si="24"/>
        <v>HerculanoHouzel</v>
      </c>
      <c r="H75" t="str">
        <f t="shared" si="25"/>
        <v>etal</v>
      </c>
      <c r="I75" t="str">
        <f t="shared" si="26"/>
        <v>2015</v>
      </c>
      <c r="J75" t="str">
        <f t="shared" si="27"/>
        <v>10.1159%2F000437413</v>
      </c>
      <c r="K75" t="str">
        <f t="shared" si="21"/>
        <v>HerculanoHouzel_etal_2015_Table4</v>
      </c>
      <c r="L75" t="str">
        <f t="shared" si="28"/>
        <v>10.1159%2F000437413_Table4</v>
      </c>
      <c r="M75" t="str">
        <f t="array" ref="M75">IFERROR(INDEX(FileList!$A$1:$A$100,MATCH(TRUE,EXACT(L75,_xlfn.TEXTBEFORE(FileList!$A$1:$A$100,".tsv")),0)),"notfound")</f>
        <v>10.1159%2F000437413_Table4.tsv</v>
      </c>
      <c r="N75" s="8" t="s">
        <v>387</v>
      </c>
      <c r="P75" s="8" t="s">
        <v>41</v>
      </c>
      <c r="Q75" s="8" t="s">
        <v>51</v>
      </c>
      <c r="R75" s="8" t="s">
        <v>388</v>
      </c>
      <c r="S75" s="8" t="s">
        <v>53</v>
      </c>
      <c r="T75" s="8" t="s">
        <v>389</v>
      </c>
      <c r="U75" s="8" t="s">
        <v>55</v>
      </c>
      <c r="V75" s="8" t="s">
        <v>42</v>
      </c>
      <c r="W75" s="8" t="s">
        <v>187</v>
      </c>
      <c r="X75" s="8" t="s">
        <v>344</v>
      </c>
      <c r="Y75" s="8" t="s">
        <v>58</v>
      </c>
      <c r="Z75" s="8" t="s">
        <v>58</v>
      </c>
      <c r="AG75" s="8" t="s">
        <v>59</v>
      </c>
      <c r="AH75" s="8" t="s">
        <v>60</v>
      </c>
      <c r="AI75" s="8" t="s">
        <v>275</v>
      </c>
      <c r="AJ75" s="8" t="s">
        <v>380</v>
      </c>
      <c r="AL75" s="8" t="s">
        <v>63</v>
      </c>
      <c r="AM75" s="8" t="s">
        <v>64</v>
      </c>
    </row>
    <row r="76" spans="1:39" ht="16" customHeight="1" x14ac:dyDescent="0.2">
      <c r="A76" s="2" t="s">
        <v>375</v>
      </c>
      <c r="D76" s="2" t="s">
        <v>68</v>
      </c>
      <c r="E76" t="str">
        <f t="shared" si="22"/>
        <v>3</v>
      </c>
      <c r="F76" t="str">
        <f t="shared" si="23"/>
        <v>HerculanoHouzel_etal_2015</v>
      </c>
      <c r="G76" t="str">
        <f t="shared" si="24"/>
        <v>HerculanoHouzel</v>
      </c>
      <c r="H76" t="str">
        <f t="shared" si="25"/>
        <v>etal</v>
      </c>
      <c r="I76" t="str">
        <f t="shared" si="26"/>
        <v>2015</v>
      </c>
      <c r="J76" t="str">
        <f t="shared" si="27"/>
        <v>10.1159%2F000437413</v>
      </c>
      <c r="K76" t="str">
        <f t="shared" si="21"/>
        <v>HerculanoHouzel_etal_2015_Table5</v>
      </c>
      <c r="L76" t="str">
        <f t="shared" si="28"/>
        <v>10.1159%2F000437413_Table5</v>
      </c>
      <c r="M76" t="str">
        <f t="array" ref="M76">IFERROR(INDEX(FileList!$A$1:$A$100,MATCH(TRUE,EXACT(L76,_xlfn.TEXTBEFORE(FileList!$A$1:$A$100,".tsv")),0)),"notfound")</f>
        <v>10.1159%2F000437413_Table5.tsv</v>
      </c>
      <c r="N76" s="8" t="s">
        <v>390</v>
      </c>
      <c r="P76" s="8" t="s">
        <v>41</v>
      </c>
      <c r="Q76" s="8" t="s">
        <v>51</v>
      </c>
      <c r="R76" s="8" t="s">
        <v>391</v>
      </c>
      <c r="S76" s="8" t="s">
        <v>53</v>
      </c>
      <c r="T76" s="8" t="s">
        <v>392</v>
      </c>
      <c r="U76" s="8" t="s">
        <v>55</v>
      </c>
      <c r="V76" s="8" t="s">
        <v>42</v>
      </c>
      <c r="W76" s="8" t="s">
        <v>187</v>
      </c>
      <c r="X76" s="8" t="s">
        <v>344</v>
      </c>
      <c r="Y76" s="8" t="s">
        <v>58</v>
      </c>
      <c r="Z76" s="8" t="s">
        <v>58</v>
      </c>
      <c r="AG76" s="8" t="s">
        <v>59</v>
      </c>
      <c r="AH76" s="8" t="s">
        <v>60</v>
      </c>
      <c r="AI76" s="8" t="s">
        <v>275</v>
      </c>
      <c r="AJ76" s="8" t="s">
        <v>380</v>
      </c>
      <c r="AL76" s="8" t="s">
        <v>63</v>
      </c>
      <c r="AM76" s="8" t="s">
        <v>64</v>
      </c>
    </row>
    <row r="77" spans="1:39" ht="16" customHeight="1" x14ac:dyDescent="0.2">
      <c r="A77" s="2" t="s">
        <v>393</v>
      </c>
      <c r="D77" s="2" t="s">
        <v>49</v>
      </c>
      <c r="E77" t="str">
        <f t="shared" si="22"/>
        <v>5</v>
      </c>
      <c r="F77" t="str">
        <f t="shared" si="23"/>
        <v>HerculanoHouzel_etal_2020</v>
      </c>
      <c r="G77" t="str">
        <f t="shared" si="24"/>
        <v>HerculanoHouzel</v>
      </c>
      <c r="H77" t="str">
        <f t="shared" si="25"/>
        <v>etal</v>
      </c>
      <c r="I77" t="str">
        <f t="shared" si="26"/>
        <v>2020</v>
      </c>
      <c r="J77" t="str">
        <f t="shared" si="27"/>
        <v>10.1002%2Fcne.24985</v>
      </c>
      <c r="K77" t="str">
        <f t="shared" si="21"/>
        <v>HerculanoHouzel_etal_2020_TABLE1</v>
      </c>
      <c r="L77" t="str">
        <f t="shared" si="28"/>
        <v>10.1002%2Fcne.24985_TABLE1</v>
      </c>
      <c r="M77" t="str">
        <f t="array" ref="M77">IFERROR(INDEX(FileList!$A$1:$A$100,MATCH(TRUE,EXACT(L77,_xlfn.TEXTBEFORE(FileList!$A$1:$A$100,".tsv")),0)),"notfound")</f>
        <v>10.1002%2Fcne.24985_TABLE1.tsv</v>
      </c>
      <c r="N77" s="8" t="s">
        <v>394</v>
      </c>
      <c r="P77" s="8" t="s">
        <v>41</v>
      </c>
      <c r="Q77" s="8" t="s">
        <v>51</v>
      </c>
      <c r="R77" s="8" t="s">
        <v>395</v>
      </c>
      <c r="S77" s="8" t="s">
        <v>53</v>
      </c>
      <c r="T77" s="8" t="s">
        <v>396</v>
      </c>
      <c r="U77" s="8" t="s">
        <v>55</v>
      </c>
      <c r="V77" s="8" t="s">
        <v>42</v>
      </c>
      <c r="W77" s="8" t="s">
        <v>202</v>
      </c>
      <c r="X77" s="8" t="s">
        <v>397</v>
      </c>
      <c r="Y77" s="8" t="s">
        <v>58</v>
      </c>
      <c r="Z77" s="8" t="s">
        <v>58</v>
      </c>
      <c r="AC77" s="8" t="s">
        <v>152</v>
      </c>
      <c r="AG77" s="8" t="s">
        <v>59</v>
      </c>
      <c r="AH77" s="8" t="s">
        <v>398</v>
      </c>
      <c r="AI77" s="8" t="s">
        <v>399</v>
      </c>
      <c r="AJ77" s="8" t="s">
        <v>400</v>
      </c>
      <c r="AL77" s="8" t="s">
        <v>63</v>
      </c>
      <c r="AM77" s="8" t="s">
        <v>401</v>
      </c>
    </row>
    <row r="78" spans="1:39" ht="16" customHeight="1" x14ac:dyDescent="0.2">
      <c r="A78" s="2" t="s">
        <v>393</v>
      </c>
      <c r="D78" s="2" t="s">
        <v>92</v>
      </c>
      <c r="E78" t="str">
        <f t="shared" si="22"/>
        <v>5</v>
      </c>
      <c r="F78" t="str">
        <f t="shared" si="23"/>
        <v>HerculanoHouzel_etal_2020</v>
      </c>
      <c r="G78" t="str">
        <f t="shared" si="24"/>
        <v>HerculanoHouzel</v>
      </c>
      <c r="H78" t="str">
        <f t="shared" si="25"/>
        <v>etal</v>
      </c>
      <c r="I78" t="str">
        <f t="shared" si="26"/>
        <v>2020</v>
      </c>
      <c r="J78" t="str">
        <f t="shared" si="27"/>
        <v>10.1002%2Fcne.24985</v>
      </c>
      <c r="K78" t="str">
        <f t="shared" ref="K78:K109" si="29">TRIM(_xlfn.TEXTJOIN("_",FALSE,F78,(SUBSTITUTE(SUBSTITUTE(D78," ",""), "_", ""))))</f>
        <v>HerculanoHouzel_etal_2020_TABLE2</v>
      </c>
      <c r="L78" t="str">
        <f t="shared" si="28"/>
        <v>10.1002%2Fcne.24985_TABLE2</v>
      </c>
      <c r="M78" t="str">
        <f t="array" ref="M78">IFERROR(INDEX(FileList!$A$1:$A$100,MATCH(TRUE,EXACT(L78,_xlfn.TEXTBEFORE(FileList!$A$1:$A$100,".tsv")),0)),"notfound")</f>
        <v>10.1002%2Fcne.24985_TABLE2.tsv</v>
      </c>
      <c r="N78" s="8" t="s">
        <v>402</v>
      </c>
      <c r="P78" s="8" t="s">
        <v>41</v>
      </c>
      <c r="Q78" s="8" t="s">
        <v>51</v>
      </c>
      <c r="R78" s="8" t="s">
        <v>403</v>
      </c>
      <c r="S78" s="8" t="s">
        <v>53</v>
      </c>
      <c r="T78" s="8" t="s">
        <v>404</v>
      </c>
      <c r="U78" s="8" t="s">
        <v>55</v>
      </c>
      <c r="V78" s="8" t="s">
        <v>42</v>
      </c>
      <c r="W78" s="8" t="s">
        <v>202</v>
      </c>
      <c r="X78" s="8" t="s">
        <v>397</v>
      </c>
      <c r="Y78" s="8" t="s">
        <v>58</v>
      </c>
      <c r="Z78" s="8" t="s">
        <v>58</v>
      </c>
      <c r="AC78" s="8" t="s">
        <v>152</v>
      </c>
      <c r="AG78" s="8" t="s">
        <v>59</v>
      </c>
      <c r="AH78" s="8" t="s">
        <v>398</v>
      </c>
      <c r="AI78" s="8" t="s">
        <v>405</v>
      </c>
      <c r="AJ78" s="8" t="s">
        <v>400</v>
      </c>
      <c r="AL78" s="8" t="s">
        <v>63</v>
      </c>
      <c r="AM78" s="8" t="s">
        <v>64</v>
      </c>
    </row>
    <row r="79" spans="1:39" ht="16" customHeight="1" x14ac:dyDescent="0.2">
      <c r="A79" s="2" t="s">
        <v>406</v>
      </c>
      <c r="D79" s="2" t="s">
        <v>407</v>
      </c>
      <c r="E79" t="str">
        <f t="shared" si="22"/>
        <v>5</v>
      </c>
      <c r="F79" t="str">
        <f t="shared" si="23"/>
        <v>HerculanoHouzel_etal_2013</v>
      </c>
      <c r="G79" t="str">
        <f t="shared" si="24"/>
        <v>HerculanoHouzel</v>
      </c>
      <c r="H79" t="str">
        <f t="shared" si="25"/>
        <v>etal</v>
      </c>
      <c r="I79" t="str">
        <f t="shared" si="26"/>
        <v>2013</v>
      </c>
      <c r="J79" t="str">
        <f t="shared" si="27"/>
        <v>10.3389%2Ffnana.2013.00035</v>
      </c>
      <c r="K79" t="str">
        <f t="shared" si="29"/>
        <v>HerculanoHouzel_etal_2013_Figure2TopLeft</v>
      </c>
      <c r="L79" t="str">
        <f t="shared" si="28"/>
        <v>10.3389%2Ffnana.2013.00035_Figure2TopLeft</v>
      </c>
      <c r="M79" t="str">
        <f t="array" ref="M79">IFERROR(INDEX(FileList!$A$1:$A$100,MATCH(TRUE,EXACT(L79,_xlfn.TEXTBEFORE(FileList!$A$1:$A$100,".tsv")),0)),"notfound")</f>
        <v>notfound</v>
      </c>
      <c r="Q79" s="8" t="s">
        <v>128</v>
      </c>
      <c r="Y79" s="8" t="s">
        <v>58</v>
      </c>
      <c r="Z79" s="8" t="s">
        <v>58</v>
      </c>
      <c r="AG79" s="8" t="s">
        <v>59</v>
      </c>
      <c r="AI79" s="8" t="s">
        <v>408</v>
      </c>
      <c r="AJ79" s="8" t="s">
        <v>136</v>
      </c>
      <c r="AL79" s="8" t="s">
        <v>63</v>
      </c>
      <c r="AM79" s="8" t="s">
        <v>64</v>
      </c>
    </row>
    <row r="80" spans="1:39" ht="16" customHeight="1" x14ac:dyDescent="0.2">
      <c r="A80" s="2" t="s">
        <v>406</v>
      </c>
      <c r="D80" s="2" t="s">
        <v>409</v>
      </c>
      <c r="E80" t="str">
        <f t="shared" si="22"/>
        <v>5</v>
      </c>
      <c r="F80" t="str">
        <f t="shared" si="23"/>
        <v>HerculanoHouzel_etal_2013</v>
      </c>
      <c r="G80" t="str">
        <f t="shared" si="24"/>
        <v>HerculanoHouzel</v>
      </c>
      <c r="H80" t="str">
        <f t="shared" si="25"/>
        <v>etal</v>
      </c>
      <c r="I80" t="str">
        <f t="shared" si="26"/>
        <v>2013</v>
      </c>
      <c r="J80" t="str">
        <f t="shared" si="27"/>
        <v>10.3389%2Ffnana.2013.00035</v>
      </c>
      <c r="K80" t="str">
        <f t="shared" si="29"/>
        <v>HerculanoHouzel_etal_2013_Table1-a</v>
      </c>
      <c r="L80" t="str">
        <f t="shared" si="28"/>
        <v>10.3389%2Ffnana.2013.00035_Table1-a</v>
      </c>
      <c r="M80" t="str">
        <f t="array" ref="M80">IFERROR(INDEX(FileList!$A$1:$A$100,MATCH(TRUE,EXACT(L80,_xlfn.TEXTBEFORE(FileList!$A$1:$A$100,".tsv")),0)),"notfound")</f>
        <v>notfound</v>
      </c>
      <c r="Q80" s="8" t="s">
        <v>128</v>
      </c>
      <c r="V80" s="8" t="s">
        <v>42</v>
      </c>
      <c r="Y80" s="8" t="s">
        <v>58</v>
      </c>
      <c r="Z80" s="8" t="s">
        <v>58</v>
      </c>
      <c r="AG80" s="8" t="s">
        <v>59</v>
      </c>
      <c r="AI80" s="8" t="s">
        <v>408</v>
      </c>
      <c r="AJ80" s="8" t="s">
        <v>136</v>
      </c>
      <c r="AL80" s="8" t="s">
        <v>63</v>
      </c>
      <c r="AM80" s="8" t="s">
        <v>64</v>
      </c>
    </row>
    <row r="81" spans="1:39" ht="16" customHeight="1" x14ac:dyDescent="0.2">
      <c r="A81" s="2" t="s">
        <v>406</v>
      </c>
      <c r="D81" s="2" t="s">
        <v>410</v>
      </c>
      <c r="E81" t="str">
        <f t="shared" si="22"/>
        <v>5</v>
      </c>
      <c r="F81" t="str">
        <f t="shared" si="23"/>
        <v>HerculanoHouzel_etal_2013</v>
      </c>
      <c r="G81" t="str">
        <f t="shared" si="24"/>
        <v>HerculanoHouzel</v>
      </c>
      <c r="H81" t="str">
        <f t="shared" si="25"/>
        <v>etal</v>
      </c>
      <c r="I81" t="str">
        <f t="shared" si="26"/>
        <v>2013</v>
      </c>
      <c r="J81" t="str">
        <f t="shared" si="27"/>
        <v>10.3389%2Ffnana.2013.00035</v>
      </c>
      <c r="K81" t="str">
        <f t="shared" si="29"/>
        <v>HerculanoHouzel_etal_2013_Table1-b</v>
      </c>
      <c r="L81" t="str">
        <f t="shared" si="28"/>
        <v>10.3389%2Ffnana.2013.00035_Table1-b</v>
      </c>
      <c r="M81" t="str">
        <f t="array" ref="M81">IFERROR(INDEX(FileList!$A$1:$A$100,MATCH(TRUE,EXACT(L81,_xlfn.TEXTBEFORE(FileList!$A$1:$A$100,".tsv")),0)),"notfound")</f>
        <v>notfound</v>
      </c>
      <c r="Q81" s="8" t="s">
        <v>128</v>
      </c>
      <c r="V81" s="8" t="s">
        <v>42</v>
      </c>
      <c r="Y81" s="8" t="s">
        <v>58</v>
      </c>
      <c r="Z81" s="8" t="s">
        <v>58</v>
      </c>
      <c r="AG81" s="8" t="s">
        <v>59</v>
      </c>
      <c r="AI81" s="8" t="s">
        <v>408</v>
      </c>
      <c r="AJ81" s="8" t="s">
        <v>136</v>
      </c>
      <c r="AL81" s="8" t="s">
        <v>63</v>
      </c>
      <c r="AM81" s="8" t="s">
        <v>64</v>
      </c>
    </row>
    <row r="82" spans="1:39" ht="16" customHeight="1" x14ac:dyDescent="0.2">
      <c r="A82" s="2" t="s">
        <v>411</v>
      </c>
      <c r="D82" s="2" t="s">
        <v>119</v>
      </c>
      <c r="E82" t="str">
        <f t="shared" si="22"/>
        <v>4</v>
      </c>
      <c r="F82" t="str">
        <f t="shared" si="23"/>
        <v>Isler_etal_2008</v>
      </c>
      <c r="G82" t="str">
        <f t="shared" si="24"/>
        <v>Isler</v>
      </c>
      <c r="H82" t="str">
        <f t="shared" si="25"/>
        <v>etal</v>
      </c>
      <c r="I82" t="str">
        <f t="shared" si="26"/>
        <v>2008</v>
      </c>
      <c r="J82" t="str">
        <f t="shared" si="27"/>
        <v>10.1016%2Fj.jhevol.2008.08.004</v>
      </c>
      <c r="K82" t="str">
        <f t="shared" si="29"/>
        <v>Isler_etal_2008_Table2</v>
      </c>
      <c r="L82" t="str">
        <f t="shared" si="28"/>
        <v>10.1016%2Fj.jhevol.2008.08.004_Table2</v>
      </c>
      <c r="M82" t="str">
        <f t="array" ref="M82">IFERROR(INDEX(FileList!$A$1:$A$100,MATCH(TRUE,EXACT(L82,_xlfn.TEXTBEFORE(FileList!$A$1:$A$100,".tsv")),0)),"notfound")</f>
        <v>10.1016%2Fj.jhevol.2008.08.004_Table2.tsv</v>
      </c>
      <c r="Q82" s="8" t="s">
        <v>128</v>
      </c>
      <c r="V82" s="8" t="s">
        <v>42</v>
      </c>
      <c r="AI82" s="8" t="s">
        <v>412</v>
      </c>
      <c r="AJ82" s="8" t="s">
        <v>118</v>
      </c>
      <c r="AL82" s="8" t="s">
        <v>137</v>
      </c>
      <c r="AM82" s="8" t="s">
        <v>413</v>
      </c>
    </row>
    <row r="83" spans="1:39" ht="16" customHeight="1" x14ac:dyDescent="0.2">
      <c r="A83" s="2" t="s">
        <v>411</v>
      </c>
      <c r="D83" s="2" t="s">
        <v>414</v>
      </c>
      <c r="E83" t="str">
        <f t="shared" si="22"/>
        <v>4</v>
      </c>
      <c r="F83" t="str">
        <f t="shared" si="23"/>
        <v>Isler_etal_2008</v>
      </c>
      <c r="G83" t="str">
        <f t="shared" si="24"/>
        <v>Isler</v>
      </c>
      <c r="H83" t="str">
        <f t="shared" si="25"/>
        <v>etal</v>
      </c>
      <c r="I83" t="str">
        <f t="shared" si="26"/>
        <v>2008</v>
      </c>
      <c r="J83" t="str">
        <f t="shared" si="27"/>
        <v>10.1016%2Fj.jhevol.2008.08.004</v>
      </c>
      <c r="K83" t="str">
        <f t="shared" si="29"/>
        <v>Isler_etal_2008_Table7</v>
      </c>
      <c r="L83" t="str">
        <f t="shared" si="28"/>
        <v>10.1016%2Fj.jhevol.2008.08.004_Table7</v>
      </c>
      <c r="M83" t="str">
        <f t="array" ref="M83">IFERROR(INDEX(FileList!$A$1:$A$100,MATCH(TRUE,EXACT(L83,_xlfn.TEXTBEFORE(FileList!$A$1:$A$100,".tsv")),0)),"notfound")</f>
        <v>10.1016%2Fj.jhevol.2008.08.004_Table7.tsv</v>
      </c>
      <c r="Q83" s="8" t="s">
        <v>128</v>
      </c>
      <c r="V83" s="8" t="s">
        <v>42</v>
      </c>
      <c r="AI83" s="8" t="s">
        <v>412</v>
      </c>
      <c r="AJ83" s="8" t="s">
        <v>118</v>
      </c>
      <c r="AL83" s="8" t="s">
        <v>137</v>
      </c>
      <c r="AM83" s="8" t="s">
        <v>413</v>
      </c>
    </row>
    <row r="84" spans="1:39" ht="16" customHeight="1" x14ac:dyDescent="0.2">
      <c r="A84" s="2" t="s">
        <v>411</v>
      </c>
      <c r="D84" s="2" t="s">
        <v>194</v>
      </c>
      <c r="E84" t="str">
        <f t="shared" si="22"/>
        <v>4</v>
      </c>
      <c r="F84" t="str">
        <f t="shared" si="23"/>
        <v>Isler_etal_2008</v>
      </c>
      <c r="G84" t="str">
        <f t="shared" si="24"/>
        <v>Isler</v>
      </c>
      <c r="H84" t="str">
        <f t="shared" si="25"/>
        <v>etal</v>
      </c>
      <c r="I84" t="str">
        <f t="shared" si="26"/>
        <v>2008</v>
      </c>
      <c r="J84" t="str">
        <f t="shared" si="27"/>
        <v>10.1016%2Fj.jhevol.2008.08.004</v>
      </c>
      <c r="K84" t="str">
        <f t="shared" si="29"/>
        <v>Isler_etal_2008_TableS1</v>
      </c>
      <c r="L84" t="str">
        <f t="shared" si="28"/>
        <v>10.1016%2Fj.jhevol.2008.08.004_TableS1</v>
      </c>
      <c r="M84" t="str">
        <f t="array" ref="M84">IFERROR(INDEX(FileList!$A$1:$A$100,MATCH(TRUE,EXACT(L84,_xlfn.TEXTBEFORE(FileList!$A$1:$A$100,".tsv")),0)),"notfound")</f>
        <v>10.1016%2Fj.jhevol.2008.08.004_TableS1.tsv</v>
      </c>
      <c r="Q84" s="8" t="s">
        <v>128</v>
      </c>
      <c r="V84" s="8" t="s">
        <v>42</v>
      </c>
      <c r="AI84" s="8" t="s">
        <v>412</v>
      </c>
      <c r="AJ84" s="8" t="s">
        <v>118</v>
      </c>
      <c r="AL84" s="8" t="s">
        <v>137</v>
      </c>
      <c r="AM84" s="8" t="s">
        <v>413</v>
      </c>
    </row>
    <row r="85" spans="1:39" ht="16" customHeight="1" x14ac:dyDescent="0.2">
      <c r="A85" s="2" t="s">
        <v>411</v>
      </c>
      <c r="D85" s="2" t="s">
        <v>337</v>
      </c>
      <c r="E85" t="str">
        <f t="shared" si="22"/>
        <v>4</v>
      </c>
      <c r="F85" t="str">
        <f t="shared" si="23"/>
        <v>Isler_etal_2008</v>
      </c>
      <c r="G85" t="str">
        <f t="shared" si="24"/>
        <v>Isler</v>
      </c>
      <c r="H85" t="str">
        <f t="shared" si="25"/>
        <v>etal</v>
      </c>
      <c r="I85" t="str">
        <f t="shared" si="26"/>
        <v>2008</v>
      </c>
      <c r="J85" t="str">
        <f t="shared" si="27"/>
        <v>10.1016%2Fj.jhevol.2008.08.004</v>
      </c>
      <c r="K85" t="str">
        <f t="shared" si="29"/>
        <v>Isler_etal_2008_TableS2</v>
      </c>
      <c r="L85" t="str">
        <f t="shared" si="28"/>
        <v>10.1016%2Fj.jhevol.2008.08.004_TableS2</v>
      </c>
      <c r="M85" t="str">
        <f t="array" ref="M85">IFERROR(INDEX(FileList!$A$1:$A$100,MATCH(TRUE,EXACT(L85,_xlfn.TEXTBEFORE(FileList!$A$1:$A$100,".tsv")),0)),"notfound")</f>
        <v>10.1016%2Fj.jhevol.2008.08.004_TableS2.tsv</v>
      </c>
      <c r="Q85" s="8" t="s">
        <v>128</v>
      </c>
      <c r="V85" s="8" t="s">
        <v>42</v>
      </c>
      <c r="AI85" s="8" t="s">
        <v>412</v>
      </c>
      <c r="AJ85" s="8" t="s">
        <v>118</v>
      </c>
      <c r="AL85" s="8" t="s">
        <v>137</v>
      </c>
      <c r="AM85" s="8" t="s">
        <v>413</v>
      </c>
    </row>
    <row r="86" spans="1:39" ht="16" customHeight="1" x14ac:dyDescent="0.2">
      <c r="A86" s="2" t="s">
        <v>411</v>
      </c>
      <c r="D86" s="2" t="s">
        <v>415</v>
      </c>
      <c r="E86" t="str">
        <f t="shared" si="22"/>
        <v>4</v>
      </c>
      <c r="F86" t="str">
        <f t="shared" si="23"/>
        <v>Isler_etal_2008</v>
      </c>
      <c r="G86" t="str">
        <f t="shared" si="24"/>
        <v>Isler</v>
      </c>
      <c r="H86" t="str">
        <f t="shared" si="25"/>
        <v>etal</v>
      </c>
      <c r="I86" t="str">
        <f t="shared" si="26"/>
        <v>2008</v>
      </c>
      <c r="J86" t="str">
        <f t="shared" si="27"/>
        <v>10.1016%2Fj.jhevol.2008.08.004</v>
      </c>
      <c r="K86" t="str">
        <f t="shared" si="29"/>
        <v>Isler_etal_2008_TableS3</v>
      </c>
      <c r="L86" t="str">
        <f t="shared" si="28"/>
        <v>10.1016%2Fj.jhevol.2008.08.004_TableS3</v>
      </c>
      <c r="M86" t="str">
        <f t="array" ref="M86">IFERROR(INDEX(FileList!$A$1:$A$100,MATCH(TRUE,EXACT(L86,_xlfn.TEXTBEFORE(FileList!$A$1:$A$100,".tsv")),0)),"notfound")</f>
        <v>10.1016%2Fj.jhevol.2008.08.004_TableS3.tsv</v>
      </c>
      <c r="Q86" s="8" t="s">
        <v>128</v>
      </c>
      <c r="V86" s="8" t="s">
        <v>42</v>
      </c>
      <c r="AI86" s="8" t="s">
        <v>412</v>
      </c>
      <c r="AJ86" s="8" t="s">
        <v>118</v>
      </c>
      <c r="AL86" s="8" t="s">
        <v>137</v>
      </c>
      <c r="AM86" s="8" t="s">
        <v>413</v>
      </c>
    </row>
    <row r="87" spans="1:39" ht="16" customHeight="1" x14ac:dyDescent="0.2">
      <c r="A87" s="2" t="s">
        <v>411</v>
      </c>
      <c r="D87" s="2" t="s">
        <v>416</v>
      </c>
      <c r="E87" t="str">
        <f t="shared" si="22"/>
        <v>4</v>
      </c>
      <c r="F87" t="str">
        <f t="shared" si="23"/>
        <v>Isler_etal_2008</v>
      </c>
      <c r="G87" t="str">
        <f t="shared" si="24"/>
        <v>Isler</v>
      </c>
      <c r="H87" t="str">
        <f t="shared" si="25"/>
        <v>etal</v>
      </c>
      <c r="I87" t="str">
        <f t="shared" si="26"/>
        <v>2008</v>
      </c>
      <c r="J87" t="str">
        <f t="shared" si="27"/>
        <v>10.1016%2Fj.jhevol.2008.08.004</v>
      </c>
      <c r="K87" t="str">
        <f t="shared" si="29"/>
        <v>Isler_etal_2008_Tree.nex</v>
      </c>
      <c r="L87" t="str">
        <f t="shared" si="28"/>
        <v>10.1016%2Fj.jhevol.2008.08.004_Tree.nex</v>
      </c>
      <c r="M87" t="str">
        <f t="array" ref="M87">IFERROR(INDEX(FileList!$A$1:$A$100,MATCH(TRUE,EXACT(L87,_xlfn.TEXTBEFORE(FileList!$A$1:$A$100,".tsv")),0)),"notfound")</f>
        <v>notfound</v>
      </c>
      <c r="Q87" s="8" t="s">
        <v>128</v>
      </c>
      <c r="V87" s="8" t="s">
        <v>417</v>
      </c>
      <c r="AI87" s="8" t="s">
        <v>418</v>
      </c>
      <c r="AJ87" s="8" t="s">
        <v>118</v>
      </c>
      <c r="AL87" s="8" t="s">
        <v>137</v>
      </c>
      <c r="AM87" s="8" t="s">
        <v>419</v>
      </c>
    </row>
    <row r="88" spans="1:39" ht="15.75" customHeight="1" x14ac:dyDescent="0.2">
      <c r="A88" s="2" t="s">
        <v>420</v>
      </c>
      <c r="D88" s="2" t="s">
        <v>75</v>
      </c>
      <c r="E88" t="str">
        <f t="shared" si="22"/>
        <v>9</v>
      </c>
      <c r="F88" t="str">
        <f t="shared" si="23"/>
        <v>Iwaniuk_etal_2001</v>
      </c>
      <c r="G88" t="str">
        <f t="shared" si="24"/>
        <v>Iwaniuk</v>
      </c>
      <c r="H88" t="str">
        <f t="shared" si="25"/>
        <v>etal</v>
      </c>
      <c r="I88" t="str">
        <f t="shared" si="26"/>
        <v>2001</v>
      </c>
      <c r="J88" t="str">
        <f t="shared" si="27"/>
        <v>10.1037%2F0735-7036.115.1.29</v>
      </c>
      <c r="K88" t="str">
        <f t="shared" si="29"/>
        <v>Iwaniuk_etal_2001_Table1</v>
      </c>
      <c r="L88" t="str">
        <f t="shared" si="28"/>
        <v>10.1037%2F0735-7036.115.1.29_Table1</v>
      </c>
      <c r="M88" t="str">
        <f t="array" ref="M88">IFERROR(INDEX(FileList!$A$1:$A$100,MATCH(TRUE,EXACT(L88,_xlfn.TEXTBEFORE(FileList!$A$1:$A$100,".tsv")),0)),"notfound")</f>
        <v>10.1037%2F0735-7036.115.1.29_Table1.tsv</v>
      </c>
      <c r="N88" s="8" t="s">
        <v>421</v>
      </c>
      <c r="P88" s="8" t="s">
        <v>422</v>
      </c>
      <c r="Q88" s="8" t="s">
        <v>198</v>
      </c>
      <c r="T88" s="8" t="str">
        <f>IF(S88="N", R88, "write file name")</f>
        <v>write file name</v>
      </c>
      <c r="U88" s="8" t="s">
        <v>55</v>
      </c>
      <c r="V88" s="8" t="s">
        <v>42</v>
      </c>
      <c r="AH88" s="8" t="s">
        <v>423</v>
      </c>
      <c r="AI88" s="8" t="s">
        <v>424</v>
      </c>
      <c r="AJ88" s="8" t="s">
        <v>136</v>
      </c>
      <c r="AL88" s="8" t="s">
        <v>137</v>
      </c>
      <c r="AM88" s="8" t="s">
        <v>425</v>
      </c>
    </row>
    <row r="89" spans="1:39" ht="15.75" customHeight="1" x14ac:dyDescent="0.2">
      <c r="A89" s="2" t="s">
        <v>420</v>
      </c>
      <c r="D89" s="2" t="s">
        <v>119</v>
      </c>
      <c r="E89" t="str">
        <f t="shared" si="22"/>
        <v>9</v>
      </c>
      <c r="F89" t="str">
        <f t="shared" si="23"/>
        <v>Iwaniuk_etal_2001</v>
      </c>
      <c r="G89" t="str">
        <f t="shared" si="24"/>
        <v>Iwaniuk</v>
      </c>
      <c r="H89" t="str">
        <f t="shared" si="25"/>
        <v>etal</v>
      </c>
      <c r="I89" t="str">
        <f t="shared" si="26"/>
        <v>2001</v>
      </c>
      <c r="J89" t="str">
        <f t="shared" si="27"/>
        <v>10.1037%2F0735-7036.115.1.29</v>
      </c>
      <c r="K89" t="str">
        <f t="shared" si="29"/>
        <v>Iwaniuk_etal_2001_Table2</v>
      </c>
      <c r="L89" t="str">
        <f t="shared" si="28"/>
        <v>10.1037%2F0735-7036.115.1.29_Table2</v>
      </c>
      <c r="M89" t="str">
        <f t="array" ref="M89">IFERROR(INDEX(FileList!$A$1:$A$100,MATCH(TRUE,EXACT(L89,_xlfn.TEXTBEFORE(FileList!$A$1:$A$100,".tsv")),0)),"notfound")</f>
        <v>10.1037%2F0735-7036.115.1.29_Table2.tsv</v>
      </c>
      <c r="N89" s="8" t="s">
        <v>426</v>
      </c>
      <c r="P89" s="8" t="s">
        <v>422</v>
      </c>
      <c r="Q89" s="8" t="s">
        <v>198</v>
      </c>
      <c r="T89" s="8" t="str">
        <f>IF(S89="N", R89, "write file name")</f>
        <v>write file name</v>
      </c>
      <c r="U89" s="8" t="s">
        <v>55</v>
      </c>
      <c r="V89" s="8" t="s">
        <v>42</v>
      </c>
      <c r="AH89" s="8" t="s">
        <v>423</v>
      </c>
      <c r="AI89" s="8" t="s">
        <v>424</v>
      </c>
      <c r="AJ89" s="8" t="s">
        <v>136</v>
      </c>
      <c r="AL89" s="8" t="s">
        <v>137</v>
      </c>
      <c r="AM89" s="8" t="s">
        <v>425</v>
      </c>
    </row>
    <row r="90" spans="1:39" ht="15.75" customHeight="1" x14ac:dyDescent="0.2">
      <c r="A90" s="2" t="s">
        <v>420</v>
      </c>
      <c r="D90" s="2" t="s">
        <v>66</v>
      </c>
      <c r="E90" t="str">
        <f t="shared" si="22"/>
        <v>9</v>
      </c>
      <c r="F90" t="str">
        <f t="shared" si="23"/>
        <v>Iwaniuk_etal_2001</v>
      </c>
      <c r="G90" t="str">
        <f t="shared" si="24"/>
        <v>Iwaniuk</v>
      </c>
      <c r="H90" t="str">
        <f t="shared" si="25"/>
        <v>etal</v>
      </c>
      <c r="I90" t="str">
        <f t="shared" si="26"/>
        <v>2001</v>
      </c>
      <c r="J90" t="str">
        <f t="shared" si="27"/>
        <v>10.1037%2F0735-7036.115.1.29</v>
      </c>
      <c r="K90" t="str">
        <f t="shared" si="29"/>
        <v>Iwaniuk_etal_2001_Table3</v>
      </c>
      <c r="L90" t="str">
        <f t="shared" si="28"/>
        <v>10.1037%2F0735-7036.115.1.29_Table3</v>
      </c>
      <c r="M90" t="str">
        <f t="array" ref="M90">IFERROR(INDEX(FileList!$A$1:$A$100,MATCH(TRUE,EXACT(L90,_xlfn.TEXTBEFORE(FileList!$A$1:$A$100,".tsv")),0)),"notfound")</f>
        <v>10.1037%2F0735-7036.115.1.29_Table3.tsv</v>
      </c>
      <c r="N90" s="8" t="s">
        <v>427</v>
      </c>
      <c r="P90" s="8" t="s">
        <v>422</v>
      </c>
      <c r="Q90" s="8" t="s">
        <v>198</v>
      </c>
      <c r="T90" s="8" t="str">
        <f>IF(S90="N", R90, "write file name")</f>
        <v>write file name</v>
      </c>
      <c r="U90" s="8" t="s">
        <v>55</v>
      </c>
      <c r="V90" s="8" t="s">
        <v>42</v>
      </c>
      <c r="AH90" s="8" t="s">
        <v>423</v>
      </c>
      <c r="AI90" s="8" t="s">
        <v>424</v>
      </c>
      <c r="AJ90" s="8" t="s">
        <v>136</v>
      </c>
      <c r="AL90" s="8" t="s">
        <v>137</v>
      </c>
      <c r="AM90" s="8" t="s">
        <v>425</v>
      </c>
    </row>
    <row r="91" spans="1:39" ht="15.75" customHeight="1" x14ac:dyDescent="0.2">
      <c r="A91" s="2" t="s">
        <v>420</v>
      </c>
      <c r="D91" s="2" t="s">
        <v>40</v>
      </c>
      <c r="E91" t="str">
        <f t="shared" si="22"/>
        <v>9</v>
      </c>
      <c r="F91" t="str">
        <f t="shared" si="23"/>
        <v>Iwaniuk_etal_2001</v>
      </c>
      <c r="G91" t="str">
        <f t="shared" si="24"/>
        <v>Iwaniuk</v>
      </c>
      <c r="H91" t="str">
        <f t="shared" si="25"/>
        <v>etal</v>
      </c>
      <c r="I91" t="str">
        <f t="shared" si="26"/>
        <v>2001</v>
      </c>
      <c r="J91" t="str">
        <f t="shared" si="27"/>
        <v>10.1037%2F0735-7036.115.1.29</v>
      </c>
      <c r="K91" t="str">
        <f t="shared" si="29"/>
        <v>Iwaniuk_etal_2001_Table4</v>
      </c>
      <c r="L91" t="str">
        <f t="shared" si="28"/>
        <v>10.1037%2F0735-7036.115.1.29_Table4</v>
      </c>
      <c r="M91" t="str">
        <f t="array" ref="M91">IFERROR(INDEX(FileList!$A$1:$A$100,MATCH(TRUE,EXACT(L91,_xlfn.TEXTBEFORE(FileList!$A$1:$A$100,".tsv")),0)),"notfound")</f>
        <v>10.1037%2F0735-7036.115.1.29_Table4.tsv</v>
      </c>
      <c r="N91" s="8" t="s">
        <v>428</v>
      </c>
      <c r="P91" s="8" t="s">
        <v>422</v>
      </c>
      <c r="Q91" s="8" t="s">
        <v>198</v>
      </c>
      <c r="T91" s="8" t="str">
        <f>IF(S91="N", R91, "write file name")</f>
        <v>write file name</v>
      </c>
      <c r="U91" s="8" t="s">
        <v>55</v>
      </c>
      <c r="V91" s="8" t="s">
        <v>42</v>
      </c>
      <c r="AH91" s="8" t="s">
        <v>423</v>
      </c>
      <c r="AI91" s="8" t="s">
        <v>424</v>
      </c>
      <c r="AJ91" s="8" t="s">
        <v>136</v>
      </c>
      <c r="AL91" s="8" t="s">
        <v>137</v>
      </c>
      <c r="AM91" s="8" t="s">
        <v>425</v>
      </c>
    </row>
    <row r="92" spans="1:39" ht="15.75" customHeight="1" x14ac:dyDescent="0.2">
      <c r="A92" s="2" t="s">
        <v>429</v>
      </c>
      <c r="D92" s="2" t="s">
        <v>430</v>
      </c>
      <c r="E92" t="str">
        <f t="shared" si="22"/>
        <v>x</v>
      </c>
      <c r="F92" t="str">
        <f t="shared" si="23"/>
        <v>Iwaniuk_etal_1999</v>
      </c>
      <c r="G92" t="str">
        <f t="shared" si="24"/>
        <v>Iwaniuk</v>
      </c>
      <c r="H92" t="str">
        <f t="shared" si="25"/>
        <v>etal</v>
      </c>
      <c r="I92" t="str">
        <f t="shared" si="26"/>
        <v>1999</v>
      </c>
      <c r="J92" t="str">
        <f t="shared" si="27"/>
        <v>10.1016%2Fs0166-4328(98)00151-x</v>
      </c>
      <c r="K92" t="str">
        <f t="shared" si="29"/>
        <v>Iwaniuk_etal_1999_References</v>
      </c>
      <c r="L92" t="str">
        <f t="shared" si="28"/>
        <v>10.1016%2Fs0166-4328(98)00151-x_References</v>
      </c>
      <c r="M92" t="str">
        <f t="array" ref="M92">IFERROR(INDEX(FileList!$A$1:$A$100,MATCH(TRUE,EXACT(L92,_xlfn.TEXTBEFORE(FileList!$A$1:$A$100,".tsv")),0)),"notfound")</f>
        <v>notfound</v>
      </c>
      <c r="N92" s="8" t="s">
        <v>430</v>
      </c>
      <c r="P92" s="8" t="s">
        <v>331</v>
      </c>
      <c r="V92" s="8" t="s">
        <v>431</v>
      </c>
      <c r="W92" s="8" t="s">
        <v>202</v>
      </c>
      <c r="AI92" s="8" t="s">
        <v>432</v>
      </c>
      <c r="AJ92" s="8" t="s">
        <v>136</v>
      </c>
      <c r="AL92" s="8" t="s">
        <v>137</v>
      </c>
      <c r="AM92" s="8" t="s">
        <v>433</v>
      </c>
    </row>
    <row r="93" spans="1:39" ht="15.75" customHeight="1" x14ac:dyDescent="0.2">
      <c r="A93" s="2" t="s">
        <v>429</v>
      </c>
      <c r="D93" s="2" t="s">
        <v>75</v>
      </c>
      <c r="E93" t="str">
        <f t="shared" si="22"/>
        <v>x</v>
      </c>
      <c r="F93" t="str">
        <f t="shared" si="23"/>
        <v>Iwaniuk_etal_1999</v>
      </c>
      <c r="G93" t="str">
        <f t="shared" si="24"/>
        <v>Iwaniuk</v>
      </c>
      <c r="H93" t="str">
        <f t="shared" si="25"/>
        <v>etal</v>
      </c>
      <c r="I93" t="str">
        <f t="shared" si="26"/>
        <v>1999</v>
      </c>
      <c r="J93" t="str">
        <f t="shared" si="27"/>
        <v>10.1016%2Fs0166-4328(98)00151-x</v>
      </c>
      <c r="K93" t="str">
        <f t="shared" si="29"/>
        <v>Iwaniuk_etal_1999_Table1</v>
      </c>
      <c r="L93" t="str">
        <f t="shared" si="28"/>
        <v>10.1016%2Fs0166-4328(98)00151-x_Table1</v>
      </c>
      <c r="M93" t="str">
        <f t="array" ref="M93">IFERROR(INDEX(FileList!$A$1:$A$100,MATCH(TRUE,EXACT(L93,_xlfn.TEXTBEFORE(FileList!$A$1:$A$100,".tsv")),0)),"notfound")</f>
        <v>10.1016%2Fs0166-4328(98)00151-x_Table1.tsv</v>
      </c>
      <c r="N93" s="8" t="s">
        <v>434</v>
      </c>
      <c r="P93" s="8" t="s">
        <v>331</v>
      </c>
      <c r="V93" s="8" t="s">
        <v>42</v>
      </c>
      <c r="W93" s="8" t="s">
        <v>202</v>
      </c>
      <c r="AI93" s="8" t="s">
        <v>432</v>
      </c>
      <c r="AJ93" s="8" t="s">
        <v>136</v>
      </c>
      <c r="AL93" s="8" t="s">
        <v>137</v>
      </c>
      <c r="AM93" s="8" t="s">
        <v>433</v>
      </c>
    </row>
    <row r="94" spans="1:39" ht="15.75" customHeight="1" x14ac:dyDescent="0.2">
      <c r="A94" s="2" t="s">
        <v>435</v>
      </c>
      <c r="D94" s="2" t="s">
        <v>75</v>
      </c>
      <c r="E94" t="str">
        <f t="shared" si="22"/>
        <v>8</v>
      </c>
      <c r="F94" t="str">
        <f t="shared" si="23"/>
        <v>JardimMesseder_etal_2017</v>
      </c>
      <c r="G94" t="str">
        <f t="shared" si="24"/>
        <v>JardimMesseder</v>
      </c>
      <c r="H94" t="str">
        <f t="shared" si="25"/>
        <v>etal</v>
      </c>
      <c r="I94" t="str">
        <f t="shared" si="26"/>
        <v>2017</v>
      </c>
      <c r="J94" t="str">
        <f t="shared" si="27"/>
        <v>10.3389%2Ffnana.2017.00118</v>
      </c>
      <c r="K94" t="str">
        <f t="shared" si="29"/>
        <v>JardimMesseder_etal_2017_Table1</v>
      </c>
      <c r="L94" t="str">
        <f t="shared" si="28"/>
        <v>10.3389%2Ffnana.2017.00118_Table1</v>
      </c>
      <c r="M94" t="str">
        <f t="array" ref="M94">IFERROR(INDEX(FileList!$A$1:$A$100,MATCH(TRUE,EXACT(L94,_xlfn.TEXTBEFORE(FileList!$A$1:$A$100,".tsv")),0)),"notfound")</f>
        <v>notfound</v>
      </c>
      <c r="N94" s="8" t="s">
        <v>436</v>
      </c>
      <c r="P94" s="8" t="s">
        <v>41</v>
      </c>
      <c r="Q94" s="8" t="s">
        <v>51</v>
      </c>
      <c r="R94" s="8" t="s">
        <v>437</v>
      </c>
      <c r="S94" s="8" t="s">
        <v>53</v>
      </c>
      <c r="T94" s="8" t="s">
        <v>438</v>
      </c>
      <c r="U94" s="8" t="s">
        <v>55</v>
      </c>
      <c r="V94" s="8" t="s">
        <v>42</v>
      </c>
      <c r="W94" s="8" t="s">
        <v>187</v>
      </c>
      <c r="X94" s="8" t="s">
        <v>439</v>
      </c>
      <c r="Y94" s="8" t="s">
        <v>58</v>
      </c>
      <c r="Z94" s="8" t="s">
        <v>58</v>
      </c>
      <c r="AG94" s="8" t="s">
        <v>59</v>
      </c>
      <c r="AH94" s="8" t="s">
        <v>440</v>
      </c>
      <c r="AI94" s="8" t="s">
        <v>275</v>
      </c>
      <c r="AJ94" s="8" t="s">
        <v>441</v>
      </c>
      <c r="AK94" s="8" t="s">
        <v>63</v>
      </c>
      <c r="AL94" s="8" t="s">
        <v>63</v>
      </c>
      <c r="AM94" s="8" t="s">
        <v>64</v>
      </c>
    </row>
    <row r="95" spans="1:39" ht="15.75" customHeight="1" x14ac:dyDescent="0.2">
      <c r="A95" s="2" t="s">
        <v>442</v>
      </c>
      <c r="D95" s="2" t="s">
        <v>119</v>
      </c>
      <c r="E95" t="str">
        <f t="shared" si="22"/>
        <v>4</v>
      </c>
      <c r="F95" t="str">
        <f t="shared" si="23"/>
        <v>Johansen_etal_2024</v>
      </c>
      <c r="G95" t="str">
        <f t="shared" si="24"/>
        <v>Johansen</v>
      </c>
      <c r="H95" t="str">
        <f t="shared" si="25"/>
        <v>etal</v>
      </c>
      <c r="I95" t="str">
        <f t="shared" si="26"/>
        <v>2024</v>
      </c>
      <c r="J95" t="str">
        <f t="shared" si="27"/>
        <v>10.1523%2FJNEUROSCI.1750-23.2024</v>
      </c>
      <c r="K95" t="str">
        <f t="shared" si="29"/>
        <v>Johansen_etal_2024_Table2</v>
      </c>
      <c r="L95" t="str">
        <f t="shared" si="28"/>
        <v>10.1523%2FJNEUROSCI.1750-23.2024_Table2</v>
      </c>
      <c r="M95" t="str">
        <f t="array" ref="M95">IFERROR(INDEX(FileList!$A$1:$A$100,MATCH(TRUE,EXACT(L95,_xlfn.TEXTBEFORE(FileList!$A$1:$A$100,".tsv")),0)),"notfound")</f>
        <v>notfound</v>
      </c>
      <c r="N95" s="8" t="s">
        <v>443</v>
      </c>
      <c r="V95" s="8" t="s">
        <v>42</v>
      </c>
      <c r="AI95" s="8" t="s">
        <v>444</v>
      </c>
      <c r="AJ95" s="8" t="s">
        <v>445</v>
      </c>
      <c r="AL95" s="8" t="s">
        <v>63</v>
      </c>
      <c r="AM95" s="8" t="s">
        <v>446</v>
      </c>
    </row>
    <row r="96" spans="1:39" ht="15.75" customHeight="1" x14ac:dyDescent="0.2">
      <c r="A96" s="2" t="s">
        <v>447</v>
      </c>
      <c r="D96" s="2" t="s">
        <v>75</v>
      </c>
      <c r="E96" t="str">
        <f t="shared" si="22"/>
        <v>8</v>
      </c>
      <c r="F96" t="str">
        <f t="shared" si="23"/>
        <v>Karbowski__2007</v>
      </c>
      <c r="G96" t="str">
        <f t="shared" si="24"/>
        <v>Karbowski</v>
      </c>
      <c r="H96" t="str">
        <f t="shared" si="25"/>
        <v/>
      </c>
      <c r="I96" t="str">
        <f t="shared" si="26"/>
        <v>2007</v>
      </c>
      <c r="J96" t="str">
        <f t="shared" si="27"/>
        <v>10.1186%2F1741-7007-5-18</v>
      </c>
      <c r="K96" t="str">
        <f t="shared" si="29"/>
        <v>Karbowski__2007_Table1</v>
      </c>
      <c r="L96" t="str">
        <f t="shared" si="28"/>
        <v>10.1186%2F1741-7007-5-18_Table1</v>
      </c>
      <c r="M96" t="str">
        <f t="array" ref="M96">IFERROR(INDEX(FileList!$A$1:$A$100,MATCH(TRUE,EXACT(L96,_xlfn.TEXTBEFORE(FileList!$A$1:$A$100,".tsv")),0)),"notfound")</f>
        <v>notfound</v>
      </c>
      <c r="N96" s="8" t="s">
        <v>448</v>
      </c>
      <c r="V96" s="8" t="s">
        <v>42</v>
      </c>
      <c r="AG96" s="8" t="s">
        <v>449</v>
      </c>
      <c r="AI96" s="8" t="s">
        <v>450</v>
      </c>
      <c r="AJ96" s="8" t="s">
        <v>136</v>
      </c>
      <c r="AK96" s="8" t="s">
        <v>63</v>
      </c>
      <c r="AL96" s="8" t="s">
        <v>137</v>
      </c>
      <c r="AM96" s="8" t="s">
        <v>451</v>
      </c>
    </row>
    <row r="97" spans="1:39" x14ac:dyDescent="0.2">
      <c r="A97" s="2" t="s">
        <v>452</v>
      </c>
      <c r="D97" s="2" t="s">
        <v>49</v>
      </c>
      <c r="E97" t="str">
        <f t="shared" si="22"/>
        <v>9</v>
      </c>
      <c r="F97" t="str">
        <f t="shared" si="23"/>
        <v>Karl_etal_2024</v>
      </c>
      <c r="G97" t="str">
        <f t="shared" si="24"/>
        <v>Karl</v>
      </c>
      <c r="H97" t="str">
        <f t="shared" si="25"/>
        <v>etal</v>
      </c>
      <c r="I97" t="str">
        <f t="shared" si="26"/>
        <v>2024</v>
      </c>
      <c r="J97" t="str">
        <f t="shared" si="27"/>
        <v>10.1002%2Fcne.25669</v>
      </c>
      <c r="K97" t="str">
        <f t="shared" si="29"/>
        <v>Karl_etal_2024_TABLE1</v>
      </c>
      <c r="L97" t="str">
        <f t="shared" si="28"/>
        <v>10.1002%2Fcne.25669_TABLE1</v>
      </c>
      <c r="M97" t="str">
        <f t="array" ref="M97">IFERROR(INDEX(FileList!$A$1:$A$100,MATCH(TRUE,EXACT(L97,_xlfn.TEXTBEFORE(FileList!$A$1:$A$100,".tsv")),0)),"notfound")</f>
        <v>10.1002%2Fcne.25669_TABLE1.tsv</v>
      </c>
      <c r="N97" s="8" t="s">
        <v>453</v>
      </c>
      <c r="P97" s="8" t="s">
        <v>41</v>
      </c>
      <c r="U97" s="8" t="s">
        <v>55</v>
      </c>
      <c r="V97" s="8" t="s">
        <v>42</v>
      </c>
      <c r="W97" s="8" t="s">
        <v>202</v>
      </c>
      <c r="AI97" s="8" t="s">
        <v>454</v>
      </c>
      <c r="AJ97" s="8" t="s">
        <v>136</v>
      </c>
      <c r="AK97" s="8" t="s">
        <v>63</v>
      </c>
      <c r="AL97" s="8" t="s">
        <v>63</v>
      </c>
      <c r="AM97" s="8" t="s">
        <v>454</v>
      </c>
    </row>
    <row r="98" spans="1:39" ht="15.75" customHeight="1" x14ac:dyDescent="0.2">
      <c r="A98" s="2" t="s">
        <v>455</v>
      </c>
      <c r="C98" s="2" t="s">
        <v>456</v>
      </c>
      <c r="D98" s="2" t="s">
        <v>457</v>
      </c>
      <c r="E98" t="str">
        <f t="shared" si="22"/>
        <v>.</v>
      </c>
      <c r="F98" t="str">
        <f t="shared" si="23"/>
        <v>Kaufman__2004</v>
      </c>
      <c r="G98" t="str">
        <f t="shared" si="24"/>
        <v>Kaufman</v>
      </c>
      <c r="H98" t="str">
        <f t="shared" si="25"/>
        <v/>
      </c>
      <c r="I98" t="str">
        <f t="shared" si="26"/>
        <v>2004</v>
      </c>
      <c r="J98" t="str">
        <f t="shared" si="27"/>
        <v>UMI%3A3147447</v>
      </c>
      <c r="K98" t="str">
        <f t="shared" si="29"/>
        <v>Kaufman__2004_TableA1</v>
      </c>
      <c r="L98" t="str">
        <f t="shared" si="28"/>
        <v>UMI%3A3147447_TableA1</v>
      </c>
      <c r="M98" t="str">
        <f t="array" ref="M98">IFERROR(INDEX(FileList!$A$1:$A$100,MATCH(TRUE,EXACT(L98,_xlfn.TEXTBEFORE(FileList!$A$1:$A$100,".tsv")),0)),"notfound")</f>
        <v>notfound</v>
      </c>
      <c r="N98" s="8" t="s">
        <v>458</v>
      </c>
      <c r="P98" s="8" t="s">
        <v>162</v>
      </c>
      <c r="R98" s="8" t="s">
        <v>459</v>
      </c>
      <c r="T98" s="8" t="s">
        <v>460</v>
      </c>
      <c r="V98" s="8" t="s">
        <v>42</v>
      </c>
      <c r="AB98" s="8" t="s">
        <v>461</v>
      </c>
      <c r="AI98" s="8" t="s">
        <v>462</v>
      </c>
      <c r="AJ98" s="8" t="s">
        <v>136</v>
      </c>
      <c r="AK98" s="8" t="s">
        <v>63</v>
      </c>
      <c r="AL98" s="8" t="s">
        <v>137</v>
      </c>
      <c r="AM98" s="8" t="s">
        <v>463</v>
      </c>
    </row>
    <row r="99" spans="1:39" ht="15.75" customHeight="1" x14ac:dyDescent="0.2">
      <c r="A99" s="2" t="s">
        <v>455</v>
      </c>
      <c r="C99" s="2" t="s">
        <v>456</v>
      </c>
      <c r="D99" s="2" t="s">
        <v>464</v>
      </c>
      <c r="E99" t="str">
        <f t="shared" si="22"/>
        <v>.</v>
      </c>
      <c r="F99" t="str">
        <f t="shared" si="23"/>
        <v>Kaufman__2004</v>
      </c>
      <c r="G99" t="str">
        <f t="shared" si="24"/>
        <v>Kaufman</v>
      </c>
      <c r="H99" t="str">
        <f t="shared" si="25"/>
        <v/>
      </c>
      <c r="I99" t="str">
        <f t="shared" si="26"/>
        <v>2004</v>
      </c>
      <c r="J99" t="str">
        <f t="shared" si="27"/>
        <v>UMI%3A3147447</v>
      </c>
      <c r="K99" t="str">
        <f t="shared" si="29"/>
        <v>Kaufman__2004_TableA2</v>
      </c>
      <c r="L99" t="str">
        <f t="shared" si="28"/>
        <v>UMI%3A3147447_TableA2</v>
      </c>
      <c r="M99" t="str">
        <f t="array" ref="M99">IFERROR(INDEX(FileList!$A$1:$A$100,MATCH(TRUE,EXACT(L99,_xlfn.TEXTBEFORE(FileList!$A$1:$A$100,".tsv")),0)),"notfound")</f>
        <v>notfound</v>
      </c>
      <c r="N99" s="8" t="s">
        <v>465</v>
      </c>
      <c r="P99" s="8" t="s">
        <v>162</v>
      </c>
      <c r="R99" s="8" t="s">
        <v>466</v>
      </c>
      <c r="T99" s="8" t="s">
        <v>467</v>
      </c>
      <c r="V99" s="8" t="s">
        <v>42</v>
      </c>
      <c r="AB99" s="8" t="s">
        <v>461</v>
      </c>
      <c r="AI99" s="8" t="s">
        <v>462</v>
      </c>
      <c r="AJ99" s="8" t="s">
        <v>136</v>
      </c>
      <c r="AK99" s="8" t="s">
        <v>63</v>
      </c>
      <c r="AL99" s="8" t="s">
        <v>137</v>
      </c>
      <c r="AM99" s="8" t="s">
        <v>463</v>
      </c>
    </row>
    <row r="100" spans="1:39" ht="15.75" customHeight="1" x14ac:dyDescent="0.2">
      <c r="A100" s="2" t="s">
        <v>455</v>
      </c>
      <c r="C100" s="2" t="s">
        <v>456</v>
      </c>
      <c r="D100" s="2" t="s">
        <v>468</v>
      </c>
      <c r="E100" t="str">
        <f t="shared" ref="E100:E131" si="30">RIGHT(A100,1)</f>
        <v>.</v>
      </c>
      <c r="F100" t="str">
        <f t="shared" ref="F100:F131" si="31">G100 &amp; IF(H100&lt;&gt;"", "_" &amp; H100, "_") &amp; IF(I100&lt;&gt;"", "_" &amp; I100, "_") &amp; IF(B100&lt;&gt;"", "_" &amp; B100, "")</f>
        <v>Kaufman__2004</v>
      </c>
      <c r="G100" t="str">
        <f t="shared" ref="G100:G131" si="32">SUBSTITUTE(SUBSTITUTE(_xlfn.TEXTBEFORE(A100,","), "-", ""), " ", "")</f>
        <v>Kaufman</v>
      </c>
      <c r="H100" t="str">
        <f t="shared" ref="H100:H131" si="33">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
      </c>
      <c r="I100" t="str">
        <f t="shared" ref="I100:I131" si="34">_xlfn.TEXTBEFORE(_xlfn.TEXTAFTER(A100, "("), ")")</f>
        <v>2004</v>
      </c>
      <c r="J100" t="str">
        <f t="shared" ref="J100:J130" si="35">_xlfn.LET(
_xlpm.doi,IF(C100&lt;&gt;"",C100,_xlfn.TEXTAFTER(A100,"https://doi.org/")),
SUBSTITUTE(
SUBSTITUTE(
SUBSTITUTE(
SUBSTITUTE(
_xlpm.doi,
"/","%2F"),
":","%3A"),
"&lt;","%3C"),
"&gt;","%3E")
)</f>
        <v>UMI%3A3147447</v>
      </c>
      <c r="K100" t="str">
        <f t="shared" si="29"/>
        <v>Kaufman__2004_TableA3</v>
      </c>
      <c r="L100" t="str">
        <f t="shared" ref="L100:L131" si="36">J100 &amp; "_" &amp; SUBSTITUTE(SUBSTITUTE(SUBSTITUTE(D100,CHAR(160),"")," ",""),"_","")</f>
        <v>UMI%3A3147447_TableA3</v>
      </c>
      <c r="M100" t="str">
        <f t="array" ref="M100">IFERROR(INDEX(FileList!$A$1:$A$100,MATCH(TRUE,EXACT(L100,_xlfn.TEXTBEFORE(FileList!$A$1:$A$100,".tsv")),0)),"notfound")</f>
        <v>notfound</v>
      </c>
      <c r="N100" s="8" t="s">
        <v>469</v>
      </c>
      <c r="P100" s="8" t="s">
        <v>162</v>
      </c>
      <c r="R100" s="8" t="s">
        <v>470</v>
      </c>
      <c r="T100" s="8" t="s">
        <v>471</v>
      </c>
      <c r="V100" s="8" t="s">
        <v>42</v>
      </c>
      <c r="AB100" s="8" t="s">
        <v>461</v>
      </c>
      <c r="AI100" s="8" t="s">
        <v>462</v>
      </c>
      <c r="AJ100" s="8" t="s">
        <v>136</v>
      </c>
      <c r="AK100" s="8" t="s">
        <v>63</v>
      </c>
      <c r="AL100" s="8" t="s">
        <v>137</v>
      </c>
      <c r="AM100" s="8" t="s">
        <v>463</v>
      </c>
    </row>
    <row r="101" spans="1:39" ht="15.75" customHeight="1" x14ac:dyDescent="0.2">
      <c r="A101" s="2" t="s">
        <v>455</v>
      </c>
      <c r="C101" s="2" t="s">
        <v>456</v>
      </c>
      <c r="D101" s="2" t="s">
        <v>472</v>
      </c>
      <c r="E101" t="str">
        <f t="shared" si="30"/>
        <v>.</v>
      </c>
      <c r="F101" t="str">
        <f t="shared" si="31"/>
        <v>Kaufman__2004</v>
      </c>
      <c r="G101" t="str">
        <f t="shared" si="32"/>
        <v>Kaufman</v>
      </c>
      <c r="H101" t="str">
        <f t="shared" si="33"/>
        <v/>
      </c>
      <c r="I101" t="str">
        <f t="shared" si="34"/>
        <v>2004</v>
      </c>
      <c r="J101" t="str">
        <f t="shared" si="35"/>
        <v>UMI%3A3147447</v>
      </c>
      <c r="K101" t="str">
        <f t="shared" si="29"/>
        <v>Kaufman__2004_TableA4</v>
      </c>
      <c r="L101" t="str">
        <f t="shared" si="36"/>
        <v>UMI%3A3147447_TableA4</v>
      </c>
      <c r="M101" t="str">
        <f t="array" ref="M101">IFERROR(INDEX(FileList!$A$1:$A$100,MATCH(TRUE,EXACT(L101,_xlfn.TEXTBEFORE(FileList!$A$1:$A$100,".tsv")),0)),"notfound")</f>
        <v>notfound</v>
      </c>
      <c r="N101" s="8" t="s">
        <v>473</v>
      </c>
      <c r="P101" s="8" t="s">
        <v>162</v>
      </c>
      <c r="R101" s="8" t="s">
        <v>474</v>
      </c>
      <c r="T101" s="8" t="s">
        <v>475</v>
      </c>
      <c r="V101" s="8" t="s">
        <v>42</v>
      </c>
      <c r="AB101" s="8" t="s">
        <v>461</v>
      </c>
      <c r="AI101" s="8" t="s">
        <v>462</v>
      </c>
      <c r="AJ101" s="8" t="s">
        <v>136</v>
      </c>
      <c r="AK101" s="8" t="s">
        <v>63</v>
      </c>
      <c r="AL101" s="8" t="s">
        <v>137</v>
      </c>
      <c r="AM101" s="8" t="s">
        <v>463</v>
      </c>
    </row>
    <row r="102" spans="1:39" ht="15.75" customHeight="1" x14ac:dyDescent="0.2">
      <c r="A102" s="2" t="s">
        <v>455</v>
      </c>
      <c r="C102" s="2" t="s">
        <v>456</v>
      </c>
      <c r="D102" s="2" t="s">
        <v>476</v>
      </c>
      <c r="E102" t="str">
        <f t="shared" si="30"/>
        <v>.</v>
      </c>
      <c r="F102" t="str">
        <f t="shared" si="31"/>
        <v>Kaufman__2004</v>
      </c>
      <c r="G102" t="str">
        <f t="shared" si="32"/>
        <v>Kaufman</v>
      </c>
      <c r="H102" t="str">
        <f t="shared" si="33"/>
        <v/>
      </c>
      <c r="I102" t="str">
        <f t="shared" si="34"/>
        <v>2004</v>
      </c>
      <c r="J102" t="str">
        <f t="shared" si="35"/>
        <v>UMI%3A3147447</v>
      </c>
      <c r="K102" t="str">
        <f t="shared" si="29"/>
        <v>Kaufman__2004_TableA5</v>
      </c>
      <c r="L102" t="str">
        <f t="shared" si="36"/>
        <v>UMI%3A3147447_TableA5</v>
      </c>
      <c r="M102" t="str">
        <f t="array" ref="M102">IFERROR(INDEX(FileList!$A$1:$A$100,MATCH(TRUE,EXACT(L102,_xlfn.TEXTBEFORE(FileList!$A$1:$A$100,".tsv")),0)),"notfound")</f>
        <v>notfound</v>
      </c>
      <c r="N102" s="8" t="s">
        <v>477</v>
      </c>
      <c r="P102" s="8" t="s">
        <v>162</v>
      </c>
      <c r="R102" s="8" t="s">
        <v>478</v>
      </c>
      <c r="T102" s="8" t="s">
        <v>479</v>
      </c>
      <c r="V102" s="8" t="s">
        <v>42</v>
      </c>
      <c r="AB102" s="8" t="s">
        <v>461</v>
      </c>
      <c r="AI102" s="8" t="s">
        <v>462</v>
      </c>
      <c r="AJ102" s="8" t="s">
        <v>136</v>
      </c>
      <c r="AK102" s="8" t="s">
        <v>63</v>
      </c>
      <c r="AL102" s="8" t="s">
        <v>137</v>
      </c>
      <c r="AM102" s="8" t="s">
        <v>463</v>
      </c>
    </row>
    <row r="103" spans="1:39" ht="15.75" customHeight="1" x14ac:dyDescent="0.2">
      <c r="A103" s="2" t="s">
        <v>455</v>
      </c>
      <c r="C103" s="2" t="s">
        <v>456</v>
      </c>
      <c r="D103" s="2" t="s">
        <v>480</v>
      </c>
      <c r="E103" t="str">
        <f t="shared" si="30"/>
        <v>.</v>
      </c>
      <c r="F103" t="str">
        <f t="shared" si="31"/>
        <v>Kaufman__2004</v>
      </c>
      <c r="G103" t="str">
        <f t="shared" si="32"/>
        <v>Kaufman</v>
      </c>
      <c r="H103" t="str">
        <f t="shared" si="33"/>
        <v/>
      </c>
      <c r="I103" t="str">
        <f t="shared" si="34"/>
        <v>2004</v>
      </c>
      <c r="J103" t="str">
        <f t="shared" si="35"/>
        <v>UMI%3A3147447</v>
      </c>
      <c r="K103" t="str">
        <f t="shared" si="29"/>
        <v>Kaufman__2004_TableA6</v>
      </c>
      <c r="L103" t="str">
        <f t="shared" si="36"/>
        <v>UMI%3A3147447_TableA6</v>
      </c>
      <c r="M103" t="str">
        <f t="array" ref="M103">IFERROR(INDEX(FileList!$A$1:$A$100,MATCH(TRUE,EXACT(L103,_xlfn.TEXTBEFORE(FileList!$A$1:$A$100,".tsv")),0)),"notfound")</f>
        <v>notfound</v>
      </c>
      <c r="N103" s="8" t="s">
        <v>481</v>
      </c>
      <c r="P103" s="8" t="s">
        <v>162</v>
      </c>
      <c r="R103" s="8" t="s">
        <v>482</v>
      </c>
      <c r="T103" s="8" t="s">
        <v>483</v>
      </c>
      <c r="V103" s="8" t="s">
        <v>42</v>
      </c>
      <c r="AB103" s="8" t="s">
        <v>461</v>
      </c>
      <c r="AI103" s="8" t="s">
        <v>462</v>
      </c>
      <c r="AJ103" s="8" t="s">
        <v>136</v>
      </c>
      <c r="AK103" s="8" t="s">
        <v>63</v>
      </c>
      <c r="AL103" s="8" t="s">
        <v>137</v>
      </c>
      <c r="AM103" s="8" t="s">
        <v>463</v>
      </c>
    </row>
    <row r="104" spans="1:39" ht="15.75" customHeight="1" x14ac:dyDescent="0.2">
      <c r="A104" s="2" t="s">
        <v>455</v>
      </c>
      <c r="C104" s="2" t="s">
        <v>456</v>
      </c>
      <c r="D104" s="2" t="s">
        <v>484</v>
      </c>
      <c r="E104" t="str">
        <f t="shared" si="30"/>
        <v>.</v>
      </c>
      <c r="F104" t="str">
        <f t="shared" si="31"/>
        <v>Kaufman__2004</v>
      </c>
      <c r="G104" t="str">
        <f t="shared" si="32"/>
        <v>Kaufman</v>
      </c>
      <c r="H104" t="str">
        <f t="shared" si="33"/>
        <v/>
      </c>
      <c r="I104" t="str">
        <f t="shared" si="34"/>
        <v>2004</v>
      </c>
      <c r="J104" t="str">
        <f t="shared" si="35"/>
        <v>UMI%3A3147447</v>
      </c>
      <c r="K104" t="str">
        <f t="shared" si="29"/>
        <v>Kaufman__2004_TableA7</v>
      </c>
      <c r="L104" t="str">
        <f t="shared" si="36"/>
        <v>UMI%3A3147447_TableA7</v>
      </c>
      <c r="M104" t="str">
        <f t="array" ref="M104">IFERROR(INDEX(FileList!$A$1:$A$100,MATCH(TRUE,EXACT(L104,_xlfn.TEXTBEFORE(FileList!$A$1:$A$100,".tsv")),0)),"notfound")</f>
        <v>notfound</v>
      </c>
      <c r="N104" s="8" t="s">
        <v>485</v>
      </c>
      <c r="P104" s="8" t="s">
        <v>162</v>
      </c>
      <c r="R104" s="8" t="s">
        <v>486</v>
      </c>
      <c r="T104" s="8" t="s">
        <v>487</v>
      </c>
      <c r="V104" s="8" t="s">
        <v>42</v>
      </c>
      <c r="AB104" s="8" t="s">
        <v>461</v>
      </c>
      <c r="AI104" s="8" t="s">
        <v>462</v>
      </c>
      <c r="AJ104" s="8" t="s">
        <v>136</v>
      </c>
      <c r="AK104" s="8" t="s">
        <v>63</v>
      </c>
      <c r="AL104" s="8" t="s">
        <v>137</v>
      </c>
      <c r="AM104" s="8" t="s">
        <v>463</v>
      </c>
    </row>
    <row r="105" spans="1:39" ht="15.75" customHeight="1" x14ac:dyDescent="0.2">
      <c r="A105" s="2" t="s">
        <v>455</v>
      </c>
      <c r="C105" s="2" t="s">
        <v>456</v>
      </c>
      <c r="D105" s="2" t="s">
        <v>488</v>
      </c>
      <c r="E105" t="str">
        <f t="shared" si="30"/>
        <v>.</v>
      </c>
      <c r="F105" t="str">
        <f t="shared" si="31"/>
        <v>Kaufman__2004</v>
      </c>
      <c r="G105" t="str">
        <f t="shared" si="32"/>
        <v>Kaufman</v>
      </c>
      <c r="H105" t="str">
        <f t="shared" si="33"/>
        <v/>
      </c>
      <c r="I105" t="str">
        <f t="shared" si="34"/>
        <v>2004</v>
      </c>
      <c r="J105" t="str">
        <f t="shared" si="35"/>
        <v>UMI%3A3147447</v>
      </c>
      <c r="K105" t="str">
        <f t="shared" si="29"/>
        <v>Kaufman__2004_TableA8</v>
      </c>
      <c r="L105" t="str">
        <f t="shared" si="36"/>
        <v>UMI%3A3147447_TableA8</v>
      </c>
      <c r="M105" t="str">
        <f t="array" ref="M105">IFERROR(INDEX(FileList!$A$1:$A$100,MATCH(TRUE,EXACT(L105,_xlfn.TEXTBEFORE(FileList!$A$1:$A$100,".tsv")),0)),"notfound")</f>
        <v>notfound</v>
      </c>
      <c r="N105" s="8" t="s">
        <v>489</v>
      </c>
      <c r="P105" s="8" t="s">
        <v>162</v>
      </c>
      <c r="R105" s="8" t="s">
        <v>490</v>
      </c>
      <c r="T105" s="8" t="s">
        <v>491</v>
      </c>
      <c r="V105" s="8" t="s">
        <v>42</v>
      </c>
      <c r="AB105" s="8" t="s">
        <v>461</v>
      </c>
      <c r="AI105" s="8" t="s">
        <v>462</v>
      </c>
      <c r="AJ105" s="8" t="s">
        <v>136</v>
      </c>
      <c r="AK105" s="8" t="s">
        <v>63</v>
      </c>
      <c r="AL105" s="8" t="s">
        <v>137</v>
      </c>
      <c r="AM105" s="8" t="s">
        <v>463</v>
      </c>
    </row>
    <row r="106" spans="1:39" ht="15.75" customHeight="1" x14ac:dyDescent="0.2">
      <c r="A106" s="2" t="s">
        <v>455</v>
      </c>
      <c r="C106" s="2" t="s">
        <v>456</v>
      </c>
      <c r="D106" s="2" t="s">
        <v>492</v>
      </c>
      <c r="E106" t="str">
        <f t="shared" si="30"/>
        <v>.</v>
      </c>
      <c r="F106" t="str">
        <f t="shared" si="31"/>
        <v>Kaufman__2004</v>
      </c>
      <c r="G106" t="str">
        <f t="shared" si="32"/>
        <v>Kaufman</v>
      </c>
      <c r="H106" t="str">
        <f t="shared" si="33"/>
        <v/>
      </c>
      <c r="I106" t="str">
        <f t="shared" si="34"/>
        <v>2004</v>
      </c>
      <c r="J106" t="str">
        <f t="shared" si="35"/>
        <v>UMI%3A3147447</v>
      </c>
      <c r="K106" t="str">
        <f t="shared" si="29"/>
        <v>Kaufman__2004_TableA9</v>
      </c>
      <c r="L106" t="str">
        <f t="shared" si="36"/>
        <v>UMI%3A3147447_TableA9</v>
      </c>
      <c r="M106" t="str">
        <f t="array" ref="M106">IFERROR(INDEX(FileList!$A$1:$A$100,MATCH(TRUE,EXACT(L106,_xlfn.TEXTBEFORE(FileList!$A$1:$A$100,".tsv")),0)),"notfound")</f>
        <v>notfound</v>
      </c>
      <c r="N106" s="8" t="s">
        <v>493</v>
      </c>
      <c r="P106" s="8" t="s">
        <v>162</v>
      </c>
      <c r="R106" s="8" t="s">
        <v>494</v>
      </c>
      <c r="T106" s="8" t="s">
        <v>495</v>
      </c>
      <c r="V106" s="8" t="s">
        <v>42</v>
      </c>
      <c r="AB106" s="8" t="s">
        <v>461</v>
      </c>
      <c r="AI106" s="8" t="s">
        <v>462</v>
      </c>
      <c r="AJ106" s="8" t="s">
        <v>136</v>
      </c>
      <c r="AK106" s="8" t="s">
        <v>63</v>
      </c>
      <c r="AL106" s="8" t="s">
        <v>137</v>
      </c>
      <c r="AM106" s="8" t="s">
        <v>463</v>
      </c>
    </row>
    <row r="107" spans="1:39" ht="15.75" customHeight="1" x14ac:dyDescent="0.2">
      <c r="A107" s="2" t="s">
        <v>455</v>
      </c>
      <c r="C107" s="2" t="s">
        <v>456</v>
      </c>
      <c r="D107" s="2" t="s">
        <v>496</v>
      </c>
      <c r="E107" t="str">
        <f t="shared" si="30"/>
        <v>.</v>
      </c>
      <c r="F107" t="str">
        <f t="shared" si="31"/>
        <v>Kaufman__2004</v>
      </c>
      <c r="G107" t="str">
        <f t="shared" si="32"/>
        <v>Kaufman</v>
      </c>
      <c r="H107" t="str">
        <f t="shared" si="33"/>
        <v/>
      </c>
      <c r="I107" t="str">
        <f t="shared" si="34"/>
        <v>2004</v>
      </c>
      <c r="J107" t="str">
        <f t="shared" si="35"/>
        <v>UMI%3A3147447</v>
      </c>
      <c r="K107" t="str">
        <f t="shared" si="29"/>
        <v>Kaufman__2004_TableA10</v>
      </c>
      <c r="L107" t="str">
        <f t="shared" si="36"/>
        <v>UMI%3A3147447_TableA10</v>
      </c>
      <c r="M107" t="str">
        <f t="array" ref="M107">IFERROR(INDEX(FileList!$A$1:$A$100,MATCH(TRUE,EXACT(L107,_xlfn.TEXTBEFORE(FileList!$A$1:$A$100,".tsv")),0)),"notfound")</f>
        <v>notfound</v>
      </c>
      <c r="N107" s="8" t="s">
        <v>497</v>
      </c>
      <c r="P107" s="8" t="s">
        <v>162</v>
      </c>
      <c r="R107" s="8" t="s">
        <v>498</v>
      </c>
      <c r="T107" s="8" t="s">
        <v>499</v>
      </c>
      <c r="V107" s="8" t="s">
        <v>42</v>
      </c>
      <c r="AB107" s="8" t="s">
        <v>461</v>
      </c>
      <c r="AI107" s="8" t="s">
        <v>462</v>
      </c>
      <c r="AJ107" s="8" t="s">
        <v>136</v>
      </c>
      <c r="AK107" s="8" t="s">
        <v>63</v>
      </c>
      <c r="AL107" s="8" t="s">
        <v>137</v>
      </c>
      <c r="AM107" s="8" t="s">
        <v>463</v>
      </c>
    </row>
    <row r="108" spans="1:39" ht="15.75" customHeight="1" x14ac:dyDescent="0.2">
      <c r="A108" s="2" t="s">
        <v>455</v>
      </c>
      <c r="C108" s="2" t="s">
        <v>456</v>
      </c>
      <c r="D108" s="2" t="s">
        <v>500</v>
      </c>
      <c r="E108" t="str">
        <f t="shared" si="30"/>
        <v>.</v>
      </c>
      <c r="F108" t="str">
        <f t="shared" si="31"/>
        <v>Kaufman__2004</v>
      </c>
      <c r="G108" t="str">
        <f t="shared" si="32"/>
        <v>Kaufman</v>
      </c>
      <c r="H108" t="str">
        <f t="shared" si="33"/>
        <v/>
      </c>
      <c r="I108" t="str">
        <f t="shared" si="34"/>
        <v>2004</v>
      </c>
      <c r="J108" t="str">
        <f t="shared" si="35"/>
        <v>UMI%3A3147447</v>
      </c>
      <c r="K108" t="str">
        <f t="shared" si="29"/>
        <v>Kaufman__2004_TableA11</v>
      </c>
      <c r="L108" t="str">
        <f t="shared" si="36"/>
        <v>UMI%3A3147447_TableA11</v>
      </c>
      <c r="M108" t="str">
        <f t="array" ref="M108">IFERROR(INDEX(FileList!$A$1:$A$100,MATCH(TRUE,EXACT(L108,_xlfn.TEXTBEFORE(FileList!$A$1:$A$100,".tsv")),0)),"notfound")</f>
        <v>notfound</v>
      </c>
      <c r="N108" s="8" t="s">
        <v>501</v>
      </c>
      <c r="P108" s="8" t="s">
        <v>162</v>
      </c>
      <c r="R108" s="8" t="s">
        <v>502</v>
      </c>
      <c r="T108" s="8" t="s">
        <v>503</v>
      </c>
      <c r="V108" s="8" t="s">
        <v>42</v>
      </c>
      <c r="AB108" s="8" t="s">
        <v>461</v>
      </c>
      <c r="AI108" s="8" t="s">
        <v>462</v>
      </c>
      <c r="AJ108" s="8" t="s">
        <v>136</v>
      </c>
      <c r="AK108" s="8" t="s">
        <v>63</v>
      </c>
      <c r="AL108" s="8" t="s">
        <v>137</v>
      </c>
      <c r="AM108" s="8" t="s">
        <v>463</v>
      </c>
    </row>
    <row r="109" spans="1:39" ht="15.75" customHeight="1" x14ac:dyDescent="0.2">
      <c r="A109" s="2" t="s">
        <v>455</v>
      </c>
      <c r="C109" s="2" t="s">
        <v>456</v>
      </c>
      <c r="D109" s="2" t="s">
        <v>504</v>
      </c>
      <c r="E109" t="str">
        <f t="shared" si="30"/>
        <v>.</v>
      </c>
      <c r="F109" t="str">
        <f t="shared" si="31"/>
        <v>Kaufman__2004</v>
      </c>
      <c r="G109" t="str">
        <f t="shared" si="32"/>
        <v>Kaufman</v>
      </c>
      <c r="H109" t="str">
        <f t="shared" si="33"/>
        <v/>
      </c>
      <c r="I109" t="str">
        <f t="shared" si="34"/>
        <v>2004</v>
      </c>
      <c r="J109" t="str">
        <f t="shared" si="35"/>
        <v>UMI%3A3147447</v>
      </c>
      <c r="K109" t="str">
        <f t="shared" si="29"/>
        <v>Kaufman__2004_TableA12</v>
      </c>
      <c r="L109" t="str">
        <f t="shared" si="36"/>
        <v>UMI%3A3147447_TableA12</v>
      </c>
      <c r="M109" t="str">
        <f t="array" ref="M109">IFERROR(INDEX(FileList!$A$1:$A$100,MATCH(TRUE,EXACT(L109,_xlfn.TEXTBEFORE(FileList!$A$1:$A$100,".tsv")),0)),"notfound")</f>
        <v>notfound</v>
      </c>
      <c r="N109" s="8" t="s">
        <v>505</v>
      </c>
      <c r="P109" s="8" t="s">
        <v>162</v>
      </c>
      <c r="R109" s="8" t="s">
        <v>506</v>
      </c>
      <c r="T109" s="8" t="s">
        <v>507</v>
      </c>
      <c r="V109" s="8" t="s">
        <v>42</v>
      </c>
      <c r="AB109" s="8" t="s">
        <v>461</v>
      </c>
      <c r="AI109" s="8" t="s">
        <v>462</v>
      </c>
      <c r="AJ109" s="8" t="s">
        <v>136</v>
      </c>
      <c r="AK109" s="8" t="s">
        <v>63</v>
      </c>
      <c r="AL109" s="8" t="s">
        <v>137</v>
      </c>
      <c r="AM109" s="8" t="s">
        <v>463</v>
      </c>
    </row>
    <row r="110" spans="1:39" ht="15.75" customHeight="1" x14ac:dyDescent="0.2">
      <c r="A110" s="2" t="s">
        <v>455</v>
      </c>
      <c r="C110" s="2" t="s">
        <v>456</v>
      </c>
      <c r="D110" s="2" t="s">
        <v>508</v>
      </c>
      <c r="E110" t="str">
        <f t="shared" si="30"/>
        <v>.</v>
      </c>
      <c r="F110" t="str">
        <f t="shared" si="31"/>
        <v>Kaufman__2004</v>
      </c>
      <c r="G110" t="str">
        <f t="shared" si="32"/>
        <v>Kaufman</v>
      </c>
      <c r="H110" t="str">
        <f t="shared" si="33"/>
        <v/>
      </c>
      <c r="I110" t="str">
        <f t="shared" si="34"/>
        <v>2004</v>
      </c>
      <c r="J110" t="str">
        <f t="shared" si="35"/>
        <v>UMI%3A3147447</v>
      </c>
      <c r="K110" t="str">
        <f t="shared" ref="K110:K141" si="37">TRIM(_xlfn.TEXTJOIN("_",FALSE,F110,(SUBSTITUTE(SUBSTITUTE(D110," ",""), "_", ""))))</f>
        <v>Kaufman__2004_TableA13</v>
      </c>
      <c r="L110" t="str">
        <f t="shared" si="36"/>
        <v>UMI%3A3147447_TableA13</v>
      </c>
      <c r="M110" t="str">
        <f t="array" ref="M110">IFERROR(INDEX(FileList!$A$1:$A$100,MATCH(TRUE,EXACT(L110,_xlfn.TEXTBEFORE(FileList!$A$1:$A$100,".tsv")),0)),"notfound")</f>
        <v>notfound</v>
      </c>
      <c r="N110" s="8" t="s">
        <v>509</v>
      </c>
      <c r="P110" s="8" t="s">
        <v>162</v>
      </c>
      <c r="R110" s="8" t="s">
        <v>510</v>
      </c>
      <c r="T110" s="8" t="s">
        <v>511</v>
      </c>
      <c r="V110" s="8" t="s">
        <v>42</v>
      </c>
      <c r="AB110" s="8" t="s">
        <v>461</v>
      </c>
      <c r="AI110" s="8" t="s">
        <v>462</v>
      </c>
      <c r="AJ110" s="8" t="s">
        <v>136</v>
      </c>
      <c r="AK110" s="8" t="s">
        <v>63</v>
      </c>
      <c r="AL110" s="8" t="s">
        <v>137</v>
      </c>
      <c r="AM110" s="8" t="s">
        <v>463</v>
      </c>
    </row>
    <row r="111" spans="1:39" ht="15.75" customHeight="1" x14ac:dyDescent="0.2">
      <c r="A111" s="2" t="s">
        <v>455</v>
      </c>
      <c r="C111" s="2" t="s">
        <v>456</v>
      </c>
      <c r="D111" s="2" t="s">
        <v>512</v>
      </c>
      <c r="E111" t="str">
        <f t="shared" si="30"/>
        <v>.</v>
      </c>
      <c r="F111" t="str">
        <f t="shared" si="31"/>
        <v>Kaufman__2004</v>
      </c>
      <c r="G111" t="str">
        <f t="shared" si="32"/>
        <v>Kaufman</v>
      </c>
      <c r="H111" t="str">
        <f t="shared" si="33"/>
        <v/>
      </c>
      <c r="I111" t="str">
        <f t="shared" si="34"/>
        <v>2004</v>
      </c>
      <c r="J111" t="str">
        <f t="shared" si="35"/>
        <v>UMI%3A3147447</v>
      </c>
      <c r="K111" t="str">
        <f t="shared" si="37"/>
        <v>Kaufman__2004_TableA14</v>
      </c>
      <c r="L111" t="str">
        <f t="shared" si="36"/>
        <v>UMI%3A3147447_TableA14</v>
      </c>
      <c r="M111" t="str">
        <f t="array" ref="M111">IFERROR(INDEX(FileList!$A$1:$A$100,MATCH(TRUE,EXACT(L111,_xlfn.TEXTBEFORE(FileList!$A$1:$A$100,".tsv")),0)),"notfound")</f>
        <v>notfound</v>
      </c>
      <c r="N111" s="8" t="s">
        <v>513</v>
      </c>
      <c r="P111" s="8" t="s">
        <v>162</v>
      </c>
      <c r="R111" s="8" t="s">
        <v>514</v>
      </c>
      <c r="T111" s="8" t="s">
        <v>515</v>
      </c>
      <c r="V111" s="8" t="s">
        <v>42</v>
      </c>
      <c r="AB111" s="8" t="s">
        <v>461</v>
      </c>
      <c r="AI111" s="8" t="s">
        <v>462</v>
      </c>
      <c r="AJ111" s="8" t="s">
        <v>136</v>
      </c>
      <c r="AK111" s="8" t="s">
        <v>63</v>
      </c>
      <c r="AL111" s="8" t="s">
        <v>137</v>
      </c>
      <c r="AM111" s="8" t="s">
        <v>463</v>
      </c>
    </row>
    <row r="112" spans="1:39" ht="15.75" customHeight="1" x14ac:dyDescent="0.2">
      <c r="A112" s="2" t="s">
        <v>455</v>
      </c>
      <c r="C112" s="2" t="s">
        <v>456</v>
      </c>
      <c r="D112" s="2" t="s">
        <v>516</v>
      </c>
      <c r="E112" t="str">
        <f t="shared" si="30"/>
        <v>.</v>
      </c>
      <c r="F112" t="str">
        <f t="shared" si="31"/>
        <v>Kaufman__2004</v>
      </c>
      <c r="G112" t="str">
        <f t="shared" si="32"/>
        <v>Kaufman</v>
      </c>
      <c r="H112" t="str">
        <f t="shared" si="33"/>
        <v/>
      </c>
      <c r="I112" t="str">
        <f t="shared" si="34"/>
        <v>2004</v>
      </c>
      <c r="J112" t="str">
        <f t="shared" si="35"/>
        <v>UMI%3A3147447</v>
      </c>
      <c r="K112" t="str">
        <f t="shared" si="37"/>
        <v>Kaufman__2004_TableA15</v>
      </c>
      <c r="L112" t="str">
        <f t="shared" si="36"/>
        <v>UMI%3A3147447_TableA15</v>
      </c>
      <c r="M112" t="str">
        <f t="array" ref="M112">IFERROR(INDEX(FileList!$A$1:$A$100,MATCH(TRUE,EXACT(L112,_xlfn.TEXTBEFORE(FileList!$A$1:$A$100,".tsv")),0)),"notfound")</f>
        <v>notfound</v>
      </c>
      <c r="N112" s="8" t="s">
        <v>517</v>
      </c>
      <c r="P112" s="8" t="s">
        <v>162</v>
      </c>
      <c r="R112" s="8" t="s">
        <v>518</v>
      </c>
      <c r="T112" s="8" t="s">
        <v>519</v>
      </c>
      <c r="V112" s="8" t="s">
        <v>42</v>
      </c>
      <c r="AB112" s="8" t="s">
        <v>461</v>
      </c>
      <c r="AI112" s="8" t="s">
        <v>462</v>
      </c>
      <c r="AJ112" s="8" t="s">
        <v>136</v>
      </c>
      <c r="AK112" s="8" t="s">
        <v>63</v>
      </c>
      <c r="AL112" s="8" t="s">
        <v>137</v>
      </c>
      <c r="AM112" s="8" t="s">
        <v>463</v>
      </c>
    </row>
    <row r="113" spans="1:39" ht="15.75" customHeight="1" x14ac:dyDescent="0.2">
      <c r="A113" s="2" t="s">
        <v>520</v>
      </c>
      <c r="C113" s="3"/>
      <c r="D113" s="2" t="s">
        <v>521</v>
      </c>
      <c r="E113" t="str">
        <f t="shared" si="30"/>
        <v>0</v>
      </c>
      <c r="F113" t="str">
        <f t="shared" si="31"/>
        <v>Kochiyama_etal_2018</v>
      </c>
      <c r="G113" t="str">
        <f t="shared" si="32"/>
        <v>Kochiyama</v>
      </c>
      <c r="H113" t="str">
        <f t="shared" si="33"/>
        <v>etal</v>
      </c>
      <c r="I113" t="str">
        <f t="shared" si="34"/>
        <v>2018</v>
      </c>
      <c r="J113" t="str">
        <f t="shared" si="35"/>
        <v>10.1038%2Fs41598-018-24331-0</v>
      </c>
      <c r="K113" t="str">
        <f t="shared" si="37"/>
        <v>Kochiyama_etal_2018_ExtendedDataFigure4</v>
      </c>
      <c r="L113" t="str">
        <f t="shared" si="36"/>
        <v>10.1038%2Fs41598-018-24331-0_ExtendedDataFigure4</v>
      </c>
      <c r="M113" t="str">
        <f t="array" ref="M113">IFERROR(INDEX(FileList!$A$1:$A$100,MATCH(TRUE,EXACT(L113,_xlfn.TEXTBEFORE(FileList!$A$1:$A$100,".tsv")),0)),"notfound")</f>
        <v>10.1038%2Fs41598-018-24331-0_ExtendedDataFigure4.tsv</v>
      </c>
      <c r="N113" s="8" t="s">
        <v>522</v>
      </c>
      <c r="O113" s="8" t="s">
        <v>523</v>
      </c>
      <c r="V113" s="8" t="s">
        <v>524</v>
      </c>
    </row>
    <row r="114" spans="1:39" ht="15.75" customHeight="1" x14ac:dyDescent="0.2">
      <c r="A114" s="2" t="s">
        <v>520</v>
      </c>
      <c r="C114" s="3"/>
      <c r="D114" s="2" t="s">
        <v>525</v>
      </c>
      <c r="E114" t="str">
        <f t="shared" si="30"/>
        <v>0</v>
      </c>
      <c r="F114" t="str">
        <f t="shared" si="31"/>
        <v>Kochiyama_etal_2018</v>
      </c>
      <c r="G114" t="str">
        <f t="shared" si="32"/>
        <v>Kochiyama</v>
      </c>
      <c r="H114" t="str">
        <f t="shared" si="33"/>
        <v>etal</v>
      </c>
      <c r="I114" t="str">
        <f t="shared" si="34"/>
        <v>2018</v>
      </c>
      <c r="J114" t="str">
        <f t="shared" si="35"/>
        <v>10.1038%2Fs41598-018-24331-0</v>
      </c>
      <c r="K114" t="str">
        <f t="shared" si="37"/>
        <v>Kochiyama_etal_2018_ExtendedDataTable1</v>
      </c>
      <c r="L114" t="str">
        <f t="shared" si="36"/>
        <v>10.1038%2Fs41598-018-24331-0_ExtendedDataTable1</v>
      </c>
      <c r="M114" t="str">
        <f t="array" ref="M114">IFERROR(INDEX(FileList!$A$1:$A$100,MATCH(TRUE,EXACT(L114,_xlfn.TEXTBEFORE(FileList!$A$1:$A$100,".tsv")),0)),"notfound")</f>
        <v>10.1038%2Fs41598-018-24331-0_ExtendedDataTable1.tsv</v>
      </c>
      <c r="N114" s="8" t="s">
        <v>526</v>
      </c>
      <c r="V114" s="8" t="s">
        <v>42</v>
      </c>
    </row>
    <row r="115" spans="1:39" ht="15.75" customHeight="1" x14ac:dyDescent="0.2">
      <c r="A115" s="2" t="s">
        <v>520</v>
      </c>
      <c r="C115" s="3"/>
      <c r="D115" s="2" t="s">
        <v>527</v>
      </c>
      <c r="E115" t="str">
        <f t="shared" si="30"/>
        <v>0</v>
      </c>
      <c r="F115" t="str">
        <f t="shared" si="31"/>
        <v>Kochiyama_etal_2018</v>
      </c>
      <c r="G115" t="str">
        <f t="shared" si="32"/>
        <v>Kochiyama</v>
      </c>
      <c r="H115" t="str">
        <f t="shared" si="33"/>
        <v>etal</v>
      </c>
      <c r="I115" t="str">
        <f t="shared" si="34"/>
        <v>2018</v>
      </c>
      <c r="J115" t="str">
        <f t="shared" si="35"/>
        <v>10.1038%2Fs41598-018-24331-0</v>
      </c>
      <c r="K115" t="str">
        <f t="shared" si="37"/>
        <v>Kochiyama_etal_2018_ExtendedDataTable3</v>
      </c>
      <c r="L115" t="str">
        <f t="shared" si="36"/>
        <v>10.1038%2Fs41598-018-24331-0_ExtendedDataTable3</v>
      </c>
      <c r="M115" t="str">
        <f t="array" ref="M115">IFERROR(INDEX(FileList!$A$1:$A$100,MATCH(TRUE,EXACT(L115,_xlfn.TEXTBEFORE(FileList!$A$1:$A$100,".tsv")),0)),"notfound")</f>
        <v>10.1038%2Fs41598-018-24331-0_ExtendedDataTable3.tsv</v>
      </c>
      <c r="N115" s="8" t="s">
        <v>528</v>
      </c>
      <c r="V115" s="8" t="s">
        <v>42</v>
      </c>
    </row>
    <row r="116" spans="1:39" ht="15.75" customHeight="1" x14ac:dyDescent="0.2">
      <c r="A116" s="2" t="s">
        <v>520</v>
      </c>
      <c r="C116" s="3"/>
      <c r="D116" s="2" t="s">
        <v>529</v>
      </c>
      <c r="E116" t="str">
        <f t="shared" si="30"/>
        <v>0</v>
      </c>
      <c r="F116" t="str">
        <f t="shared" si="31"/>
        <v>Kochiyama_etal_2018</v>
      </c>
      <c r="G116" t="str">
        <f t="shared" si="32"/>
        <v>Kochiyama</v>
      </c>
      <c r="H116" t="str">
        <f t="shared" si="33"/>
        <v>etal</v>
      </c>
      <c r="I116" t="str">
        <f t="shared" si="34"/>
        <v>2018</v>
      </c>
      <c r="J116" t="str">
        <f t="shared" si="35"/>
        <v>10.1038%2Fs41598-018-24331-0</v>
      </c>
      <c r="K116" t="str">
        <f t="shared" si="37"/>
        <v>Kochiyama_etal_2018_Figure3legend</v>
      </c>
      <c r="L116" t="str">
        <f t="shared" si="36"/>
        <v>10.1038%2Fs41598-018-24331-0_Figure3legend</v>
      </c>
      <c r="M116" t="str">
        <f t="array" ref="M116">IFERROR(INDEX(FileList!$A$1:$A$100,MATCH(TRUE,EXACT(L116,_xlfn.TEXTBEFORE(FileList!$A$1:$A$100,".tsv")),0)),"notfound")</f>
        <v>10.1038%2Fs41598-018-24331-0_Figure3legend.tsv</v>
      </c>
      <c r="N116" s="8" t="s">
        <v>530</v>
      </c>
      <c r="O116" s="8" t="s">
        <v>531</v>
      </c>
      <c r="V116" s="8" t="s">
        <v>532</v>
      </c>
    </row>
    <row r="117" spans="1:39" ht="15.75" customHeight="1" x14ac:dyDescent="0.2">
      <c r="A117" s="2" t="s">
        <v>520</v>
      </c>
      <c r="C117" s="3"/>
      <c r="D117" s="2" t="s">
        <v>533</v>
      </c>
      <c r="E117" t="str">
        <f t="shared" si="30"/>
        <v>0</v>
      </c>
      <c r="F117" t="str">
        <f t="shared" si="31"/>
        <v>Kochiyama_etal_2018</v>
      </c>
      <c r="G117" t="str">
        <f t="shared" si="32"/>
        <v>Kochiyama</v>
      </c>
      <c r="H117" t="str">
        <f t="shared" si="33"/>
        <v>etal</v>
      </c>
      <c r="I117" t="str">
        <f t="shared" si="34"/>
        <v>2018</v>
      </c>
      <c r="J117" t="str">
        <f t="shared" si="35"/>
        <v>10.1038%2Fs41598-018-24331-0</v>
      </c>
      <c r="K117" t="str">
        <f t="shared" si="37"/>
        <v>Kochiyama_etal_2018_Figure3A</v>
      </c>
      <c r="L117" t="str">
        <f t="shared" si="36"/>
        <v>10.1038%2Fs41598-018-24331-0_Figure3A</v>
      </c>
      <c r="M117" t="str">
        <f t="array" ref="M117">IFERROR(INDEX(FileList!$A$1:$A$100,MATCH(TRUE,EXACT(L117,_xlfn.TEXTBEFORE(FileList!$A$1:$A$100,".tsv")),0)),"notfound")</f>
        <v>10.1038%2Fs41598-018-24331-0_Figure3A.tsv</v>
      </c>
      <c r="N117" s="8" t="s">
        <v>530</v>
      </c>
      <c r="O117" s="8" t="s">
        <v>523</v>
      </c>
      <c r="V117" s="8" t="s">
        <v>524</v>
      </c>
    </row>
    <row r="118" spans="1:39" ht="15.75" customHeight="1" x14ac:dyDescent="0.2">
      <c r="A118" s="2" t="s">
        <v>520</v>
      </c>
      <c r="C118" s="3"/>
      <c r="D118" s="2" t="s">
        <v>534</v>
      </c>
      <c r="E118" t="str">
        <f t="shared" si="30"/>
        <v>0</v>
      </c>
      <c r="F118" t="str">
        <f t="shared" si="31"/>
        <v>Kochiyama_etal_2018</v>
      </c>
      <c r="G118" t="str">
        <f t="shared" si="32"/>
        <v>Kochiyama</v>
      </c>
      <c r="H118" t="str">
        <f t="shared" si="33"/>
        <v>etal</v>
      </c>
      <c r="I118" t="str">
        <f t="shared" si="34"/>
        <v>2018</v>
      </c>
      <c r="J118" t="str">
        <f t="shared" si="35"/>
        <v>10.1038%2Fs41598-018-24331-0</v>
      </c>
      <c r="K118" t="str">
        <f t="shared" si="37"/>
        <v>Kochiyama_etal_2018_Figure3B</v>
      </c>
      <c r="L118" t="str">
        <f t="shared" si="36"/>
        <v>10.1038%2Fs41598-018-24331-0_Figure3B</v>
      </c>
      <c r="M118" t="str">
        <f t="array" ref="M118">IFERROR(INDEX(FileList!$A$1:$A$100,MATCH(TRUE,EXACT(L118,_xlfn.TEXTBEFORE(FileList!$A$1:$A$100,".tsv")),0)),"notfound")</f>
        <v>10.1038%2Fs41598-018-24331-0_Figure3B.tsv</v>
      </c>
      <c r="N118" s="8" t="s">
        <v>530</v>
      </c>
      <c r="O118" s="8" t="s">
        <v>523</v>
      </c>
      <c r="V118" s="8" t="s">
        <v>524</v>
      </c>
    </row>
    <row r="119" spans="1:39" ht="15.75" customHeight="1" x14ac:dyDescent="0.2">
      <c r="A119" s="2" t="s">
        <v>520</v>
      </c>
      <c r="C119" s="3"/>
      <c r="D119" s="2" t="s">
        <v>535</v>
      </c>
      <c r="E119" t="str">
        <f t="shared" si="30"/>
        <v>0</v>
      </c>
      <c r="F119" t="str">
        <f t="shared" si="31"/>
        <v>Kochiyama_etal_2018</v>
      </c>
      <c r="G119" t="str">
        <f t="shared" si="32"/>
        <v>Kochiyama</v>
      </c>
      <c r="H119" t="str">
        <f t="shared" si="33"/>
        <v>etal</v>
      </c>
      <c r="I119" t="str">
        <f t="shared" si="34"/>
        <v>2018</v>
      </c>
      <c r="J119" t="str">
        <f t="shared" si="35"/>
        <v>10.1038%2Fs41598-018-24331-0</v>
      </c>
      <c r="K119" t="str">
        <f t="shared" si="37"/>
        <v>Kochiyama_etal_2018_FossilSpecimensText</v>
      </c>
      <c r="L119" t="str">
        <f t="shared" si="36"/>
        <v>10.1038%2Fs41598-018-24331-0_FossilSpecimensText</v>
      </c>
      <c r="M119" t="str">
        <f t="array" ref="M119">IFERROR(INDEX(FileList!$A$1:$A$100,MATCH(TRUE,EXACT(L119,_xlfn.TEXTBEFORE(FileList!$A$1:$A$100,".tsv")),0)),"notfound")</f>
        <v>10.1038%2Fs41598-018-24331-0_FossilSpecimensText.tsv</v>
      </c>
      <c r="N119" s="8" t="s">
        <v>536</v>
      </c>
      <c r="O119" s="8" t="s">
        <v>537</v>
      </c>
      <c r="V119" s="8" t="s">
        <v>42</v>
      </c>
    </row>
    <row r="120" spans="1:39" ht="15.75" customHeight="1" x14ac:dyDescent="0.2">
      <c r="A120" s="2" t="s">
        <v>538</v>
      </c>
      <c r="D120" s="2" t="s">
        <v>75</v>
      </c>
      <c r="E120" t="str">
        <f t="shared" si="30"/>
        <v>8</v>
      </c>
      <c r="F120" t="str">
        <f t="shared" si="31"/>
        <v>Kverkova_etal_2018</v>
      </c>
      <c r="G120" t="str">
        <f t="shared" si="32"/>
        <v>Kverkova</v>
      </c>
      <c r="H120" t="str">
        <f t="shared" si="33"/>
        <v>etal</v>
      </c>
      <c r="I120" t="str">
        <f t="shared" si="34"/>
        <v>2018</v>
      </c>
      <c r="J120" t="str">
        <f t="shared" si="35"/>
        <v>10.1038%2Fs41598-018-26062-8</v>
      </c>
      <c r="K120" t="str">
        <f t="shared" si="37"/>
        <v>Kverkova_etal_2018_Table1</v>
      </c>
      <c r="L120" t="str">
        <f t="shared" si="36"/>
        <v>10.1038%2Fs41598-018-26062-8_Table1</v>
      </c>
      <c r="M120" t="str">
        <f t="array" ref="M120">IFERROR(INDEX(FileList!$A$1:$A$100,MATCH(TRUE,EXACT(L120,_xlfn.TEXTBEFORE(FileList!$A$1:$A$100,".tsv")),0)),"notfound")</f>
        <v>10.1038%2Fs41598-018-26062-8_Table1.tsv</v>
      </c>
      <c r="N120" s="8" t="s">
        <v>539</v>
      </c>
      <c r="P120" s="8" t="s">
        <v>41</v>
      </c>
      <c r="Q120" s="8" t="s">
        <v>51</v>
      </c>
      <c r="R120" s="8" t="s">
        <v>540</v>
      </c>
      <c r="S120" s="8" t="s">
        <v>53</v>
      </c>
      <c r="T120" s="8" t="s">
        <v>541</v>
      </c>
      <c r="U120" s="8" t="s">
        <v>542</v>
      </c>
      <c r="V120" s="8" t="s">
        <v>42</v>
      </c>
      <c r="Y120" s="8" t="s">
        <v>543</v>
      </c>
      <c r="Z120" s="8" t="s">
        <v>543</v>
      </c>
      <c r="AH120" s="8" t="s">
        <v>544</v>
      </c>
      <c r="AI120" s="8" t="s">
        <v>545</v>
      </c>
      <c r="AJ120" s="8" t="s">
        <v>546</v>
      </c>
      <c r="AK120" s="8" t="s">
        <v>63</v>
      </c>
      <c r="AL120" s="8" t="s">
        <v>63</v>
      </c>
      <c r="AM120" s="8" t="s">
        <v>547</v>
      </c>
    </row>
    <row r="121" spans="1:39" x14ac:dyDescent="0.2">
      <c r="A121" s="2" t="s">
        <v>538</v>
      </c>
      <c r="D121" s="2" t="s">
        <v>194</v>
      </c>
      <c r="E121" t="str">
        <f t="shared" si="30"/>
        <v>8</v>
      </c>
      <c r="F121" t="str">
        <f t="shared" si="31"/>
        <v>Kverkova_etal_2018</v>
      </c>
      <c r="G121" t="str">
        <f t="shared" si="32"/>
        <v>Kverkova</v>
      </c>
      <c r="H121" t="str">
        <f t="shared" si="33"/>
        <v>etal</v>
      </c>
      <c r="I121" t="str">
        <f t="shared" si="34"/>
        <v>2018</v>
      </c>
      <c r="J121" t="str">
        <f t="shared" si="35"/>
        <v>10.1038%2Fs41598-018-26062-8</v>
      </c>
      <c r="K121" t="str">
        <f t="shared" si="37"/>
        <v>Kverkova_etal_2018_TableS1</v>
      </c>
      <c r="L121" t="str">
        <f t="shared" si="36"/>
        <v>10.1038%2Fs41598-018-26062-8_TableS1</v>
      </c>
      <c r="M121" t="str">
        <f t="array" ref="M121">IFERROR(INDEX(FileList!$A$1:$A$100,MATCH(TRUE,EXACT(L121,_xlfn.TEXTBEFORE(FileList!$A$1:$A$100,".tsv")),0)),"notfound")</f>
        <v>10.1038%2Fs41598-018-26062-8_TableS1.tsv</v>
      </c>
      <c r="N121" s="8" t="s">
        <v>548</v>
      </c>
      <c r="P121" s="8" t="s">
        <v>41</v>
      </c>
      <c r="Q121" s="8" t="s">
        <v>51</v>
      </c>
      <c r="R121" s="8" t="s">
        <v>549</v>
      </c>
      <c r="S121" s="8" t="s">
        <v>53</v>
      </c>
      <c r="T121" s="8" t="s">
        <v>541</v>
      </c>
      <c r="U121" s="8" t="s">
        <v>542</v>
      </c>
      <c r="V121" s="8" t="s">
        <v>42</v>
      </c>
      <c r="W121" s="8" t="s">
        <v>187</v>
      </c>
      <c r="X121" s="8" t="s">
        <v>550</v>
      </c>
      <c r="Y121" s="8" t="s">
        <v>543</v>
      </c>
      <c r="Z121" s="8" t="s">
        <v>543</v>
      </c>
      <c r="AH121" s="8" t="s">
        <v>544</v>
      </c>
      <c r="AI121" s="8" t="s">
        <v>399</v>
      </c>
      <c r="AJ121" s="8" t="s">
        <v>546</v>
      </c>
      <c r="AK121" s="8" t="s">
        <v>551</v>
      </c>
      <c r="AL121" s="8" t="s">
        <v>63</v>
      </c>
      <c r="AM121" s="8" t="s">
        <v>401</v>
      </c>
    </row>
    <row r="122" spans="1:39" x14ac:dyDescent="0.2">
      <c r="A122" s="2" t="s">
        <v>538</v>
      </c>
      <c r="D122" s="2" t="s">
        <v>552</v>
      </c>
      <c r="E122" t="str">
        <f t="shared" si="30"/>
        <v>8</v>
      </c>
      <c r="F122" t="str">
        <f t="shared" si="31"/>
        <v>Kverkova_etal_2018</v>
      </c>
      <c r="G122" t="str">
        <f t="shared" si="32"/>
        <v>Kverkova</v>
      </c>
      <c r="H122" t="str">
        <f t="shared" si="33"/>
        <v>etal</v>
      </c>
      <c r="I122" t="str">
        <f t="shared" si="34"/>
        <v>2018</v>
      </c>
      <c r="J122" t="str">
        <f t="shared" si="35"/>
        <v>10.1038%2Fs41598-018-26062-8</v>
      </c>
      <c r="K122" t="str">
        <f t="shared" si="37"/>
        <v>Kverkova_etal_2018_TableS5</v>
      </c>
      <c r="L122" t="str">
        <f t="shared" si="36"/>
        <v>10.1038%2Fs41598-018-26062-8_TableS5</v>
      </c>
      <c r="M122" t="str">
        <f t="array" ref="M122">IFERROR(INDEX(FileList!$A$1:$A$100,MATCH(TRUE,EXACT(L122,_xlfn.TEXTBEFORE(FileList!$A$1:$A$100,".tsv")),0)),"notfound")</f>
        <v>10.1038%2Fs41598-018-26062-8_TableS5.tsv</v>
      </c>
      <c r="N122" s="8" t="s">
        <v>553</v>
      </c>
      <c r="P122" s="8" t="s">
        <v>41</v>
      </c>
      <c r="Q122" s="8" t="s">
        <v>51</v>
      </c>
      <c r="R122" s="8" t="s">
        <v>554</v>
      </c>
      <c r="S122" s="8" t="s">
        <v>53</v>
      </c>
      <c r="T122" s="8" t="s">
        <v>555</v>
      </c>
      <c r="U122" s="8" t="s">
        <v>556</v>
      </c>
      <c r="V122" s="8" t="s">
        <v>42</v>
      </c>
      <c r="W122" s="8" t="s">
        <v>187</v>
      </c>
      <c r="X122" s="8" t="s">
        <v>550</v>
      </c>
      <c r="Y122" s="8" t="s">
        <v>543</v>
      </c>
      <c r="Z122" s="8" t="s">
        <v>543</v>
      </c>
      <c r="AG122" s="8" t="s">
        <v>59</v>
      </c>
      <c r="AH122" s="8" t="s">
        <v>544</v>
      </c>
      <c r="AI122" s="8" t="s">
        <v>405</v>
      </c>
      <c r="AJ122" s="8" t="s">
        <v>546</v>
      </c>
      <c r="AK122" s="8" t="s">
        <v>63</v>
      </c>
      <c r="AL122" s="8" t="s">
        <v>63</v>
      </c>
      <c r="AM122" s="8" t="s">
        <v>64</v>
      </c>
    </row>
    <row r="123" spans="1:39" x14ac:dyDescent="0.2">
      <c r="A123" s="2" t="s">
        <v>557</v>
      </c>
      <c r="D123" s="2" t="s">
        <v>558</v>
      </c>
      <c r="E123" t="str">
        <f t="shared" si="30"/>
        <v>4</v>
      </c>
      <c r="F123" t="str">
        <f t="shared" si="31"/>
        <v>Lewitus_etal_2013</v>
      </c>
      <c r="G123" t="str">
        <f t="shared" si="32"/>
        <v>Lewitus</v>
      </c>
      <c r="H123" t="str">
        <f t="shared" si="33"/>
        <v>etal</v>
      </c>
      <c r="I123" t="str">
        <f t="shared" si="34"/>
        <v>2013</v>
      </c>
      <c r="J123" t="str">
        <f t="shared" si="35"/>
        <v>10.3389%2Ffnhum.2013.00424</v>
      </c>
      <c r="K123" t="str">
        <f t="shared" si="37"/>
        <v>Lewitus_etal_2013_TableS2partial</v>
      </c>
      <c r="L123" t="str">
        <f t="shared" si="36"/>
        <v>10.3389%2Ffnhum.2013.00424_TableS2partial</v>
      </c>
      <c r="M123" t="str">
        <f t="array" ref="M123">IFERROR(INDEX(FileList!$A$1:$A$100,MATCH(TRUE,EXACT(L123,_xlfn.TEXTBEFORE(FileList!$A$1:$A$100,".tsv")),0)),"notfound")</f>
        <v>notfound</v>
      </c>
      <c r="Q123" s="8" t="s">
        <v>128</v>
      </c>
      <c r="AI123" s="8" t="s">
        <v>559</v>
      </c>
      <c r="AJ123" s="8" t="s">
        <v>136</v>
      </c>
      <c r="AL123" s="8" t="s">
        <v>63</v>
      </c>
      <c r="AM123" s="8" t="s">
        <v>560</v>
      </c>
    </row>
    <row r="124" spans="1:39" x14ac:dyDescent="0.2">
      <c r="A124" s="2" t="s">
        <v>561</v>
      </c>
      <c r="D124" s="2" t="s">
        <v>194</v>
      </c>
      <c r="E124" t="str">
        <f t="shared" si="30"/>
        <v>0</v>
      </c>
      <c r="F124" t="str">
        <f t="shared" si="31"/>
        <v>Lewitus_etal_2014</v>
      </c>
      <c r="G124" t="str">
        <f t="shared" si="32"/>
        <v>Lewitus</v>
      </c>
      <c r="H124" t="str">
        <f t="shared" si="33"/>
        <v>etal</v>
      </c>
      <c r="I124" t="str">
        <f t="shared" si="34"/>
        <v>2014</v>
      </c>
      <c r="J124" t="str">
        <f t="shared" si="35"/>
        <v>10.1371%2Fjournal.pbio.1002000</v>
      </c>
      <c r="K124" t="str">
        <f t="shared" si="37"/>
        <v>Lewitus_etal_2014_TableS1</v>
      </c>
      <c r="L124" t="str">
        <f t="shared" si="36"/>
        <v>10.1371%2Fjournal.pbio.1002000_TableS1</v>
      </c>
      <c r="M124" t="str">
        <f t="array" ref="M124">IFERROR(INDEX(FileList!$A$1:$A$100,MATCH(TRUE,EXACT(L124,_xlfn.TEXTBEFORE(FileList!$A$1:$A$100,".tsv")),0)),"notfound")</f>
        <v>10.1371%2Fjournal.pbio.1002000_TableS1.tsv</v>
      </c>
      <c r="N124" s="8" t="s">
        <v>562</v>
      </c>
      <c r="Q124" s="8" t="s">
        <v>128</v>
      </c>
      <c r="AI124" s="8" t="s">
        <v>563</v>
      </c>
      <c r="AJ124" s="8" t="s">
        <v>136</v>
      </c>
      <c r="AL124" s="8" t="s">
        <v>137</v>
      </c>
      <c r="AM124" s="8" t="s">
        <v>564</v>
      </c>
    </row>
    <row r="125" spans="1:39" x14ac:dyDescent="0.2">
      <c r="A125" s="2" t="s">
        <v>561</v>
      </c>
      <c r="D125" s="2" t="s">
        <v>565</v>
      </c>
      <c r="E125" t="str">
        <f t="shared" si="30"/>
        <v>0</v>
      </c>
      <c r="F125" t="str">
        <f t="shared" si="31"/>
        <v>Lewitus_etal_2014</v>
      </c>
      <c r="G125" t="str">
        <f t="shared" si="32"/>
        <v>Lewitus</v>
      </c>
      <c r="H125" t="str">
        <f t="shared" si="33"/>
        <v>etal</v>
      </c>
      <c r="I125" t="str">
        <f t="shared" si="34"/>
        <v>2014</v>
      </c>
      <c r="J125" t="str">
        <f t="shared" si="35"/>
        <v>10.1371%2Fjournal.pbio.1002000</v>
      </c>
      <c r="K125" t="str">
        <f t="shared" si="37"/>
        <v>Lewitus_etal_2014_TableS8</v>
      </c>
      <c r="L125" t="str">
        <f t="shared" si="36"/>
        <v>10.1371%2Fjournal.pbio.1002000_TableS8</v>
      </c>
      <c r="M125" t="str">
        <f t="array" ref="M125">IFERROR(INDEX(FileList!$A$1:$A$100,MATCH(TRUE,EXACT(L125,_xlfn.TEXTBEFORE(FileList!$A$1:$A$100,".tsv")),0)),"notfound")</f>
        <v>notfound</v>
      </c>
      <c r="N125" s="8" t="s">
        <v>566</v>
      </c>
      <c r="Q125" s="8" t="s">
        <v>128</v>
      </c>
      <c r="AI125" s="8" t="s">
        <v>563</v>
      </c>
      <c r="AJ125" s="8" t="s">
        <v>136</v>
      </c>
      <c r="AL125" s="8" t="s">
        <v>137</v>
      </c>
      <c r="AM125" s="8" t="s">
        <v>564</v>
      </c>
    </row>
    <row r="126" spans="1:39" x14ac:dyDescent="0.2">
      <c r="A126" s="2" t="s">
        <v>567</v>
      </c>
      <c r="D126" s="2" t="s">
        <v>75</v>
      </c>
      <c r="E126" t="str">
        <f t="shared" si="30"/>
        <v>5</v>
      </c>
      <c r="F126" t="str">
        <f t="shared" si="31"/>
        <v>MacLarnon__1996</v>
      </c>
      <c r="G126" t="str">
        <f t="shared" si="32"/>
        <v>MacLarnon</v>
      </c>
      <c r="H126" t="str">
        <f t="shared" si="33"/>
        <v/>
      </c>
      <c r="I126" t="str">
        <f t="shared" si="34"/>
        <v>1996</v>
      </c>
      <c r="J126" t="str">
        <f t="shared" si="35"/>
        <v>10.1006%2Fjhev.1996.0005</v>
      </c>
      <c r="K126" t="str">
        <f t="shared" si="37"/>
        <v>MacLarnon__1996_Table1</v>
      </c>
      <c r="L126" t="str">
        <f t="shared" si="36"/>
        <v>10.1006%2Fjhev.1996.0005_Table1</v>
      </c>
      <c r="M126" t="str">
        <f t="array" ref="M126">IFERROR(INDEX(FileList!$A$1:$A$100,MATCH(TRUE,EXACT(L126,_xlfn.TEXTBEFORE(FileList!$A$1:$A$100,".tsv")),0)),"notfound")</f>
        <v>10.1006%2Fjhev.1996.0005_Table1.tsv</v>
      </c>
      <c r="N126" s="8" t="s">
        <v>568</v>
      </c>
      <c r="P126" s="8" t="s">
        <v>41</v>
      </c>
      <c r="AI126" s="8" t="s">
        <v>569</v>
      </c>
      <c r="AJ126" s="8" t="s">
        <v>118</v>
      </c>
      <c r="AL126" s="8" t="s">
        <v>63</v>
      </c>
      <c r="AM126" s="8" t="s">
        <v>570</v>
      </c>
    </row>
    <row r="127" spans="1:39" x14ac:dyDescent="0.2">
      <c r="A127" s="2" t="s">
        <v>571</v>
      </c>
      <c r="C127" t="s">
        <v>572</v>
      </c>
      <c r="D127" s="2" t="s">
        <v>573</v>
      </c>
      <c r="E127" t="str">
        <f t="shared" si="30"/>
        <v>.</v>
      </c>
      <c r="F127" t="str">
        <f t="shared" si="31"/>
        <v>MacLeod__2000</v>
      </c>
      <c r="G127" t="str">
        <f t="shared" si="32"/>
        <v>MacLeod</v>
      </c>
      <c r="H127" t="str">
        <f t="shared" si="33"/>
        <v/>
      </c>
      <c r="I127" t="str">
        <f t="shared" si="34"/>
        <v>2000</v>
      </c>
      <c r="J127" t="str">
        <f t="shared" si="35"/>
        <v>NQ%3A61662</v>
      </c>
      <c r="K127" t="str">
        <f t="shared" si="37"/>
        <v>MacLeod__2000_APPENDIXI</v>
      </c>
      <c r="L127" t="str">
        <f t="shared" si="36"/>
        <v>NQ%3A61662_APPENDIXI</v>
      </c>
      <c r="M127" t="str">
        <f t="array" ref="M127">IFERROR(INDEX(FileList!$A$1:$A$100,MATCH(TRUE,EXACT(L127,_xlfn.TEXTBEFORE(FileList!$A$1:$A$100,".tsv")),0)),"notfound")</f>
        <v>notfound</v>
      </c>
      <c r="N127" s="8" t="s">
        <v>574</v>
      </c>
    </row>
    <row r="128" spans="1:39" x14ac:dyDescent="0.2">
      <c r="A128" s="2" t="s">
        <v>575</v>
      </c>
      <c r="D128" s="2" t="s">
        <v>75</v>
      </c>
      <c r="E128" t="str">
        <f t="shared" si="30"/>
        <v>9</v>
      </c>
      <c r="F128" t="str">
        <f t="shared" si="31"/>
        <v>MacLeod_etal_2003</v>
      </c>
      <c r="G128" t="str">
        <f t="shared" si="32"/>
        <v>MacLeod</v>
      </c>
      <c r="H128" t="str">
        <f t="shared" si="33"/>
        <v>etal</v>
      </c>
      <c r="I128" t="str">
        <f t="shared" si="34"/>
        <v>2003</v>
      </c>
      <c r="J128" t="str">
        <f t="shared" si="35"/>
        <v>10.1016%2Fs0047-2484(03)00028-9</v>
      </c>
      <c r="K128" t="str">
        <f t="shared" si="37"/>
        <v>MacLeod_etal_2003_Table1</v>
      </c>
      <c r="L128" t="str">
        <f t="shared" si="36"/>
        <v>10.1016%2Fs0047-2484(03)00028-9_Table1</v>
      </c>
      <c r="M128" t="str">
        <f t="array" ref="M128">IFERROR(INDEX(FileList!$A$1:$A$100,MATCH(TRUE,EXACT(L128,_xlfn.TEXTBEFORE(FileList!$A$1:$A$100,".tsv")),0)),"notfound")</f>
        <v>10.1016%2Fs0047-2484(03)00028-9_Table1.tsv</v>
      </c>
      <c r="N128" s="8" t="s">
        <v>576</v>
      </c>
      <c r="Y128" s="8" t="s">
        <v>577</v>
      </c>
      <c r="Z128" s="8" t="s">
        <v>577</v>
      </c>
      <c r="AF128" s="8" t="s">
        <v>578</v>
      </c>
      <c r="AG128" s="8" t="s">
        <v>112</v>
      </c>
      <c r="AI128" s="8" t="s">
        <v>579</v>
      </c>
      <c r="AJ128" s="8" t="s">
        <v>118</v>
      </c>
      <c r="AK128" s="8" t="s">
        <v>63</v>
      </c>
      <c r="AL128" s="8" t="s">
        <v>63</v>
      </c>
      <c r="AM128" s="8" t="s">
        <v>84</v>
      </c>
    </row>
    <row r="129" spans="1:39" x14ac:dyDescent="0.2">
      <c r="A129" s="2" t="s">
        <v>575</v>
      </c>
      <c r="D129" s="2" t="s">
        <v>119</v>
      </c>
      <c r="E129" t="str">
        <f t="shared" si="30"/>
        <v>9</v>
      </c>
      <c r="F129" t="str">
        <f t="shared" si="31"/>
        <v>MacLeod_etal_2003</v>
      </c>
      <c r="G129" t="str">
        <f t="shared" si="32"/>
        <v>MacLeod</v>
      </c>
      <c r="H129" t="str">
        <f t="shared" si="33"/>
        <v>etal</v>
      </c>
      <c r="I129" t="str">
        <f t="shared" si="34"/>
        <v>2003</v>
      </c>
      <c r="J129" t="str">
        <f t="shared" si="35"/>
        <v>10.1016%2Fs0047-2484(03)00028-9</v>
      </c>
      <c r="K129" t="str">
        <f t="shared" si="37"/>
        <v>MacLeod_etal_2003_Table2</v>
      </c>
      <c r="L129" t="str">
        <f t="shared" si="36"/>
        <v>10.1016%2Fs0047-2484(03)00028-9_Table2</v>
      </c>
      <c r="M129" t="str">
        <f t="array" ref="M129">IFERROR(INDEX(FileList!$A$1:$A$100,MATCH(TRUE,EXACT(L129,_xlfn.TEXTBEFORE(FileList!$A$1:$A$100,".tsv")),0)),"notfound")</f>
        <v>10.1016%2Fs0047-2484(03)00028-9_Table2.tsv</v>
      </c>
      <c r="N129" s="8" t="s">
        <v>580</v>
      </c>
      <c r="Y129" s="8" t="s">
        <v>229</v>
      </c>
      <c r="Z129" s="8" t="s">
        <v>229</v>
      </c>
      <c r="AF129" s="8" t="s">
        <v>78</v>
      </c>
      <c r="AG129" s="8" t="s">
        <v>112</v>
      </c>
      <c r="AI129" s="8" t="s">
        <v>579</v>
      </c>
      <c r="AJ129" s="8" t="s">
        <v>118</v>
      </c>
      <c r="AK129" s="8" t="s">
        <v>63</v>
      </c>
      <c r="AL129" s="8" t="s">
        <v>63</v>
      </c>
      <c r="AM129" s="8" t="s">
        <v>84</v>
      </c>
    </row>
    <row r="130" spans="1:39" x14ac:dyDescent="0.2">
      <c r="A130" s="2" t="s">
        <v>581</v>
      </c>
      <c r="D130" s="4" t="s">
        <v>582</v>
      </c>
      <c r="E130" t="str">
        <f t="shared" si="30"/>
        <v>2</v>
      </c>
      <c r="F130" t="str">
        <f t="shared" si="31"/>
        <v>ManyPrimates__2022</v>
      </c>
      <c r="G130" t="str">
        <f t="shared" si="32"/>
        <v>ManyPrimates</v>
      </c>
      <c r="H130" t="str">
        <f t="shared" si="33"/>
        <v/>
      </c>
      <c r="I130" t="str">
        <f t="shared" si="34"/>
        <v>2022</v>
      </c>
      <c r="J130" t="str">
        <f t="shared" si="35"/>
        <v>10.26451%2Fabc.09.04.06.2022</v>
      </c>
      <c r="K130" t="str">
        <f t="shared" si="37"/>
        <v>ManyPrimates__2022_data/speciespredictors.xlsx</v>
      </c>
      <c r="L130" t="str">
        <f t="shared" si="36"/>
        <v>10.26451%2Fabc.09.04.06.2022_data/speciespredictors.xlsx</v>
      </c>
      <c r="M130" t="str">
        <f t="array" ref="M130">IFERROR(INDEX(FileList!$A$1:$A$100,MATCH(TRUE,EXACT(L130,_xlfn.TEXTBEFORE(FileList!$A$1:$A$100,".tsv")),0)),"notfound")</f>
        <v>notfound</v>
      </c>
      <c r="P130" s="8" t="s">
        <v>583</v>
      </c>
      <c r="Q130" s="8" t="s">
        <v>198</v>
      </c>
      <c r="T130" s="8" t="str">
        <f>IF(S130="N", R130, "write file name")</f>
        <v>write file name</v>
      </c>
      <c r="U130" s="8" t="s">
        <v>179</v>
      </c>
      <c r="V130" s="8" t="s">
        <v>42</v>
      </c>
      <c r="W130" s="8" t="s">
        <v>180</v>
      </c>
      <c r="X130" s="8" t="s">
        <v>584</v>
      </c>
      <c r="AA130" s="8" t="s">
        <v>585</v>
      </c>
      <c r="AH130" s="8" t="s">
        <v>173</v>
      </c>
      <c r="AI130" s="8" t="s">
        <v>586</v>
      </c>
      <c r="AJ130" s="8" t="s">
        <v>118</v>
      </c>
      <c r="AK130" s="8" t="s">
        <v>137</v>
      </c>
      <c r="AM130" s="8" t="s">
        <v>587</v>
      </c>
    </row>
    <row r="131" spans="1:39" x14ac:dyDescent="0.2">
      <c r="A131" s="2" t="s">
        <v>581</v>
      </c>
      <c r="D131" s="2"/>
      <c r="E131" t="str">
        <f t="shared" si="30"/>
        <v>2</v>
      </c>
      <c r="F131" t="str">
        <f t="shared" si="31"/>
        <v>ManyPrimates__2022</v>
      </c>
      <c r="G131" t="str">
        <f t="shared" si="32"/>
        <v>ManyPrimates</v>
      </c>
      <c r="H131" t="str">
        <f t="shared" si="33"/>
        <v/>
      </c>
      <c r="I131" t="str">
        <f t="shared" si="34"/>
        <v>2022</v>
      </c>
      <c r="J131" t="str">
        <f>_xlfn.LET(
_xlpm.doi,IF(C128&lt;&gt;"",C128,_xlfn.TEXTAFTER(A131,"https://doi.org/")),
SUBSTITUTE(
SUBSTITUTE(
SUBSTITUTE(
SUBSTITUTE(
_xlpm.doi,
"/","%2F"),
":","%3A"),
"&lt;","%3C"),
"&gt;","%3E")
)</f>
        <v>10.26451%2Fabc.09.04.06.2022</v>
      </c>
      <c r="K131" t="str">
        <f t="shared" si="37"/>
        <v>ManyPrimates__2022_</v>
      </c>
      <c r="L131" t="str">
        <f t="shared" si="36"/>
        <v>10.26451%2Fabc.09.04.06.2022_</v>
      </c>
      <c r="M131" t="str">
        <f t="array" ref="M131">IFERROR(INDEX(FileList!$A$1:$A$100,MATCH(TRUE,EXACT(L131,_xlfn.TEXTBEFORE(FileList!$A$1:$A$100,".tsv")),0)),"notfound")</f>
        <v>notfound</v>
      </c>
      <c r="P131" s="8" t="s">
        <v>331</v>
      </c>
      <c r="AJ131" s="8" t="s">
        <v>118</v>
      </c>
      <c r="AL131" s="8" t="s">
        <v>63</v>
      </c>
      <c r="AM131" s="8" t="s">
        <v>587</v>
      </c>
    </row>
    <row r="132" spans="1:39" x14ac:dyDescent="0.2">
      <c r="A132" s="2" t="s">
        <v>588</v>
      </c>
      <c r="B132" s="6"/>
      <c r="D132" s="2" t="s">
        <v>92</v>
      </c>
      <c r="E132" t="str">
        <f t="shared" ref="E132:E163" si="38">RIGHT(A132,1)</f>
        <v>F</v>
      </c>
      <c r="F132" t="str">
        <f t="shared" ref="F132:F163" si="39">G132 &amp; IF(H132&lt;&gt;"", "_" &amp; H132, "_") &amp; IF(I132&lt;&gt;"", "_" &amp; I132, "_") &amp; IF(B132&lt;&gt;"", "_" &amp; B132, "")</f>
        <v>Matano__2001</v>
      </c>
      <c r="G132" t="str">
        <f t="shared" ref="G132:G163" si="40">SUBSTITUTE(SUBSTITUTE(_xlfn.TEXTBEFORE(A132,","), "-", ""), " ", "")</f>
        <v>Matano</v>
      </c>
      <c r="H132" t="str">
        <f t="shared" ref="H132:H163" si="41">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
      </c>
      <c r="I132" t="str">
        <f t="shared" ref="I132:I163" si="42">_xlfn.TEXTBEFORE(_xlfn.TEXTAFTER(A132, "("), ")")</f>
        <v>2001</v>
      </c>
      <c r="J132" t="str">
        <f t="shared" ref="J132:J163" si="43">_xlfn.LET(
_xlpm.doi,IF(C132&lt;&gt;"",C132,_xlfn.TEXTAFTER(A132,"https://doi.org/")),
SUBSTITUTE(
SUBSTITUTE(
SUBSTITUTE(
SUBSTITUTE(
_xlpm.doi,
"/","%2F"),
":","%3A"),
"&lt;","%3C"),
"&gt;","%3E")
)</f>
        <v>10.1002%2F1096-8644(200102)114%3A2%3C163%3A%3AAID-AJPA1016%3E3.0.CO;2-F</v>
      </c>
      <c r="K132" t="str">
        <f t="shared" si="37"/>
        <v>Matano__2001_TABLE2</v>
      </c>
      <c r="L132" t="str">
        <f t="shared" ref="L132:L163" si="44">J132 &amp; "_" &amp; SUBSTITUTE(SUBSTITUTE(SUBSTITUTE(D132,CHAR(160),"")," ",""),"_","")</f>
        <v>10.1002%2F1096-8644(200102)114%3A2%3C163%3A%3AAID-AJPA1016%3E3.0.CO;2-F_TABLE2</v>
      </c>
      <c r="M132" t="str">
        <f t="array" ref="M132">IFERROR(INDEX(FileList!$A$1:$A$100,MATCH(TRUE,EXACT(L132,_xlfn.TEXTBEFORE(FileList!$A$1:$A$100,".tsv")),0)),"notfound")</f>
        <v>10.1002%2F1096-8644(200102)114%3A2%3C163%3A%3AAID-AJPA1016%3E3.0.CO;2-F_TABLE2.tsv</v>
      </c>
      <c r="N132" s="8" t="s">
        <v>589</v>
      </c>
    </row>
    <row r="133" spans="1:39" x14ac:dyDescent="0.2">
      <c r="A133" s="2" t="s">
        <v>590</v>
      </c>
      <c r="B133" s="2" t="s">
        <v>160</v>
      </c>
      <c r="D133" s="2" t="s">
        <v>75</v>
      </c>
      <c r="E133" t="str">
        <f t="shared" si="38"/>
        <v>2</v>
      </c>
      <c r="F133" t="str">
        <f t="shared" si="39"/>
        <v>Matano_etal_1985_a</v>
      </c>
      <c r="G133" t="str">
        <f t="shared" si="40"/>
        <v>Matano</v>
      </c>
      <c r="H133" t="str">
        <f t="shared" si="41"/>
        <v>etal</v>
      </c>
      <c r="I133" t="str">
        <f t="shared" si="42"/>
        <v>1985</v>
      </c>
      <c r="J133" t="str">
        <f t="shared" si="43"/>
        <v>10.1159%2F000156212</v>
      </c>
      <c r="K133" t="str">
        <f t="shared" si="37"/>
        <v>Matano_etal_1985_a_Table1</v>
      </c>
      <c r="L133" t="str">
        <f t="shared" si="44"/>
        <v>10.1159%2F000156212_Table1</v>
      </c>
      <c r="M133" t="str">
        <f t="array" ref="M133">IFERROR(INDEX(FileList!$A$1:$A$100,MATCH(TRUE,EXACT(L133,_xlfn.TEXTBEFORE(FileList!$A$1:$A$100,".tsv")),0)),"notfound")</f>
        <v>10.1159%2F000156212_Table1.tsv</v>
      </c>
      <c r="N133" s="8" t="s">
        <v>591</v>
      </c>
      <c r="P133" s="8" t="s">
        <v>41</v>
      </c>
      <c r="V133" s="8" t="s">
        <v>42</v>
      </c>
      <c r="Y133" s="8" t="s">
        <v>99</v>
      </c>
      <c r="Z133" s="8" t="s">
        <v>99</v>
      </c>
      <c r="AF133" s="8" t="s">
        <v>78</v>
      </c>
      <c r="AG133" s="8" t="s">
        <v>112</v>
      </c>
      <c r="AI133" s="8" t="s">
        <v>592</v>
      </c>
      <c r="AJ133" s="8" t="s">
        <v>101</v>
      </c>
      <c r="AK133" s="8" t="s">
        <v>63</v>
      </c>
      <c r="AL133" s="8" t="s">
        <v>63</v>
      </c>
      <c r="AM133" s="8" t="s">
        <v>84</v>
      </c>
    </row>
    <row r="134" spans="1:39" x14ac:dyDescent="0.2">
      <c r="A134" s="2" t="s">
        <v>593</v>
      </c>
      <c r="B134" s="3" t="s">
        <v>168</v>
      </c>
      <c r="D134" s="2" t="s">
        <v>75</v>
      </c>
      <c r="E134" t="str">
        <f t="shared" si="38"/>
        <v>1</v>
      </c>
      <c r="F134" t="str">
        <f t="shared" si="39"/>
        <v>Matano_etal_1985_b</v>
      </c>
      <c r="G134" t="str">
        <f t="shared" si="40"/>
        <v>Matano</v>
      </c>
      <c r="H134" t="str">
        <f t="shared" si="41"/>
        <v>etal</v>
      </c>
      <c r="I134" t="str">
        <f t="shared" si="42"/>
        <v>1985</v>
      </c>
      <c r="J134" t="str">
        <f t="shared" si="43"/>
        <v>10.1159%2F000156211</v>
      </c>
      <c r="K134" t="str">
        <f t="shared" si="37"/>
        <v>Matano_etal_1985_b_Table1</v>
      </c>
      <c r="L134" t="str">
        <f t="shared" si="44"/>
        <v>10.1159%2F000156211_Table1</v>
      </c>
      <c r="M134" t="str">
        <f t="array" ref="M134">IFERROR(INDEX(FileList!$A$1:$A$100,MATCH(TRUE,EXACT(L134,_xlfn.TEXTBEFORE(FileList!$A$1:$A$100,".tsv")),0)),"notfound")</f>
        <v>10.1159%2F000156211_Table1.tsv</v>
      </c>
      <c r="P134" s="8" t="s">
        <v>41</v>
      </c>
      <c r="Y134" s="8" t="s">
        <v>99</v>
      </c>
      <c r="Z134" s="8" t="s">
        <v>99</v>
      </c>
      <c r="AF134" s="8" t="s">
        <v>78</v>
      </c>
    </row>
    <row r="135" spans="1:39" x14ac:dyDescent="0.2">
      <c r="A135" s="2" t="s">
        <v>594</v>
      </c>
      <c r="D135" s="2" t="s">
        <v>194</v>
      </c>
      <c r="E135" t="str">
        <f t="shared" si="38"/>
        <v>1</v>
      </c>
      <c r="F135" t="str">
        <f t="shared" si="39"/>
        <v>Mota_Herculano-Houzel_2015</v>
      </c>
      <c r="G135" t="str">
        <f t="shared" si="40"/>
        <v>Mota</v>
      </c>
      <c r="H135" t="str">
        <f t="shared" si="41"/>
        <v>Herculano-Houzel</v>
      </c>
      <c r="I135" t="str">
        <f t="shared" si="42"/>
        <v>2015</v>
      </c>
      <c r="J135" t="str">
        <f t="shared" si="43"/>
        <v>10.1126%2Fscience.aaa9101</v>
      </c>
      <c r="K135" t="str">
        <f t="shared" si="37"/>
        <v>Mota_Herculano-Houzel_2015_TableS1</v>
      </c>
      <c r="L135" t="str">
        <f t="shared" si="44"/>
        <v>10.1126%2Fscience.aaa9101_TableS1</v>
      </c>
      <c r="M135" t="str">
        <f t="array" ref="M135">IFERROR(INDEX(FileList!$A$1:$A$100,MATCH(TRUE,EXACT(L135,_xlfn.TEXTBEFORE(FileList!$A$1:$A$100,".tsv")),0)),"notfound")</f>
        <v>10.1126%2Fscience.aaa9101_TableS1.tsv</v>
      </c>
      <c r="Q135" s="8" t="s">
        <v>128</v>
      </c>
      <c r="AI135" s="8" t="s">
        <v>595</v>
      </c>
      <c r="AJ135" s="8" t="s">
        <v>136</v>
      </c>
      <c r="AL135" s="8" t="s">
        <v>358</v>
      </c>
      <c r="AM135" s="8" t="s">
        <v>595</v>
      </c>
    </row>
    <row r="136" spans="1:39" x14ac:dyDescent="0.2">
      <c r="A136" s="2" t="s">
        <v>596</v>
      </c>
      <c r="D136" s="2" t="s">
        <v>597</v>
      </c>
      <c r="E136" t="str">
        <f t="shared" si="38"/>
        <v>6</v>
      </c>
      <c r="F136" t="str">
        <f t="shared" si="39"/>
        <v>Mota_etal_2019</v>
      </c>
      <c r="G136" t="str">
        <f t="shared" si="40"/>
        <v>Mota</v>
      </c>
      <c r="H136" t="str">
        <f t="shared" si="41"/>
        <v>etal</v>
      </c>
      <c r="I136" t="str">
        <f t="shared" si="42"/>
        <v>2019</v>
      </c>
      <c r="J136" t="str">
        <f t="shared" si="43"/>
        <v>10.1073%2Fpnas.1716956116</v>
      </c>
      <c r="K136" t="str">
        <f t="shared" si="37"/>
        <v>Mota_etal_2019_SupplementaryTableS1</v>
      </c>
      <c r="L136" t="str">
        <f t="shared" si="44"/>
        <v>10.1073%2Fpnas.1716956116_SupplementaryTableS1</v>
      </c>
      <c r="M136" t="str">
        <f t="array" ref="M136">IFERROR(INDEX(FileList!$A$1:$A$100,MATCH(TRUE,EXACT(L136,_xlfn.TEXTBEFORE(FileList!$A$1:$A$100,".tsv")),0)),"notfound")</f>
        <v>10.1073%2Fpnas.1716956116_SupplementaryTableS1.tsv</v>
      </c>
      <c r="N136" s="8" t="s">
        <v>598</v>
      </c>
      <c r="P136" s="8" t="s">
        <v>331</v>
      </c>
      <c r="AA136" s="8" t="s">
        <v>599</v>
      </c>
      <c r="AI136" s="8" t="s">
        <v>600</v>
      </c>
      <c r="AJ136" s="8" t="s">
        <v>136</v>
      </c>
      <c r="AL136" s="8" t="s">
        <v>358</v>
      </c>
      <c r="AM136" s="8" t="s">
        <v>601</v>
      </c>
    </row>
    <row r="137" spans="1:39" x14ac:dyDescent="0.2">
      <c r="A137" s="2" t="s">
        <v>602</v>
      </c>
      <c r="C137" s="2" t="s">
        <v>603</v>
      </c>
      <c r="D137" s="2" t="s">
        <v>604</v>
      </c>
      <c r="E137" t="str">
        <f t="shared" si="38"/>
        <v>5</v>
      </c>
      <c r="F137" t="str">
        <f t="shared" si="39"/>
        <v>Powell_etal_2017</v>
      </c>
      <c r="G137" t="str">
        <f t="shared" si="40"/>
        <v>Powell</v>
      </c>
      <c r="H137" t="str">
        <f t="shared" si="41"/>
        <v>etal</v>
      </c>
      <c r="I137" t="str">
        <f t="shared" si="42"/>
        <v>2017</v>
      </c>
      <c r="J137" t="str">
        <f t="shared" si="43"/>
        <v>10.6084%2Fm9.figshare.c.3899422.v1</v>
      </c>
      <c r="K137" t="str">
        <f t="shared" si="37"/>
        <v>Powell_etal_2017_Dataset1</v>
      </c>
      <c r="L137" t="str">
        <f t="shared" si="44"/>
        <v>10.6084%2Fm9.figshare.c.3899422.v1_Dataset1</v>
      </c>
      <c r="M137" t="str">
        <f t="array" ref="M137">IFERROR(INDEX(FileList!$A$1:$A$100,MATCH(TRUE,EXACT(L137,_xlfn.TEXTBEFORE(FileList!$A$1:$A$100,".tsv")),0)),"notfound")</f>
        <v>notfound</v>
      </c>
      <c r="P137" s="8" t="s">
        <v>331</v>
      </c>
      <c r="Q137" s="8" t="s">
        <v>198</v>
      </c>
      <c r="T137" s="8" t="str">
        <f>IF(S137="N", R137, "write file name")</f>
        <v>write file name</v>
      </c>
      <c r="U137" s="8" t="s">
        <v>179</v>
      </c>
      <c r="V137" s="8" t="s">
        <v>42</v>
      </c>
      <c r="W137" s="8" t="s">
        <v>180</v>
      </c>
      <c r="X137" s="8" t="s">
        <v>605</v>
      </c>
      <c r="AA137" s="8" t="s">
        <v>135</v>
      </c>
      <c r="AH137" s="8" t="s">
        <v>173</v>
      </c>
      <c r="AI137" s="8" t="s">
        <v>606</v>
      </c>
      <c r="AJ137" s="8" t="s">
        <v>118</v>
      </c>
      <c r="AK137" s="8" t="s">
        <v>137</v>
      </c>
      <c r="AL137" s="8" t="s">
        <v>137</v>
      </c>
      <c r="AM137" s="8" t="s">
        <v>606</v>
      </c>
    </row>
    <row r="138" spans="1:39" x14ac:dyDescent="0.2">
      <c r="A138" s="2" t="s">
        <v>607</v>
      </c>
      <c r="D138" s="2" t="s">
        <v>75</v>
      </c>
      <c r="E138" t="str">
        <f t="shared" si="38"/>
        <v>5</v>
      </c>
      <c r="F138" t="str">
        <f t="shared" si="39"/>
        <v>Rilling_Insel_1998</v>
      </c>
      <c r="G138" t="str">
        <f t="shared" si="40"/>
        <v>Rilling</v>
      </c>
      <c r="H138" t="str">
        <f t="shared" si="41"/>
        <v>Insel</v>
      </c>
      <c r="I138" t="str">
        <f t="shared" si="42"/>
        <v>1998</v>
      </c>
      <c r="J138" t="str">
        <f t="shared" si="43"/>
        <v>10.1159%2F000006575</v>
      </c>
      <c r="K138" t="str">
        <f t="shared" si="37"/>
        <v>Rilling_Insel_1998_Table1</v>
      </c>
      <c r="L138" t="str">
        <f t="shared" si="44"/>
        <v>10.1159%2F000006575_Table1</v>
      </c>
      <c r="M138" t="str">
        <f t="array" ref="M138">IFERROR(INDEX(FileList!$A$1:$A$100,MATCH(TRUE,EXACT(L138,_xlfn.TEXTBEFORE(FileList!$A$1:$A$100,".tsv")),0)),"notfound")</f>
        <v>10.1159%2F000006575_Table1.tsv</v>
      </c>
      <c r="N138" s="8" t="s">
        <v>608</v>
      </c>
      <c r="Y138" s="8" t="s">
        <v>577</v>
      </c>
      <c r="Z138" s="8" t="s">
        <v>577</v>
      </c>
      <c r="AF138" s="8" t="s">
        <v>578</v>
      </c>
      <c r="AG138" s="8" t="s">
        <v>112</v>
      </c>
    </row>
    <row r="139" spans="1:39" x14ac:dyDescent="0.2">
      <c r="A139" s="2" t="s">
        <v>609</v>
      </c>
      <c r="D139" s="2" t="s">
        <v>75</v>
      </c>
      <c r="E139" t="str">
        <f t="shared" si="38"/>
        <v>3</v>
      </c>
      <c r="F139" t="str">
        <f t="shared" si="39"/>
        <v>Rilling_Insel_1999</v>
      </c>
      <c r="G139" t="str">
        <f t="shared" si="40"/>
        <v>Rilling</v>
      </c>
      <c r="H139" t="str">
        <f t="shared" si="41"/>
        <v>Insel</v>
      </c>
      <c r="I139" t="str">
        <f t="shared" si="42"/>
        <v>1999</v>
      </c>
      <c r="J139" t="str">
        <f t="shared" si="43"/>
        <v>10.1006%2Fjhev.1999.0313</v>
      </c>
      <c r="K139" t="str">
        <f t="shared" si="37"/>
        <v>Rilling_Insel_1999_Table1</v>
      </c>
      <c r="L139" t="str">
        <f t="shared" si="44"/>
        <v>10.1006%2Fjhev.1999.0313_Table1</v>
      </c>
      <c r="M139" t="str">
        <f t="array" ref="M139">IFERROR(INDEX(FileList!$A$1:$A$100,MATCH(TRUE,EXACT(L139,_xlfn.TEXTBEFORE(FileList!$A$1:$A$100,".tsv")),0)),"notfound")</f>
        <v>10.1006%2Fjhev.1999.0313_Table1.tsv</v>
      </c>
      <c r="N139" s="8" t="s">
        <v>610</v>
      </c>
      <c r="Y139" s="8" t="s">
        <v>577</v>
      </c>
      <c r="Z139" s="8" t="s">
        <v>577</v>
      </c>
    </row>
    <row r="140" spans="1:39" x14ac:dyDescent="0.2">
      <c r="A140" s="2" t="s">
        <v>611</v>
      </c>
      <c r="D140" s="2" t="s">
        <v>612</v>
      </c>
      <c r="E140" t="str">
        <f t="shared" si="38"/>
        <v>2</v>
      </c>
      <c r="F140" t="str">
        <f t="shared" si="39"/>
        <v>Schniter_Penaherrera-Aguirre_2026</v>
      </c>
      <c r="G140" t="str">
        <f t="shared" si="40"/>
        <v>Schniter</v>
      </c>
      <c r="H140" t="str">
        <f t="shared" si="41"/>
        <v>Penaherrera-Aguirre</v>
      </c>
      <c r="I140" t="str">
        <f t="shared" si="42"/>
        <v>2026</v>
      </c>
      <c r="J140" t="str">
        <f t="shared" si="43"/>
        <v>10.1007%2Fs10329-026-01271-2</v>
      </c>
      <c r="K140" t="str">
        <f t="shared" si="37"/>
        <v>Schniter_Penaherrera-Aguirre_2026_data</v>
      </c>
      <c r="L140" t="str">
        <f t="shared" si="44"/>
        <v>10.1007%2Fs10329-026-01271-2_data</v>
      </c>
      <c r="M140" t="str">
        <f t="array" ref="M140">IFERROR(INDEX(FileList!$A$1:$A$100,MATCH(TRUE,EXACT(L140,_xlfn.TEXTBEFORE(FileList!$A$1:$A$100,".tsv")),0)),"notfound")</f>
        <v>notfound</v>
      </c>
      <c r="N140" s="8" t="s">
        <v>612</v>
      </c>
    </row>
    <row r="141" spans="1:39" x14ac:dyDescent="0.2">
      <c r="A141" s="2" t="s">
        <v>613</v>
      </c>
      <c r="D141" s="2"/>
      <c r="E141" t="str">
        <f t="shared" si="38"/>
        <v>1</v>
      </c>
      <c r="F141" t="str">
        <f t="shared" si="39"/>
        <v>Semendeferi_Damasio_2000</v>
      </c>
      <c r="G141" t="str">
        <f t="shared" si="40"/>
        <v>Semendeferi</v>
      </c>
      <c r="H141" t="str">
        <f t="shared" si="41"/>
        <v>Damasio</v>
      </c>
      <c r="I141" t="str">
        <f t="shared" si="42"/>
        <v>2000</v>
      </c>
      <c r="J141" t="str">
        <f t="shared" si="43"/>
        <v>10.1006%2Fjhev.1999.0381</v>
      </c>
      <c r="K141" t="str">
        <f t="shared" si="37"/>
        <v>Semendeferi_Damasio_2000_</v>
      </c>
      <c r="L141" t="str">
        <f t="shared" si="44"/>
        <v>10.1006%2Fjhev.1999.0381_</v>
      </c>
      <c r="M141" t="str">
        <f t="array" ref="M141">IFERROR(INDEX(FileList!$A$1:$A$100,MATCH(TRUE,EXACT(L141,_xlfn.TEXTBEFORE(FileList!$A$1:$A$100,".tsv")),0)),"notfound")</f>
        <v>notfound</v>
      </c>
    </row>
    <row r="142" spans="1:39" x14ac:dyDescent="0.2">
      <c r="A142" s="2" t="s">
        <v>614</v>
      </c>
      <c r="D142" s="2" t="s">
        <v>92</v>
      </c>
      <c r="E142" t="str">
        <f t="shared" si="38"/>
        <v>L</v>
      </c>
      <c r="F142" t="str">
        <f t="shared" si="39"/>
        <v>Semendeferi_etal_1998</v>
      </c>
      <c r="G142" t="str">
        <f t="shared" si="40"/>
        <v>Semendeferi</v>
      </c>
      <c r="H142" t="str">
        <f t="shared" si="41"/>
        <v>etal</v>
      </c>
      <c r="I142" t="str">
        <f t="shared" si="42"/>
        <v>1998</v>
      </c>
      <c r="J142" t="str">
        <f t="shared" si="43"/>
        <v>10.1002%2F(SICI)1096-8644(199806)106%3A2%3C129%3A%3AAID-AJPA3%3E3.0.CO;2-L</v>
      </c>
      <c r="K142" t="str">
        <f t="shared" ref="K142:K173" si="45">TRIM(_xlfn.TEXTJOIN("_",FALSE,F142,(SUBSTITUTE(SUBSTITUTE(D142," ",""), "_", ""))))</f>
        <v>Semendeferi_etal_1998_TABLE2</v>
      </c>
      <c r="L142" t="str">
        <f t="shared" si="44"/>
        <v>10.1002%2F(SICI)1096-8644(199806)106%3A2%3C129%3A%3AAID-AJPA3%3E3.0.CO;2-L_TABLE2</v>
      </c>
      <c r="M142" t="str">
        <f t="array" ref="M142">IFERROR(INDEX(FileList!$A$1:$A$100,MATCH(TRUE,EXACT(L142,_xlfn.TEXTBEFORE(FileList!$A$1:$A$100,".tsv")),0)),"notfound")</f>
        <v>10.1002%2F(SICI)1096-8644(199806)106%3A2%3C129%3A%3AAID-AJPA3%3E3.0.CO;2-L_TABLE2.tsv</v>
      </c>
      <c r="N142" s="8" t="s">
        <v>615</v>
      </c>
      <c r="P142" s="8" t="s">
        <v>41</v>
      </c>
      <c r="Y142" s="8" t="s">
        <v>77</v>
      </c>
      <c r="AF142" s="8" t="s">
        <v>78</v>
      </c>
      <c r="AG142" s="8" t="s">
        <v>112</v>
      </c>
      <c r="AI142" s="8" t="s">
        <v>616</v>
      </c>
      <c r="AJ142" s="8" t="s">
        <v>83</v>
      </c>
      <c r="AK142" s="8" t="s">
        <v>63</v>
      </c>
      <c r="AL142" s="8" t="s">
        <v>63</v>
      </c>
      <c r="AM142" s="8" t="s">
        <v>84</v>
      </c>
    </row>
    <row r="143" spans="1:39" x14ac:dyDescent="0.2">
      <c r="A143" s="2" t="s">
        <v>617</v>
      </c>
      <c r="D143" s="2" t="s">
        <v>92</v>
      </c>
      <c r="E143" t="str">
        <f t="shared" si="38"/>
        <v>I</v>
      </c>
      <c r="F143" t="str">
        <f t="shared" si="39"/>
        <v>Semendeferi_etal_2001</v>
      </c>
      <c r="G143" t="str">
        <f t="shared" si="40"/>
        <v>Semendeferi</v>
      </c>
      <c r="H143" t="str">
        <f t="shared" si="41"/>
        <v>etal</v>
      </c>
      <c r="I143" t="str">
        <f t="shared" si="42"/>
        <v>2001</v>
      </c>
      <c r="J143" t="str">
        <f t="shared" si="43"/>
        <v>10.1002%2F1096-8644(200103)114%3A3%3C224%3A%3AAID-AJPA1022%3E3.0.CO;2-I</v>
      </c>
      <c r="K143" t="str">
        <f t="shared" si="45"/>
        <v>Semendeferi_etal_2001_TABLE2</v>
      </c>
      <c r="L143" t="str">
        <f t="shared" si="44"/>
        <v>10.1002%2F1096-8644(200103)114%3A3%3C224%3A%3AAID-AJPA1022%3E3.0.CO;2-I_TABLE2</v>
      </c>
      <c r="M143" t="str">
        <f t="array" ref="M143">IFERROR(INDEX(FileList!$A$1:$A$100,MATCH(TRUE,EXACT(L143,_xlfn.TEXTBEFORE(FileList!$A$1:$A$100,".tsv")),0)),"notfound")</f>
        <v>10.1002%2F1096-8644(200103)114%3A3%3C224%3A%3AAID-AJPA1022%3E3.0.CO;2-I_TABLE2.tsv</v>
      </c>
      <c r="N143" s="8" t="s">
        <v>618</v>
      </c>
      <c r="P143" s="8" t="s">
        <v>41</v>
      </c>
      <c r="Y143" s="8" t="s">
        <v>77</v>
      </c>
      <c r="AF143" s="8" t="s">
        <v>78</v>
      </c>
      <c r="AG143" s="8" t="s">
        <v>112</v>
      </c>
      <c r="AI143" s="8" t="s">
        <v>619</v>
      </c>
      <c r="AJ143" s="8" t="s">
        <v>83</v>
      </c>
      <c r="AK143" s="8" t="s">
        <v>63</v>
      </c>
      <c r="AL143" s="8" t="s">
        <v>63</v>
      </c>
      <c r="AM143" s="8" t="s">
        <v>84</v>
      </c>
    </row>
    <row r="144" spans="1:39" x14ac:dyDescent="0.2">
      <c r="A144" s="2" t="s">
        <v>620</v>
      </c>
      <c r="D144" s="2" t="s">
        <v>75</v>
      </c>
      <c r="E144" t="str">
        <f t="shared" si="38"/>
        <v>4</v>
      </c>
      <c r="F144" t="str">
        <f t="shared" si="39"/>
        <v>Semendeferi_etal_2002</v>
      </c>
      <c r="G144" t="str">
        <f t="shared" si="40"/>
        <v>Semendeferi</v>
      </c>
      <c r="H144" t="str">
        <f t="shared" si="41"/>
        <v>etal</v>
      </c>
      <c r="I144" t="str">
        <f t="shared" si="42"/>
        <v>2002</v>
      </c>
      <c r="J144" t="str">
        <f t="shared" si="43"/>
        <v>10.1038%2Fnn814</v>
      </c>
      <c r="K144" t="str">
        <f t="shared" si="45"/>
        <v>Semendeferi_etal_2002_Table1</v>
      </c>
      <c r="L144" t="str">
        <f t="shared" si="44"/>
        <v>10.1038%2Fnn814_Table1</v>
      </c>
      <c r="M144" t="str">
        <f t="array" ref="M144">IFERROR(INDEX(FileList!$A$1:$A$100,MATCH(TRUE,EXACT(L144,_xlfn.TEXTBEFORE(FileList!$A$1:$A$100,".tsv")),0)),"notfound")</f>
        <v>notfound</v>
      </c>
      <c r="N144" s="8" t="s">
        <v>621</v>
      </c>
      <c r="Y144" s="8" t="s">
        <v>77</v>
      </c>
      <c r="AF144" s="8" t="s">
        <v>78</v>
      </c>
      <c r="AG144" s="8" t="s">
        <v>112</v>
      </c>
      <c r="AI144" s="8" t="s">
        <v>622</v>
      </c>
      <c r="AJ144" s="8" t="s">
        <v>83</v>
      </c>
      <c r="AK144" s="8" t="s">
        <v>63</v>
      </c>
      <c r="AL144" s="8" t="s">
        <v>63</v>
      </c>
      <c r="AM144" s="8" t="s">
        <v>84</v>
      </c>
    </row>
    <row r="145" spans="1:39" x14ac:dyDescent="0.2">
      <c r="A145" s="2" t="s">
        <v>623</v>
      </c>
      <c r="D145" s="2" t="s">
        <v>624</v>
      </c>
      <c r="E145" t="str">
        <f t="shared" si="38"/>
        <v>6</v>
      </c>
      <c r="F145" t="str">
        <f t="shared" si="39"/>
        <v>Seymour_etal_2015</v>
      </c>
      <c r="G145" t="str">
        <f t="shared" si="40"/>
        <v>Seymour</v>
      </c>
      <c r="H145" t="str">
        <f t="shared" si="41"/>
        <v>etal</v>
      </c>
      <c r="I145" t="str">
        <f t="shared" si="42"/>
        <v>2015</v>
      </c>
      <c r="J145" t="str">
        <f t="shared" si="43"/>
        <v>10.1242%2Fjeb.124826</v>
      </c>
      <c r="K145" t="str">
        <f t="shared" si="45"/>
        <v>Seymour_etal_2015_TableS1</v>
      </c>
      <c r="L145" t="str">
        <f t="shared" si="44"/>
        <v>10.1242%2Fjeb.124826_TableS1</v>
      </c>
      <c r="M145" t="str">
        <f t="array" ref="M145">IFERROR(INDEX(FileList!$A$1:$A$100,MATCH(TRUE,EXACT(L145,_xlfn.TEXTBEFORE(FileList!$A$1:$A$100,".tsv")),0)),"notfound")</f>
        <v>notfound</v>
      </c>
    </row>
    <row r="146" spans="1:39" x14ac:dyDescent="0.2">
      <c r="A146" s="2" t="s">
        <v>625</v>
      </c>
      <c r="D146" s="2" t="s">
        <v>194</v>
      </c>
      <c r="E146" t="str">
        <f t="shared" si="38"/>
        <v>6</v>
      </c>
      <c r="F146" t="str">
        <f t="shared" si="39"/>
        <v>Seymour_etal_2017</v>
      </c>
      <c r="G146" t="str">
        <f t="shared" si="40"/>
        <v>Seymour</v>
      </c>
      <c r="H146" t="str">
        <f t="shared" si="41"/>
        <v>etal</v>
      </c>
      <c r="I146" t="str">
        <f t="shared" si="42"/>
        <v>2017</v>
      </c>
      <c r="J146" t="str">
        <f t="shared" si="43"/>
        <v>10.1098%2Frsos.170846</v>
      </c>
      <c r="K146" t="str">
        <f t="shared" si="45"/>
        <v>Seymour_etal_2017_TableS1</v>
      </c>
      <c r="L146" t="str">
        <f t="shared" si="44"/>
        <v>10.1098%2Frsos.170846_TableS1</v>
      </c>
      <c r="M146" t="str">
        <f t="array" ref="M146">IFERROR(INDEX(FileList!$A$1:$A$100,MATCH(TRUE,EXACT(L146,_xlfn.TEXTBEFORE(FileList!$A$1:$A$100,".tsv")),0)),"notfound")</f>
        <v>notfound</v>
      </c>
    </row>
    <row r="147" spans="1:39" x14ac:dyDescent="0.2">
      <c r="A147" s="2" t="s">
        <v>626</v>
      </c>
      <c r="D147" s="2" t="s">
        <v>627</v>
      </c>
      <c r="E147" t="str">
        <f t="shared" si="38"/>
        <v>8</v>
      </c>
      <c r="F147" t="str">
        <f t="shared" si="39"/>
        <v>Seymour_etal_2019</v>
      </c>
      <c r="G147" t="str">
        <f t="shared" si="40"/>
        <v>Seymour</v>
      </c>
      <c r="H147" t="str">
        <f t="shared" si="41"/>
        <v>etal</v>
      </c>
      <c r="I147" t="str">
        <f t="shared" si="42"/>
        <v>2019</v>
      </c>
      <c r="J147" t="str">
        <f t="shared" si="43"/>
        <v>10.1098%2Frspb.2019.2208</v>
      </c>
      <c r="K147" t="str">
        <f t="shared" si="45"/>
        <v>Seymour_etal_2019_rspb20192208si002</v>
      </c>
      <c r="L147" t="str">
        <f t="shared" si="44"/>
        <v>10.1098%2Frspb.2019.2208_rspb20192208si002</v>
      </c>
      <c r="M147" t="str">
        <f t="array" ref="M147">IFERROR(INDEX(FileList!$A$1:$A$100,MATCH(TRUE,EXACT(L147,_xlfn.TEXTBEFORE(FileList!$A$1:$A$100,".tsv")),0)),"notfound")</f>
        <v>notfound</v>
      </c>
    </row>
    <row r="148" spans="1:39" x14ac:dyDescent="0.2">
      <c r="A148" s="2" t="s">
        <v>628</v>
      </c>
      <c r="D148" s="2" t="s">
        <v>629</v>
      </c>
      <c r="E148" t="str">
        <f t="shared" si="38"/>
        <v>8</v>
      </c>
      <c r="F148" t="str">
        <f t="shared" si="39"/>
        <v>Sherwood_etal_2004</v>
      </c>
      <c r="G148" t="str">
        <f t="shared" si="40"/>
        <v>Sherwood</v>
      </c>
      <c r="H148" t="str">
        <f t="shared" si="41"/>
        <v>etal</v>
      </c>
      <c r="I148" t="str">
        <f t="shared" si="42"/>
        <v>2004</v>
      </c>
      <c r="J148" t="str">
        <f t="shared" si="43"/>
        <v>10.1002%2Fajp.20048</v>
      </c>
      <c r="K148" t="str">
        <f t="shared" si="45"/>
        <v>Sherwood_etal_2004_TABLEI</v>
      </c>
      <c r="L148" t="str">
        <f t="shared" si="44"/>
        <v>10.1002%2Fajp.20048_TABLEI</v>
      </c>
      <c r="M148" t="str">
        <f t="array" ref="M148">IFERROR(INDEX(FileList!$A$1:$A$100,MATCH(TRUE,EXACT(L148,_xlfn.TEXTBEFORE(FileList!$A$1:$A$100,".tsv")),0)),"notfound")</f>
        <v>10.1002%2Fajp.20048_TABLEI.tsv</v>
      </c>
      <c r="N148" s="8" t="s">
        <v>630</v>
      </c>
      <c r="Y148" s="8" t="s">
        <v>631</v>
      </c>
      <c r="Z148" s="8" t="s">
        <v>632</v>
      </c>
      <c r="AF148" s="8" t="s">
        <v>578</v>
      </c>
      <c r="AG148" s="8" t="s">
        <v>112</v>
      </c>
      <c r="AK148" s="8" t="s">
        <v>63</v>
      </c>
    </row>
    <row r="149" spans="1:39" x14ac:dyDescent="0.2">
      <c r="A149" s="2" t="s">
        <v>628</v>
      </c>
      <c r="B149" s="6"/>
      <c r="D149" s="2" t="s">
        <v>94</v>
      </c>
      <c r="E149" t="str">
        <f t="shared" si="38"/>
        <v>8</v>
      </c>
      <c r="F149" t="str">
        <f t="shared" si="39"/>
        <v>Sherwood_etal_2004</v>
      </c>
      <c r="G149" t="str">
        <f t="shared" si="40"/>
        <v>Sherwood</v>
      </c>
      <c r="H149" t="str">
        <f t="shared" si="41"/>
        <v>etal</v>
      </c>
      <c r="I149" t="str">
        <f t="shared" si="42"/>
        <v>2004</v>
      </c>
      <c r="J149" t="str">
        <f t="shared" si="43"/>
        <v>10.1002%2Fajp.20048</v>
      </c>
      <c r="K149" t="str">
        <f t="shared" si="45"/>
        <v>Sherwood_etal_2004_unpublishedviaDeCasien</v>
      </c>
      <c r="L149" t="str">
        <f t="shared" si="44"/>
        <v>10.1002%2Fajp.20048_unpublishedviaDeCasien</v>
      </c>
      <c r="M149" t="str">
        <f t="array" ref="M149">IFERROR(INDEX(FileList!$A$1:$A$100,MATCH(TRUE,EXACT(L149,_xlfn.TEXTBEFORE(FileList!$A$1:$A$100,".tsv")),0)),"notfound")</f>
        <v>10.1002%2Fajp.20048_unpublishedviaDeCasien.tsv</v>
      </c>
      <c r="O149" s="8" t="s">
        <v>95</v>
      </c>
      <c r="Y149" s="8" t="s">
        <v>631</v>
      </c>
      <c r="Z149" s="8" t="s">
        <v>632</v>
      </c>
      <c r="AF149" s="8" t="s">
        <v>578</v>
      </c>
      <c r="AG149" s="8" t="s">
        <v>112</v>
      </c>
      <c r="AK149" s="8" t="s">
        <v>63</v>
      </c>
    </row>
    <row r="150" spans="1:39" x14ac:dyDescent="0.2">
      <c r="A150" s="2" t="s">
        <v>633</v>
      </c>
      <c r="B150" s="6"/>
      <c r="D150" s="2" t="s">
        <v>75</v>
      </c>
      <c r="E150" t="str">
        <f t="shared" si="38"/>
        <v>3</v>
      </c>
      <c r="F150" t="str">
        <f t="shared" si="39"/>
        <v>Sherwood_etal_2005</v>
      </c>
      <c r="G150" t="str">
        <f t="shared" si="40"/>
        <v>Sherwood</v>
      </c>
      <c r="H150" t="str">
        <f t="shared" si="41"/>
        <v>etal</v>
      </c>
      <c r="I150" t="str">
        <f t="shared" si="42"/>
        <v>2005</v>
      </c>
      <c r="J150" t="str">
        <f t="shared" si="43"/>
        <v>10.1016%2Fj.jhevol.2004.10.003</v>
      </c>
      <c r="K150" t="str">
        <f t="shared" si="45"/>
        <v>Sherwood_etal_2005_Table1</v>
      </c>
      <c r="L150" t="str">
        <f t="shared" si="44"/>
        <v>10.1016%2Fj.jhevol.2004.10.003_Table1</v>
      </c>
      <c r="M150" t="str">
        <f t="array" ref="M150">IFERROR(INDEX(FileList!$A$1:$A$100,MATCH(TRUE,EXACT(L150,_xlfn.TEXTBEFORE(FileList!$A$1:$A$100,".tsv")),0)),"notfound")</f>
        <v>10.1016%2Fj.jhevol.2004.10.003_Table1.tsv</v>
      </c>
      <c r="N150" s="8" t="s">
        <v>634</v>
      </c>
      <c r="V150" s="8" t="s">
        <v>42</v>
      </c>
      <c r="Y150" s="8" t="s">
        <v>99</v>
      </c>
      <c r="Z150" s="8" t="s">
        <v>229</v>
      </c>
      <c r="AF150" s="8" t="s">
        <v>78</v>
      </c>
      <c r="AG150" s="8" t="s">
        <v>112</v>
      </c>
      <c r="AI150" s="8" t="s">
        <v>635</v>
      </c>
      <c r="AJ150" s="8" t="s">
        <v>146</v>
      </c>
      <c r="AK150" s="8" t="s">
        <v>63</v>
      </c>
      <c r="AL150" s="8" t="s">
        <v>63</v>
      </c>
      <c r="AM150" s="8" t="s">
        <v>84</v>
      </c>
    </row>
    <row r="151" spans="1:39" x14ac:dyDescent="0.2">
      <c r="A151" s="2" t="s">
        <v>636</v>
      </c>
      <c r="B151" s="3" t="s">
        <v>637</v>
      </c>
      <c r="D151" s="2" t="s">
        <v>40</v>
      </c>
      <c r="E151" t="str">
        <f t="shared" si="38"/>
        <v>2</v>
      </c>
      <c r="F151" t="str">
        <f t="shared" si="39"/>
        <v>Sherwood_etal_2004_I</v>
      </c>
      <c r="G151" t="str">
        <f t="shared" si="40"/>
        <v>Sherwood</v>
      </c>
      <c r="H151" t="str">
        <f t="shared" si="41"/>
        <v>etal</v>
      </c>
      <c r="I151" t="str">
        <f t="shared" si="42"/>
        <v>2004</v>
      </c>
      <c r="J151" t="str">
        <f t="shared" si="43"/>
        <v>10.1159%2F000075672</v>
      </c>
      <c r="K151" t="str">
        <f t="shared" si="45"/>
        <v>Sherwood_etal_2004_I_Table4</v>
      </c>
      <c r="L151" t="str">
        <f t="shared" si="44"/>
        <v>10.1159%2F000075672_Table4</v>
      </c>
      <c r="M151" t="str">
        <f t="array" ref="M151">IFERROR(INDEX(FileList!$A$1:$A$100,MATCH(TRUE,EXACT(L151,_xlfn.TEXTBEFORE(FileList!$A$1:$A$100,".tsv")),0)),"notfound")</f>
        <v>notfound</v>
      </c>
      <c r="N151" s="8" t="s">
        <v>638</v>
      </c>
      <c r="P151" s="8" t="s">
        <v>583</v>
      </c>
      <c r="Q151" s="8" t="s">
        <v>198</v>
      </c>
      <c r="T151" s="8" t="str">
        <f>IF(S151="N", R151, "write file name")</f>
        <v>write file name</v>
      </c>
      <c r="U151" s="8" t="s">
        <v>55</v>
      </c>
      <c r="V151" s="8" t="s">
        <v>639</v>
      </c>
      <c r="Z151" s="8" t="s">
        <v>77</v>
      </c>
      <c r="AF151" s="8" t="s">
        <v>78</v>
      </c>
      <c r="AH151" s="8" t="s">
        <v>173</v>
      </c>
      <c r="AI151" s="8" t="s">
        <v>640</v>
      </c>
      <c r="AJ151" s="8" t="s">
        <v>118</v>
      </c>
      <c r="AK151" s="8" t="s">
        <v>63</v>
      </c>
      <c r="AL151" s="8" t="s">
        <v>63</v>
      </c>
      <c r="AM151" s="8" t="s">
        <v>641</v>
      </c>
    </row>
    <row r="152" spans="1:39" x14ac:dyDescent="0.2">
      <c r="A152" s="2" t="s">
        <v>636</v>
      </c>
      <c r="B152" s="3" t="s">
        <v>637</v>
      </c>
      <c r="D152" s="2" t="s">
        <v>68</v>
      </c>
      <c r="E152" t="str">
        <f t="shared" si="38"/>
        <v>2</v>
      </c>
      <c r="F152" t="str">
        <f t="shared" si="39"/>
        <v>Sherwood_etal_2004_I</v>
      </c>
      <c r="G152" t="str">
        <f t="shared" si="40"/>
        <v>Sherwood</v>
      </c>
      <c r="H152" t="str">
        <f t="shared" si="41"/>
        <v>etal</v>
      </c>
      <c r="I152" t="str">
        <f t="shared" si="42"/>
        <v>2004</v>
      </c>
      <c r="J152" t="str">
        <f t="shared" si="43"/>
        <v>10.1159%2F000075672</v>
      </c>
      <c r="K152" t="str">
        <f t="shared" si="45"/>
        <v>Sherwood_etal_2004_I_Table5</v>
      </c>
      <c r="L152" t="str">
        <f t="shared" si="44"/>
        <v>10.1159%2F000075672_Table5</v>
      </c>
      <c r="M152" t="str">
        <f t="array" ref="M152">IFERROR(INDEX(FileList!$A$1:$A$100,MATCH(TRUE,EXACT(L152,_xlfn.TEXTBEFORE(FileList!$A$1:$A$100,".tsv")),0)),"notfound")</f>
        <v>notfound</v>
      </c>
      <c r="N152" s="8" t="s">
        <v>642</v>
      </c>
      <c r="P152" s="8" t="s">
        <v>583</v>
      </c>
      <c r="Q152" s="8" t="s">
        <v>198</v>
      </c>
      <c r="T152" s="8" t="str">
        <f>IF(S152="N", R152, "write file name")</f>
        <v>write file name</v>
      </c>
      <c r="U152" s="8" t="s">
        <v>55</v>
      </c>
      <c r="V152" s="8" t="s">
        <v>639</v>
      </c>
      <c r="Z152" s="8" t="s">
        <v>229</v>
      </c>
      <c r="AF152" s="8" t="s">
        <v>78</v>
      </c>
      <c r="AG152" s="8" t="s">
        <v>112</v>
      </c>
      <c r="AH152" s="8" t="s">
        <v>173</v>
      </c>
      <c r="AI152" s="8" t="s">
        <v>640</v>
      </c>
      <c r="AJ152" s="8" t="s">
        <v>118</v>
      </c>
      <c r="AK152" s="8" t="s">
        <v>63</v>
      </c>
      <c r="AL152" s="8" t="s">
        <v>63</v>
      </c>
      <c r="AM152" s="8" t="s">
        <v>641</v>
      </c>
    </row>
    <row r="153" spans="1:39" x14ac:dyDescent="0.2">
      <c r="A153" s="2" t="s">
        <v>643</v>
      </c>
      <c r="C153" s="2" t="s">
        <v>644</v>
      </c>
      <c r="D153" s="2" t="s">
        <v>645</v>
      </c>
      <c r="E153" t="str">
        <f t="shared" si="38"/>
        <v>9</v>
      </c>
      <c r="F153" t="str">
        <f t="shared" si="39"/>
        <v>Smaers_Soligo_2013</v>
      </c>
      <c r="G153" t="str">
        <f t="shared" si="40"/>
        <v>Smaers</v>
      </c>
      <c r="H153" t="str">
        <f t="shared" si="41"/>
        <v>Soligo</v>
      </c>
      <c r="I153" t="str">
        <f t="shared" si="42"/>
        <v>2013</v>
      </c>
      <c r="J153" t="str">
        <f t="shared" si="43"/>
        <v>10.1098%2Frspb.2013.0269</v>
      </c>
      <c r="K153" t="str">
        <f t="shared" si="45"/>
        <v>Smaers_Soligo_2013_Supplement</v>
      </c>
      <c r="L153" t="str">
        <f t="shared" si="44"/>
        <v>10.1098%2Frspb.2013.0269_Supplement</v>
      </c>
      <c r="M153" t="str">
        <f t="array" ref="M153">IFERROR(INDEX(FileList!$A$1:$A$100,MATCH(TRUE,EXACT(L153,_xlfn.TEXTBEFORE(FileList!$A$1:$A$100,".tsv")),0)),"notfound")</f>
        <v>notfound</v>
      </c>
      <c r="N153" s="8" t="s">
        <v>646</v>
      </c>
      <c r="AF153" s="8" t="s">
        <v>78</v>
      </c>
      <c r="AG153" s="8" t="s">
        <v>112</v>
      </c>
      <c r="AI153" s="8" t="s">
        <v>647</v>
      </c>
      <c r="AJ153" s="8" t="s">
        <v>648</v>
      </c>
      <c r="AL153" s="8" t="s">
        <v>358</v>
      </c>
      <c r="AM153" s="8" t="s">
        <v>84</v>
      </c>
    </row>
    <row r="154" spans="1:39" x14ac:dyDescent="0.2">
      <c r="A154" s="2" t="s">
        <v>649</v>
      </c>
      <c r="D154" s="2" t="s">
        <v>650</v>
      </c>
      <c r="E154" t="str">
        <f t="shared" si="38"/>
        <v>0</v>
      </c>
      <c r="F154" t="str">
        <f t="shared" si="39"/>
        <v>Smaers_etal_2017</v>
      </c>
      <c r="G154" t="str">
        <f t="shared" si="40"/>
        <v>Smaers</v>
      </c>
      <c r="H154" t="str">
        <f t="shared" si="41"/>
        <v>etal</v>
      </c>
      <c r="I154" t="str">
        <f t="shared" si="42"/>
        <v>2017</v>
      </c>
      <c r="J154" t="str">
        <f t="shared" si="43"/>
        <v>10.1016%2Fj.cub.2017.01.020</v>
      </c>
      <c r="K154" t="str">
        <f t="shared" si="45"/>
        <v>Smaers_etal_2017_TableS1part1</v>
      </c>
      <c r="L154" t="str">
        <f t="shared" si="44"/>
        <v>10.1016%2Fj.cub.2017.01.020_TableS1part1</v>
      </c>
      <c r="M154" t="str">
        <f t="array" ref="M154">IFERROR(INDEX(FileList!$A$1:$A$100,MATCH(TRUE,EXACT(L154,_xlfn.TEXTBEFORE(FileList!$A$1:$A$100,".tsv")),0)),"notfound")</f>
        <v>10.1016%2Fj.cub.2017.01.020_TableS1part1.tsv</v>
      </c>
      <c r="N154" s="8" t="s">
        <v>651</v>
      </c>
      <c r="O154" s="8" t="s">
        <v>652</v>
      </c>
      <c r="P154" s="8" t="s">
        <v>41</v>
      </c>
      <c r="V154" s="8" t="s">
        <v>42</v>
      </c>
      <c r="Y154" s="8" t="s">
        <v>653</v>
      </c>
      <c r="Z154" s="8" t="s">
        <v>229</v>
      </c>
      <c r="AC154" s="8" t="s">
        <v>654</v>
      </c>
      <c r="AF154" s="8" t="s">
        <v>78</v>
      </c>
      <c r="AG154" s="8" t="s">
        <v>112</v>
      </c>
      <c r="AI154" s="8" t="s">
        <v>655</v>
      </c>
      <c r="AJ154" s="8" t="s">
        <v>118</v>
      </c>
      <c r="AK154" s="8" t="s">
        <v>656</v>
      </c>
      <c r="AL154" s="8" t="s">
        <v>358</v>
      </c>
      <c r="AM154" s="8" t="s">
        <v>84</v>
      </c>
    </row>
    <row r="155" spans="1:39" x14ac:dyDescent="0.2">
      <c r="A155" s="2" t="s">
        <v>649</v>
      </c>
      <c r="D155" s="2" t="s">
        <v>657</v>
      </c>
      <c r="E155" t="str">
        <f t="shared" si="38"/>
        <v>0</v>
      </c>
      <c r="F155" t="str">
        <f t="shared" si="39"/>
        <v>Smaers_etal_2017</v>
      </c>
      <c r="G155" t="str">
        <f t="shared" si="40"/>
        <v>Smaers</v>
      </c>
      <c r="H155" t="str">
        <f t="shared" si="41"/>
        <v>etal</v>
      </c>
      <c r="I155" t="str">
        <f t="shared" si="42"/>
        <v>2017</v>
      </c>
      <c r="J155" t="str">
        <f t="shared" si="43"/>
        <v>10.1016%2Fj.cub.2017.01.020</v>
      </c>
      <c r="K155" t="str">
        <f t="shared" si="45"/>
        <v>Smaers_etal_2017_TableS1part2</v>
      </c>
      <c r="L155" t="str">
        <f t="shared" si="44"/>
        <v>10.1016%2Fj.cub.2017.01.020_TableS1part2</v>
      </c>
      <c r="M155" t="str">
        <f t="array" ref="M155">IFERROR(INDEX(FileList!$A$1:$A$100,MATCH(TRUE,EXACT(L155,_xlfn.TEXTBEFORE(FileList!$A$1:$A$100,".tsv")),0)),"notfound")</f>
        <v>10.1016%2Fj.cub.2017.01.020_TableS1part2.tsv</v>
      </c>
      <c r="N155" s="8" t="s">
        <v>651</v>
      </c>
      <c r="O155" s="8" t="s">
        <v>658</v>
      </c>
      <c r="P155" s="8" t="s">
        <v>41</v>
      </c>
      <c r="V155" s="8" t="s">
        <v>42</v>
      </c>
      <c r="Y155" s="8" t="s">
        <v>653</v>
      </c>
      <c r="Z155" s="8" t="s">
        <v>229</v>
      </c>
      <c r="AC155" s="8" t="s">
        <v>654</v>
      </c>
      <c r="AF155" s="8" t="s">
        <v>78</v>
      </c>
      <c r="AG155" s="8" t="s">
        <v>112</v>
      </c>
      <c r="AI155" s="8" t="s">
        <v>655</v>
      </c>
      <c r="AJ155" s="8" t="s">
        <v>118</v>
      </c>
      <c r="AK155" s="8" t="s">
        <v>656</v>
      </c>
      <c r="AL155" s="8" t="s">
        <v>358</v>
      </c>
      <c r="AM155" s="8" t="s">
        <v>84</v>
      </c>
    </row>
    <row r="156" spans="1:39" x14ac:dyDescent="0.2">
      <c r="A156" s="2" t="s">
        <v>659</v>
      </c>
      <c r="D156" s="2" t="s">
        <v>660</v>
      </c>
      <c r="E156" t="str">
        <f t="shared" si="38"/>
        <v>1</v>
      </c>
      <c r="F156" t="str">
        <f t="shared" si="39"/>
        <v>Smaers_etal_2011</v>
      </c>
      <c r="G156" t="str">
        <f t="shared" si="40"/>
        <v>Smaers</v>
      </c>
      <c r="H156" t="str">
        <f t="shared" si="41"/>
        <v>etal</v>
      </c>
      <c r="I156" t="str">
        <f t="shared" si="42"/>
        <v>2011</v>
      </c>
      <c r="J156" t="str">
        <f t="shared" si="43"/>
        <v>10.1159%2F000323671</v>
      </c>
      <c r="K156" t="str">
        <f t="shared" si="45"/>
        <v>Smaers_etal_2011_SupplementaryTable1</v>
      </c>
      <c r="L156" t="str">
        <f t="shared" si="44"/>
        <v>10.1159%2F000323671_SupplementaryTable1</v>
      </c>
      <c r="M156" t="str">
        <f t="array" ref="M156">IFERROR(INDEX(FileList!$A$1:$A$100,MATCH(TRUE,EXACT(L156,_xlfn.TEXTBEFORE(FileList!$A$1:$A$100,".tsv")),0)),"notfound")</f>
        <v>10.1159%2F000323671_SupplementaryTable1.tsv</v>
      </c>
      <c r="Q156" s="8" t="s">
        <v>128</v>
      </c>
      <c r="V156" s="8" t="s">
        <v>42</v>
      </c>
      <c r="Z156" s="8" t="s">
        <v>229</v>
      </c>
      <c r="AF156" s="8" t="s">
        <v>78</v>
      </c>
      <c r="AG156" s="8" t="s">
        <v>112</v>
      </c>
      <c r="AI156" s="8" t="s">
        <v>661</v>
      </c>
      <c r="AJ156" s="8" t="s">
        <v>118</v>
      </c>
      <c r="AL156" s="8" t="s">
        <v>358</v>
      </c>
      <c r="AM156" s="8" t="s">
        <v>84</v>
      </c>
    </row>
    <row r="157" spans="1:39" x14ac:dyDescent="0.2">
      <c r="A157" s="2" t="s">
        <v>659</v>
      </c>
      <c r="D157" s="2" t="s">
        <v>662</v>
      </c>
      <c r="E157" t="str">
        <f t="shared" si="38"/>
        <v>1</v>
      </c>
      <c r="F157" t="str">
        <f t="shared" si="39"/>
        <v>Smaers_etal_2011</v>
      </c>
      <c r="G157" t="str">
        <f t="shared" si="40"/>
        <v>Smaers</v>
      </c>
      <c r="H157" t="str">
        <f t="shared" si="41"/>
        <v>etal</v>
      </c>
      <c r="I157" t="str">
        <f t="shared" si="42"/>
        <v>2011</v>
      </c>
      <c r="J157" t="str">
        <f t="shared" si="43"/>
        <v>10.1159%2F000323671</v>
      </c>
      <c r="K157" t="str">
        <f t="shared" si="45"/>
        <v>Smaers_etal_2011_SupplementaryTable2</v>
      </c>
      <c r="L157" t="str">
        <f t="shared" si="44"/>
        <v>10.1159%2F000323671_SupplementaryTable2</v>
      </c>
      <c r="M157" t="str">
        <f t="array" ref="M157">IFERROR(INDEX(FileList!$A$1:$A$100,MATCH(TRUE,EXACT(L157,_xlfn.TEXTBEFORE(FileList!$A$1:$A$100,".tsv")),0)),"notfound")</f>
        <v>10.1159%2F000323671_SupplementaryTable2.tsv</v>
      </c>
      <c r="Q157" s="8" t="s">
        <v>128</v>
      </c>
      <c r="V157" s="8" t="s">
        <v>42</v>
      </c>
      <c r="Z157" s="8" t="s">
        <v>229</v>
      </c>
      <c r="AF157" s="8" t="s">
        <v>78</v>
      </c>
      <c r="AG157" s="8" t="s">
        <v>112</v>
      </c>
      <c r="AI157" s="8" t="s">
        <v>661</v>
      </c>
      <c r="AJ157" s="8" t="s">
        <v>118</v>
      </c>
      <c r="AL157" s="8" t="s">
        <v>358</v>
      </c>
      <c r="AM157" s="8" t="s">
        <v>84</v>
      </c>
    </row>
    <row r="158" spans="1:39" x14ac:dyDescent="0.2">
      <c r="A158" s="2" t="s">
        <v>663</v>
      </c>
      <c r="C158" s="2" t="s">
        <v>664</v>
      </c>
      <c r="D158" s="2" t="s">
        <v>665</v>
      </c>
      <c r="E158" t="str">
        <f t="shared" si="38"/>
        <v>6</v>
      </c>
      <c r="F158" t="str">
        <f t="shared" si="39"/>
        <v>Smaers_etal_2018</v>
      </c>
      <c r="G158" t="str">
        <f t="shared" si="40"/>
        <v>Smaers</v>
      </c>
      <c r="H158" t="str">
        <f t="shared" si="41"/>
        <v>etal</v>
      </c>
      <c r="I158" t="str">
        <f t="shared" si="42"/>
        <v>2018</v>
      </c>
      <c r="J158" t="str">
        <f t="shared" si="43"/>
        <v>10.7554%2FeLife.35696</v>
      </c>
      <c r="K158" t="str">
        <f t="shared" si="45"/>
        <v>Smaers_etal_2018_Figure2-data1</v>
      </c>
      <c r="L158" t="str">
        <f t="shared" si="44"/>
        <v>10.7554%2FeLife.35696_Figure2-data1</v>
      </c>
      <c r="M158" t="str">
        <f t="array" ref="M158">IFERROR(INDEX(FileList!$A$1:$A$100,MATCH(TRUE,EXACT(L158,_xlfn.TEXTBEFORE(FileList!$A$1:$A$100,".tsv")),0)),"notfound")</f>
        <v>notfound</v>
      </c>
      <c r="N158" s="8" t="s">
        <v>666</v>
      </c>
      <c r="Z158" s="8" t="s">
        <v>229</v>
      </c>
      <c r="AF158" s="8" t="s">
        <v>78</v>
      </c>
      <c r="AG158" s="8" t="s">
        <v>112</v>
      </c>
      <c r="AI158" s="8" t="s">
        <v>667</v>
      </c>
      <c r="AJ158" s="8" t="s">
        <v>136</v>
      </c>
      <c r="AL158" s="8" t="s">
        <v>358</v>
      </c>
      <c r="AM158" s="8" t="s">
        <v>84</v>
      </c>
    </row>
    <row r="159" spans="1:39" x14ac:dyDescent="0.2">
      <c r="A159" s="2" t="s">
        <v>668</v>
      </c>
      <c r="C159" s="2" t="s">
        <v>669</v>
      </c>
      <c r="D159" s="2" t="s">
        <v>75</v>
      </c>
      <c r="E159" t="str">
        <f t="shared" si="38"/>
        <v>3</v>
      </c>
      <c r="F159" t="str">
        <f t="shared" si="39"/>
        <v>Stephan_etal_1982</v>
      </c>
      <c r="G159" t="str">
        <f t="shared" si="40"/>
        <v>Stephan</v>
      </c>
      <c r="H159" t="str">
        <f t="shared" si="41"/>
        <v>etal</v>
      </c>
      <c r="I159" t="str">
        <f t="shared" si="42"/>
        <v>1982</v>
      </c>
      <c r="J159" t="str">
        <f t="shared" si="43"/>
        <v>PMID%3A7161483</v>
      </c>
      <c r="K159" t="str">
        <f t="shared" si="45"/>
        <v>Stephan_etal_1982_Table1</v>
      </c>
      <c r="L159" t="str">
        <f t="shared" si="44"/>
        <v>PMID%3A7161483_Table1</v>
      </c>
      <c r="M159" t="str">
        <f t="array" ref="M159">IFERROR(INDEX(FileList!$A$1:$A$100,MATCH(TRUE,EXACT(L159,_xlfn.TEXTBEFORE(FileList!$A$1:$A$100,".tsv")),0)),"notfound")</f>
        <v>notfound</v>
      </c>
      <c r="N159" s="8" t="s">
        <v>670</v>
      </c>
      <c r="P159" s="8" t="s">
        <v>41</v>
      </c>
      <c r="V159" s="8" t="s">
        <v>42</v>
      </c>
      <c r="W159" s="8" t="s">
        <v>104</v>
      </c>
      <c r="Y159" s="8" t="s">
        <v>99</v>
      </c>
      <c r="Z159" s="8" t="s">
        <v>99</v>
      </c>
      <c r="AF159" s="8" t="s">
        <v>78</v>
      </c>
      <c r="AG159" s="8" t="s">
        <v>112</v>
      </c>
      <c r="AI159" s="8" t="s">
        <v>671</v>
      </c>
      <c r="AJ159" s="8" t="s">
        <v>101</v>
      </c>
      <c r="AK159" s="8" t="s">
        <v>63</v>
      </c>
      <c r="AL159" s="8" t="s">
        <v>63</v>
      </c>
      <c r="AM159" s="8" t="s">
        <v>84</v>
      </c>
    </row>
    <row r="160" spans="1:39" x14ac:dyDescent="0.2">
      <c r="A160" s="2" t="s">
        <v>672</v>
      </c>
      <c r="C160" s="2" t="s">
        <v>673</v>
      </c>
      <c r="D160" s="2" t="s">
        <v>49</v>
      </c>
      <c r="E160" t="str">
        <f t="shared" si="38"/>
        <v>.</v>
      </c>
      <c r="F160" t="str">
        <f t="shared" si="39"/>
        <v>Stephan_etal_1988</v>
      </c>
      <c r="G160" t="str">
        <f t="shared" si="40"/>
        <v>Stephan</v>
      </c>
      <c r="H160" t="str">
        <f t="shared" si="41"/>
        <v>etal</v>
      </c>
      <c r="I160" t="str">
        <f t="shared" si="42"/>
        <v>1988</v>
      </c>
      <c r="J160" t="str">
        <f t="shared" si="43"/>
        <v>ISBN%3A0845140000</v>
      </c>
      <c r="K160" t="str">
        <f t="shared" si="45"/>
        <v>Stephan_etal_1988_TABLE1</v>
      </c>
      <c r="L160" t="str">
        <f t="shared" si="44"/>
        <v>ISBN%3A0845140000_TABLE1</v>
      </c>
      <c r="M160" t="str">
        <f t="array" ref="M160">IFERROR(INDEX(FileList!$A$1:$A$100,MATCH(TRUE,EXACT(L160,_xlfn.TEXTBEFORE(FileList!$A$1:$A$100,".tsv")),0)),"notfound")</f>
        <v>notfound</v>
      </c>
      <c r="N160" s="8" t="s">
        <v>674</v>
      </c>
    </row>
    <row r="161" spans="1:39" x14ac:dyDescent="0.2">
      <c r="A161" s="2" t="s">
        <v>675</v>
      </c>
      <c r="C161" s="2" t="s">
        <v>676</v>
      </c>
      <c r="D161" s="2" t="s">
        <v>49</v>
      </c>
      <c r="E161" t="str">
        <f t="shared" si="38"/>
        <v>s</v>
      </c>
      <c r="F161" t="str">
        <f t="shared" si="39"/>
        <v>Stephan_etal_1970</v>
      </c>
      <c r="G161" t="str">
        <f t="shared" si="40"/>
        <v>Stephan</v>
      </c>
      <c r="H161" t="str">
        <f t="shared" si="41"/>
        <v>etal</v>
      </c>
      <c r="I161" t="str">
        <f t="shared" si="42"/>
        <v>1970</v>
      </c>
      <c r="J161" t="str">
        <f t="shared" si="43"/>
        <v>ISBN%3A0390672505</v>
      </c>
      <c r="K161" t="str">
        <f t="shared" si="45"/>
        <v>Stephan_etal_1970_TABLE1</v>
      </c>
      <c r="L161" t="str">
        <f t="shared" si="44"/>
        <v>ISBN%3A0390672505_TABLE1</v>
      </c>
      <c r="M161" t="str">
        <f t="array" ref="M161">IFERROR(INDEX(FileList!$A$1:$A$100,MATCH(TRUE,EXACT(L161,_xlfn.TEXTBEFORE(FileList!$A$1:$A$100,".tsv")),0)),"notfound")</f>
        <v>notfound</v>
      </c>
      <c r="N161" s="8" t="s">
        <v>677</v>
      </c>
      <c r="V161" s="8" t="s">
        <v>42</v>
      </c>
      <c r="Z161" s="8" t="s">
        <v>99</v>
      </c>
      <c r="AF161" s="8" t="s">
        <v>78</v>
      </c>
      <c r="AG161" s="8" t="s">
        <v>112</v>
      </c>
      <c r="AJ161" s="8" t="s">
        <v>678</v>
      </c>
      <c r="AL161" s="8" t="s">
        <v>63</v>
      </c>
      <c r="AM161" s="8" t="s">
        <v>84</v>
      </c>
    </row>
    <row r="162" spans="1:39" x14ac:dyDescent="0.2">
      <c r="A162" s="2" t="s">
        <v>675</v>
      </c>
      <c r="C162" s="2" t="s">
        <v>676</v>
      </c>
      <c r="D162" s="2" t="s">
        <v>92</v>
      </c>
      <c r="E162" t="str">
        <f t="shared" si="38"/>
        <v>s</v>
      </c>
      <c r="F162" t="str">
        <f t="shared" si="39"/>
        <v>Stephan_etal_1970</v>
      </c>
      <c r="G162" t="str">
        <f t="shared" si="40"/>
        <v>Stephan</v>
      </c>
      <c r="H162" t="str">
        <f t="shared" si="41"/>
        <v>etal</v>
      </c>
      <c r="I162" t="str">
        <f t="shared" si="42"/>
        <v>1970</v>
      </c>
      <c r="J162" t="str">
        <f t="shared" si="43"/>
        <v>ISBN%3A0390672505</v>
      </c>
      <c r="K162" t="str">
        <f t="shared" si="45"/>
        <v>Stephan_etal_1970_TABLE2</v>
      </c>
      <c r="L162" t="str">
        <f t="shared" si="44"/>
        <v>ISBN%3A0390672505_TABLE2</v>
      </c>
      <c r="M162" t="str">
        <f t="array" ref="M162">IFERROR(INDEX(FileList!$A$1:$A$100,MATCH(TRUE,EXACT(L162,_xlfn.TEXTBEFORE(FileList!$A$1:$A$100,".tsv")),0)),"notfound")</f>
        <v>notfound</v>
      </c>
      <c r="N162" s="8" t="s">
        <v>679</v>
      </c>
      <c r="V162" s="8" t="s">
        <v>42</v>
      </c>
      <c r="Z162" s="8" t="s">
        <v>99</v>
      </c>
      <c r="AF162" s="8" t="s">
        <v>78</v>
      </c>
      <c r="AG162" s="8" t="s">
        <v>112</v>
      </c>
      <c r="AJ162" s="8" t="s">
        <v>118</v>
      </c>
      <c r="AL162" s="8" t="s">
        <v>63</v>
      </c>
      <c r="AM162" s="8" t="s">
        <v>84</v>
      </c>
    </row>
    <row r="163" spans="1:39" x14ac:dyDescent="0.2">
      <c r="A163" s="2" t="s">
        <v>675</v>
      </c>
      <c r="C163" s="2" t="s">
        <v>676</v>
      </c>
      <c r="D163" s="2" t="s">
        <v>680</v>
      </c>
      <c r="E163" t="str">
        <f t="shared" si="38"/>
        <v>s</v>
      </c>
      <c r="F163" t="str">
        <f t="shared" si="39"/>
        <v>Stephan_etal_1970</v>
      </c>
      <c r="G163" t="str">
        <f t="shared" si="40"/>
        <v>Stephan</v>
      </c>
      <c r="H163" t="str">
        <f t="shared" si="41"/>
        <v>etal</v>
      </c>
      <c r="I163" t="str">
        <f t="shared" si="42"/>
        <v>1970</v>
      </c>
      <c r="J163" t="str">
        <f t="shared" si="43"/>
        <v>ISBN%3A0390672505</v>
      </c>
      <c r="K163" t="str">
        <f t="shared" si="45"/>
        <v>Stephan_etal_1970_TABLE3</v>
      </c>
      <c r="L163" t="str">
        <f t="shared" si="44"/>
        <v>ISBN%3A0390672505_TABLE3</v>
      </c>
      <c r="M163" t="str">
        <f t="array" ref="M163">IFERROR(INDEX(FileList!$A$1:$A$100,MATCH(TRUE,EXACT(L163,_xlfn.TEXTBEFORE(FileList!$A$1:$A$100,".tsv")),0)),"notfound")</f>
        <v>notfound</v>
      </c>
      <c r="N163" s="8" t="s">
        <v>681</v>
      </c>
      <c r="V163" s="8" t="s">
        <v>42</v>
      </c>
      <c r="Z163" s="8" t="s">
        <v>99</v>
      </c>
      <c r="AF163" s="8" t="s">
        <v>78</v>
      </c>
      <c r="AG163" s="8" t="s">
        <v>112</v>
      </c>
      <c r="AJ163" s="8" t="s">
        <v>118</v>
      </c>
      <c r="AL163" s="8" t="s">
        <v>63</v>
      </c>
      <c r="AM163" s="8" t="s">
        <v>84</v>
      </c>
    </row>
    <row r="164" spans="1:39" x14ac:dyDescent="0.2">
      <c r="A164" s="2" t="s">
        <v>675</v>
      </c>
      <c r="C164" s="2" t="s">
        <v>676</v>
      </c>
      <c r="D164" s="2" t="s">
        <v>682</v>
      </c>
      <c r="E164" t="str">
        <f t="shared" ref="E164:E198" si="46">RIGHT(A164,1)</f>
        <v>s</v>
      </c>
      <c r="F164" t="str">
        <f t="shared" ref="F164:F195" si="47">G164 &amp; IF(H164&lt;&gt;"", "_" &amp; H164, "_") &amp; IF(I164&lt;&gt;"", "_" &amp; I164, "_") &amp; IF(B164&lt;&gt;"", "_" &amp; B164, "")</f>
        <v>Stephan_etal_1970</v>
      </c>
      <c r="G164" t="str">
        <f t="shared" ref="G164:G198" si="48">SUBSTITUTE(SUBSTITUTE(_xlfn.TEXTBEFORE(A164,","), "-", ""), " ", "")</f>
        <v>Stephan</v>
      </c>
      <c r="H164" t="str">
        <f t="shared" ref="H164:H195" si="49">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etal</v>
      </c>
      <c r="I164" t="str">
        <f t="shared" ref="I164:I198" si="50">_xlfn.TEXTBEFORE(_xlfn.TEXTAFTER(A164, "("), ")")</f>
        <v>1970</v>
      </c>
      <c r="J164" t="str">
        <f t="shared" ref="J164:J198" si="51">_xlfn.LET(
_xlpm.doi,IF(C164&lt;&gt;"",C164,_xlfn.TEXTAFTER(A164,"https://doi.org/")),
SUBSTITUTE(
SUBSTITUTE(
SUBSTITUTE(
SUBSTITUTE(
_xlpm.doi,
"/","%2F"),
":","%3A"),
"&lt;","%3C"),
"&gt;","%3E")
)</f>
        <v>ISBN%3A0390672505</v>
      </c>
      <c r="K164" t="str">
        <f t="shared" si="45"/>
        <v>Stephan_etal_1970_TABLE4</v>
      </c>
      <c r="L164" t="str">
        <f t="shared" ref="L164:L198" si="52">J164 &amp; "_" &amp; SUBSTITUTE(SUBSTITUTE(SUBSTITUTE(D164,CHAR(160),"")," ",""),"_","")</f>
        <v>ISBN%3A0390672505_TABLE4</v>
      </c>
      <c r="M164" t="str">
        <f t="array" ref="M164">IFERROR(INDEX(FileList!$A$1:$A$100,MATCH(TRUE,EXACT(L164,_xlfn.TEXTBEFORE(FileList!$A$1:$A$100,".tsv")),0)),"notfound")</f>
        <v>notfound</v>
      </c>
      <c r="N164" s="8" t="s">
        <v>683</v>
      </c>
      <c r="V164" s="8" t="s">
        <v>42</v>
      </c>
      <c r="Z164" s="8" t="s">
        <v>99</v>
      </c>
      <c r="AF164" s="8" t="s">
        <v>78</v>
      </c>
      <c r="AG164" s="8" t="s">
        <v>112</v>
      </c>
      <c r="AJ164" s="8" t="s">
        <v>678</v>
      </c>
      <c r="AL164" s="8" t="s">
        <v>63</v>
      </c>
      <c r="AM164" s="8" t="s">
        <v>84</v>
      </c>
    </row>
    <row r="165" spans="1:39" x14ac:dyDescent="0.2">
      <c r="A165" s="2" t="s">
        <v>675</v>
      </c>
      <c r="C165" s="2" t="s">
        <v>676</v>
      </c>
      <c r="D165" s="2" t="s">
        <v>684</v>
      </c>
      <c r="E165" t="str">
        <f t="shared" si="46"/>
        <v>s</v>
      </c>
      <c r="F165" t="str">
        <f t="shared" si="47"/>
        <v>Stephan_etal_1970</v>
      </c>
      <c r="G165" t="str">
        <f t="shared" si="48"/>
        <v>Stephan</v>
      </c>
      <c r="H165" t="str">
        <f t="shared" si="49"/>
        <v>etal</v>
      </c>
      <c r="I165" t="str">
        <f t="shared" si="50"/>
        <v>1970</v>
      </c>
      <c r="J165" t="str">
        <f t="shared" si="51"/>
        <v>ISBN%3A0390672505</v>
      </c>
      <c r="K165" t="str">
        <f t="shared" si="45"/>
        <v>Stephan_etal_1970_TABLE5</v>
      </c>
      <c r="L165" t="str">
        <f t="shared" si="52"/>
        <v>ISBN%3A0390672505_TABLE5</v>
      </c>
      <c r="M165" t="str">
        <f t="array" ref="M165">IFERROR(INDEX(FileList!$A$1:$A$100,MATCH(TRUE,EXACT(L165,_xlfn.TEXTBEFORE(FileList!$A$1:$A$100,".tsv")),0)),"notfound")</f>
        <v>notfound</v>
      </c>
      <c r="N165" s="8" t="s">
        <v>685</v>
      </c>
      <c r="V165" s="8" t="s">
        <v>42</v>
      </c>
      <c r="Z165" s="8" t="s">
        <v>99</v>
      </c>
      <c r="AF165" s="8" t="s">
        <v>78</v>
      </c>
      <c r="AG165" s="8" t="s">
        <v>112</v>
      </c>
      <c r="AJ165" s="8" t="s">
        <v>118</v>
      </c>
      <c r="AL165" s="8" t="s">
        <v>63</v>
      </c>
      <c r="AM165" s="8" t="s">
        <v>84</v>
      </c>
    </row>
    <row r="166" spans="1:39" x14ac:dyDescent="0.2">
      <c r="A166" s="2" t="s">
        <v>675</v>
      </c>
      <c r="C166" s="2" t="s">
        <v>676</v>
      </c>
      <c r="D166" s="2" t="s">
        <v>686</v>
      </c>
      <c r="E166" t="str">
        <f t="shared" si="46"/>
        <v>s</v>
      </c>
      <c r="F166" t="str">
        <f t="shared" si="47"/>
        <v>Stephan_etal_1970</v>
      </c>
      <c r="G166" t="str">
        <f t="shared" si="48"/>
        <v>Stephan</v>
      </c>
      <c r="H166" t="str">
        <f t="shared" si="49"/>
        <v>etal</v>
      </c>
      <c r="I166" t="str">
        <f t="shared" si="50"/>
        <v>1970</v>
      </c>
      <c r="J166" t="str">
        <f t="shared" si="51"/>
        <v>ISBN%3A0390672505</v>
      </c>
      <c r="K166" t="str">
        <f t="shared" si="45"/>
        <v>Stephan_etal_1970_TABLE6</v>
      </c>
      <c r="L166" t="str">
        <f t="shared" si="52"/>
        <v>ISBN%3A0390672505_TABLE6</v>
      </c>
      <c r="M166" t="str">
        <f t="array" ref="M166">IFERROR(INDEX(FileList!$A$1:$A$100,MATCH(TRUE,EXACT(L166,_xlfn.TEXTBEFORE(FileList!$A$1:$A$100,".tsv")),0)),"notfound")</f>
        <v>notfound</v>
      </c>
      <c r="N166" s="8" t="s">
        <v>687</v>
      </c>
      <c r="V166" s="8" t="s">
        <v>42</v>
      </c>
      <c r="Z166" s="8" t="s">
        <v>99</v>
      </c>
      <c r="AF166" s="8" t="s">
        <v>78</v>
      </c>
      <c r="AG166" s="8" t="s">
        <v>112</v>
      </c>
      <c r="AJ166" s="8" t="s">
        <v>118</v>
      </c>
      <c r="AL166" s="8" t="s">
        <v>63</v>
      </c>
      <c r="AM166" s="8" t="s">
        <v>84</v>
      </c>
    </row>
    <row r="167" spans="1:39" x14ac:dyDescent="0.2">
      <c r="A167" s="2" t="s">
        <v>675</v>
      </c>
      <c r="C167" s="2" t="s">
        <v>676</v>
      </c>
      <c r="D167" s="2" t="s">
        <v>688</v>
      </c>
      <c r="E167" t="str">
        <f t="shared" si="46"/>
        <v>s</v>
      </c>
      <c r="F167" t="str">
        <f t="shared" si="47"/>
        <v>Stephan_etal_1970</v>
      </c>
      <c r="G167" t="str">
        <f t="shared" si="48"/>
        <v>Stephan</v>
      </c>
      <c r="H167" t="str">
        <f t="shared" si="49"/>
        <v>etal</v>
      </c>
      <c r="I167" t="str">
        <f t="shared" si="50"/>
        <v>1970</v>
      </c>
      <c r="J167" t="str">
        <f t="shared" si="51"/>
        <v>ISBN%3A0390672505</v>
      </c>
      <c r="K167" t="str">
        <f t="shared" si="45"/>
        <v>Stephan_etal_1970_Tables1-6</v>
      </c>
      <c r="L167" t="str">
        <f t="shared" si="52"/>
        <v>ISBN%3A0390672505_Tables1-6</v>
      </c>
      <c r="M167" t="str">
        <f t="array" ref="M167">IFERROR(INDEX(FileList!$A$1:$A$100,MATCH(TRUE,EXACT(L167,_xlfn.TEXTBEFORE(FileList!$A$1:$A$100,".tsv")),0)),"notfound")</f>
        <v>notfound</v>
      </c>
      <c r="O167" s="8" t="s">
        <v>689</v>
      </c>
      <c r="P167" s="8" t="s">
        <v>41</v>
      </c>
      <c r="V167" s="8" t="s">
        <v>639</v>
      </c>
      <c r="Y167" s="8" t="s">
        <v>99</v>
      </c>
      <c r="Z167" s="8" t="s">
        <v>99</v>
      </c>
      <c r="AF167" s="8" t="s">
        <v>78</v>
      </c>
      <c r="AG167" s="8" t="s">
        <v>112</v>
      </c>
      <c r="AJ167" s="8" t="s">
        <v>101</v>
      </c>
      <c r="AL167" s="8" t="s">
        <v>63</v>
      </c>
      <c r="AM167" s="8" t="s">
        <v>84</v>
      </c>
    </row>
    <row r="168" spans="1:39" x14ac:dyDescent="0.2">
      <c r="A168" s="2" t="s">
        <v>690</v>
      </c>
      <c r="C168" s="2" t="s">
        <v>691</v>
      </c>
      <c r="D168" s="2" t="s">
        <v>75</v>
      </c>
      <c r="E168" t="str">
        <f t="shared" si="46"/>
        <v>4</v>
      </c>
      <c r="F168" t="str">
        <f t="shared" si="47"/>
        <v>Stephan_etal_1984</v>
      </c>
      <c r="G168" t="str">
        <f t="shared" si="48"/>
        <v>Stephan</v>
      </c>
      <c r="H168" t="str">
        <f t="shared" si="49"/>
        <v>etal</v>
      </c>
      <c r="I168" t="str">
        <f t="shared" si="50"/>
        <v>1984</v>
      </c>
      <c r="J168" t="str">
        <f t="shared" si="51"/>
        <v>PMID%3A6481154</v>
      </c>
      <c r="K168" t="str">
        <f t="shared" si="45"/>
        <v>Stephan_etal_1984_Table1</v>
      </c>
      <c r="L168" t="str">
        <f t="shared" si="52"/>
        <v>PMID%3A6481154_Table1</v>
      </c>
      <c r="M168" t="str">
        <f t="array" ref="M168">IFERROR(INDEX(FileList!$A$1:$A$100,MATCH(TRUE,EXACT(L168,_xlfn.TEXTBEFORE(FileList!$A$1:$A$100,".tsv")),0)),"notfound")</f>
        <v>notfound</v>
      </c>
      <c r="N168" s="8" t="s">
        <v>692</v>
      </c>
      <c r="P168" s="8" t="s">
        <v>41</v>
      </c>
      <c r="V168" s="8" t="s">
        <v>42</v>
      </c>
      <c r="W168" s="8" t="s">
        <v>104</v>
      </c>
      <c r="Y168" s="8" t="s">
        <v>99</v>
      </c>
      <c r="Z168" s="8" t="s">
        <v>99</v>
      </c>
      <c r="AF168" s="8" t="s">
        <v>78</v>
      </c>
      <c r="AG168" s="8" t="s">
        <v>112</v>
      </c>
      <c r="AI168" s="8" t="s">
        <v>693</v>
      </c>
      <c r="AJ168" s="8" t="s">
        <v>101</v>
      </c>
      <c r="AK168" s="8" t="s">
        <v>63</v>
      </c>
      <c r="AL168" s="8" t="s">
        <v>63</v>
      </c>
      <c r="AM168" s="8" t="s">
        <v>84</v>
      </c>
    </row>
    <row r="169" spans="1:39" x14ac:dyDescent="0.2">
      <c r="A169" s="2" t="s">
        <v>694</v>
      </c>
      <c r="C169" s="3" t="s">
        <v>695</v>
      </c>
      <c r="D169" s="2" t="s">
        <v>75</v>
      </c>
      <c r="E169" t="str">
        <f t="shared" si="46"/>
        <v>5</v>
      </c>
      <c r="F169" t="str">
        <f t="shared" si="47"/>
        <v>Stephan_etal_1987</v>
      </c>
      <c r="G169" t="str">
        <f t="shared" si="48"/>
        <v>Stephan</v>
      </c>
      <c r="H169" t="str">
        <f t="shared" si="49"/>
        <v>etal</v>
      </c>
      <c r="I169" t="str">
        <f t="shared" si="50"/>
        <v>1987</v>
      </c>
      <c r="J169" t="str">
        <f t="shared" si="51"/>
        <v>PMID%3A3693895</v>
      </c>
      <c r="K169" t="str">
        <f t="shared" si="45"/>
        <v>Stephan_etal_1987_Table1</v>
      </c>
      <c r="L169" t="str">
        <f t="shared" si="52"/>
        <v>PMID%3A3693895_Table1</v>
      </c>
      <c r="M169" t="str">
        <f t="array" ref="M169">IFERROR(INDEX(FileList!$A$1:$A$100,MATCH(TRUE,EXACT(L169,_xlfn.TEXTBEFORE(FileList!$A$1:$A$100,".tsv")),0)),"notfound")</f>
        <v>notfound</v>
      </c>
      <c r="N169" s="8" t="s">
        <v>696</v>
      </c>
      <c r="P169" s="8" t="s">
        <v>41</v>
      </c>
      <c r="V169" s="8" t="s">
        <v>42</v>
      </c>
      <c r="W169" s="8" t="s">
        <v>104</v>
      </c>
      <c r="Y169" s="8" t="s">
        <v>99</v>
      </c>
      <c r="Z169" s="8" t="s">
        <v>99</v>
      </c>
      <c r="AF169" s="8" t="s">
        <v>78</v>
      </c>
      <c r="AG169" s="8" t="s">
        <v>112</v>
      </c>
      <c r="AI169" s="8" t="s">
        <v>697</v>
      </c>
      <c r="AJ169" s="8" t="s">
        <v>101</v>
      </c>
      <c r="AK169" s="8" t="s">
        <v>63</v>
      </c>
      <c r="AL169" s="8" t="s">
        <v>63</v>
      </c>
      <c r="AM169" s="8" t="s">
        <v>84</v>
      </c>
    </row>
    <row r="170" spans="1:39" x14ac:dyDescent="0.2">
      <c r="A170" s="2" t="s">
        <v>698</v>
      </c>
      <c r="D170" s="2" t="s">
        <v>349</v>
      </c>
      <c r="E170" t="str">
        <f t="shared" si="46"/>
        <v>3</v>
      </c>
      <c r="F170" t="str">
        <f t="shared" si="47"/>
        <v>Stephan_etal_1981</v>
      </c>
      <c r="G170" t="str">
        <f t="shared" si="48"/>
        <v>Stephan</v>
      </c>
      <c r="H170" t="str">
        <f t="shared" si="49"/>
        <v>etal</v>
      </c>
      <c r="I170" t="str">
        <f t="shared" si="50"/>
        <v>1981</v>
      </c>
      <c r="J170" t="str">
        <f t="shared" si="51"/>
        <v>10.1159%2F000155963</v>
      </c>
      <c r="K170" t="str">
        <f t="shared" si="45"/>
        <v>Stephan_etal_1981_TableI</v>
      </c>
      <c r="L170" t="str">
        <f t="shared" si="52"/>
        <v>10.1159%2F000155963_TableI</v>
      </c>
      <c r="M170" t="str">
        <f t="array" ref="M170">IFERROR(INDEX(FileList!$A$1:$A$100,MATCH(TRUE,EXACT(L170,_xlfn.TEXTBEFORE(FileList!$A$1:$A$100,".tsv")),0)),"notfound")</f>
        <v>10.1159%2F000155963_TableI.tsv</v>
      </c>
      <c r="N170" s="8" t="s">
        <v>699</v>
      </c>
      <c r="V170" s="8" t="s">
        <v>42</v>
      </c>
      <c r="Y170" s="8" t="s">
        <v>99</v>
      </c>
      <c r="Z170" s="8" t="s">
        <v>99</v>
      </c>
      <c r="AF170" s="8" t="s">
        <v>78</v>
      </c>
      <c r="AG170" s="8" t="s">
        <v>112</v>
      </c>
      <c r="AI170" s="8" t="s">
        <v>700</v>
      </c>
      <c r="AJ170" s="8" t="s">
        <v>101</v>
      </c>
      <c r="AK170" s="8" t="s">
        <v>63</v>
      </c>
      <c r="AL170" s="8" t="s">
        <v>63</v>
      </c>
      <c r="AM170" s="8" t="s">
        <v>84</v>
      </c>
    </row>
    <row r="171" spans="1:39" x14ac:dyDescent="0.2">
      <c r="A171" s="2" t="s">
        <v>698</v>
      </c>
      <c r="D171" s="2" t="s">
        <v>701</v>
      </c>
      <c r="E171" t="str">
        <f t="shared" si="46"/>
        <v>3</v>
      </c>
      <c r="F171" t="str">
        <f t="shared" si="47"/>
        <v>Stephan_etal_1981</v>
      </c>
      <c r="G171" t="str">
        <f t="shared" si="48"/>
        <v>Stephan</v>
      </c>
      <c r="H171" t="str">
        <f t="shared" si="49"/>
        <v>etal</v>
      </c>
      <c r="I171" t="str">
        <f t="shared" si="50"/>
        <v>1981</v>
      </c>
      <c r="J171" t="str">
        <f t="shared" si="51"/>
        <v>10.1159%2F000155963</v>
      </c>
      <c r="K171" t="str">
        <f t="shared" si="45"/>
        <v>Stephan_etal_1981_TableII</v>
      </c>
      <c r="L171" t="str">
        <f t="shared" si="52"/>
        <v>10.1159%2F000155963_TableII</v>
      </c>
      <c r="M171" t="str">
        <f t="array" ref="M171">IFERROR(INDEX(FileList!$A$1:$A$100,MATCH(TRUE,EXACT(L171,_xlfn.TEXTBEFORE(FileList!$A$1:$A$100,".tsv")),0)),"notfound")</f>
        <v>10.1159%2F000155963_TableII.tsv</v>
      </c>
      <c r="N171" s="8" t="s">
        <v>702</v>
      </c>
      <c r="V171" s="8" t="s">
        <v>42</v>
      </c>
      <c r="Y171" s="8" t="s">
        <v>99</v>
      </c>
      <c r="Z171" s="8" t="s">
        <v>99</v>
      </c>
      <c r="AF171" s="8" t="s">
        <v>78</v>
      </c>
      <c r="AG171" s="8" t="s">
        <v>112</v>
      </c>
      <c r="AI171" s="8" t="s">
        <v>700</v>
      </c>
      <c r="AJ171" s="8" t="s">
        <v>101</v>
      </c>
      <c r="AK171" s="8" t="s">
        <v>63</v>
      </c>
      <c r="AL171" s="8" t="s">
        <v>63</v>
      </c>
      <c r="AM171" s="8" t="s">
        <v>84</v>
      </c>
    </row>
    <row r="172" spans="1:39" x14ac:dyDescent="0.2">
      <c r="A172" s="2" t="s">
        <v>698</v>
      </c>
      <c r="D172" s="2" t="s">
        <v>703</v>
      </c>
      <c r="E172" t="str">
        <f t="shared" si="46"/>
        <v>3</v>
      </c>
      <c r="F172" t="str">
        <f t="shared" si="47"/>
        <v>Stephan_etal_1981</v>
      </c>
      <c r="G172" t="str">
        <f t="shared" si="48"/>
        <v>Stephan</v>
      </c>
      <c r="H172" t="str">
        <f t="shared" si="49"/>
        <v>etal</v>
      </c>
      <c r="I172" t="str">
        <f t="shared" si="50"/>
        <v>1981</v>
      </c>
      <c r="J172" t="str">
        <f t="shared" si="51"/>
        <v>10.1159%2F000155963</v>
      </c>
      <c r="K172" t="str">
        <f t="shared" si="45"/>
        <v>Stephan_etal_1981_TableIII</v>
      </c>
      <c r="L172" t="str">
        <f t="shared" si="52"/>
        <v>10.1159%2F000155963_TableIII</v>
      </c>
      <c r="M172" t="str">
        <f t="array" ref="M172">IFERROR(INDEX(FileList!$A$1:$A$100,MATCH(TRUE,EXACT(L172,_xlfn.TEXTBEFORE(FileList!$A$1:$A$100,".tsv")),0)),"notfound")</f>
        <v>10.1159%2F000155963_TableIII.tsv</v>
      </c>
      <c r="N172" s="8" t="s">
        <v>704</v>
      </c>
      <c r="V172" s="8" t="s">
        <v>42</v>
      </c>
      <c r="Y172" s="8" t="s">
        <v>99</v>
      </c>
      <c r="Z172" s="8" t="s">
        <v>99</v>
      </c>
      <c r="AF172" s="8" t="s">
        <v>78</v>
      </c>
      <c r="AG172" s="8" t="s">
        <v>112</v>
      </c>
      <c r="AI172" s="8" t="s">
        <v>700</v>
      </c>
      <c r="AJ172" s="8" t="s">
        <v>101</v>
      </c>
      <c r="AK172" s="8" t="s">
        <v>63</v>
      </c>
      <c r="AL172" s="8" t="s">
        <v>63</v>
      </c>
      <c r="AM172" s="8" t="s">
        <v>84</v>
      </c>
    </row>
    <row r="173" spans="1:39" x14ac:dyDescent="0.2">
      <c r="A173" s="2" t="s">
        <v>698</v>
      </c>
      <c r="D173" s="2" t="s">
        <v>705</v>
      </c>
      <c r="E173" t="str">
        <f t="shared" si="46"/>
        <v>3</v>
      </c>
      <c r="F173" t="str">
        <f t="shared" si="47"/>
        <v>Stephan_etal_1981</v>
      </c>
      <c r="G173" t="str">
        <f t="shared" si="48"/>
        <v>Stephan</v>
      </c>
      <c r="H173" t="str">
        <f t="shared" si="49"/>
        <v>etal</v>
      </c>
      <c r="I173" t="str">
        <f t="shared" si="50"/>
        <v>1981</v>
      </c>
      <c r="J173" t="str">
        <f t="shared" si="51"/>
        <v>10.1159%2F000155963</v>
      </c>
      <c r="K173" t="str">
        <f t="shared" si="45"/>
        <v>Stephan_etal_1981_TableIV</v>
      </c>
      <c r="L173" t="str">
        <f t="shared" si="52"/>
        <v>10.1159%2F000155963_TableIV</v>
      </c>
      <c r="M173" t="str">
        <f t="array" ref="M173">IFERROR(INDEX(FileList!$A$1:$A$100,MATCH(TRUE,EXACT(L173,_xlfn.TEXTBEFORE(FileList!$A$1:$A$100,".tsv")),0)),"notfound")</f>
        <v>10.1159%2F000155963_TableIV.tsv</v>
      </c>
      <c r="N173" s="8" t="s">
        <v>706</v>
      </c>
      <c r="V173" s="8" t="s">
        <v>42</v>
      </c>
      <c r="Y173" s="8" t="s">
        <v>99</v>
      </c>
      <c r="Z173" s="8" t="s">
        <v>99</v>
      </c>
      <c r="AF173" s="8" t="s">
        <v>78</v>
      </c>
      <c r="AG173" s="8" t="s">
        <v>112</v>
      </c>
      <c r="AI173" s="8" t="s">
        <v>700</v>
      </c>
      <c r="AJ173" s="8" t="s">
        <v>101</v>
      </c>
      <c r="AK173" s="8" t="s">
        <v>63</v>
      </c>
      <c r="AL173" s="8" t="s">
        <v>63</v>
      </c>
      <c r="AM173" s="8" t="s">
        <v>84</v>
      </c>
    </row>
    <row r="174" spans="1:39" x14ac:dyDescent="0.2">
      <c r="A174" s="2" t="s">
        <v>698</v>
      </c>
      <c r="D174" s="2" t="s">
        <v>707</v>
      </c>
      <c r="E174" t="str">
        <f t="shared" si="46"/>
        <v>3</v>
      </c>
      <c r="F174" t="str">
        <f t="shared" si="47"/>
        <v>Stephan_etal_1981</v>
      </c>
      <c r="G174" t="str">
        <f t="shared" si="48"/>
        <v>Stephan</v>
      </c>
      <c r="H174" t="str">
        <f t="shared" si="49"/>
        <v>etal</v>
      </c>
      <c r="I174" t="str">
        <f t="shared" si="50"/>
        <v>1981</v>
      </c>
      <c r="J174" t="str">
        <f t="shared" si="51"/>
        <v>10.1159%2F000155963</v>
      </c>
      <c r="K174" t="str">
        <f t="shared" ref="K174:K198" si="53">TRIM(_xlfn.TEXTJOIN("_",FALSE,F174,(SUBSTITUTE(SUBSTITUTE(D174," ",""), "_", ""))))</f>
        <v>Stephan_etal_1981_TableV</v>
      </c>
      <c r="L174" t="str">
        <f t="shared" si="52"/>
        <v>10.1159%2F000155963_TableV</v>
      </c>
      <c r="M174" t="str">
        <f t="array" ref="M174">IFERROR(INDEX(FileList!$A$1:$A$100,MATCH(TRUE,EXACT(L174,_xlfn.TEXTBEFORE(FileList!$A$1:$A$100,".tsv")),0)),"notfound")</f>
        <v>10.1159%2F000155963_TableV.tsv</v>
      </c>
      <c r="N174" s="8" t="s">
        <v>708</v>
      </c>
      <c r="V174" s="8" t="s">
        <v>42</v>
      </c>
      <c r="Y174" s="8" t="s">
        <v>99</v>
      </c>
      <c r="Z174" s="8" t="s">
        <v>99</v>
      </c>
      <c r="AF174" s="8" t="s">
        <v>78</v>
      </c>
      <c r="AG174" s="8" t="s">
        <v>112</v>
      </c>
      <c r="AI174" s="8" t="s">
        <v>700</v>
      </c>
      <c r="AJ174" s="8" t="s">
        <v>101</v>
      </c>
      <c r="AK174" s="8" t="s">
        <v>63</v>
      </c>
      <c r="AL174" s="8" t="s">
        <v>63</v>
      </c>
      <c r="AM174" s="8" t="s">
        <v>84</v>
      </c>
    </row>
    <row r="175" spans="1:39" x14ac:dyDescent="0.2">
      <c r="A175" s="2" t="s">
        <v>698</v>
      </c>
      <c r="D175" s="2" t="s">
        <v>709</v>
      </c>
      <c r="E175" t="str">
        <f t="shared" si="46"/>
        <v>3</v>
      </c>
      <c r="F175" t="str">
        <f t="shared" si="47"/>
        <v>Stephan_etal_1981</v>
      </c>
      <c r="G175" t="str">
        <f t="shared" si="48"/>
        <v>Stephan</v>
      </c>
      <c r="H175" t="str">
        <f t="shared" si="49"/>
        <v>etal</v>
      </c>
      <c r="I175" t="str">
        <f t="shared" si="50"/>
        <v>1981</v>
      </c>
      <c r="J175" t="str">
        <f t="shared" si="51"/>
        <v>10.1159%2F000155963</v>
      </c>
      <c r="K175" t="str">
        <f t="shared" si="53"/>
        <v>Stephan_etal_1981_TableVI</v>
      </c>
      <c r="L175" t="str">
        <f t="shared" si="52"/>
        <v>10.1159%2F000155963_TableVI</v>
      </c>
      <c r="M175" t="str">
        <f t="array" ref="M175">IFERROR(INDEX(FileList!$A$1:$A$100,MATCH(TRUE,EXACT(L175,_xlfn.TEXTBEFORE(FileList!$A$1:$A$100,".tsv")),0)),"notfound")</f>
        <v>10.1159%2F000155963_TableVI.tsv</v>
      </c>
      <c r="N175" s="8" t="s">
        <v>710</v>
      </c>
      <c r="V175" s="8" t="s">
        <v>42</v>
      </c>
      <c r="Y175" s="8" t="s">
        <v>99</v>
      </c>
      <c r="Z175" s="8" t="s">
        <v>99</v>
      </c>
      <c r="AF175" s="8" t="s">
        <v>78</v>
      </c>
      <c r="AG175" s="8" t="s">
        <v>112</v>
      </c>
      <c r="AI175" s="8" t="s">
        <v>700</v>
      </c>
      <c r="AJ175" s="8" t="s">
        <v>101</v>
      </c>
      <c r="AK175" s="8" t="s">
        <v>63</v>
      </c>
      <c r="AL175" s="8" t="s">
        <v>63</v>
      </c>
      <c r="AM175" s="8" t="s">
        <v>84</v>
      </c>
    </row>
    <row r="176" spans="1:39" x14ac:dyDescent="0.2">
      <c r="A176" s="2" t="s">
        <v>698</v>
      </c>
      <c r="C176" s="7"/>
      <c r="D176" s="2" t="s">
        <v>711</v>
      </c>
      <c r="E176" t="str">
        <f t="shared" si="46"/>
        <v>3</v>
      </c>
      <c r="F176" t="str">
        <f t="shared" si="47"/>
        <v>Stephan_etal_1981</v>
      </c>
      <c r="G176" t="str">
        <f t="shared" si="48"/>
        <v>Stephan</v>
      </c>
      <c r="H176" t="str">
        <f t="shared" si="49"/>
        <v>etal</v>
      </c>
      <c r="I176" t="str">
        <f t="shared" si="50"/>
        <v>1981</v>
      </c>
      <c r="J176" t="str">
        <f t="shared" si="51"/>
        <v>10.1159%2F000155963</v>
      </c>
      <c r="K176" t="str">
        <f t="shared" si="53"/>
        <v>Stephan_etal_1981_TableVII</v>
      </c>
      <c r="L176" t="str">
        <f t="shared" si="52"/>
        <v>10.1159%2F000155963_TableVII</v>
      </c>
      <c r="M176" t="str">
        <f t="array" ref="M176">IFERROR(INDEX(FileList!$A$1:$A$100,MATCH(TRUE,EXACT(L176,_xlfn.TEXTBEFORE(FileList!$A$1:$A$100,".tsv")),0)),"notfound")</f>
        <v>10.1159%2F000155963_TableVII.tsv</v>
      </c>
      <c r="N176" s="8" t="s">
        <v>712</v>
      </c>
      <c r="V176" s="8" t="s">
        <v>42</v>
      </c>
      <c r="Y176" s="8" t="s">
        <v>99</v>
      </c>
      <c r="Z176" s="8" t="s">
        <v>99</v>
      </c>
      <c r="AF176" s="8" t="s">
        <v>78</v>
      </c>
      <c r="AG176" s="8" t="s">
        <v>112</v>
      </c>
      <c r="AI176" s="8" t="s">
        <v>700</v>
      </c>
      <c r="AJ176" s="8" t="s">
        <v>101</v>
      </c>
      <c r="AK176" s="8" t="s">
        <v>63</v>
      </c>
      <c r="AL176" s="8" t="s">
        <v>63</v>
      </c>
      <c r="AM176" s="8" t="s">
        <v>84</v>
      </c>
    </row>
    <row r="177" spans="1:39" x14ac:dyDescent="0.2">
      <c r="A177" s="2" t="s">
        <v>713</v>
      </c>
      <c r="C177" s="7"/>
      <c r="D177" s="2" t="s">
        <v>714</v>
      </c>
      <c r="E177" t="str">
        <f t="shared" si="46"/>
        <v>4</v>
      </c>
      <c r="F177" t="str">
        <f t="shared" si="47"/>
        <v>Stephan_etal_1981</v>
      </c>
      <c r="G177" t="str">
        <f t="shared" si="48"/>
        <v>Stephan</v>
      </c>
      <c r="H177" t="str">
        <f t="shared" si="49"/>
        <v>etal</v>
      </c>
      <c r="I177" t="str">
        <f t="shared" si="50"/>
        <v>1981</v>
      </c>
      <c r="J177" t="str">
        <f t="shared" si="51"/>
        <v>10.1159%2F000155964</v>
      </c>
      <c r="K177" t="str">
        <f t="shared" si="53"/>
        <v>Stephan_etal_1981_TableVIII</v>
      </c>
      <c r="L177" t="str">
        <f t="shared" si="52"/>
        <v>10.1159%2F000155964_TableVIII</v>
      </c>
      <c r="M177" t="str">
        <f t="array" ref="M177">IFERROR(INDEX(FileList!$A$1:$A$100,MATCH(TRUE,EXACT(L177,_xlfn.TEXTBEFORE(FileList!$A$1:$A$100,".tsv")),0)),"notfound")</f>
        <v>notfound</v>
      </c>
      <c r="N177" s="8" t="s">
        <v>715</v>
      </c>
    </row>
    <row r="178" spans="1:39" x14ac:dyDescent="0.2">
      <c r="A178" s="2" t="s">
        <v>716</v>
      </c>
      <c r="C178" s="7"/>
      <c r="D178" s="2" t="s">
        <v>717</v>
      </c>
      <c r="E178" t="str">
        <f t="shared" si="46"/>
        <v>5</v>
      </c>
      <c r="F178" t="str">
        <f t="shared" si="47"/>
        <v>Stephan_etal_1981</v>
      </c>
      <c r="G178" t="str">
        <f t="shared" si="48"/>
        <v>Stephan</v>
      </c>
      <c r="H178" t="str">
        <f t="shared" si="49"/>
        <v>etal</v>
      </c>
      <c r="I178" t="str">
        <f t="shared" si="50"/>
        <v>1981</v>
      </c>
      <c r="J178" t="str">
        <f t="shared" si="51"/>
        <v>10.1159%2F000155965</v>
      </c>
      <c r="K178" t="str">
        <f t="shared" si="53"/>
        <v>Stephan_etal_1981_TableIX</v>
      </c>
      <c r="L178" t="str">
        <f t="shared" si="52"/>
        <v>10.1159%2F000155965_TableIX</v>
      </c>
      <c r="M178" t="str">
        <f t="array" ref="M178">IFERROR(INDEX(FileList!$A$1:$A$100,MATCH(TRUE,EXACT(L178,_xlfn.TEXTBEFORE(FileList!$A$1:$A$100,".tsv")),0)),"notfound")</f>
        <v>notfound</v>
      </c>
      <c r="N178" s="8" t="s">
        <v>718</v>
      </c>
    </row>
    <row r="179" spans="1:39" x14ac:dyDescent="0.2">
      <c r="A179" s="2" t="s">
        <v>719</v>
      </c>
      <c r="C179" s="7"/>
      <c r="D179" s="2" t="s">
        <v>720</v>
      </c>
      <c r="E179" t="str">
        <f t="shared" si="46"/>
        <v>6</v>
      </c>
      <c r="F179" t="str">
        <f t="shared" si="47"/>
        <v>Stephan_etal_1981</v>
      </c>
      <c r="G179" t="str">
        <f t="shared" si="48"/>
        <v>Stephan</v>
      </c>
      <c r="H179" t="str">
        <f t="shared" si="49"/>
        <v>etal</v>
      </c>
      <c r="I179" t="str">
        <f t="shared" si="50"/>
        <v>1981</v>
      </c>
      <c r="J179" t="str">
        <f t="shared" si="51"/>
        <v>10.1159%2F000155966</v>
      </c>
      <c r="K179" t="str">
        <f t="shared" si="53"/>
        <v>Stephan_etal_1981_TableX</v>
      </c>
      <c r="L179" t="str">
        <f t="shared" si="52"/>
        <v>10.1159%2F000155966_TableX</v>
      </c>
      <c r="M179" t="str">
        <f t="array" ref="M179">IFERROR(INDEX(FileList!$A$1:$A$100,MATCH(TRUE,EXACT(L179,_xlfn.TEXTBEFORE(FileList!$A$1:$A$100,".tsv")),0)),"notfound")</f>
        <v>notfound</v>
      </c>
      <c r="N179" s="8" t="s">
        <v>721</v>
      </c>
    </row>
    <row r="180" spans="1:39" x14ac:dyDescent="0.2">
      <c r="A180" s="2" t="s">
        <v>698</v>
      </c>
      <c r="D180" s="2" t="s">
        <v>722</v>
      </c>
      <c r="E180" t="str">
        <f t="shared" si="46"/>
        <v>3</v>
      </c>
      <c r="F180" t="str">
        <f t="shared" si="47"/>
        <v>Stephan_etal_1981</v>
      </c>
      <c r="G180" t="str">
        <f t="shared" si="48"/>
        <v>Stephan</v>
      </c>
      <c r="H180" t="str">
        <f t="shared" si="49"/>
        <v>etal</v>
      </c>
      <c r="I180" t="str">
        <f t="shared" si="50"/>
        <v>1981</v>
      </c>
      <c r="J180" t="str">
        <f t="shared" si="51"/>
        <v>10.1159%2F000155963</v>
      </c>
      <c r="K180" t="str">
        <f t="shared" si="53"/>
        <v>Stephan_etal_1981_TableXI</v>
      </c>
      <c r="L180" t="str">
        <f t="shared" si="52"/>
        <v>10.1159%2F000155963_TableXI</v>
      </c>
      <c r="M180" t="str">
        <f t="array" ref="M180">IFERROR(INDEX(FileList!$A$1:$A$100,MATCH(TRUE,EXACT(L180,_xlfn.TEXTBEFORE(FileList!$A$1:$A$100,".tsv")),0)),"notfound")</f>
        <v>10.1159%2F000155963_TableXI.tsv</v>
      </c>
      <c r="N180" s="8" t="s">
        <v>723</v>
      </c>
      <c r="V180" s="8" t="s">
        <v>42</v>
      </c>
      <c r="Y180" s="8" t="s">
        <v>99</v>
      </c>
      <c r="Z180" s="8" t="s">
        <v>99</v>
      </c>
      <c r="AF180" s="8" t="s">
        <v>78</v>
      </c>
      <c r="AG180" s="8" t="s">
        <v>112</v>
      </c>
      <c r="AI180" s="8" t="s">
        <v>700</v>
      </c>
      <c r="AJ180" s="8" t="s">
        <v>101</v>
      </c>
      <c r="AK180" s="8" t="s">
        <v>63</v>
      </c>
      <c r="AL180" s="8" t="s">
        <v>63</v>
      </c>
      <c r="AM180" s="8" t="s">
        <v>84</v>
      </c>
    </row>
    <row r="181" spans="1:39" x14ac:dyDescent="0.2">
      <c r="A181" s="2" t="s">
        <v>698</v>
      </c>
      <c r="D181" s="2" t="s">
        <v>724</v>
      </c>
      <c r="E181" t="str">
        <f t="shared" si="46"/>
        <v>3</v>
      </c>
      <c r="F181" t="str">
        <f t="shared" si="47"/>
        <v>Stephan_etal_1981</v>
      </c>
      <c r="G181" t="str">
        <f t="shared" si="48"/>
        <v>Stephan</v>
      </c>
      <c r="H181" t="str">
        <f t="shared" si="49"/>
        <v>etal</v>
      </c>
      <c r="I181" t="str">
        <f t="shared" si="50"/>
        <v>1981</v>
      </c>
      <c r="J181" t="str">
        <f t="shared" si="51"/>
        <v>10.1159%2F000155963</v>
      </c>
      <c r="K181" t="str">
        <f t="shared" si="53"/>
        <v>Stephan_etal_1981_TableXII</v>
      </c>
      <c r="L181" t="str">
        <f t="shared" si="52"/>
        <v>10.1159%2F000155963_TableXII</v>
      </c>
      <c r="M181" t="str">
        <f t="array" ref="M181">IFERROR(INDEX(FileList!$A$1:$A$100,MATCH(TRUE,EXACT(L181,_xlfn.TEXTBEFORE(FileList!$A$1:$A$100,".tsv")),0)),"notfound")</f>
        <v>10.1159%2F000155963_TableXII.tsv</v>
      </c>
      <c r="N181" s="8" t="s">
        <v>725</v>
      </c>
      <c r="V181" s="8" t="s">
        <v>42</v>
      </c>
      <c r="Y181" s="8" t="s">
        <v>99</v>
      </c>
      <c r="Z181" s="8" t="s">
        <v>99</v>
      </c>
      <c r="AF181" s="8" t="s">
        <v>78</v>
      </c>
      <c r="AG181" s="8" t="s">
        <v>112</v>
      </c>
      <c r="AI181" s="8" t="s">
        <v>700</v>
      </c>
      <c r="AJ181" s="8" t="s">
        <v>101</v>
      </c>
      <c r="AK181" s="8" t="s">
        <v>63</v>
      </c>
      <c r="AL181" s="8" t="s">
        <v>63</v>
      </c>
      <c r="AM181" s="8" t="s">
        <v>84</v>
      </c>
    </row>
    <row r="182" spans="1:39" x14ac:dyDescent="0.2">
      <c r="A182" s="2" t="s">
        <v>698</v>
      </c>
      <c r="D182" s="2" t="s">
        <v>726</v>
      </c>
      <c r="E182" t="str">
        <f t="shared" si="46"/>
        <v>3</v>
      </c>
      <c r="F182" t="str">
        <f t="shared" si="47"/>
        <v>Stephan_etal_1981</v>
      </c>
      <c r="G182" t="str">
        <f t="shared" si="48"/>
        <v>Stephan</v>
      </c>
      <c r="H182" t="str">
        <f t="shared" si="49"/>
        <v>etal</v>
      </c>
      <c r="I182" t="str">
        <f t="shared" si="50"/>
        <v>1981</v>
      </c>
      <c r="J182" t="str">
        <f t="shared" si="51"/>
        <v>10.1159%2F000155963</v>
      </c>
      <c r="K182" t="str">
        <f t="shared" si="53"/>
        <v>Stephan_etal_1981_TableXIII</v>
      </c>
      <c r="L182" t="str">
        <f t="shared" si="52"/>
        <v>10.1159%2F000155963_TableXIII</v>
      </c>
      <c r="M182" t="str">
        <f t="array" ref="M182">IFERROR(INDEX(FileList!$A$1:$A$100,MATCH(TRUE,EXACT(L182,_xlfn.TEXTBEFORE(FileList!$A$1:$A$100,".tsv")),0)),"notfound")</f>
        <v>10.1159%2F000155963_TableXIII.tsv</v>
      </c>
      <c r="N182" s="8" t="s">
        <v>727</v>
      </c>
      <c r="V182" s="8" t="s">
        <v>42</v>
      </c>
      <c r="Y182" s="8" t="s">
        <v>99</v>
      </c>
      <c r="Z182" s="8" t="s">
        <v>99</v>
      </c>
      <c r="AF182" s="8" t="s">
        <v>78</v>
      </c>
      <c r="AG182" s="8" t="s">
        <v>112</v>
      </c>
      <c r="AI182" s="8" t="s">
        <v>700</v>
      </c>
      <c r="AJ182" s="8" t="s">
        <v>101</v>
      </c>
      <c r="AK182" s="8" t="s">
        <v>63</v>
      </c>
      <c r="AL182" s="8" t="s">
        <v>63</v>
      </c>
      <c r="AM182" s="8" t="s">
        <v>84</v>
      </c>
    </row>
    <row r="183" spans="1:39" x14ac:dyDescent="0.2">
      <c r="A183" s="2" t="s">
        <v>698</v>
      </c>
      <c r="D183" s="2" t="s">
        <v>728</v>
      </c>
      <c r="E183" t="str">
        <f t="shared" si="46"/>
        <v>3</v>
      </c>
      <c r="F183" t="str">
        <f t="shared" si="47"/>
        <v>Stephan_etal_1981</v>
      </c>
      <c r="G183" t="str">
        <f t="shared" si="48"/>
        <v>Stephan</v>
      </c>
      <c r="H183" t="str">
        <f t="shared" si="49"/>
        <v>etal</v>
      </c>
      <c r="I183" t="str">
        <f t="shared" si="50"/>
        <v>1981</v>
      </c>
      <c r="J183" t="str">
        <f t="shared" si="51"/>
        <v>10.1159%2F000155963</v>
      </c>
      <c r="K183" t="str">
        <f t="shared" si="53"/>
        <v>Stephan_etal_1981_TableXIV</v>
      </c>
      <c r="L183" t="str">
        <f t="shared" si="52"/>
        <v>10.1159%2F000155963_TableXIV</v>
      </c>
      <c r="M183" t="str">
        <f t="array" ref="M183">IFERROR(INDEX(FileList!$A$1:$A$100,MATCH(TRUE,EXACT(L183,_xlfn.TEXTBEFORE(FileList!$A$1:$A$100,".tsv")),0)),"notfound")</f>
        <v>10.1159%2F000155963_TableXIV.tsv</v>
      </c>
      <c r="N183" s="8" t="s">
        <v>729</v>
      </c>
      <c r="V183" s="8" t="s">
        <v>42</v>
      </c>
      <c r="Y183" s="8" t="s">
        <v>99</v>
      </c>
      <c r="Z183" s="8" t="s">
        <v>99</v>
      </c>
      <c r="AF183" s="8" t="s">
        <v>78</v>
      </c>
      <c r="AG183" s="8" t="s">
        <v>112</v>
      </c>
      <c r="AI183" s="8" t="s">
        <v>700</v>
      </c>
      <c r="AJ183" s="8" t="s">
        <v>101</v>
      </c>
      <c r="AK183" s="8" t="s">
        <v>63</v>
      </c>
      <c r="AL183" s="8" t="s">
        <v>63</v>
      </c>
      <c r="AM183" s="8" t="s">
        <v>84</v>
      </c>
    </row>
    <row r="184" spans="1:39" x14ac:dyDescent="0.2">
      <c r="A184" s="2" t="s">
        <v>698</v>
      </c>
      <c r="D184" s="2" t="s">
        <v>730</v>
      </c>
      <c r="E184" t="str">
        <f t="shared" si="46"/>
        <v>3</v>
      </c>
      <c r="F184" t="str">
        <f t="shared" si="47"/>
        <v>Stephan_etal_1981</v>
      </c>
      <c r="G184" t="str">
        <f t="shared" si="48"/>
        <v>Stephan</v>
      </c>
      <c r="H184" t="str">
        <f t="shared" si="49"/>
        <v>etal</v>
      </c>
      <c r="I184" t="str">
        <f t="shared" si="50"/>
        <v>1981</v>
      </c>
      <c r="J184" t="str">
        <f t="shared" si="51"/>
        <v>10.1159%2F000155963</v>
      </c>
      <c r="K184" t="str">
        <f t="shared" si="53"/>
        <v>Stephan_etal_1981_TableXV</v>
      </c>
      <c r="L184" t="str">
        <f t="shared" si="52"/>
        <v>10.1159%2F000155963_TableXV</v>
      </c>
      <c r="M184" t="str">
        <f t="array" ref="M184">IFERROR(INDEX(FileList!$A$1:$A$100,MATCH(TRUE,EXACT(L184,_xlfn.TEXTBEFORE(FileList!$A$1:$A$100,".tsv")),0)),"notfound")</f>
        <v>10.1159%2F000155963_TableXV.tsv</v>
      </c>
      <c r="N184" s="8" t="s">
        <v>731</v>
      </c>
      <c r="V184" s="8" t="s">
        <v>42</v>
      </c>
      <c r="Y184" s="8" t="s">
        <v>99</v>
      </c>
      <c r="Z184" s="8" t="s">
        <v>99</v>
      </c>
      <c r="AF184" s="8" t="s">
        <v>78</v>
      </c>
      <c r="AG184" s="8" t="s">
        <v>112</v>
      </c>
      <c r="AI184" s="8" t="s">
        <v>700</v>
      </c>
      <c r="AJ184" s="8" t="s">
        <v>101</v>
      </c>
      <c r="AK184" s="8" t="s">
        <v>63</v>
      </c>
      <c r="AL184" s="8" t="s">
        <v>63</v>
      </c>
      <c r="AM184" s="8" t="s">
        <v>84</v>
      </c>
    </row>
    <row r="185" spans="1:39" x14ac:dyDescent="0.2">
      <c r="A185" s="2" t="s">
        <v>698</v>
      </c>
      <c r="D185" s="2" t="s">
        <v>732</v>
      </c>
      <c r="E185" t="str">
        <f t="shared" si="46"/>
        <v>3</v>
      </c>
      <c r="F185" t="str">
        <f t="shared" si="47"/>
        <v>Stephan_etal_1981</v>
      </c>
      <c r="G185" t="str">
        <f t="shared" si="48"/>
        <v>Stephan</v>
      </c>
      <c r="H185" t="str">
        <f t="shared" si="49"/>
        <v>etal</v>
      </c>
      <c r="I185" t="str">
        <f t="shared" si="50"/>
        <v>1981</v>
      </c>
      <c r="J185" t="str">
        <f t="shared" si="51"/>
        <v>10.1159%2F000155963</v>
      </c>
      <c r="K185" t="str">
        <f t="shared" si="53"/>
        <v>Stephan_etal_1981_TableXVI</v>
      </c>
      <c r="L185" t="str">
        <f t="shared" si="52"/>
        <v>10.1159%2F000155963_TableXVI</v>
      </c>
      <c r="M185" t="str">
        <f t="array" ref="M185">IFERROR(INDEX(FileList!$A$1:$A$100,MATCH(TRUE,EXACT(L185,_xlfn.TEXTBEFORE(FileList!$A$1:$A$100,".tsv")),0)),"notfound")</f>
        <v>10.1159%2F000155963_TableXVI.tsv</v>
      </c>
      <c r="N185" s="8" t="s">
        <v>733</v>
      </c>
      <c r="V185" s="8" t="s">
        <v>42</v>
      </c>
      <c r="Y185" s="8" t="s">
        <v>99</v>
      </c>
      <c r="Z185" s="8" t="s">
        <v>99</v>
      </c>
      <c r="AF185" s="8" t="s">
        <v>78</v>
      </c>
      <c r="AG185" s="8" t="s">
        <v>112</v>
      </c>
      <c r="AI185" s="8" t="s">
        <v>700</v>
      </c>
      <c r="AJ185" s="8" t="s">
        <v>101</v>
      </c>
      <c r="AK185" s="8" t="s">
        <v>63</v>
      </c>
      <c r="AL185" s="8" t="s">
        <v>63</v>
      </c>
      <c r="AM185" s="8" t="s">
        <v>84</v>
      </c>
    </row>
    <row r="186" spans="1:39" x14ac:dyDescent="0.2">
      <c r="A186" s="2" t="s">
        <v>698</v>
      </c>
      <c r="C186" s="7"/>
      <c r="D186" s="2" t="s">
        <v>734</v>
      </c>
      <c r="E186" t="str">
        <f t="shared" si="46"/>
        <v>3</v>
      </c>
      <c r="F186" t="str">
        <f t="shared" si="47"/>
        <v>Stephan_etal_1981</v>
      </c>
      <c r="G186" t="str">
        <f t="shared" si="48"/>
        <v>Stephan</v>
      </c>
      <c r="H186" t="str">
        <f t="shared" si="49"/>
        <v>etal</v>
      </c>
      <c r="I186" t="str">
        <f t="shared" si="50"/>
        <v>1981</v>
      </c>
      <c r="J186" t="str">
        <f t="shared" si="51"/>
        <v>10.1159%2F000155963</v>
      </c>
      <c r="K186" t="str">
        <f t="shared" si="53"/>
        <v>Stephan_etal_1981_TablesI-VI</v>
      </c>
      <c r="L186" t="str">
        <f t="shared" si="52"/>
        <v>10.1159%2F000155963_TablesI-VI</v>
      </c>
      <c r="M186" t="str">
        <f t="array" ref="M186">IFERROR(INDEX(FileList!$A$1:$A$100,MATCH(TRUE,EXACT(L186,_xlfn.TEXTBEFORE(FileList!$A$1:$A$100,".tsv")),0)),"notfound")</f>
        <v>10.1159%2F000155963_TablesI-VI.tsv</v>
      </c>
      <c r="O186" s="8" t="s">
        <v>735</v>
      </c>
      <c r="P186" s="8" t="s">
        <v>41</v>
      </c>
      <c r="V186" s="8" t="s">
        <v>42</v>
      </c>
      <c r="Y186" s="8" t="s">
        <v>99</v>
      </c>
      <c r="Z186" s="8" t="s">
        <v>99</v>
      </c>
      <c r="AF186" s="8" t="s">
        <v>78</v>
      </c>
      <c r="AG186" s="8" t="s">
        <v>112</v>
      </c>
      <c r="AI186" s="8" t="s">
        <v>700</v>
      </c>
      <c r="AJ186" s="8" t="s">
        <v>101</v>
      </c>
      <c r="AK186" s="8" t="s">
        <v>63</v>
      </c>
      <c r="AL186" s="8" t="s">
        <v>63</v>
      </c>
      <c r="AM186" s="8" t="s">
        <v>84</v>
      </c>
    </row>
    <row r="187" spans="1:39" x14ac:dyDescent="0.2">
      <c r="A187" s="2" t="s">
        <v>736</v>
      </c>
      <c r="D187" s="2" t="s">
        <v>737</v>
      </c>
      <c r="E187" t="str">
        <f t="shared" si="46"/>
        <v>8</v>
      </c>
      <c r="F187" t="str">
        <f t="shared" si="47"/>
        <v>Stimpson_etal_2015</v>
      </c>
      <c r="G187" t="str">
        <f t="shared" si="48"/>
        <v>Stimpson</v>
      </c>
      <c r="H187" t="str">
        <f t="shared" si="49"/>
        <v>etal</v>
      </c>
      <c r="I187" t="str">
        <f t="shared" si="50"/>
        <v>2015</v>
      </c>
      <c r="J187" t="str">
        <f t="shared" si="51"/>
        <v>10.1093%2Fscan%2Fnsv128</v>
      </c>
      <c r="K187" t="str">
        <f t="shared" si="53"/>
        <v>Stimpson_etal_2015_TableS1</v>
      </c>
      <c r="L187" t="str">
        <f t="shared" si="52"/>
        <v>10.1093%2Fscan%2Fnsv128_TableS1</v>
      </c>
      <c r="M187" t="str">
        <f t="array" ref="M187">IFERROR(INDEX(FileList!$A$1:$A$100,MATCH(TRUE,EXACT(L187,_xlfn.TEXTBEFORE(FileList!$A$1:$A$100,".tsv")),0)),"notfound")</f>
        <v>10.1093%2Fscan%2Fnsv128_TableS1.tsv</v>
      </c>
      <c r="N187" s="8" t="s">
        <v>737</v>
      </c>
      <c r="P187" s="8" t="s">
        <v>41</v>
      </c>
      <c r="V187" s="8" t="s">
        <v>42</v>
      </c>
      <c r="Y187" s="8" t="s">
        <v>631</v>
      </c>
      <c r="Z187" s="8" t="s">
        <v>631</v>
      </c>
      <c r="AF187" s="8" t="s">
        <v>78</v>
      </c>
      <c r="AG187" s="8" t="s">
        <v>112</v>
      </c>
      <c r="AL187" s="8" t="s">
        <v>63</v>
      </c>
      <c r="AM187" s="8" t="s">
        <v>84</v>
      </c>
    </row>
    <row r="188" spans="1:39" x14ac:dyDescent="0.2">
      <c r="A188" s="2" t="s">
        <v>736</v>
      </c>
      <c r="D188" s="2" t="s">
        <v>738</v>
      </c>
      <c r="E188" t="str">
        <f t="shared" si="46"/>
        <v>8</v>
      </c>
      <c r="F188" t="str">
        <f t="shared" si="47"/>
        <v>Stimpson_etal_2015</v>
      </c>
      <c r="G188" t="str">
        <f t="shared" si="48"/>
        <v>Stimpson</v>
      </c>
      <c r="H188" t="str">
        <f t="shared" si="49"/>
        <v>etal</v>
      </c>
      <c r="I188" t="str">
        <f t="shared" si="50"/>
        <v>2015</v>
      </c>
      <c r="J188" t="str">
        <f t="shared" si="51"/>
        <v>10.1093%2Fscan%2Fnsv128</v>
      </c>
      <c r="K188" t="str">
        <f t="shared" si="53"/>
        <v>Stimpson_etal_2015_TableS2</v>
      </c>
      <c r="L188" t="str">
        <f t="shared" si="52"/>
        <v>10.1093%2Fscan%2Fnsv128_TableS2</v>
      </c>
      <c r="M188" t="str">
        <f t="array" ref="M188">IFERROR(INDEX(FileList!$A$1:$A$100,MATCH(TRUE,EXACT(L188,_xlfn.TEXTBEFORE(FileList!$A$1:$A$100,".tsv")),0)),"notfound")</f>
        <v>10.1093%2Fscan%2Fnsv128_TableS2.tsv</v>
      </c>
      <c r="N188" s="8" t="s">
        <v>738</v>
      </c>
      <c r="P188" s="8" t="s">
        <v>41</v>
      </c>
      <c r="V188" s="8" t="s">
        <v>42</v>
      </c>
      <c r="Y188" s="8" t="s">
        <v>631</v>
      </c>
      <c r="Z188" s="8" t="s">
        <v>631</v>
      </c>
      <c r="AF188" s="8" t="s">
        <v>78</v>
      </c>
      <c r="AG188" s="8" t="s">
        <v>112</v>
      </c>
      <c r="AL188" s="8" t="s">
        <v>63</v>
      </c>
      <c r="AM188" s="8" t="s">
        <v>84</v>
      </c>
    </row>
    <row r="189" spans="1:39" x14ac:dyDescent="0.2">
      <c r="A189" s="2" t="s">
        <v>739</v>
      </c>
      <c r="D189" s="2" t="s">
        <v>75</v>
      </c>
      <c r="E189" t="str">
        <f t="shared" si="46"/>
        <v>2</v>
      </c>
      <c r="F189" t="str">
        <f t="shared" si="47"/>
        <v>Turner_etal_2016</v>
      </c>
      <c r="G189" t="str">
        <f t="shared" si="48"/>
        <v>Turner</v>
      </c>
      <c r="H189" t="str">
        <f t="shared" si="49"/>
        <v>etal</v>
      </c>
      <c r="I189" t="str">
        <f t="shared" si="50"/>
        <v>2016</v>
      </c>
      <c r="J189" t="str">
        <f t="shared" si="51"/>
        <v>10.1159%2F000446762</v>
      </c>
      <c r="K189" t="str">
        <f t="shared" si="53"/>
        <v>Turner_etal_2016_Table1</v>
      </c>
      <c r="L189" t="str">
        <f t="shared" si="52"/>
        <v>10.1159%2F000446762_Table1</v>
      </c>
      <c r="M189" t="str">
        <f t="array" ref="M189">IFERROR(INDEX(FileList!$A$1:$A$100,MATCH(TRUE,EXACT(L189,_xlfn.TEXTBEFORE(FileList!$A$1:$A$100,".tsv")),0)),"notfound")</f>
        <v>notfound</v>
      </c>
      <c r="N189" s="8" t="s">
        <v>740</v>
      </c>
      <c r="AI189" s="8" t="s">
        <v>741</v>
      </c>
      <c r="AJ189" s="8" t="s">
        <v>136</v>
      </c>
      <c r="AL189" s="8" t="s">
        <v>63</v>
      </c>
      <c r="AM189" s="8" t="s">
        <v>123</v>
      </c>
    </row>
    <row r="190" spans="1:39" x14ac:dyDescent="0.2">
      <c r="A190" s="2" t="s">
        <v>742</v>
      </c>
      <c r="C190" t="s">
        <v>743</v>
      </c>
      <c r="D190" s="2" t="s">
        <v>744</v>
      </c>
      <c r="E190" t="str">
        <f t="shared" si="46"/>
        <v>.</v>
      </c>
      <c r="F190" t="str">
        <f t="shared" si="47"/>
        <v>Weaver__2001</v>
      </c>
      <c r="G190" t="str">
        <f t="shared" si="48"/>
        <v>Weaver</v>
      </c>
      <c r="H190" t="str">
        <f t="shared" si="49"/>
        <v/>
      </c>
      <c r="I190" t="str">
        <f t="shared" si="50"/>
        <v>2001</v>
      </c>
      <c r="J190" t="str">
        <f t="shared" si="51"/>
        <v>UMI%3A3017523</v>
      </c>
      <c r="K190" t="str">
        <f t="shared" si="53"/>
        <v>Weaver__2001_NotesforTableA-15</v>
      </c>
      <c r="L190" t="str">
        <f t="shared" si="52"/>
        <v>UMI%3A3017523_NotesforTableA-15</v>
      </c>
      <c r="M190" t="str">
        <f t="array" ref="M190">IFERROR(INDEX(FileList!$A$1:$A$100,MATCH(TRUE,EXACT(L190,_xlfn.TEXTBEFORE(FileList!$A$1:$A$100,".tsv")),0)),"notfound")</f>
        <v>notfound</v>
      </c>
      <c r="N190" s="8" t="s">
        <v>744</v>
      </c>
    </row>
    <row r="191" spans="1:39" x14ac:dyDescent="0.2">
      <c r="A191" s="2" t="s">
        <v>742</v>
      </c>
      <c r="C191" t="s">
        <v>743</v>
      </c>
      <c r="D191" s="2" t="s">
        <v>745</v>
      </c>
      <c r="E191" t="str">
        <f t="shared" si="46"/>
        <v>.</v>
      </c>
      <c r="F191" t="str">
        <f t="shared" si="47"/>
        <v>Weaver__2001</v>
      </c>
      <c r="G191" t="str">
        <f t="shared" si="48"/>
        <v>Weaver</v>
      </c>
      <c r="H191" t="str">
        <f t="shared" si="49"/>
        <v/>
      </c>
      <c r="I191" t="str">
        <f t="shared" si="50"/>
        <v>2001</v>
      </c>
      <c r="J191" t="str">
        <f t="shared" si="51"/>
        <v>UMI%3A3017523</v>
      </c>
      <c r="K191" t="str">
        <f t="shared" si="53"/>
        <v>Weaver__2001_TableA-15</v>
      </c>
      <c r="L191" t="str">
        <f t="shared" si="52"/>
        <v>UMI%3A3017523_TableA-15</v>
      </c>
      <c r="M191" t="str">
        <f t="array" ref="M191">IFERROR(INDEX(FileList!$A$1:$A$100,MATCH(TRUE,EXACT(L191,_xlfn.TEXTBEFORE(FileList!$A$1:$A$100,".tsv")),0)),"notfound")</f>
        <v>notfound</v>
      </c>
      <c r="N191" s="8" t="s">
        <v>746</v>
      </c>
    </row>
    <row r="192" spans="1:39" x14ac:dyDescent="0.2">
      <c r="A192" s="2" t="s">
        <v>747</v>
      </c>
      <c r="D192" s="2" t="s">
        <v>748</v>
      </c>
      <c r="E192" t="str">
        <f t="shared" si="46"/>
        <v>1</v>
      </c>
      <c r="F192" t="str">
        <f t="shared" si="47"/>
        <v>Wilman_etal_2014</v>
      </c>
      <c r="G192" t="str">
        <f t="shared" si="48"/>
        <v>Wilman</v>
      </c>
      <c r="H192" t="str">
        <f t="shared" si="49"/>
        <v>etal</v>
      </c>
      <c r="I192" t="str">
        <f t="shared" si="50"/>
        <v>2014</v>
      </c>
      <c r="J192" t="str">
        <f t="shared" si="51"/>
        <v>10.1890%2F13-1917.1</v>
      </c>
      <c r="K192" t="str">
        <f t="shared" si="53"/>
        <v>Wilman_etal_2014_MamFuncDat.txt</v>
      </c>
      <c r="L192" t="str">
        <f t="shared" si="52"/>
        <v>10.1890%2F13-1917.1_MamFuncDat.txt</v>
      </c>
      <c r="M192" t="str">
        <f t="array" ref="M192">IFERROR(INDEX(FileList!$A$1:$A$100,MATCH(TRUE,EXACT(L192,_xlfn.TEXTBEFORE(FileList!$A$1:$A$100,".tsv")),0)),"notfound")</f>
        <v>notfound</v>
      </c>
      <c r="AI192" s="8" t="s">
        <v>749</v>
      </c>
      <c r="AJ192" s="8" t="s">
        <v>136</v>
      </c>
      <c r="AL192" s="8" t="s">
        <v>137</v>
      </c>
      <c r="AM192" s="8" t="s">
        <v>750</v>
      </c>
    </row>
    <row r="193" spans="1:39" x14ac:dyDescent="0.2">
      <c r="A193" s="2" t="s">
        <v>751</v>
      </c>
      <c r="D193" s="2" t="s">
        <v>752</v>
      </c>
      <c r="E193" t="str">
        <f t="shared" si="46"/>
        <v>7</v>
      </c>
      <c r="F193" t="str">
        <f t="shared" si="47"/>
        <v>Wimberly_etal_2021</v>
      </c>
      <c r="G193" t="str">
        <f t="shared" si="48"/>
        <v>Wimberly</v>
      </c>
      <c r="H193" t="str">
        <f t="shared" si="49"/>
        <v>etal</v>
      </c>
      <c r="I193" t="str">
        <f t="shared" si="50"/>
        <v>2021</v>
      </c>
      <c r="J193" t="str">
        <f t="shared" si="51"/>
        <v>10.1098%2Frspb.2021.0937</v>
      </c>
      <c r="K193" t="str">
        <f t="shared" si="53"/>
        <v>Wimberly_etal_2021_mammalgait.txt</v>
      </c>
      <c r="L193" t="str">
        <f t="shared" si="52"/>
        <v>10.1098%2Frspb.2021.0937_mammalgait.txt</v>
      </c>
      <c r="M193" t="str">
        <f t="array" ref="M193">IFERROR(INDEX(FileList!$A$1:$A$100,MATCH(TRUE,EXACT(L193,_xlfn.TEXTBEFORE(FileList!$A$1:$A$100,".tsv")),0)),"notfound")</f>
        <v>notfound</v>
      </c>
      <c r="P193" s="8" t="s">
        <v>331</v>
      </c>
      <c r="AJ193" s="8" t="s">
        <v>43</v>
      </c>
      <c r="AL193" s="8" t="s">
        <v>43</v>
      </c>
      <c r="AM193" s="8" t="s">
        <v>43</v>
      </c>
    </row>
    <row r="194" spans="1:39" x14ac:dyDescent="0.2">
      <c r="A194" s="2" t="s">
        <v>753</v>
      </c>
      <c r="D194" s="2" t="s">
        <v>754</v>
      </c>
      <c r="E194" t="str">
        <f t="shared" si="46"/>
        <v>5</v>
      </c>
      <c r="F194" t="str">
        <f t="shared" si="47"/>
        <v>Winkler_Bryant_2021</v>
      </c>
      <c r="G194" t="str">
        <f t="shared" si="48"/>
        <v>Winkler</v>
      </c>
      <c r="H194" t="str">
        <f t="shared" si="49"/>
        <v>Bryant</v>
      </c>
      <c r="I194" t="str">
        <f t="shared" si="50"/>
        <v>2021</v>
      </c>
      <c r="J194" t="str">
        <f t="shared" si="51"/>
        <v>10.1080%2F09524622.2021.1905065</v>
      </c>
      <c r="K194" t="str">
        <f t="shared" si="53"/>
        <v>Winkler_Bryant_2021_Figure1</v>
      </c>
      <c r="L194" t="str">
        <f t="shared" si="52"/>
        <v>10.1080%2F09524622.2021.1905065_Figure1</v>
      </c>
      <c r="M194" t="str">
        <f t="array" ref="M194">IFERROR(INDEX(FileList!$A$1:$A$100,MATCH(TRUE,EXACT(L194,_xlfn.TEXTBEFORE(FileList!$A$1:$A$100,".tsv")),0)),"notfound")</f>
        <v>notfound</v>
      </c>
      <c r="P194" s="8" t="s">
        <v>331</v>
      </c>
      <c r="Q194" s="8" t="s">
        <v>198</v>
      </c>
      <c r="T194" s="8" t="str">
        <f>IF(S194="N", R194, "write file name")</f>
        <v>write file name</v>
      </c>
      <c r="U194" s="8" t="s">
        <v>55</v>
      </c>
      <c r="V194" s="8" t="s">
        <v>755</v>
      </c>
      <c r="AH194" s="8" t="s">
        <v>134</v>
      </c>
      <c r="AI194" s="8" t="s">
        <v>756</v>
      </c>
      <c r="AJ194" s="8" t="s">
        <v>136</v>
      </c>
      <c r="AL194" s="8" t="s">
        <v>137</v>
      </c>
      <c r="AM194" s="8" t="s">
        <v>757</v>
      </c>
    </row>
    <row r="195" spans="1:39" x14ac:dyDescent="0.2">
      <c r="A195" s="2" t="s">
        <v>758</v>
      </c>
      <c r="D195" s="2" t="s">
        <v>75</v>
      </c>
      <c r="E195" t="str">
        <f t="shared" si="46"/>
        <v>0</v>
      </c>
      <c r="F195" t="str">
        <f t="shared" si="47"/>
        <v>Young_etal_2013</v>
      </c>
      <c r="G195" t="str">
        <f t="shared" si="48"/>
        <v>Young</v>
      </c>
      <c r="H195" t="str">
        <f t="shared" si="49"/>
        <v>etal</v>
      </c>
      <c r="I195" t="str">
        <f t="shared" si="50"/>
        <v>2013</v>
      </c>
      <c r="J195" t="str">
        <f t="shared" si="51"/>
        <v>10.3389%2Ffncir.2013.00030</v>
      </c>
      <c r="K195" t="str">
        <f t="shared" si="53"/>
        <v>Young_etal_2013_Table1</v>
      </c>
      <c r="L195" t="str">
        <f t="shared" si="52"/>
        <v>10.3389%2Ffncir.2013.00030_Table1</v>
      </c>
      <c r="M195" t="str">
        <f t="array" ref="M195">IFERROR(INDEX(FileList!$A$1:$A$100,MATCH(TRUE,EXACT(L195,_xlfn.TEXTBEFORE(FileList!$A$1:$A$100,".tsv")),0)),"notfound")</f>
        <v>notfound</v>
      </c>
      <c r="P195" s="8" t="s">
        <v>583</v>
      </c>
      <c r="Q195" s="8" t="s">
        <v>198</v>
      </c>
      <c r="T195" s="8" t="str">
        <f>IF(S195="N", R195, "write file name")</f>
        <v>write file name</v>
      </c>
      <c r="U195" s="8" t="s">
        <v>55</v>
      </c>
      <c r="V195" s="8" t="s">
        <v>42</v>
      </c>
      <c r="AH195" s="8" t="s">
        <v>173</v>
      </c>
      <c r="AI195" s="8" t="s">
        <v>759</v>
      </c>
      <c r="AJ195" s="8" t="s">
        <v>118</v>
      </c>
      <c r="AK195" s="8" t="s">
        <v>63</v>
      </c>
      <c r="AL195" s="8" t="s">
        <v>63</v>
      </c>
      <c r="AM195" s="8" t="s">
        <v>760</v>
      </c>
    </row>
    <row r="196" spans="1:39" x14ac:dyDescent="0.2">
      <c r="A196" s="2" t="s">
        <v>761</v>
      </c>
      <c r="D196" s="2" t="s">
        <v>75</v>
      </c>
      <c r="E196" t="str">
        <f t="shared" si="46"/>
        <v>0</v>
      </c>
      <c r="F196" t="str">
        <f t="shared" ref="F196:F227" si="54">G196 &amp; IF(H196&lt;&gt;"", "_" &amp; H196, "_") &amp; IF(I196&lt;&gt;"", "_" &amp; I196, "_") &amp; IF(B196&lt;&gt;"", "_" &amp; B196, "")</f>
        <v>Young_etal_2013</v>
      </c>
      <c r="G196" t="str">
        <f t="shared" si="48"/>
        <v>Young</v>
      </c>
      <c r="H196" t="str">
        <f t="shared" ref="H196:H227" si="55">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t="str">
        <f t="shared" si="50"/>
        <v>2013</v>
      </c>
      <c r="J196" t="str">
        <f t="shared" si="51"/>
        <v>10.1073%2Fpnas.1318894110</v>
      </c>
      <c r="K196" t="str">
        <f t="shared" si="53"/>
        <v>Young_etal_2013_Table1</v>
      </c>
      <c r="L196" t="str">
        <f t="shared" si="52"/>
        <v>10.1073%2Fpnas.1318894110_Table1</v>
      </c>
      <c r="M196" t="str">
        <f t="array" ref="M196">IFERROR(INDEX(FileList!$A$1:$A$100,MATCH(TRUE,EXACT(L196,_xlfn.TEXTBEFORE(FileList!$A$1:$A$100,".tsv")),0)),"notfound")</f>
        <v>notfound</v>
      </c>
      <c r="N196" s="8" t="s">
        <v>762</v>
      </c>
      <c r="V196" s="8" t="s">
        <v>42</v>
      </c>
      <c r="Y196" s="8" t="s">
        <v>219</v>
      </c>
      <c r="AG196" s="8" t="s">
        <v>59</v>
      </c>
      <c r="AI196" s="8" t="s">
        <v>763</v>
      </c>
      <c r="AJ196" s="8" t="s">
        <v>764</v>
      </c>
      <c r="AK196" s="8" t="s">
        <v>63</v>
      </c>
      <c r="AL196" s="8" t="s">
        <v>63</v>
      </c>
      <c r="AM196" s="8" t="s">
        <v>765</v>
      </c>
    </row>
    <row r="197" spans="1:39" x14ac:dyDescent="0.2">
      <c r="A197" s="2" t="s">
        <v>766</v>
      </c>
      <c r="C197" s="2" t="s">
        <v>767</v>
      </c>
      <c r="D197" s="2" t="s">
        <v>768</v>
      </c>
      <c r="E197" t="str">
        <f t="shared" si="46"/>
        <v>s</v>
      </c>
      <c r="F197" t="str">
        <f t="shared" si="54"/>
        <v>Zilles_Rehkämper_1988</v>
      </c>
      <c r="G197" t="str">
        <f t="shared" si="48"/>
        <v>Zilles</v>
      </c>
      <c r="H197" t="str">
        <f t="shared" si="55"/>
        <v>Rehkämper</v>
      </c>
      <c r="I197" t="str">
        <f t="shared" si="50"/>
        <v>1988</v>
      </c>
      <c r="J197" t="str">
        <f t="shared" si="51"/>
        <v>ISBN%3A9780195043716</v>
      </c>
      <c r="K197" t="str">
        <f t="shared" si="53"/>
        <v>Zilles_Rehkämper_1988_Table12-2</v>
      </c>
      <c r="L197" t="str">
        <f t="shared" si="52"/>
        <v>ISBN%3A9780195043716_Table12-2</v>
      </c>
      <c r="M197" t="str">
        <f t="array" ref="M197">IFERROR(INDEX(FileList!$A$1:$A$100,MATCH(TRUE,EXACT(L197,_xlfn.TEXTBEFORE(FileList!$A$1:$A$100,".tsv")),0)),"notfound")</f>
        <v>notfound</v>
      </c>
      <c r="N197" s="8" t="s">
        <v>769</v>
      </c>
      <c r="Y197" s="8" t="s">
        <v>99</v>
      </c>
      <c r="Z197" s="8" t="s">
        <v>229</v>
      </c>
      <c r="AF197" s="8" t="s">
        <v>78</v>
      </c>
      <c r="AG197" s="8" t="s">
        <v>112</v>
      </c>
      <c r="AI197" s="8" t="s">
        <v>770</v>
      </c>
      <c r="AJ197" s="8" t="s">
        <v>771</v>
      </c>
      <c r="AL197" s="8" t="s">
        <v>63</v>
      </c>
      <c r="AM197" s="8" t="s">
        <v>84</v>
      </c>
    </row>
    <row r="198" spans="1:39" x14ac:dyDescent="0.2">
      <c r="A198" s="2" t="s">
        <v>772</v>
      </c>
      <c r="D198" s="2" t="s">
        <v>773</v>
      </c>
      <c r="E198" t="str">
        <f t="shared" si="46"/>
        <v>6</v>
      </c>
      <c r="F198" t="str">
        <f t="shared" si="54"/>
        <v>Zilles_etal_2013</v>
      </c>
      <c r="G198" t="str">
        <f t="shared" si="48"/>
        <v>Zilles</v>
      </c>
      <c r="H198" t="str">
        <f t="shared" si="55"/>
        <v>etal</v>
      </c>
      <c r="I198" t="str">
        <f t="shared" si="50"/>
        <v>2013</v>
      </c>
      <c r="J198" t="str">
        <f t="shared" si="51"/>
        <v>10.1016%2Fj.tins.2013.01.006</v>
      </c>
      <c r="K198" t="str">
        <f t="shared" si="53"/>
        <v>Zilles_etal_2013_Table1</v>
      </c>
      <c r="L198" t="str">
        <f t="shared" si="52"/>
        <v>10.1016%2Fj.tins.2013.01.006_Table1</v>
      </c>
      <c r="M198" t="str">
        <f t="array" ref="M198">IFERROR(INDEX(FileList!$A$1:$A$100,MATCH(TRUE,EXACT(L198,_xlfn.TEXTBEFORE(FileList!$A$1:$A$100,".tsv")),0)),"notfound")</f>
        <v>notfound</v>
      </c>
      <c r="N198" s="8" t="s">
        <v>774</v>
      </c>
      <c r="V198" s="8" t="s">
        <v>42</v>
      </c>
      <c r="Y198" s="8" t="s">
        <v>77</v>
      </c>
      <c r="AG198" s="8" t="s">
        <v>43</v>
      </c>
      <c r="AI198" s="8" t="s">
        <v>775</v>
      </c>
      <c r="AJ198" s="8" t="s">
        <v>776</v>
      </c>
      <c r="AK198" s="8" t="s">
        <v>63</v>
      </c>
      <c r="AL198" s="8" t="s">
        <v>137</v>
      </c>
      <c r="AM198" s="8" t="s">
        <v>777</v>
      </c>
    </row>
  </sheetData>
  <hyperlinks>
    <hyperlink ref="X33" r:id="rId1" xr:uid="{00000000-0004-0000-0000-000000000000}"/>
    <hyperlink ref="X34" r:id="rId2" display="https://elifesciences.org/download/aHR0cHM6Ly9jZG4uZWxpZmVzY2llbmNlcy5vcmcvYXJ0aWNsZXMvNzc4NzUvZWxpZmUtNzc4NzUtdjEucGRmP2Nhbm9uaWNhbFVyaT1odHRwczovL2VsaWZlc2NpZW5jZXMub3JnL2FydGljbGVzLzc3ODc1/elife-77875-v1.pdf?_hash=NStjcL9fTlmy3AQDwSiM0YgMVB3UYjO8nDg0UbwN5gM%3D" xr:uid="{00000000-0004-0000-0000-000001000000}"/>
    <hyperlink ref="X37" r:id="rId3" xr:uid="{00000000-0004-0000-0000-000002000000}"/>
    <hyperlink ref="X49" r:id="rId4" xr:uid="{00000000-0004-0000-0000-000003000000}"/>
    <hyperlink ref="X53" r:id="rId5" xr:uid="{00000000-0004-0000-0000-000004000000}"/>
    <hyperlink ref="X61" r:id="rId6" xr:uid="{00000000-0004-0000-0000-000005000000}"/>
    <hyperlink ref="X62" r:id="rId7" xr:uid="{00000000-0004-0000-0000-000006000000}"/>
    <hyperlink ref="X64" r:id="rId8" xr:uid="{00000000-0004-0000-0000-000007000000}"/>
    <hyperlink ref="X65" r:id="rId9" xr:uid="{00000000-0004-0000-0000-000008000000}"/>
    <hyperlink ref="X66" r:id="rId10" xr:uid="{00000000-0004-0000-0000-000009000000}"/>
    <hyperlink ref="X67" r:id="rId11" xr:uid="{00000000-0004-0000-0000-00000A000000}"/>
    <hyperlink ref="X68" r:id="rId12" xr:uid="{00000000-0004-0000-0000-00000B000000}"/>
    <hyperlink ref="X69" r:id="rId13" xr:uid="{00000000-0004-0000-0000-00000C000000}"/>
    <hyperlink ref="X72" r:id="rId14" xr:uid="{00000000-0004-0000-0000-00000D000000}"/>
    <hyperlink ref="X94" r:id="rId15" xr:uid="{00000000-0004-0000-0000-00000E000000}"/>
    <hyperlink ref="X121" r:id="rId16" xr:uid="{00000000-0004-0000-0000-00000F000000}"/>
    <hyperlink ref="X122" r:id="rId17" xr:uid="{00000000-0004-0000-0000-000010000000}"/>
    <hyperlink ref="X130" r:id="rId18" xr:uid="{00000000-0004-0000-0000-000011000000}"/>
    <hyperlink ref="X137" r:id="rId19" xr:uid="{00000000-0004-0000-0000-00001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9"/>
  <sheetViews>
    <sheetView workbookViewId="0"/>
  </sheetViews>
  <sheetFormatPr baseColWidth="10" defaultRowHeight="16" x14ac:dyDescent="0.2"/>
  <sheetData>
    <row r="1" spans="1:1" x14ac:dyDescent="0.2">
      <c r="A1" t="s">
        <v>778</v>
      </c>
    </row>
    <row r="2" spans="1:1" x14ac:dyDescent="0.2">
      <c r="A2" t="s">
        <v>779</v>
      </c>
    </row>
    <row r="3" spans="1:1" x14ac:dyDescent="0.2">
      <c r="A3" t="s">
        <v>780</v>
      </c>
    </row>
    <row r="4" spans="1:1" x14ac:dyDescent="0.2">
      <c r="A4" t="s">
        <v>781</v>
      </c>
    </row>
    <row r="5" spans="1:1" x14ac:dyDescent="0.2">
      <c r="A5" t="s">
        <v>782</v>
      </c>
    </row>
    <row r="6" spans="1:1" x14ac:dyDescent="0.2">
      <c r="A6" t="s">
        <v>783</v>
      </c>
    </row>
    <row r="7" spans="1:1" x14ac:dyDescent="0.2">
      <c r="A7" t="s">
        <v>784</v>
      </c>
    </row>
    <row r="8" spans="1:1" x14ac:dyDescent="0.2">
      <c r="A8" t="s">
        <v>785</v>
      </c>
    </row>
    <row r="9" spans="1:1" x14ac:dyDescent="0.2">
      <c r="A9" t="s">
        <v>786</v>
      </c>
    </row>
    <row r="10" spans="1:1" x14ac:dyDescent="0.2">
      <c r="A10" t="s">
        <v>787</v>
      </c>
    </row>
    <row r="11" spans="1:1" x14ac:dyDescent="0.2">
      <c r="A11" t="s">
        <v>788</v>
      </c>
    </row>
    <row r="12" spans="1:1" x14ac:dyDescent="0.2">
      <c r="A12" t="s">
        <v>789</v>
      </c>
    </row>
    <row r="13" spans="1:1" x14ac:dyDescent="0.2">
      <c r="A13" t="s">
        <v>790</v>
      </c>
    </row>
    <row r="14" spans="1:1" x14ac:dyDescent="0.2">
      <c r="A14" t="s">
        <v>791</v>
      </c>
    </row>
    <row r="15" spans="1:1" x14ac:dyDescent="0.2">
      <c r="A15" t="s">
        <v>792</v>
      </c>
    </row>
    <row r="16" spans="1:1" x14ac:dyDescent="0.2">
      <c r="A16" t="s">
        <v>793</v>
      </c>
    </row>
    <row r="17" spans="1:1" x14ac:dyDescent="0.2">
      <c r="A17" t="s">
        <v>794</v>
      </c>
    </row>
    <row r="18" spans="1:1" x14ac:dyDescent="0.2">
      <c r="A18" t="s">
        <v>795</v>
      </c>
    </row>
    <row r="19" spans="1:1" x14ac:dyDescent="0.2">
      <c r="A19" t="s">
        <v>796</v>
      </c>
    </row>
    <row r="20" spans="1:1" x14ac:dyDescent="0.2">
      <c r="A20" t="s">
        <v>797</v>
      </c>
    </row>
    <row r="21" spans="1:1" x14ac:dyDescent="0.2">
      <c r="A21" t="s">
        <v>798</v>
      </c>
    </row>
    <row r="22" spans="1:1" x14ac:dyDescent="0.2">
      <c r="A22" t="s">
        <v>799</v>
      </c>
    </row>
    <row r="23" spans="1:1" x14ac:dyDescent="0.2">
      <c r="A23" t="s">
        <v>800</v>
      </c>
    </row>
    <row r="24" spans="1:1" x14ac:dyDescent="0.2">
      <c r="A24" t="s">
        <v>801</v>
      </c>
    </row>
    <row r="25" spans="1:1" x14ac:dyDescent="0.2">
      <c r="A25" t="s">
        <v>802</v>
      </c>
    </row>
    <row r="26" spans="1:1" x14ac:dyDescent="0.2">
      <c r="A26" t="s">
        <v>803</v>
      </c>
    </row>
    <row r="27" spans="1:1" x14ac:dyDescent="0.2">
      <c r="A27" t="s">
        <v>804</v>
      </c>
    </row>
    <row r="28" spans="1:1" x14ac:dyDescent="0.2">
      <c r="A28" t="s">
        <v>805</v>
      </c>
    </row>
    <row r="29" spans="1:1" x14ac:dyDescent="0.2">
      <c r="A29" t="s">
        <v>806</v>
      </c>
    </row>
    <row r="30" spans="1:1" x14ac:dyDescent="0.2">
      <c r="A30" t="s">
        <v>807</v>
      </c>
    </row>
    <row r="31" spans="1:1" x14ac:dyDescent="0.2">
      <c r="A31" t="s">
        <v>808</v>
      </c>
    </row>
    <row r="32" spans="1:1" x14ac:dyDescent="0.2">
      <c r="A32" t="s">
        <v>809</v>
      </c>
    </row>
    <row r="33" spans="1:1" x14ac:dyDescent="0.2">
      <c r="A33" t="s">
        <v>810</v>
      </c>
    </row>
    <row r="34" spans="1:1" x14ac:dyDescent="0.2">
      <c r="A34" t="s">
        <v>811</v>
      </c>
    </row>
    <row r="35" spans="1:1" x14ac:dyDescent="0.2">
      <c r="A35" t="s">
        <v>812</v>
      </c>
    </row>
    <row r="36" spans="1:1" x14ac:dyDescent="0.2">
      <c r="A36" t="s">
        <v>813</v>
      </c>
    </row>
    <row r="37" spans="1:1" x14ac:dyDescent="0.2">
      <c r="A37" t="s">
        <v>814</v>
      </c>
    </row>
    <row r="38" spans="1:1" x14ac:dyDescent="0.2">
      <c r="A38" t="s">
        <v>815</v>
      </c>
    </row>
    <row r="39" spans="1:1" x14ac:dyDescent="0.2">
      <c r="A39" t="s">
        <v>816</v>
      </c>
    </row>
    <row r="40" spans="1:1" x14ac:dyDescent="0.2">
      <c r="A40" t="s">
        <v>817</v>
      </c>
    </row>
    <row r="41" spans="1:1" x14ac:dyDescent="0.2">
      <c r="A41" t="s">
        <v>818</v>
      </c>
    </row>
    <row r="42" spans="1:1" x14ac:dyDescent="0.2">
      <c r="A42" t="s">
        <v>819</v>
      </c>
    </row>
    <row r="43" spans="1:1" x14ac:dyDescent="0.2">
      <c r="A43" t="s">
        <v>820</v>
      </c>
    </row>
    <row r="44" spans="1:1" x14ac:dyDescent="0.2">
      <c r="A44" t="s">
        <v>821</v>
      </c>
    </row>
    <row r="45" spans="1:1" x14ac:dyDescent="0.2">
      <c r="A45" t="s">
        <v>822</v>
      </c>
    </row>
    <row r="46" spans="1:1" x14ac:dyDescent="0.2">
      <c r="A46" t="s">
        <v>823</v>
      </c>
    </row>
    <row r="47" spans="1:1" x14ac:dyDescent="0.2">
      <c r="A47" t="s">
        <v>824</v>
      </c>
    </row>
    <row r="48" spans="1:1" x14ac:dyDescent="0.2">
      <c r="A48" t="s">
        <v>825</v>
      </c>
    </row>
    <row r="49" spans="1:1" x14ac:dyDescent="0.2">
      <c r="A49" t="s">
        <v>826</v>
      </c>
    </row>
    <row r="50" spans="1:1" x14ac:dyDescent="0.2">
      <c r="A50" t="s">
        <v>827</v>
      </c>
    </row>
    <row r="51" spans="1:1" x14ac:dyDescent="0.2">
      <c r="A51" t="s">
        <v>828</v>
      </c>
    </row>
    <row r="52" spans="1:1" x14ac:dyDescent="0.2">
      <c r="A52" t="s">
        <v>829</v>
      </c>
    </row>
    <row r="53" spans="1:1" x14ac:dyDescent="0.2">
      <c r="A53" t="s">
        <v>830</v>
      </c>
    </row>
    <row r="54" spans="1:1" x14ac:dyDescent="0.2">
      <c r="A54" t="s">
        <v>831</v>
      </c>
    </row>
    <row r="55" spans="1:1" x14ac:dyDescent="0.2">
      <c r="A55" t="s">
        <v>832</v>
      </c>
    </row>
    <row r="56" spans="1:1" x14ac:dyDescent="0.2">
      <c r="A56" t="s">
        <v>833</v>
      </c>
    </row>
    <row r="57" spans="1:1" x14ac:dyDescent="0.2">
      <c r="A57" t="s">
        <v>834</v>
      </c>
    </row>
    <row r="58" spans="1:1" x14ac:dyDescent="0.2">
      <c r="A58" t="s">
        <v>835</v>
      </c>
    </row>
    <row r="59" spans="1:1" x14ac:dyDescent="0.2">
      <c r="A59" t="s">
        <v>836</v>
      </c>
    </row>
    <row r="60" spans="1:1" x14ac:dyDescent="0.2">
      <c r="A60" t="s">
        <v>837</v>
      </c>
    </row>
    <row r="61" spans="1:1" x14ac:dyDescent="0.2">
      <c r="A61" t="s">
        <v>838</v>
      </c>
    </row>
    <row r="62" spans="1:1" x14ac:dyDescent="0.2">
      <c r="A62" t="s">
        <v>839</v>
      </c>
    </row>
    <row r="63" spans="1:1" x14ac:dyDescent="0.2">
      <c r="A63" t="s">
        <v>840</v>
      </c>
    </row>
    <row r="64" spans="1:1" x14ac:dyDescent="0.2">
      <c r="A64" t="s">
        <v>841</v>
      </c>
    </row>
    <row r="65" spans="1:1" x14ac:dyDescent="0.2">
      <c r="A65" t="s">
        <v>842</v>
      </c>
    </row>
    <row r="66" spans="1:1" x14ac:dyDescent="0.2">
      <c r="A66" t="s">
        <v>843</v>
      </c>
    </row>
    <row r="67" spans="1:1" x14ac:dyDescent="0.2">
      <c r="A67" t="s">
        <v>844</v>
      </c>
    </row>
    <row r="68" spans="1:1" x14ac:dyDescent="0.2">
      <c r="A68" t="s">
        <v>845</v>
      </c>
    </row>
    <row r="69" spans="1:1" x14ac:dyDescent="0.2">
      <c r="A69" t="s">
        <v>846</v>
      </c>
    </row>
    <row r="70" spans="1:1" x14ac:dyDescent="0.2">
      <c r="A70" t="s">
        <v>847</v>
      </c>
    </row>
    <row r="71" spans="1:1" x14ac:dyDescent="0.2">
      <c r="A71" t="s">
        <v>848</v>
      </c>
    </row>
    <row r="72" spans="1:1" x14ac:dyDescent="0.2">
      <c r="A72" t="s">
        <v>849</v>
      </c>
    </row>
    <row r="73" spans="1:1" x14ac:dyDescent="0.2">
      <c r="A73" t="s">
        <v>850</v>
      </c>
    </row>
    <row r="74" spans="1:1" x14ac:dyDescent="0.2">
      <c r="A74" t="s">
        <v>851</v>
      </c>
    </row>
    <row r="75" spans="1:1" x14ac:dyDescent="0.2">
      <c r="A75" t="s">
        <v>852</v>
      </c>
    </row>
    <row r="76" spans="1:1" x14ac:dyDescent="0.2">
      <c r="A76" t="s">
        <v>853</v>
      </c>
    </row>
    <row r="77" spans="1:1" x14ac:dyDescent="0.2">
      <c r="A77" t="s">
        <v>854</v>
      </c>
    </row>
    <row r="78" spans="1:1" x14ac:dyDescent="0.2">
      <c r="A78" t="s">
        <v>855</v>
      </c>
    </row>
    <row r="79" spans="1:1" x14ac:dyDescent="0.2">
      <c r="A79" t="s">
        <v>856</v>
      </c>
    </row>
    <row r="80" spans="1:1" x14ac:dyDescent="0.2">
      <c r="A80" t="s">
        <v>857</v>
      </c>
    </row>
    <row r="81" spans="1:1" x14ac:dyDescent="0.2">
      <c r="A81" t="s">
        <v>858</v>
      </c>
    </row>
    <row r="82" spans="1:1" x14ac:dyDescent="0.2">
      <c r="A82" t="s">
        <v>859</v>
      </c>
    </row>
    <row r="83" spans="1:1" x14ac:dyDescent="0.2">
      <c r="A83" t="s">
        <v>860</v>
      </c>
    </row>
    <row r="84" spans="1:1" x14ac:dyDescent="0.2">
      <c r="A84" t="s">
        <v>861</v>
      </c>
    </row>
    <row r="85" spans="1:1" x14ac:dyDescent="0.2">
      <c r="A85" t="s">
        <v>862</v>
      </c>
    </row>
    <row r="86" spans="1:1" x14ac:dyDescent="0.2">
      <c r="A86" t="s">
        <v>863</v>
      </c>
    </row>
    <row r="87" spans="1:1" x14ac:dyDescent="0.2">
      <c r="A87" t="s">
        <v>864</v>
      </c>
    </row>
    <row r="88" spans="1:1" x14ac:dyDescent="0.2">
      <c r="A88" t="s">
        <v>865</v>
      </c>
    </row>
    <row r="89" spans="1:1" x14ac:dyDescent="0.2">
      <c r="A89" t="s">
        <v>866</v>
      </c>
    </row>
    <row r="90" spans="1:1" x14ac:dyDescent="0.2">
      <c r="A90" t="s">
        <v>867</v>
      </c>
    </row>
    <row r="91" spans="1:1" x14ac:dyDescent="0.2">
      <c r="A91" t="s">
        <v>868</v>
      </c>
    </row>
    <row r="92" spans="1:1" x14ac:dyDescent="0.2">
      <c r="A92" t="s">
        <v>869</v>
      </c>
    </row>
    <row r="93" spans="1:1" x14ac:dyDescent="0.2">
      <c r="A93" t="s">
        <v>870</v>
      </c>
    </row>
    <row r="94" spans="1:1" x14ac:dyDescent="0.2">
      <c r="A94" t="s">
        <v>871</v>
      </c>
    </row>
    <row r="95" spans="1:1" x14ac:dyDescent="0.2">
      <c r="A95" t="s">
        <v>872</v>
      </c>
    </row>
    <row r="96" spans="1:1" x14ac:dyDescent="0.2">
      <c r="A96" t="s">
        <v>873</v>
      </c>
    </row>
    <row r="97" spans="1:1" x14ac:dyDescent="0.2">
      <c r="A97" t="s">
        <v>874</v>
      </c>
    </row>
    <row r="98" spans="1:1" x14ac:dyDescent="0.2">
      <c r="A98" t="s">
        <v>875</v>
      </c>
    </row>
    <row r="99" spans="1:1" x14ac:dyDescent="0.2">
      <c r="A99" t="s">
        <v>876</v>
      </c>
    </row>
    <row r="100" spans="1:1" x14ac:dyDescent="0.2">
      <c r="A100" t="s">
        <v>877</v>
      </c>
    </row>
    <row r="101" spans="1:1" x14ac:dyDescent="0.2">
      <c r="A101" t="s">
        <v>878</v>
      </c>
    </row>
    <row r="102" spans="1:1" x14ac:dyDescent="0.2">
      <c r="A102" t="s">
        <v>879</v>
      </c>
    </row>
    <row r="103" spans="1:1" x14ac:dyDescent="0.2">
      <c r="A103" t="s">
        <v>880</v>
      </c>
    </row>
    <row r="104" spans="1:1" x14ac:dyDescent="0.2">
      <c r="A104" t="s">
        <v>881</v>
      </c>
    </row>
    <row r="105" spans="1:1" x14ac:dyDescent="0.2">
      <c r="A105" t="s">
        <v>882</v>
      </c>
    </row>
    <row r="106" spans="1:1" x14ac:dyDescent="0.2">
      <c r="A106" t="s">
        <v>883</v>
      </c>
    </row>
    <row r="107" spans="1:1" x14ac:dyDescent="0.2">
      <c r="A107" t="s">
        <v>884</v>
      </c>
    </row>
    <row r="108" spans="1:1" x14ac:dyDescent="0.2">
      <c r="A108" t="s">
        <v>885</v>
      </c>
    </row>
    <row r="109" spans="1:1" x14ac:dyDescent="0.2">
      <c r="A109" t="s">
        <v>886</v>
      </c>
    </row>
    <row r="110" spans="1:1" x14ac:dyDescent="0.2">
      <c r="A110" t="s">
        <v>887</v>
      </c>
    </row>
    <row r="111" spans="1:1" x14ac:dyDescent="0.2">
      <c r="A111" t="s">
        <v>888</v>
      </c>
    </row>
    <row r="112" spans="1:1" x14ac:dyDescent="0.2">
      <c r="A112" t="s">
        <v>889</v>
      </c>
    </row>
    <row r="113" spans="1:1" x14ac:dyDescent="0.2">
      <c r="A113" t="s">
        <v>890</v>
      </c>
    </row>
    <row r="114" spans="1:1" x14ac:dyDescent="0.2">
      <c r="A114" t="s">
        <v>891</v>
      </c>
    </row>
    <row r="115" spans="1:1" x14ac:dyDescent="0.2">
      <c r="A115" t="s">
        <v>892</v>
      </c>
    </row>
    <row r="116" spans="1:1" x14ac:dyDescent="0.2">
      <c r="A116" t="s">
        <v>893</v>
      </c>
    </row>
    <row r="117" spans="1:1" x14ac:dyDescent="0.2">
      <c r="A117" t="s">
        <v>894</v>
      </c>
    </row>
    <row r="118" spans="1:1" x14ac:dyDescent="0.2">
      <c r="A118" t="s">
        <v>895</v>
      </c>
    </row>
    <row r="119" spans="1:1" x14ac:dyDescent="0.2">
      <c r="A119" t="s">
        <v>896</v>
      </c>
    </row>
    <row r="120" spans="1:1" x14ac:dyDescent="0.2">
      <c r="A120" t="s">
        <v>897</v>
      </c>
    </row>
    <row r="121" spans="1:1" x14ac:dyDescent="0.2">
      <c r="A121" t="s">
        <v>898</v>
      </c>
    </row>
    <row r="122" spans="1:1" x14ac:dyDescent="0.2">
      <c r="A122" t="s">
        <v>899</v>
      </c>
    </row>
    <row r="123" spans="1:1" x14ac:dyDescent="0.2">
      <c r="A123" t="s">
        <v>900</v>
      </c>
    </row>
    <row r="124" spans="1:1" x14ac:dyDescent="0.2">
      <c r="A124" t="s">
        <v>901</v>
      </c>
    </row>
    <row r="125" spans="1:1" x14ac:dyDescent="0.2">
      <c r="A125" t="s">
        <v>902</v>
      </c>
    </row>
    <row r="126" spans="1:1" x14ac:dyDescent="0.2">
      <c r="A126" t="s">
        <v>903</v>
      </c>
    </row>
    <row r="127" spans="1:1" x14ac:dyDescent="0.2">
      <c r="A127" t="s">
        <v>904</v>
      </c>
    </row>
    <row r="128" spans="1:1" x14ac:dyDescent="0.2">
      <c r="A128" t="s">
        <v>905</v>
      </c>
    </row>
    <row r="129" spans="1:1" x14ac:dyDescent="0.2">
      <c r="A129" t="s">
        <v>906</v>
      </c>
    </row>
    <row r="130" spans="1:1" x14ac:dyDescent="0.2">
      <c r="A130" t="s">
        <v>907</v>
      </c>
    </row>
    <row r="131" spans="1:1" x14ac:dyDescent="0.2">
      <c r="A131" t="s">
        <v>908</v>
      </c>
    </row>
    <row r="132" spans="1:1" x14ac:dyDescent="0.2">
      <c r="A132" t="s">
        <v>909</v>
      </c>
    </row>
    <row r="133" spans="1:1" x14ac:dyDescent="0.2">
      <c r="A133" t="s">
        <v>910</v>
      </c>
    </row>
    <row r="134" spans="1:1" x14ac:dyDescent="0.2">
      <c r="A134" t="s">
        <v>911</v>
      </c>
    </row>
    <row r="135" spans="1:1" x14ac:dyDescent="0.2">
      <c r="A135" t="s">
        <v>912</v>
      </c>
    </row>
    <row r="136" spans="1:1" x14ac:dyDescent="0.2">
      <c r="A136" t="s">
        <v>913</v>
      </c>
    </row>
    <row r="137" spans="1:1" x14ac:dyDescent="0.2">
      <c r="A137" t="s">
        <v>914</v>
      </c>
    </row>
    <row r="138" spans="1:1" x14ac:dyDescent="0.2">
      <c r="A138" t="s">
        <v>915</v>
      </c>
    </row>
    <row r="139" spans="1:1" x14ac:dyDescent="0.2">
      <c r="A139" t="s">
        <v>916</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02727F-5FF5-4A2E-9225-7D97ED905AAE}">
  <ds:schemaRefs>
    <ds:schemaRef ds:uri="http://schemas.microsoft.com/office/2006/documentManagement/types"/>
    <ds:schemaRef ds:uri="8e1efd23-f4ba-42d2-85fd-6a510437bae6"/>
    <ds:schemaRef ds:uri="3bad6c6a-329d-45e9-b8b0-1ebecc8a8764"/>
    <ds:schemaRef ds:uri="http://purl.org/dc/terms/"/>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5F4E613F-78F0-4490-9DEE-40AD190C0E03}">
  <ds:schemaRefs>
    <ds:schemaRef ds:uri="http://schemas.microsoft.com/sharepoint/v3/contenttype/forms"/>
  </ds:schemaRefs>
</ds:datastoreItem>
</file>

<file path=customXml/itemProps3.xml><?xml version="1.0" encoding="utf-8"?>
<ds:datastoreItem xmlns:ds="http://schemas.openxmlformats.org/officeDocument/2006/customXml" ds:itemID="{39CE4B2C-A1C4-4061-9612-6F72F24FEA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dcterms:created xsi:type="dcterms:W3CDTF">2023-10-04T18:06:19Z</dcterms:created>
  <dcterms:modified xsi:type="dcterms:W3CDTF">2026-07-16T23:00:36Z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