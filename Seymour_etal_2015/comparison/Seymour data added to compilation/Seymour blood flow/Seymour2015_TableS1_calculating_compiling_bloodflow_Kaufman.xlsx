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ata/Academic Dropbox/Dropbox/COLLABORATIVE/Do expensive brain regions increase less in humans/datasets brain structure comparative/Seymour data &amp; Boyer data blood flow/"/>
    </mc:Choice>
  </mc:AlternateContent>
  <xr:revisionPtr revIDLastSave="0" documentId="13_ncr:1_{C957F348-18EC-B94E-86E3-D010C1426859}" xr6:coauthVersionLast="45" xr6:coauthVersionMax="45" xr10:uidLastSave="{00000000-0000-0000-0000-000000000000}"/>
  <bookViews>
    <workbookView xWindow="4260" yWindow="460" windowWidth="44020" windowHeight="26860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4" i="1" l="1"/>
  <c r="X25" i="1"/>
  <c r="X26" i="1"/>
  <c r="X28" i="1"/>
  <c r="X35" i="1"/>
  <c r="X49" i="1"/>
  <c r="X52" i="1"/>
  <c r="X58" i="1"/>
  <c r="M70" i="1" l="1"/>
  <c r="N70" i="1" s="1"/>
  <c r="O70" i="1" s="1"/>
  <c r="Q70" i="1"/>
  <c r="S70" i="1" s="1"/>
  <c r="P70" i="1"/>
  <c r="R70" i="1" s="1"/>
  <c r="U70" i="1" s="1"/>
  <c r="M68" i="1"/>
  <c r="N68" i="1" s="1"/>
  <c r="V68" i="1" s="1"/>
  <c r="Q68" i="1"/>
  <c r="S68" i="1" s="1"/>
  <c r="P68" i="1"/>
  <c r="R68" i="1" s="1"/>
  <c r="U68" i="1" s="1"/>
  <c r="M67" i="1"/>
  <c r="N67" i="1" s="1"/>
  <c r="Q67" i="1"/>
  <c r="S67" i="1" s="1"/>
  <c r="P67" i="1"/>
  <c r="R67" i="1" s="1"/>
  <c r="U67" i="1" s="1"/>
  <c r="V70" i="1" l="1"/>
  <c r="O68" i="1"/>
  <c r="O67" i="1"/>
  <c r="V67" i="1"/>
  <c r="M13" i="1"/>
  <c r="N13" i="1" s="1"/>
  <c r="M14" i="1"/>
  <c r="N14" i="1" s="1"/>
  <c r="M15" i="1"/>
  <c r="N15" i="1" s="1"/>
  <c r="M16" i="1"/>
  <c r="N16" i="1" s="1"/>
  <c r="M19" i="1"/>
  <c r="N19" i="1" s="1"/>
  <c r="M20" i="1"/>
  <c r="N20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1" i="1"/>
  <c r="N31" i="1" s="1"/>
  <c r="M32" i="1"/>
  <c r="N32" i="1" s="1"/>
  <c r="M33" i="1"/>
  <c r="N33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9" i="1"/>
  <c r="N49" i="1" s="1"/>
  <c r="M50" i="1"/>
  <c r="N50" i="1" s="1"/>
  <c r="M52" i="1"/>
  <c r="N52" i="1" s="1"/>
  <c r="M57" i="1"/>
  <c r="N57" i="1" s="1"/>
  <c r="M58" i="1"/>
  <c r="N58" i="1" s="1"/>
  <c r="M59" i="1"/>
  <c r="N59" i="1" s="1"/>
  <c r="M60" i="1"/>
  <c r="N60" i="1" s="1"/>
  <c r="M62" i="1"/>
  <c r="N62" i="1" s="1"/>
  <c r="M63" i="1"/>
  <c r="N63" i="1" s="1"/>
  <c r="M11" i="1"/>
  <c r="Q13" i="1"/>
  <c r="S13" i="1" s="1"/>
  <c r="Q14" i="1"/>
  <c r="S14" i="1" s="1"/>
  <c r="Q15" i="1"/>
  <c r="S15" i="1" s="1"/>
  <c r="Q16" i="1"/>
  <c r="S16" i="1" s="1"/>
  <c r="Q19" i="1"/>
  <c r="S19" i="1" s="1"/>
  <c r="Q20" i="1"/>
  <c r="S20" i="1" s="1"/>
  <c r="Q23" i="1"/>
  <c r="S23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1" i="1"/>
  <c r="S31" i="1" s="1"/>
  <c r="Q32" i="1"/>
  <c r="S32" i="1" s="1"/>
  <c r="Q33" i="1"/>
  <c r="S33" i="1" s="1"/>
  <c r="Q35" i="1"/>
  <c r="S35" i="1" s="1"/>
  <c r="Q36" i="1"/>
  <c r="S36" i="1" s="1"/>
  <c r="Q37" i="1"/>
  <c r="S37" i="1" s="1"/>
  <c r="Q38" i="1"/>
  <c r="S38" i="1" s="1"/>
  <c r="Q39" i="1"/>
  <c r="S39" i="1" s="1"/>
  <c r="Q40" i="1"/>
  <c r="S40" i="1" s="1"/>
  <c r="Q41" i="1"/>
  <c r="S41" i="1" s="1"/>
  <c r="Q42" i="1"/>
  <c r="S42" i="1" s="1"/>
  <c r="Q43" i="1"/>
  <c r="S43" i="1" s="1"/>
  <c r="Q44" i="1"/>
  <c r="S44" i="1" s="1"/>
  <c r="Q45" i="1"/>
  <c r="S45" i="1" s="1"/>
  <c r="Q46" i="1"/>
  <c r="S46" i="1" s="1"/>
  <c r="Q49" i="1"/>
  <c r="S49" i="1" s="1"/>
  <c r="Q50" i="1"/>
  <c r="S50" i="1" s="1"/>
  <c r="Q52" i="1"/>
  <c r="S52" i="1" s="1"/>
  <c r="Q57" i="1"/>
  <c r="S57" i="1" s="1"/>
  <c r="Q58" i="1"/>
  <c r="S58" i="1" s="1"/>
  <c r="Q59" i="1"/>
  <c r="S59" i="1" s="1"/>
  <c r="Q60" i="1"/>
  <c r="S60" i="1" s="1"/>
  <c r="Q62" i="1"/>
  <c r="S62" i="1" s="1"/>
  <c r="Q63" i="1"/>
  <c r="S63" i="1" s="1"/>
  <c r="P13" i="1"/>
  <c r="R13" i="1" s="1"/>
  <c r="U13" i="1" s="1"/>
  <c r="P14" i="1"/>
  <c r="R14" i="1" s="1"/>
  <c r="U14" i="1" s="1"/>
  <c r="P15" i="1"/>
  <c r="R15" i="1" s="1"/>
  <c r="U15" i="1" s="1"/>
  <c r="P16" i="1"/>
  <c r="R16" i="1" s="1"/>
  <c r="U16" i="1" s="1"/>
  <c r="P19" i="1"/>
  <c r="R19" i="1" s="1"/>
  <c r="U19" i="1" s="1"/>
  <c r="P20" i="1"/>
  <c r="R20" i="1" s="1"/>
  <c r="U20" i="1" s="1"/>
  <c r="P23" i="1"/>
  <c r="R23" i="1" s="1"/>
  <c r="U23" i="1" s="1"/>
  <c r="P24" i="1"/>
  <c r="R24" i="1" s="1"/>
  <c r="U24" i="1" s="1"/>
  <c r="P25" i="1"/>
  <c r="R25" i="1" s="1"/>
  <c r="U25" i="1" s="1"/>
  <c r="P26" i="1"/>
  <c r="R26" i="1" s="1"/>
  <c r="U26" i="1" s="1"/>
  <c r="P27" i="1"/>
  <c r="R27" i="1" s="1"/>
  <c r="U27" i="1" s="1"/>
  <c r="P28" i="1"/>
  <c r="R28" i="1" s="1"/>
  <c r="U28" i="1" s="1"/>
  <c r="P29" i="1"/>
  <c r="R29" i="1" s="1"/>
  <c r="U29" i="1" s="1"/>
  <c r="P31" i="1"/>
  <c r="R31" i="1" s="1"/>
  <c r="U31" i="1" s="1"/>
  <c r="P32" i="1"/>
  <c r="R32" i="1" s="1"/>
  <c r="U32" i="1" s="1"/>
  <c r="P33" i="1"/>
  <c r="R33" i="1" s="1"/>
  <c r="U33" i="1" s="1"/>
  <c r="P35" i="1"/>
  <c r="R35" i="1" s="1"/>
  <c r="U35" i="1" s="1"/>
  <c r="P36" i="1"/>
  <c r="R36" i="1" s="1"/>
  <c r="U36" i="1" s="1"/>
  <c r="P37" i="1"/>
  <c r="R37" i="1" s="1"/>
  <c r="U37" i="1" s="1"/>
  <c r="P38" i="1"/>
  <c r="R38" i="1" s="1"/>
  <c r="U38" i="1" s="1"/>
  <c r="P39" i="1"/>
  <c r="R39" i="1" s="1"/>
  <c r="U39" i="1" s="1"/>
  <c r="P40" i="1"/>
  <c r="R40" i="1" s="1"/>
  <c r="U40" i="1" s="1"/>
  <c r="P41" i="1"/>
  <c r="R41" i="1" s="1"/>
  <c r="U41" i="1" s="1"/>
  <c r="P42" i="1"/>
  <c r="R42" i="1" s="1"/>
  <c r="U42" i="1" s="1"/>
  <c r="P43" i="1"/>
  <c r="R43" i="1" s="1"/>
  <c r="U43" i="1" s="1"/>
  <c r="P44" i="1"/>
  <c r="R44" i="1" s="1"/>
  <c r="U44" i="1" s="1"/>
  <c r="P45" i="1"/>
  <c r="R45" i="1" s="1"/>
  <c r="U45" i="1" s="1"/>
  <c r="P46" i="1"/>
  <c r="R46" i="1" s="1"/>
  <c r="U46" i="1" s="1"/>
  <c r="P49" i="1"/>
  <c r="R49" i="1" s="1"/>
  <c r="U49" i="1" s="1"/>
  <c r="P50" i="1"/>
  <c r="R50" i="1" s="1"/>
  <c r="U50" i="1" s="1"/>
  <c r="P52" i="1"/>
  <c r="R52" i="1" s="1"/>
  <c r="U52" i="1" s="1"/>
  <c r="P57" i="1"/>
  <c r="R57" i="1" s="1"/>
  <c r="U57" i="1" s="1"/>
  <c r="P58" i="1"/>
  <c r="R58" i="1" s="1"/>
  <c r="U58" i="1" s="1"/>
  <c r="P59" i="1"/>
  <c r="R59" i="1" s="1"/>
  <c r="U59" i="1" s="1"/>
  <c r="P60" i="1"/>
  <c r="R60" i="1" s="1"/>
  <c r="U60" i="1" s="1"/>
  <c r="P62" i="1"/>
  <c r="R62" i="1" s="1"/>
  <c r="U62" i="1" s="1"/>
  <c r="P63" i="1"/>
  <c r="R63" i="1" s="1"/>
  <c r="U63" i="1" s="1"/>
  <c r="P11" i="1"/>
  <c r="R11" i="1" s="1"/>
  <c r="U11" i="1" s="1"/>
  <c r="Q11" i="1"/>
  <c r="S11" i="1" s="1"/>
  <c r="O43" i="1" l="1"/>
  <c r="V43" i="1"/>
  <c r="O42" i="1"/>
  <c r="V42" i="1"/>
  <c r="O24" i="1"/>
  <c r="V24" i="1"/>
  <c r="O57" i="1"/>
  <c r="V57" i="1"/>
  <c r="O16" i="1"/>
  <c r="V16" i="1"/>
  <c r="O37" i="1"/>
  <c r="V37" i="1"/>
  <c r="O33" i="1"/>
  <c r="V33" i="1"/>
  <c r="O62" i="1"/>
  <c r="V62" i="1"/>
  <c r="O45" i="1"/>
  <c r="V45" i="1"/>
  <c r="O36" i="1"/>
  <c r="V36" i="1"/>
  <c r="O14" i="1"/>
  <c r="V14" i="1"/>
  <c r="O58" i="1"/>
  <c r="V58" i="1"/>
  <c r="O13" i="1"/>
  <c r="V13" i="1"/>
  <c r="O28" i="1"/>
  <c r="V28" i="1"/>
  <c r="O60" i="1"/>
  <c r="V60" i="1"/>
  <c r="O15" i="1"/>
  <c r="V15" i="1"/>
  <c r="O59" i="1"/>
  <c r="V59" i="1"/>
  <c r="O26" i="1"/>
  <c r="V26" i="1"/>
  <c r="O25" i="1"/>
  <c r="V25" i="1"/>
  <c r="O52" i="1"/>
  <c r="V52" i="1"/>
  <c r="O41" i="1"/>
  <c r="V41" i="1"/>
  <c r="O32" i="1"/>
  <c r="V32" i="1"/>
  <c r="O23" i="1"/>
  <c r="V23" i="1"/>
  <c r="O38" i="1"/>
  <c r="V38" i="1"/>
  <c r="N11" i="1"/>
  <c r="V11" i="1" s="1"/>
  <c r="O50" i="1"/>
  <c r="V50" i="1"/>
  <c r="O40" i="1"/>
  <c r="V40" i="1"/>
  <c r="O31" i="1"/>
  <c r="V31" i="1"/>
  <c r="O20" i="1"/>
  <c r="V20" i="1"/>
  <c r="O46" i="1"/>
  <c r="V46" i="1"/>
  <c r="O35" i="1"/>
  <c r="V35" i="1"/>
  <c r="O27" i="1"/>
  <c r="V27" i="1"/>
  <c r="O44" i="1"/>
  <c r="V44" i="1"/>
  <c r="O63" i="1"/>
  <c r="V63" i="1"/>
  <c r="O49" i="1"/>
  <c r="V49" i="1"/>
  <c r="O39" i="1"/>
  <c r="V39" i="1"/>
  <c r="O29" i="1"/>
  <c r="V29" i="1"/>
  <c r="O19" i="1"/>
  <c r="V19" i="1"/>
  <c r="O11" i="1" l="1"/>
</calcChain>
</file>

<file path=xl/sharedStrings.xml><?xml version="1.0" encoding="utf-8"?>
<sst xmlns="http://schemas.openxmlformats.org/spreadsheetml/2006/main" count="406" uniqueCount="243">
  <si>
    <t>Primates</t>
  </si>
  <si>
    <t>Haplorrhini</t>
  </si>
  <si>
    <t>Species</t>
  </si>
  <si>
    <t>Common name</t>
  </si>
  <si>
    <t>Family</t>
  </si>
  <si>
    <t>Number</t>
  </si>
  <si>
    <t>Body mass</t>
  </si>
  <si>
    <t>Reference</t>
  </si>
  <si>
    <t>Brain volume</t>
  </si>
  <si>
    <t>Foramen radius</t>
  </si>
  <si>
    <t>Lumen radius</t>
  </si>
  <si>
    <t>Shear Stess</t>
  </si>
  <si>
    <r>
      <t>Total Q/V</t>
    </r>
    <r>
      <rPr>
        <b/>
        <vertAlign val="subscript"/>
        <sz val="11"/>
        <color theme="1"/>
        <rFont val="Calibri"/>
        <family val="2"/>
        <scheme val="minor"/>
      </rPr>
      <t>br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</si>
  <si>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 xml:space="preserve">      g</t>
    </r>
  </si>
  <si>
    <r>
      <t xml:space="preserve"> V</t>
    </r>
    <r>
      <rPr>
        <b/>
        <vertAlign val="subscript"/>
        <sz val="11"/>
        <color theme="1"/>
        <rFont val="Calibri"/>
        <family val="2"/>
        <scheme val="minor"/>
      </rPr>
      <t>br</t>
    </r>
    <r>
      <rPr>
        <b/>
        <sz val="11"/>
        <color theme="1"/>
        <rFont val="Calibri"/>
        <family val="2"/>
        <scheme val="minor"/>
      </rPr>
      <t xml:space="preserve">     ml</t>
    </r>
  </si>
  <si>
    <t>cm</t>
  </si>
  <si>
    <r>
      <t>dyne cm</t>
    </r>
    <r>
      <rPr>
        <b/>
        <vertAlign val="superscript"/>
        <sz val="11"/>
        <color theme="1"/>
        <rFont val="Calibri"/>
        <family val="2"/>
        <scheme val="minor"/>
      </rPr>
      <t>-2</t>
    </r>
  </si>
  <si>
    <r>
      <t>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s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 xml:space="preserve"> ml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</si>
  <si>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Callithrix jacchus</t>
  </si>
  <si>
    <t>Common marmoset</t>
  </si>
  <si>
    <t>Callitrichidae</t>
  </si>
  <si>
    <t>Callithrix pygmaea</t>
  </si>
  <si>
    <t>Pygmy marmoset</t>
  </si>
  <si>
    <t>Leontopithecus rosalia</t>
  </si>
  <si>
    <t>Golden lion tamarin</t>
  </si>
  <si>
    <t>Cacajao calvus</t>
  </si>
  <si>
    <t>Bald-headed uakari</t>
  </si>
  <si>
    <t>Cebidae</t>
  </si>
  <si>
    <t>Lagothrix lagotricha</t>
  </si>
  <si>
    <t>Common woolly monkey</t>
  </si>
  <si>
    <t>Saimiri sciureus</t>
  </si>
  <si>
    <t>Common squirrel monkey</t>
  </si>
  <si>
    <t>Cercopithecus mitis</t>
  </si>
  <si>
    <t>Blue monkey</t>
  </si>
  <si>
    <t>Cercopithecidae</t>
  </si>
  <si>
    <t>Cercopithecus neglectus</t>
  </si>
  <si>
    <t>De Brazza's monkey</t>
  </si>
  <si>
    <t>Chlorocebus aethiops</t>
  </si>
  <si>
    <t>Green monkey</t>
  </si>
  <si>
    <t>Colobus satanas</t>
  </si>
  <si>
    <t>Black colobus</t>
  </si>
  <si>
    <t>Lophocebus albigena</t>
  </si>
  <si>
    <t>Grey-cheeked mangabey</t>
  </si>
  <si>
    <t>Macaca fascicularis</t>
  </si>
  <si>
    <t>Crab-eating macaque</t>
  </si>
  <si>
    <t>Macaca maura</t>
  </si>
  <si>
    <t>Moor macaque</t>
  </si>
  <si>
    <t>Macaca mulatta</t>
  </si>
  <si>
    <t>Rhesus macaque</t>
  </si>
  <si>
    <t>Macaca nemestrina</t>
  </si>
  <si>
    <t>Pig-tailed macaque</t>
  </si>
  <si>
    <t>Macaca nigra</t>
  </si>
  <si>
    <t>Crested black macaque</t>
  </si>
  <si>
    <t>Macaca ochreata</t>
  </si>
  <si>
    <t>Booted macaque</t>
  </si>
  <si>
    <t>Macaca radiata</t>
  </si>
  <si>
    <t>Bonnet macaque</t>
  </si>
  <si>
    <t>Macaca silenus</t>
  </si>
  <si>
    <t>Long-tailed macaque</t>
  </si>
  <si>
    <t>Mandrillus leucophaeus</t>
  </si>
  <si>
    <t>Drill</t>
  </si>
  <si>
    <t>Mandrillus sphinx</t>
  </si>
  <si>
    <t>Mandrill</t>
  </si>
  <si>
    <t>Nasalis larvatus</t>
  </si>
  <si>
    <t>Proboscis monkey</t>
  </si>
  <si>
    <t>Papio hamadryas</t>
  </si>
  <si>
    <t>Hamadryas baboon</t>
  </si>
  <si>
    <t>Presbytis melalophos</t>
  </si>
  <si>
    <t>Mitred leaf monkey</t>
  </si>
  <si>
    <t>Semnopithecus entellus</t>
  </si>
  <si>
    <t>Gray langur</t>
  </si>
  <si>
    <t>Trachypithecus obscurus</t>
  </si>
  <si>
    <t>Dusky leaf monkey</t>
  </si>
  <si>
    <t>Trachypithecus vetulus</t>
  </si>
  <si>
    <t>Purple-faced leaf monkey</t>
  </si>
  <si>
    <t>Gorilla gorilla</t>
  </si>
  <si>
    <t>Western gorilla</t>
  </si>
  <si>
    <t>Hominidae</t>
  </si>
  <si>
    <t>Homo sapiens</t>
  </si>
  <si>
    <t>Modern humans</t>
  </si>
  <si>
    <t>Pan troglodytes</t>
  </si>
  <si>
    <t>Chimpanzee</t>
  </si>
  <si>
    <t>Pongo pygmaeus</t>
  </si>
  <si>
    <t>Bornean orangutan</t>
  </si>
  <si>
    <t>Hylobates agilis</t>
  </si>
  <si>
    <t>Agile gibbon</t>
  </si>
  <si>
    <t>Hylobatidae</t>
  </si>
  <si>
    <t>Hylobates lar</t>
  </si>
  <si>
    <t>Lar gibbon</t>
  </si>
  <si>
    <t>Hylobates syndactylus</t>
  </si>
  <si>
    <t>Siamang</t>
  </si>
  <si>
    <t>Strepsirrhini</t>
  </si>
  <si>
    <t>Loris tardigradus</t>
  </si>
  <si>
    <t>Red slender loris</t>
  </si>
  <si>
    <t>Loridae</t>
  </si>
  <si>
    <t>Nycticebus coucang</t>
  </si>
  <si>
    <t>Slow loris</t>
  </si>
  <si>
    <t>Varecia variegata</t>
  </si>
  <si>
    <t>Black and white ruffed lemur</t>
  </si>
  <si>
    <t>Lemuridae</t>
  </si>
  <si>
    <t>Lemur catta</t>
  </si>
  <si>
    <t>Ring-tailed lemur</t>
  </si>
  <si>
    <t>Galago senegalensis</t>
  </si>
  <si>
    <t>Senegal bushbaby</t>
  </si>
  <si>
    <t>Galagidae</t>
  </si>
  <si>
    <t>Propithecus diadema</t>
  </si>
  <si>
    <t>Dademed sifaka</t>
  </si>
  <si>
    <t>Indriidae</t>
  </si>
  <si>
    <t>Eulemur mongoz</t>
  </si>
  <si>
    <t>Mongoose lemur</t>
  </si>
  <si>
    <t>Diprotodontia</t>
  </si>
  <si>
    <t>Acrobates pygmaeus</t>
  </si>
  <si>
    <t>Feathertail glider</t>
  </si>
  <si>
    <t>Acrobatidae</t>
  </si>
  <si>
    <t>Cercartetus concinnus</t>
  </si>
  <si>
    <t>Western pygmy possum</t>
  </si>
  <si>
    <t>Burramyidae</t>
  </si>
  <si>
    <t>Cercartetus nanus</t>
  </si>
  <si>
    <t>Eastern pygmy possum</t>
  </si>
  <si>
    <t>Petaurus breviceps</t>
  </si>
  <si>
    <t>Sugar glider</t>
  </si>
  <si>
    <t>Petauridae</t>
  </si>
  <si>
    <t>Pseudocheirus peregrinus notialis</t>
  </si>
  <si>
    <t>Common ringtail possum</t>
  </si>
  <si>
    <t>Pseudocheiridae</t>
  </si>
  <si>
    <t>Hemibelideus lemuroides</t>
  </si>
  <si>
    <t>Lemuroid ringtail possum</t>
  </si>
  <si>
    <t>Bettongia lesueur</t>
  </si>
  <si>
    <t>Burrowing bettong</t>
  </si>
  <si>
    <t>Potoroidae</t>
  </si>
  <si>
    <t>Aepyprymnus rufescens</t>
  </si>
  <si>
    <t>Rufous bettong</t>
  </si>
  <si>
    <t>Trichosurus vulpecula</t>
  </si>
  <si>
    <t>Common burshtail possum</t>
  </si>
  <si>
    <t>Phalangeridae</t>
  </si>
  <si>
    <t>Phalanger maculatus</t>
  </si>
  <si>
    <t>Cuscus</t>
  </si>
  <si>
    <t>Phascolarctos cinereus</t>
  </si>
  <si>
    <t>Koala</t>
  </si>
  <si>
    <t>Dendrolagus matschiei</t>
  </si>
  <si>
    <t>Huon tree-kangaroo</t>
  </si>
  <si>
    <t>Macropodidae</t>
  </si>
  <si>
    <t>Macropus dorsalis</t>
  </si>
  <si>
    <t>Scrub wallaby</t>
  </si>
  <si>
    <t>Dendrolagus dorianus</t>
  </si>
  <si>
    <t>Unicolored tree-kangaroo</t>
  </si>
  <si>
    <t>Vombatus ursinus</t>
  </si>
  <si>
    <t>Common wambat</t>
  </si>
  <si>
    <t>Vombatidae</t>
  </si>
  <si>
    <t>Macropus robustus</t>
  </si>
  <si>
    <t>Euro</t>
  </si>
  <si>
    <t>Lasiorhinus latifrons</t>
  </si>
  <si>
    <t>Southern hairy-nosed wombat</t>
  </si>
  <si>
    <t>Macropus fuliginosus</t>
  </si>
  <si>
    <t>Western grey kangaroo</t>
  </si>
  <si>
    <t>Macropus rufus</t>
  </si>
  <si>
    <t>Red kangaroo</t>
  </si>
  <si>
    <t>10  McNab, B. K. 2002. The physiological ecology of vertebrates: a view from energetics. Cornell University Press.</t>
  </si>
  <si>
    <t>11  Tyndale-Biscoe, H. 2005. Life of Marsupials. CSIRO Publishing, Collingwood, Victoria, Australia.</t>
  </si>
  <si>
    <t>12  Damuth, J. D., and B. J. MacFadden. 1990. Body size in mammalian paleobiology: estimation and biological implications. Cambridge University Press.</t>
  </si>
  <si>
    <t>8 Myers, T. J. 2001. Prediction of marsupial body mass. Australian Journal of Zoology 49, 99-118.</t>
  </si>
  <si>
    <t>3  Soligo, C. 2006. Correlates of body mass evolution in primates. American Journal of Physical Anthropology 130, 283-293.</t>
  </si>
  <si>
    <t>2  Milton, K., and M. L. May. 1976. Body weight, diet and home range area in primates. Nature 259, 459-462.</t>
  </si>
  <si>
    <t>1  Smith, R. J., and W. L. Jungers. 1997. Body mass in comparative primatology. Journal of Human Evolution 32, 523-559.</t>
  </si>
  <si>
    <t>4  Geiser, F., and R. V. Baudinette. 1990. The relationship between body mass and rate of rewarming from hibernation and daily torpor in mammals. Journal of Experimental Biology 151, 349-359.</t>
  </si>
  <si>
    <t>5  White, C. R., N. F. Phillips, and R. S. Seymour. 2006. The scaling and temperature dependence of vertebrate metabolism. Biology Letters 2, 125-127.</t>
  </si>
  <si>
    <r>
      <t xml:space="preserve">6  Goudberg, N. J. 1990. The feeding ecology of three species of North Queensland upland rainforest ringtail possums, </t>
    </r>
    <r>
      <rPr>
        <i/>
        <sz val="11"/>
        <color theme="1"/>
        <rFont val="Calibri"/>
        <family val="2"/>
        <scheme val="minor"/>
      </rPr>
      <t>Hemibelideus lemuroides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Pseudocheirus herbertensis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 xml:space="preserve">Pseudocheirus archeri </t>
    </r>
    <r>
      <rPr>
        <sz val="11"/>
        <color theme="1"/>
        <rFont val="Calibri"/>
        <family val="2"/>
        <scheme val="minor"/>
      </rPr>
      <t>(Marsupialia: Petauridae). James Cook University.</t>
    </r>
  </si>
  <si>
    <r>
      <t xml:space="preserve">7  Sander, U., J. Short, and B. Turner. 1997. Social organisation and warren use of the burrowing bettong, </t>
    </r>
    <r>
      <rPr>
        <i/>
        <sz val="11"/>
        <color theme="1"/>
        <rFont val="Calibri"/>
        <family val="2"/>
        <scheme val="minor"/>
      </rPr>
      <t>Bettongia lesueur</t>
    </r>
    <r>
      <rPr>
        <sz val="11"/>
        <color theme="1"/>
        <rFont val="Calibri"/>
        <family val="2"/>
        <scheme val="minor"/>
      </rPr>
      <t xml:space="preserve"> (Macropodoidea: Potoroidae). Wildlife Research 24, 143-1578.</t>
    </r>
  </si>
  <si>
    <r>
      <t>9  Dawson, T. J., and R. Degabriele. 1973. The cuscus (</t>
    </r>
    <r>
      <rPr>
        <i/>
        <sz val="11"/>
        <color theme="1"/>
        <rFont val="Calibri"/>
        <family val="2"/>
        <scheme val="minor"/>
      </rPr>
      <t>Phalanger maculatus</t>
    </r>
    <r>
      <rPr>
        <sz val="11"/>
        <color theme="1"/>
        <rFont val="Calibri"/>
        <family val="2"/>
        <scheme val="minor"/>
      </rPr>
      <t>) - a marsupial sloth? Journal of Comparative Physiology 83, 41-50.</t>
    </r>
  </si>
  <si>
    <t>Table S1. Relationship between total internal carotid blood flow rate, brain volume and body mass for primates and diprotodont marsupials.</t>
  </si>
  <si>
    <r>
      <t>Total Q</t>
    </r>
    <r>
      <rPr>
        <b/>
        <vertAlign val="subscript"/>
        <sz val="11"/>
        <color rgb="FFFF0000"/>
        <rFont val="Calibri"/>
        <family val="2"/>
        <scheme val="minor"/>
      </rPr>
      <t>ICA</t>
    </r>
  </si>
  <si>
    <r>
      <t>cm</t>
    </r>
    <r>
      <rPr>
        <b/>
        <vertAlign val="superscript"/>
        <sz val="11"/>
        <color rgb="FFFF0000"/>
        <rFont val="Calibri"/>
        <family val="2"/>
        <scheme val="minor"/>
      </rPr>
      <t>3</t>
    </r>
    <r>
      <rPr>
        <b/>
        <sz val="11"/>
        <color rgb="FFFF0000"/>
        <rFont val="Calibri"/>
        <family val="2"/>
        <scheme val="minor"/>
      </rPr>
      <t xml:space="preserve"> s</t>
    </r>
    <r>
      <rPr>
        <b/>
        <vertAlign val="superscript"/>
        <sz val="11"/>
        <color rgb="FFFF0000"/>
        <rFont val="Calibri"/>
        <family val="2"/>
        <scheme val="minor"/>
      </rPr>
      <t>-1</t>
    </r>
  </si>
  <si>
    <t>Seymour 2019 data</t>
  </si>
  <si>
    <t>sheer stress equation</t>
  </si>
  <si>
    <r>
      <t>.Q</t>
    </r>
    <r>
      <rPr>
        <b/>
        <vertAlign val="subscript"/>
        <sz val="11"/>
        <color theme="1"/>
        <rFont val="Calibri (Body)"/>
      </rPr>
      <t>ICA</t>
    </r>
    <r>
      <rPr>
        <b/>
        <sz val="11"/>
        <color theme="1"/>
        <rFont val="Calibri"/>
        <family val="2"/>
        <scheme val="minor"/>
      </rPr>
      <t xml:space="preserve"> eq1</t>
    </r>
  </si>
  <si>
    <r>
      <t>.Q</t>
    </r>
    <r>
      <rPr>
        <b/>
        <vertAlign val="subscript"/>
        <sz val="11"/>
        <color theme="1"/>
        <rFont val="Calibri (Body)"/>
      </rPr>
      <t>ICA</t>
    </r>
    <r>
      <rPr>
        <b/>
        <sz val="11"/>
        <color theme="1"/>
        <rFont val="Calibri"/>
        <family val="2"/>
        <scheme val="minor"/>
      </rPr>
      <t xml:space="preserve"> eq1 x2</t>
    </r>
  </si>
  <si>
    <r>
      <t>.Q</t>
    </r>
    <r>
      <rPr>
        <b/>
        <vertAlign val="subscript"/>
        <sz val="11"/>
        <color theme="1"/>
        <rFont val="Calibri (Body)"/>
      </rPr>
      <t>ICA</t>
    </r>
    <r>
      <rPr>
        <b/>
        <sz val="11"/>
        <color theme="1"/>
        <rFont val="Calibri"/>
        <family val="2"/>
        <scheme val="minor"/>
      </rPr>
      <t xml:space="preserve"> eq2</t>
    </r>
  </si>
  <si>
    <t>.Q</t>
  </si>
  <si>
    <t>.Q x 2</t>
  </si>
  <si>
    <r>
      <t>.Q</t>
    </r>
    <r>
      <rPr>
        <b/>
        <vertAlign val="subscript"/>
        <sz val="11"/>
        <color theme="1"/>
        <rFont val="Calibri (Body)"/>
      </rPr>
      <t>ICA</t>
    </r>
    <r>
      <rPr>
        <b/>
        <sz val="11"/>
        <color theme="1"/>
        <rFont val="Calibri"/>
        <family val="2"/>
        <scheme val="minor"/>
      </rPr>
      <t xml:space="preserve"> </t>
    </r>
  </si>
  <si>
    <t>Seymour 2019 Table S3</t>
  </si>
  <si>
    <r>
      <t>Total Q</t>
    </r>
    <r>
      <rPr>
        <b/>
        <vertAlign val="subscript"/>
        <sz val="11"/>
        <color rgb="FFFF0000"/>
        <rFont val="Calibri"/>
        <family val="2"/>
        <scheme val="minor"/>
      </rPr>
      <t>ICA</t>
    </r>
    <r>
      <rPr>
        <b/>
        <sz val="11"/>
        <color rgb="FFFF0000"/>
        <rFont val="Calibri"/>
        <family val="2"/>
        <scheme val="minor"/>
      </rPr>
      <t xml:space="preserve"> - .Q x2</t>
    </r>
  </si>
  <si>
    <t>Seymour 2015</t>
  </si>
  <si>
    <t>new empirical equation</t>
  </si>
  <si>
    <t>Seymour 2019</t>
  </si>
  <si>
    <t>MATCH! Seymour 2015 data</t>
  </si>
  <si>
    <r>
      <t>.Q</t>
    </r>
    <r>
      <rPr>
        <b/>
        <vertAlign val="subscript"/>
        <sz val="11"/>
        <color theme="1"/>
        <rFont val="Calibri (Body)"/>
      </rPr>
      <t>ICA</t>
    </r>
    <r>
      <rPr>
        <b/>
        <sz val="11"/>
        <color theme="1"/>
        <rFont val="Calibri"/>
        <family val="2"/>
        <scheme val="minor"/>
      </rPr>
      <t xml:space="preserve"> eq2 x2</t>
    </r>
  </si>
  <si>
    <t>cm (recalculate as = foramen/1.3?)</t>
  </si>
  <si>
    <t>Seymour 2019 Table S5</t>
  </si>
  <si>
    <r>
      <t xml:space="preserve">Q. </t>
    </r>
    <r>
      <rPr>
        <vertAlign val="subscript"/>
        <sz val="11"/>
        <color theme="1"/>
        <rFont val="Calibri"/>
        <family val="2"/>
        <scheme val="minor"/>
      </rPr>
      <t>ICA</t>
    </r>
    <r>
      <rPr>
        <sz val="11"/>
        <color theme="1"/>
        <rFont val="Calibri"/>
        <family val="2"/>
        <scheme val="minor"/>
      </rPr>
      <t xml:space="preserve"> x 2</t>
    </r>
    <r>
      <rPr>
        <sz val="11"/>
        <color rgb="FF000000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>(cm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</si>
  <si>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Alouatta sp.</t>
  </si>
  <si>
    <t>Aotus trivirgatus</t>
  </si>
  <si>
    <t>Ateles geoffroyi</t>
  </si>
  <si>
    <t>Callicebus moloch</t>
  </si>
  <si>
    <t>Microcebus murinus</t>
  </si>
  <si>
    <t>Miopithecus talapoin</t>
  </si>
  <si>
    <t>Papio anubis</t>
  </si>
  <si>
    <t>Piliocolobus badius</t>
  </si>
  <si>
    <t>Pithecia pithecia</t>
  </si>
  <si>
    <t>Tarsius sp.</t>
  </si>
  <si>
    <t>Avahi laniger</t>
  </si>
  <si>
    <t>Cheirogaleus major</t>
  </si>
  <si>
    <t>Cheirogaleus medius</t>
  </si>
  <si>
    <t>Daubentonia madagascariensis</t>
  </si>
  <si>
    <t>Eulemur fulvus</t>
  </si>
  <si>
    <t>Indri indri</t>
  </si>
  <si>
    <t>Lepilemur sp.</t>
  </si>
  <si>
    <t>Otolemur crassicaudatus</t>
  </si>
  <si>
    <t>Perodicticus potto</t>
  </si>
  <si>
    <t>Propithecus verreauxi</t>
  </si>
  <si>
    <t>Varecia sp.</t>
  </si>
  <si>
    <t>Difference Table S5-S3</t>
  </si>
  <si>
    <r>
      <t>.Q</t>
    </r>
    <r>
      <rPr>
        <b/>
        <vertAlign val="subscript"/>
        <sz val="11"/>
        <color theme="1"/>
        <rFont val="Calibri"/>
        <family val="2"/>
        <scheme val="minor"/>
      </rPr>
      <t>ICA (L)</t>
    </r>
  </si>
  <si>
    <r>
      <t>cortical flow (literature) cm</t>
    </r>
    <r>
      <rPr>
        <vertAlign val="superscript"/>
        <sz val="11"/>
        <color theme="1"/>
        <rFont val="Calibri (Body)"/>
      </rPr>
      <t>3</t>
    </r>
    <r>
      <rPr>
        <sz val="11"/>
        <color theme="1"/>
        <rFont val="Calibri"/>
        <family val="2"/>
        <scheme val="minor"/>
      </rPr>
      <t xml:space="preserve"> s</t>
    </r>
    <r>
      <rPr>
        <vertAlign val="superscript"/>
        <sz val="11"/>
        <color theme="1"/>
        <rFont val="Calibri (Body)"/>
      </rPr>
      <t>−1</t>
    </r>
  </si>
  <si>
    <t>ref</t>
  </si>
  <si>
    <t>Rat</t>
  </si>
  <si>
    <t>Mouse</t>
  </si>
  <si>
    <t>Macgowan et al., 2015</t>
  </si>
  <si>
    <t>Mean of four studies (Nakao et al., 2001; Ohno et al., 1979; Sakurada et al., 1978; Takagi et al., 1987);</t>
  </si>
  <si>
    <t>Kaufman</t>
  </si>
  <si>
    <t>Mean of four studies (Amin-Hanjani et al., 2015; Bentourkia et al., 2000; Boysen
et al., 1970; Hiura et al., 2014)</t>
  </si>
  <si>
    <t>Whole Brain CBF</t>
  </si>
  <si>
    <t>Cortex CBF</t>
  </si>
  <si>
    <t>Blood flow ml/lOOg/min</t>
  </si>
  <si>
    <t>Seymour 2019 Table 3 (or 5 if missing) plus marsupial data</t>
  </si>
  <si>
    <t>species</t>
  </si>
  <si>
    <t>Canis lupus</t>
  </si>
  <si>
    <t>dog</t>
  </si>
  <si>
    <t>Canis</t>
  </si>
  <si>
    <t>Macac fascicularis</t>
  </si>
  <si>
    <t>Sus</t>
  </si>
  <si>
    <t>Lepus</t>
  </si>
  <si>
    <t>Felis</t>
  </si>
  <si>
    <t>Meriones</t>
  </si>
  <si>
    <t>Ovis</t>
  </si>
  <si>
    <t>Equus</t>
  </si>
  <si>
    <t>Capra</t>
  </si>
  <si>
    <t>method</t>
  </si>
  <si>
    <t>measured</t>
  </si>
  <si>
    <t>modelled</t>
  </si>
  <si>
    <r>
      <t>.Q</t>
    </r>
    <r>
      <rPr>
        <vertAlign val="subscript"/>
        <sz val="11"/>
        <color theme="1"/>
        <rFont val="Calibri"/>
        <family val="2"/>
        <scheme val="minor"/>
      </rPr>
      <t>ICA (L or P)</t>
    </r>
  </si>
  <si>
    <t>Seymour 2015 &amp; 2019</t>
  </si>
  <si>
    <t>Measured, or Seymour 2019 Table 3 (or 5 if missing) plus marsupial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</si>
</sst>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rgb="FFFF0000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vertAlign val="subscript"/>
      <sz val="11"/>
      <color theme="1"/>
      <name val="Calibri (Body)"/>
    </font>
    <font>
      <sz val="11"/>
      <color rgb="FF00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theme="1"/>
      <name val="Calibri (Body)"/>
    </font>
    <font>
      <sz val="8"/>
      <name val="Calibri"/>
      <family val="2"/>
      <scheme val="minor"/>
    </font>
    <font>
      <sz val="11"/>
      <color theme="3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1" fillId="2" borderId="0" xfId="0" applyFont="1" applyFill="1"/>
    <xf numFmtId="0" fontId="4" fillId="3" borderId="0" xfId="0" applyFont="1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center"/>
    </xf>
    <xf numFmtId="0" fontId="4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4" fontId="1" fillId="2" borderId="0" xfId="0" applyNumberFormat="1" applyFont="1" applyFill="1"/>
    <xf numFmtId="0" fontId="1" fillId="6" borderId="0" xfId="0" applyFont="1" applyFill="1"/>
    <xf numFmtId="0" fontId="1" fillId="3" borderId="0" xfId="0" applyFont="1" applyFill="1"/>
    <xf numFmtId="164" fontId="1" fillId="6" borderId="0" xfId="0" applyNumberFormat="1" applyFont="1" applyFill="1"/>
    <xf numFmtId="0" fontId="9" fillId="4" borderId="0" xfId="0" applyFont="1" applyFill="1"/>
    <xf numFmtId="0" fontId="9" fillId="3" borderId="0" xfId="0" applyFont="1" applyFill="1"/>
    <xf numFmtId="0" fontId="9" fillId="6" borderId="0" xfId="0" applyFont="1" applyFill="1"/>
    <xf numFmtId="0" fontId="1" fillId="2" borderId="0" xfId="0" applyFont="1" applyFill="1" applyAlignment="1">
      <alignment horizontal="center" wrapText="1"/>
    </xf>
    <xf numFmtId="0" fontId="5" fillId="0" borderId="0" xfId="0" applyFont="1"/>
    <xf numFmtId="0" fontId="5" fillId="6" borderId="0" xfId="0" applyFont="1" applyFill="1"/>
    <xf numFmtId="0" fontId="6" fillId="2" borderId="0" xfId="0" applyFont="1" applyFill="1"/>
    <xf numFmtId="0" fontId="6" fillId="6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5" borderId="0" xfId="0" applyFont="1" applyFill="1"/>
    <xf numFmtId="0" fontId="1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0" xfId="0" applyFill="1"/>
    <xf numFmtId="0" fontId="1" fillId="6" borderId="0" xfId="0" applyFont="1" applyFill="1" applyAlignment="1">
      <alignment horizontal="center" wrapText="1"/>
    </xf>
    <xf numFmtId="0" fontId="0" fillId="6" borderId="0" xfId="0" applyFill="1" applyAlignment="1"/>
    <xf numFmtId="0" fontId="0" fillId="4" borderId="0" xfId="0" applyFill="1" applyAlignment="1"/>
    <xf numFmtId="0" fontId="1" fillId="4" borderId="0" xfId="0" applyFont="1" applyFill="1" applyAlignment="1">
      <alignment wrapText="1"/>
    </xf>
    <xf numFmtId="164" fontId="0" fillId="3" borderId="0" xfId="0" applyNumberFormat="1" applyFill="1" applyAlignment="1">
      <alignment horizontal="center"/>
    </xf>
    <xf numFmtId="0" fontId="14" fillId="0" borderId="2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4" fillId="7" borderId="2" xfId="0" applyFont="1" applyFill="1" applyBorder="1" applyAlignment="1">
      <alignment vertical="center"/>
    </xf>
    <xf numFmtId="0" fontId="11" fillId="7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/>
    <xf numFmtId="0" fontId="1" fillId="2" borderId="0" xfId="0" applyFont="1" applyFill="1" applyAlignment="1"/>
    <xf numFmtId="0" fontId="0" fillId="3" borderId="0" xfId="0" applyFill="1" applyAlignment="1"/>
    <xf numFmtId="0" fontId="0" fillId="2" borderId="0" xfId="0" applyFill="1" applyAlignment="1"/>
    <xf numFmtId="0" fontId="0" fillId="5" borderId="0" xfId="0" applyFill="1" applyAlignment="1"/>
    <xf numFmtId="0" fontId="1" fillId="2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0" fillId="8" borderId="0" xfId="0" applyFill="1"/>
    <xf numFmtId="0" fontId="1" fillId="8" borderId="0" xfId="0" applyFont="1" applyFill="1" applyAlignment="1">
      <alignment wrapText="1"/>
    </xf>
    <xf numFmtId="0" fontId="0" fillId="0" borderId="0" xfId="0" applyFill="1" applyAlignment="1"/>
    <xf numFmtId="0" fontId="9" fillId="0" borderId="0" xfId="0" applyFont="1" applyFill="1"/>
    <xf numFmtId="0" fontId="4" fillId="0" borderId="0" xfId="0" applyFont="1" applyFill="1"/>
    <xf numFmtId="0" fontId="0" fillId="0" borderId="0" xfId="0" applyFont="1" applyFill="1"/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1" fillId="0" borderId="0" xfId="0" applyFont="1" applyFill="1"/>
    <xf numFmtId="0" fontId="6" fillId="0" borderId="0" xfId="0" applyFont="1" applyFill="1"/>
    <xf numFmtId="164" fontId="1" fillId="0" borderId="0" xfId="0" applyNumberFormat="1" applyFont="1" applyFill="1"/>
    <xf numFmtId="0" fontId="11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17" fillId="0" borderId="0" xfId="0" applyFont="1" applyFill="1" applyBorder="1"/>
    <xf numFmtId="0" fontId="0" fillId="6" borderId="0" xfId="0" applyFont="1" applyFill="1" applyBorder="1" applyAlignment="1"/>
    <xf numFmtId="0" fontId="0" fillId="6" borderId="0" xfId="0" applyFont="1" applyFill="1" applyBorder="1"/>
    <xf numFmtId="0" fontId="0" fillId="6" borderId="0" xfId="0" applyFont="1" applyFill="1" applyBorder="1" applyAlignment="1">
      <alignment horizontal="center" wrapText="1"/>
    </xf>
    <xf numFmtId="0" fontId="0" fillId="6" borderId="0" xfId="0" applyFont="1" applyFill="1" applyBorder="1" applyAlignment="1">
      <alignment vertical="top" wrapText="1"/>
    </xf>
    <xf numFmtId="0" fontId="0" fillId="6" borderId="0" xfId="0" applyFont="1" applyFill="1" applyBorder="1" applyAlignment="1">
      <alignment wrapText="1"/>
    </xf>
    <xf numFmtId="0" fontId="0" fillId="9" borderId="0" xfId="0" applyFill="1" applyAlignment="1"/>
    <xf numFmtId="0" fontId="1" fillId="9" borderId="0" xfId="0" applyFont="1" applyFill="1" applyAlignment="1">
      <alignment horizontal="center" wrapText="1"/>
    </xf>
    <xf numFmtId="0" fontId="1" fillId="9" borderId="0" xfId="0" applyFont="1" applyFill="1" applyAlignment="1"/>
    <xf numFmtId="0" fontId="0" fillId="9" borderId="0" xfId="0" applyFill="1" applyAlignment="1">
      <alignment vertical="top" wrapText="1"/>
    </xf>
    <xf numFmtId="0" fontId="0" fillId="9" borderId="0" xfId="0" applyFill="1" applyAlignment="1">
      <alignment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"/>
  <sheetViews>
    <sheetView tabSelected="1" topLeftCell="A37" workbookViewId="0">
      <selection activeCell="Z10" sqref="Z10"/>
    </sheetView>
  </sheetViews>
  <sheetFormatPr baseColWidth="10" defaultColWidth="8.83203125" defaultRowHeight="15"/>
  <cols>
    <col min="1" max="1" width="18.33203125" customWidth="1"/>
    <col min="2" max="3" width="4.6640625" customWidth="1"/>
    <col min="4" max="10" width="4.6640625" style="9" customWidth="1"/>
    <col min="11" max="11" width="11.5" style="25" customWidth="1"/>
    <col min="12" max="12" width="10" style="9" customWidth="1"/>
    <col min="13" max="13" width="8.83203125" customWidth="1"/>
    <col min="14" max="14" width="8.83203125" style="45" customWidth="1"/>
    <col min="15" max="17" width="6.5" customWidth="1"/>
    <col min="18" max="19" width="4.5" customWidth="1"/>
    <col min="20" max="20" width="7.6640625" customWidth="1"/>
    <col min="21" max="22" width="2.33203125" customWidth="1"/>
    <col min="24" max="24" width="4.5" customWidth="1"/>
    <col min="25" max="25" width="7.1640625" customWidth="1"/>
    <col min="27" max="27" width="8.83203125" style="70"/>
    <col min="28" max="28" width="7.1640625" style="97" customWidth="1"/>
    <col min="29" max="29" width="10.5" style="97" customWidth="1"/>
    <col min="30" max="30" width="12.5" style="70" customWidth="1"/>
  </cols>
  <sheetData>
    <row r="1" spans="1:32">
      <c r="A1" s="1" t="s">
        <v>169</v>
      </c>
    </row>
    <row r="3" spans="1:32">
      <c r="A3" s="1" t="s">
        <v>0</v>
      </c>
    </row>
    <row r="4" spans="1:32" ht="17" customHeight="1" thickBot="1">
      <c r="A4" s="1" t="s">
        <v>1</v>
      </c>
      <c r="M4" s="58" t="s">
        <v>182</v>
      </c>
      <c r="N4" s="46"/>
      <c r="O4" s="31"/>
      <c r="P4" s="59" t="s">
        <v>184</v>
      </c>
      <c r="Q4" s="59" t="s">
        <v>184</v>
      </c>
      <c r="R4" s="56"/>
      <c r="S4" s="56"/>
      <c r="T4" s="41" t="s">
        <v>172</v>
      </c>
      <c r="U4" s="6"/>
      <c r="V4" s="6"/>
      <c r="W4" s="6"/>
      <c r="X4" s="6"/>
      <c r="Y4" s="6"/>
      <c r="Z4" s="104" t="s">
        <v>182</v>
      </c>
      <c r="AA4" s="104"/>
      <c r="AB4" s="99" t="s">
        <v>241</v>
      </c>
      <c r="AC4" s="100"/>
      <c r="AD4" s="70" t="s">
        <v>219</v>
      </c>
      <c r="AE4" s="81" t="s">
        <v>219</v>
      </c>
      <c r="AF4" s="81" t="s">
        <v>219</v>
      </c>
    </row>
    <row r="5" spans="1:32" s="52" customFormat="1" ht="50" customHeight="1" thickBot="1">
      <c r="A5" s="75" t="s">
        <v>2</v>
      </c>
      <c r="B5" s="75" t="s">
        <v>3</v>
      </c>
      <c r="C5" s="75" t="s">
        <v>4</v>
      </c>
      <c r="D5" s="75" t="s">
        <v>5</v>
      </c>
      <c r="E5" s="75" t="s">
        <v>6</v>
      </c>
      <c r="F5" s="75" t="s">
        <v>7</v>
      </c>
      <c r="G5" s="75" t="s">
        <v>8</v>
      </c>
      <c r="H5" s="75" t="s">
        <v>9</v>
      </c>
      <c r="I5" s="75" t="s">
        <v>10</v>
      </c>
      <c r="J5" s="75" t="s">
        <v>11</v>
      </c>
      <c r="K5" s="80" t="s">
        <v>170</v>
      </c>
      <c r="L5" s="75" t="s">
        <v>12</v>
      </c>
      <c r="M5" s="76" t="s">
        <v>177</v>
      </c>
      <c r="N5" s="77" t="s">
        <v>178</v>
      </c>
      <c r="O5" s="77" t="s">
        <v>181</v>
      </c>
      <c r="P5" s="78" t="s">
        <v>174</v>
      </c>
      <c r="Q5" s="78" t="s">
        <v>176</v>
      </c>
      <c r="R5" s="79" t="s">
        <v>175</v>
      </c>
      <c r="S5" s="79" t="s">
        <v>186</v>
      </c>
      <c r="T5" s="78" t="s">
        <v>179</v>
      </c>
      <c r="U5" s="78"/>
      <c r="V5" s="78"/>
      <c r="W5" s="109" t="s">
        <v>189</v>
      </c>
      <c r="X5" s="78"/>
      <c r="Y5" s="78"/>
      <c r="Z5" s="105" t="s">
        <v>212</v>
      </c>
      <c r="AA5" s="106"/>
      <c r="AB5" s="101" t="s">
        <v>240</v>
      </c>
      <c r="AC5" s="102"/>
      <c r="AD5" s="71"/>
      <c r="AE5" s="82" t="s">
        <v>222</v>
      </c>
      <c r="AF5" s="82" t="s">
        <v>221</v>
      </c>
    </row>
    <row r="6" spans="1:32" s="6" customFormat="1" ht="48" customHeight="1">
      <c r="A6" s="52"/>
      <c r="B6" s="52"/>
      <c r="C6" s="52"/>
      <c r="D6" s="44"/>
      <c r="E6" s="44" t="s">
        <v>13</v>
      </c>
      <c r="F6" s="44"/>
      <c r="G6" s="44" t="s">
        <v>14</v>
      </c>
      <c r="H6" s="44" t="s">
        <v>15</v>
      </c>
      <c r="I6" s="44" t="s">
        <v>187</v>
      </c>
      <c r="J6" s="44" t="s">
        <v>16</v>
      </c>
      <c r="K6" s="53" t="s">
        <v>171</v>
      </c>
      <c r="L6" s="44" t="s">
        <v>17</v>
      </c>
      <c r="M6" s="57" t="s">
        <v>173</v>
      </c>
      <c r="N6" s="54" t="s">
        <v>185</v>
      </c>
      <c r="O6" s="66"/>
      <c r="P6" s="60" t="s">
        <v>183</v>
      </c>
      <c r="Q6" s="60"/>
      <c r="R6" s="67"/>
      <c r="S6" s="67"/>
      <c r="T6" s="55" t="s">
        <v>180</v>
      </c>
      <c r="U6" s="68"/>
      <c r="V6" s="68"/>
      <c r="W6" s="55" t="s">
        <v>188</v>
      </c>
      <c r="X6" s="60" t="s">
        <v>211</v>
      </c>
      <c r="Y6" s="68" t="s">
        <v>224</v>
      </c>
      <c r="Z6" s="107" t="s">
        <v>213</v>
      </c>
      <c r="AA6" s="108" t="s">
        <v>214</v>
      </c>
      <c r="AB6" s="103" t="s">
        <v>242</v>
      </c>
      <c r="AC6" s="103" t="s">
        <v>237</v>
      </c>
      <c r="AD6" s="68" t="s">
        <v>225</v>
      </c>
      <c r="AE6" s="82" t="s">
        <v>223</v>
      </c>
      <c r="AF6" s="82" t="s">
        <v>223</v>
      </c>
    </row>
    <row r="7" spans="1:32" ht="16" thickBot="1">
      <c r="A7" s="62" t="s">
        <v>190</v>
      </c>
      <c r="D7"/>
      <c r="E7"/>
      <c r="F7"/>
      <c r="G7"/>
      <c r="H7"/>
      <c r="I7"/>
      <c r="J7"/>
      <c r="K7"/>
      <c r="L7"/>
      <c r="N7"/>
      <c r="W7" s="63">
        <v>0.44500000000000001</v>
      </c>
      <c r="Y7" s="63">
        <v>0.44500000000000001</v>
      </c>
      <c r="AB7" s="95">
        <v>0.44500000000000001</v>
      </c>
      <c r="AC7" s="98" t="s">
        <v>239</v>
      </c>
    </row>
    <row r="8" spans="1:32" ht="16" thickBot="1">
      <c r="A8" s="62" t="s">
        <v>191</v>
      </c>
      <c r="D8"/>
      <c r="E8"/>
      <c r="F8"/>
      <c r="G8"/>
      <c r="H8"/>
      <c r="I8"/>
      <c r="J8"/>
      <c r="K8"/>
      <c r="L8"/>
      <c r="N8"/>
      <c r="W8" s="63">
        <v>0.123</v>
      </c>
      <c r="Y8" s="63">
        <v>0.123</v>
      </c>
      <c r="AB8" s="95">
        <v>0.123</v>
      </c>
      <c r="AC8" s="98" t="s">
        <v>239</v>
      </c>
    </row>
    <row r="9" spans="1:32" ht="16" thickBot="1">
      <c r="A9" s="62" t="s">
        <v>192</v>
      </c>
      <c r="D9"/>
      <c r="E9"/>
      <c r="F9"/>
      <c r="G9"/>
      <c r="H9"/>
      <c r="I9"/>
      <c r="J9"/>
      <c r="K9"/>
      <c r="L9"/>
      <c r="N9"/>
      <c r="W9" s="63">
        <v>1.0069999999999999</v>
      </c>
      <c r="Y9" s="63">
        <v>1.0069999999999999</v>
      </c>
      <c r="AB9" s="95">
        <v>1.0069999999999999</v>
      </c>
      <c r="AC9" s="98" t="s">
        <v>239</v>
      </c>
    </row>
    <row r="10" spans="1:32" ht="16" thickBot="1">
      <c r="A10" s="64" t="s">
        <v>200</v>
      </c>
      <c r="D10"/>
      <c r="E10"/>
      <c r="F10"/>
      <c r="G10"/>
      <c r="H10"/>
      <c r="I10"/>
      <c r="J10"/>
      <c r="K10"/>
      <c r="L10"/>
      <c r="N10"/>
      <c r="W10" s="65">
        <v>3.8999999999999998E-3</v>
      </c>
      <c r="Y10" s="65">
        <v>3.8999999999999998E-3</v>
      </c>
      <c r="AB10" s="95">
        <v>3.8999999999999998E-3</v>
      </c>
      <c r="AC10" s="98" t="s">
        <v>239</v>
      </c>
    </row>
    <row r="11" spans="1:32" s="2" customFormat="1">
      <c r="A11" s="3" t="s">
        <v>25</v>
      </c>
      <c r="B11" s="4" t="s">
        <v>26</v>
      </c>
      <c r="C11" s="4" t="s">
        <v>27</v>
      </c>
      <c r="D11" s="11">
        <v>1</v>
      </c>
      <c r="E11" s="11">
        <v>3165.0000000000045</v>
      </c>
      <c r="F11" s="11">
        <v>1</v>
      </c>
      <c r="G11" s="11">
        <v>100</v>
      </c>
      <c r="H11" s="13">
        <v>0.12673143439201418</v>
      </c>
      <c r="I11" s="61">
        <v>9.0522453137152986E-2</v>
      </c>
      <c r="J11" s="14">
        <v>33.584748621140172</v>
      </c>
      <c r="K11" s="26">
        <v>0.97829747330530037</v>
      </c>
      <c r="L11" s="15">
        <v>9.7829747330530036E-3</v>
      </c>
      <c r="M11" s="2">
        <f t="shared" ref="M11:M63" si="0">(J11*PI()*I11^3)/(4*0.04)</f>
        <v>0.48914873665265018</v>
      </c>
      <c r="N11" s="47">
        <f t="shared" ref="N11:N63" si="1">M11*2</f>
        <v>0.97829747330530037</v>
      </c>
      <c r="O11" s="37">
        <f t="shared" ref="O11:O63" si="2">K11-N11</f>
        <v>0</v>
      </c>
      <c r="P11" s="4">
        <f>155*(I11^2.49)</f>
        <v>0.39143073366344378</v>
      </c>
      <c r="Q11" s="4">
        <f>155*((H11/1.3)^2.49)</f>
        <v>0.47075482869334573</v>
      </c>
      <c r="R11" s="2">
        <f>P11*2</f>
        <v>0.78286146732688755</v>
      </c>
      <c r="S11" s="2">
        <f>Q11*2</f>
        <v>0.94150965738669146</v>
      </c>
      <c r="T11" s="42">
        <v>0.68500000000000005</v>
      </c>
      <c r="U11" s="39">
        <f>T11/R11</f>
        <v>0.87499516656370957</v>
      </c>
      <c r="V11" s="39">
        <f t="shared" ref="V11:V63" si="3">T11/N11</f>
        <v>0.70019602287803306</v>
      </c>
      <c r="W11" s="39"/>
      <c r="X11"/>
      <c r="Y11" s="42">
        <v>0.68500000000000005</v>
      </c>
      <c r="AA11" s="71"/>
      <c r="AB11" s="98">
        <v>0.68500000000000005</v>
      </c>
      <c r="AC11" s="98" t="s">
        <v>239</v>
      </c>
      <c r="AD11" s="71"/>
    </row>
    <row r="12" spans="1:32" ht="16" thickBot="1">
      <c r="A12" s="62" t="s">
        <v>193</v>
      </c>
      <c r="D12"/>
      <c r="E12"/>
      <c r="F12"/>
      <c r="G12"/>
      <c r="H12"/>
      <c r="I12"/>
      <c r="J12"/>
      <c r="K12"/>
      <c r="L12"/>
      <c r="N12"/>
      <c r="W12" s="63">
        <v>0.13900000000000001</v>
      </c>
      <c r="Y12" s="63">
        <v>0.13900000000000001</v>
      </c>
      <c r="AB12" s="95">
        <v>0.13900000000000001</v>
      </c>
      <c r="AC12" s="98" t="s">
        <v>239</v>
      </c>
    </row>
    <row r="13" spans="1:32" s="4" customFormat="1" ht="16" thickBot="1">
      <c r="A13" s="3" t="s">
        <v>18</v>
      </c>
      <c r="B13" s="4" t="s">
        <v>19</v>
      </c>
      <c r="C13" s="4" t="s">
        <v>20</v>
      </c>
      <c r="D13" s="11">
        <v>5</v>
      </c>
      <c r="E13" s="11">
        <v>371.50000000000028</v>
      </c>
      <c r="F13" s="11">
        <v>1</v>
      </c>
      <c r="G13" s="11">
        <v>6.6000000000000005</v>
      </c>
      <c r="H13" s="13">
        <v>3.7632125037631511E-2</v>
      </c>
      <c r="I13" s="13">
        <v>2.688008931259394E-2</v>
      </c>
      <c r="J13" s="14">
        <v>51.439254563669323</v>
      </c>
      <c r="K13" s="26">
        <v>3.9232562402625015E-2</v>
      </c>
      <c r="L13" s="15">
        <v>5.9443276367613651E-3</v>
      </c>
      <c r="M13" s="2">
        <f t="shared" si="0"/>
        <v>1.9616281201312508E-2</v>
      </c>
      <c r="N13" s="47">
        <f t="shared" si="1"/>
        <v>3.9232562402625015E-2</v>
      </c>
      <c r="O13" s="37">
        <f t="shared" si="2"/>
        <v>0</v>
      </c>
      <c r="P13" s="4">
        <f t="shared" ref="P13:P63" si="4">155*(I13^2.49)</f>
        <v>1.9037686004101113E-2</v>
      </c>
      <c r="Q13" s="4">
        <f t="shared" ref="Q13:Q63" si="5">155*((H13/1.3)^2.49)</f>
        <v>2.2895705019637037E-2</v>
      </c>
      <c r="R13" s="2">
        <f t="shared" ref="R13:R63" si="6">P13*2</f>
        <v>3.8075372008202227E-2</v>
      </c>
      <c r="S13" s="2">
        <f t="shared" ref="S13:S70" si="7">Q13*2</f>
        <v>4.5791410039274075E-2</v>
      </c>
      <c r="T13" s="42">
        <v>4.5999999999999999E-2</v>
      </c>
      <c r="U13" s="39">
        <f t="shared" ref="U13:U63" si="8">T13/R13</f>
        <v>1.2081300214241018</v>
      </c>
      <c r="V13" s="39">
        <f t="shared" si="3"/>
        <v>1.172495426832538</v>
      </c>
      <c r="W13" s="63">
        <v>4.5999999999999999E-2</v>
      </c>
      <c r="X13"/>
      <c r="Y13" s="42">
        <v>4.5999999999999999E-2</v>
      </c>
      <c r="AA13" s="72"/>
      <c r="AB13" s="98">
        <v>4.5999999999999999E-2</v>
      </c>
      <c r="AC13" s="98" t="s">
        <v>239</v>
      </c>
      <c r="AD13" s="72"/>
    </row>
    <row r="14" spans="1:32" s="4" customFormat="1" ht="16" thickBot="1">
      <c r="A14" s="3" t="s">
        <v>21</v>
      </c>
      <c r="B14" s="4" t="s">
        <v>22</v>
      </c>
      <c r="C14" s="4" t="s">
        <v>20</v>
      </c>
      <c r="D14" s="11">
        <v>1</v>
      </c>
      <c r="E14" s="11">
        <v>116.00000000000009</v>
      </c>
      <c r="F14" s="11">
        <v>1</v>
      </c>
      <c r="G14" s="11">
        <v>7.0000000000000009</v>
      </c>
      <c r="H14" s="13">
        <v>4.6194364051180895E-2</v>
      </c>
      <c r="I14" s="13">
        <v>3.2995974322272068E-2</v>
      </c>
      <c r="J14" s="14">
        <v>64.84691669082585</v>
      </c>
      <c r="K14" s="26">
        <v>9.1481249515378962E-2</v>
      </c>
      <c r="L14" s="15">
        <v>1.3068749930768422E-2</v>
      </c>
      <c r="M14" s="2">
        <f t="shared" si="0"/>
        <v>4.5740624757689481E-2</v>
      </c>
      <c r="N14" s="47">
        <f t="shared" si="1"/>
        <v>9.1481249515378962E-2</v>
      </c>
      <c r="O14" s="37">
        <f t="shared" si="2"/>
        <v>0</v>
      </c>
      <c r="P14" s="4">
        <f t="shared" si="4"/>
        <v>3.1717538887028544E-2</v>
      </c>
      <c r="Q14" s="4">
        <f t="shared" si="5"/>
        <v>3.8145151367127011E-2</v>
      </c>
      <c r="R14" s="2">
        <f t="shared" si="6"/>
        <v>6.3435077774057089E-2</v>
      </c>
      <c r="S14" s="2">
        <f t="shared" si="7"/>
        <v>7.6290302734254023E-2</v>
      </c>
      <c r="T14" s="42">
        <v>5.0999999999999997E-2</v>
      </c>
      <c r="U14" s="39">
        <f t="shared" si="8"/>
        <v>0.80397158464362062</v>
      </c>
      <c r="V14" s="39">
        <f t="shared" si="3"/>
        <v>0.55749129215191096</v>
      </c>
      <c r="W14" s="63">
        <v>4.5999999999999999E-2</v>
      </c>
      <c r="X14" s="45">
        <f t="shared" ref="X14:X58" si="9">W14-T14</f>
        <v>-4.9999999999999975E-3</v>
      </c>
      <c r="Y14" s="42">
        <v>5.0999999999999997E-2</v>
      </c>
      <c r="AA14" s="72"/>
      <c r="AB14" s="98">
        <v>5.0999999999999997E-2</v>
      </c>
      <c r="AC14" s="98" t="s">
        <v>239</v>
      </c>
      <c r="AD14" s="72"/>
    </row>
    <row r="15" spans="1:32" s="31" customFormat="1" ht="16" thickBot="1">
      <c r="A15" s="3" t="s">
        <v>32</v>
      </c>
      <c r="B15" s="4" t="s">
        <v>33</v>
      </c>
      <c r="C15" s="4" t="s">
        <v>34</v>
      </c>
      <c r="D15" s="11">
        <v>1</v>
      </c>
      <c r="E15" s="11">
        <v>7929.9999999999991</v>
      </c>
      <c r="F15" s="11">
        <v>1</v>
      </c>
      <c r="G15" s="11">
        <v>71</v>
      </c>
      <c r="H15" s="13">
        <v>9.1009649430641396E-2</v>
      </c>
      <c r="I15" s="13">
        <v>6.500689245045814E-2</v>
      </c>
      <c r="J15" s="14">
        <v>27.974421024414436</v>
      </c>
      <c r="K15" s="26">
        <v>0.30178608419771363</v>
      </c>
      <c r="L15" s="15">
        <v>4.2505082281368116E-3</v>
      </c>
      <c r="M15" s="2">
        <f t="shared" si="0"/>
        <v>0.15089304209885682</v>
      </c>
      <c r="N15" s="47">
        <f t="shared" si="1"/>
        <v>0.30178608419771363</v>
      </c>
      <c r="O15" s="37">
        <f t="shared" si="2"/>
        <v>0</v>
      </c>
      <c r="P15" s="4">
        <f t="shared" si="4"/>
        <v>0.17163293081341222</v>
      </c>
      <c r="Q15" s="4">
        <f t="shared" si="5"/>
        <v>0.20641463225694176</v>
      </c>
      <c r="R15" s="2">
        <f t="shared" si="6"/>
        <v>0.34326586162682443</v>
      </c>
      <c r="S15" s="2">
        <f t="shared" si="7"/>
        <v>0.41282926451388352</v>
      </c>
      <c r="T15" s="42">
        <v>0.41299999999999998</v>
      </c>
      <c r="U15" s="39">
        <f t="shared" si="8"/>
        <v>1.2031490636519684</v>
      </c>
      <c r="V15" s="39">
        <f t="shared" si="3"/>
        <v>1.3685190326053109</v>
      </c>
      <c r="W15" s="63">
        <v>0.41299999999999998</v>
      </c>
      <c r="X15"/>
      <c r="Y15" s="42">
        <v>0.41299999999999998</v>
      </c>
      <c r="AA15" s="58"/>
      <c r="AB15" s="98">
        <v>0.41299999999999998</v>
      </c>
      <c r="AC15" s="98" t="s">
        <v>239</v>
      </c>
      <c r="AD15" s="58"/>
    </row>
    <row r="16" spans="1:32" s="4" customFormat="1">
      <c r="A16" s="3" t="s">
        <v>35</v>
      </c>
      <c r="B16" s="4" t="s">
        <v>36</v>
      </c>
      <c r="C16" s="4" t="s">
        <v>34</v>
      </c>
      <c r="D16" s="11">
        <v>2</v>
      </c>
      <c r="E16" s="11">
        <v>5740.0000000000036</v>
      </c>
      <c r="F16" s="11">
        <v>1</v>
      </c>
      <c r="G16" s="11">
        <v>65.000000000000043</v>
      </c>
      <c r="H16" s="13">
        <v>0.11242297978423968</v>
      </c>
      <c r="I16" s="13">
        <v>8.0302128417314059E-2</v>
      </c>
      <c r="J16" s="14">
        <v>29.832730480272058</v>
      </c>
      <c r="K16" s="26">
        <v>0.60664421380109623</v>
      </c>
      <c r="L16" s="15">
        <v>9.3329879046322433E-3</v>
      </c>
      <c r="M16" s="2">
        <f t="shared" si="0"/>
        <v>0.30332210690054812</v>
      </c>
      <c r="N16" s="47">
        <f t="shared" si="1"/>
        <v>0.60664421380109623</v>
      </c>
      <c r="O16" s="37">
        <f t="shared" si="2"/>
        <v>0</v>
      </c>
      <c r="P16" s="4">
        <f t="shared" si="4"/>
        <v>0.29047052438270737</v>
      </c>
      <c r="Q16" s="4">
        <f t="shared" si="5"/>
        <v>0.34933486358232296</v>
      </c>
      <c r="R16" s="2">
        <f t="shared" si="6"/>
        <v>0.58094104876541475</v>
      </c>
      <c r="S16" s="2">
        <f t="shared" si="7"/>
        <v>0.69866972716464593</v>
      </c>
      <c r="T16" s="42">
        <v>0.69899999999999995</v>
      </c>
      <c r="U16" s="39">
        <f t="shared" si="8"/>
        <v>1.2032201915934118</v>
      </c>
      <c r="V16" s="39">
        <f t="shared" si="3"/>
        <v>1.1522404468678984</v>
      </c>
      <c r="X16"/>
      <c r="Y16" s="42">
        <v>0.69899999999999995</v>
      </c>
      <c r="AA16" s="72"/>
      <c r="AB16" s="98">
        <v>0.69899999999999995</v>
      </c>
      <c r="AC16" s="98" t="s">
        <v>239</v>
      </c>
      <c r="AD16" s="72"/>
    </row>
    <row r="17" spans="1:32" ht="16" thickBot="1">
      <c r="A17" s="64" t="s">
        <v>201</v>
      </c>
      <c r="D17"/>
      <c r="E17"/>
      <c r="F17"/>
      <c r="G17"/>
      <c r="H17"/>
      <c r="I17"/>
      <c r="J17"/>
      <c r="K17"/>
      <c r="L17"/>
      <c r="N17"/>
      <c r="W17" s="65">
        <v>6.1000000000000004E-3</v>
      </c>
      <c r="Y17" s="65">
        <v>6.1000000000000004E-3</v>
      </c>
      <c r="AB17" s="95">
        <v>6.1000000000000004E-3</v>
      </c>
      <c r="AC17" s="98" t="s">
        <v>239</v>
      </c>
    </row>
    <row r="18" spans="1:32" ht="16" thickBot="1">
      <c r="A18" s="64" t="s">
        <v>202</v>
      </c>
      <c r="D18"/>
      <c r="E18"/>
      <c r="F18"/>
      <c r="G18"/>
      <c r="H18"/>
      <c r="I18"/>
      <c r="J18"/>
      <c r="K18"/>
      <c r="L18"/>
      <c r="N18"/>
      <c r="W18" s="65">
        <v>2.2000000000000001E-3</v>
      </c>
      <c r="Y18" s="65">
        <v>2.2000000000000001E-3</v>
      </c>
      <c r="AB18" s="95">
        <v>2.2000000000000001E-3</v>
      </c>
      <c r="AC18" s="98" t="s">
        <v>239</v>
      </c>
    </row>
    <row r="19" spans="1:32" s="4" customFormat="1">
      <c r="A19" s="3" t="s">
        <v>37</v>
      </c>
      <c r="B19" s="4" t="s">
        <v>38</v>
      </c>
      <c r="C19" s="4" t="s">
        <v>34</v>
      </c>
      <c r="D19" s="11">
        <v>2</v>
      </c>
      <c r="E19" s="11">
        <v>3620.0000000000023</v>
      </c>
      <c r="F19" s="11">
        <v>1</v>
      </c>
      <c r="G19" s="11">
        <v>67.000000000000043</v>
      </c>
      <c r="H19" s="13">
        <v>0.11649978319025645</v>
      </c>
      <c r="I19" s="13">
        <v>8.3214130850183185E-2</v>
      </c>
      <c r="J19" s="14">
        <v>32.698924281033136</v>
      </c>
      <c r="K19" s="26">
        <v>0.73991970904123816</v>
      </c>
      <c r="L19" s="15">
        <v>1.1043577746884145E-2</v>
      </c>
      <c r="M19" s="2">
        <f t="shared" si="0"/>
        <v>0.36995985452061908</v>
      </c>
      <c r="N19" s="47">
        <f t="shared" si="1"/>
        <v>0.73991970904123816</v>
      </c>
      <c r="O19" s="37">
        <f t="shared" si="2"/>
        <v>0</v>
      </c>
      <c r="P19" s="4">
        <f t="shared" si="4"/>
        <v>0.31741133448572978</v>
      </c>
      <c r="Q19" s="4">
        <f t="shared" si="5"/>
        <v>0.38173527406162078</v>
      </c>
      <c r="R19" s="2">
        <f t="shared" si="6"/>
        <v>0.63482266897145956</v>
      </c>
      <c r="S19" s="2">
        <f t="shared" si="7"/>
        <v>0.76347054812324155</v>
      </c>
      <c r="T19" s="42">
        <v>0.76300000000000001</v>
      </c>
      <c r="U19" s="39">
        <f t="shared" si="8"/>
        <v>1.2019104504195062</v>
      </c>
      <c r="V19" s="39">
        <f t="shared" si="3"/>
        <v>1.0311929668540232</v>
      </c>
      <c r="X19"/>
      <c r="Y19" s="42">
        <v>0.76300000000000001</v>
      </c>
      <c r="AA19" s="72"/>
      <c r="AB19" s="98">
        <v>0.76300000000000001</v>
      </c>
      <c r="AC19" s="98" t="s">
        <v>239</v>
      </c>
      <c r="AD19" s="72"/>
    </row>
    <row r="20" spans="1:32" s="4" customFormat="1">
      <c r="A20" s="3" t="s">
        <v>39</v>
      </c>
      <c r="B20" s="4" t="s">
        <v>40</v>
      </c>
      <c r="C20" s="4" t="s">
        <v>34</v>
      </c>
      <c r="D20" s="11">
        <v>1</v>
      </c>
      <c r="E20" s="11">
        <v>8910.0000000000055</v>
      </c>
      <c r="F20" s="11">
        <v>1</v>
      </c>
      <c r="G20" s="11">
        <v>79</v>
      </c>
      <c r="H20" s="13">
        <v>9.7797091660187616E-2</v>
      </c>
      <c r="I20" s="13">
        <v>6.9855065471562588E-2</v>
      </c>
      <c r="J20" s="14">
        <v>27.333220699680279</v>
      </c>
      <c r="K20" s="26">
        <v>0.36588483195439397</v>
      </c>
      <c r="L20" s="15">
        <v>4.6314535690429618E-3</v>
      </c>
      <c r="M20" s="2">
        <f t="shared" si="0"/>
        <v>0.18294241597719699</v>
      </c>
      <c r="N20" s="47">
        <f t="shared" si="1"/>
        <v>0.36588483195439397</v>
      </c>
      <c r="O20" s="37">
        <f t="shared" si="2"/>
        <v>0</v>
      </c>
      <c r="P20" s="4">
        <f t="shared" si="4"/>
        <v>0.20529788687156453</v>
      </c>
      <c r="Q20" s="4">
        <f t="shared" si="5"/>
        <v>0.24690184815284688</v>
      </c>
      <c r="R20" s="2">
        <f t="shared" si="6"/>
        <v>0.41059577374312906</v>
      </c>
      <c r="S20" s="2">
        <f t="shared" si="7"/>
        <v>0.49380369630569376</v>
      </c>
      <c r="T20" s="42">
        <v>0.49399999999999999</v>
      </c>
      <c r="U20" s="39">
        <f t="shared" si="8"/>
        <v>1.2031297728579375</v>
      </c>
      <c r="V20" s="39">
        <f t="shared" si="3"/>
        <v>1.3501516238354889</v>
      </c>
      <c r="X20"/>
      <c r="Y20" s="42">
        <v>0.49399999999999999</v>
      </c>
      <c r="AA20" s="72"/>
      <c r="AB20" s="98">
        <v>0.49399999999999999</v>
      </c>
      <c r="AC20" s="98" t="s">
        <v>239</v>
      </c>
      <c r="AD20" s="72"/>
    </row>
    <row r="21" spans="1:32" ht="16" thickBot="1">
      <c r="A21" s="64" t="s">
        <v>203</v>
      </c>
      <c r="D21"/>
      <c r="E21"/>
      <c r="F21"/>
      <c r="G21"/>
      <c r="H21"/>
      <c r="I21"/>
      <c r="J21"/>
      <c r="K21"/>
      <c r="L21"/>
      <c r="N21"/>
      <c r="W21" s="65">
        <v>2.8000000000000001E-2</v>
      </c>
      <c r="Y21" s="65">
        <v>2.8000000000000001E-2</v>
      </c>
      <c r="AB21" s="95">
        <v>2.8000000000000001E-2</v>
      </c>
      <c r="AC21" s="98" t="s">
        <v>239</v>
      </c>
    </row>
    <row r="22" spans="1:32" ht="16" thickBot="1">
      <c r="A22" s="64" t="s">
        <v>204</v>
      </c>
      <c r="D22"/>
      <c r="E22"/>
      <c r="F22"/>
      <c r="G22"/>
      <c r="H22"/>
      <c r="I22"/>
      <c r="J22"/>
      <c r="K22"/>
      <c r="L22"/>
      <c r="N22"/>
      <c r="W22" s="65">
        <v>6.1000000000000004E-3</v>
      </c>
      <c r="Y22" s="65">
        <v>6.1000000000000004E-3</v>
      </c>
      <c r="AB22" s="95">
        <v>6.1000000000000004E-3</v>
      </c>
      <c r="AC22" s="98" t="s">
        <v>239</v>
      </c>
    </row>
    <row r="23" spans="1:32" s="31" customFormat="1" ht="16" thickBot="1">
      <c r="A23" s="30" t="s">
        <v>108</v>
      </c>
      <c r="B23" s="31" t="s">
        <v>109</v>
      </c>
      <c r="C23" s="31" t="s">
        <v>99</v>
      </c>
      <c r="D23" s="32">
        <v>1</v>
      </c>
      <c r="E23" s="32">
        <v>1585</v>
      </c>
      <c r="F23" s="32">
        <v>1</v>
      </c>
      <c r="G23" s="32">
        <v>20</v>
      </c>
      <c r="H23" s="33">
        <v>4.2897696494642021E-2</v>
      </c>
      <c r="I23" s="33">
        <v>3.0641211781887161E-2</v>
      </c>
      <c r="J23" s="34">
        <v>38.539905648590619</v>
      </c>
      <c r="K23" s="35">
        <v>4.353999175136658E-2</v>
      </c>
      <c r="L23" s="36">
        <v>2.1769995875683288E-3</v>
      </c>
      <c r="M23" s="38">
        <f t="shared" si="0"/>
        <v>2.176999587568329E-2</v>
      </c>
      <c r="N23" s="48">
        <f t="shared" si="1"/>
        <v>4.353999175136658E-2</v>
      </c>
      <c r="O23" s="40">
        <f t="shared" si="2"/>
        <v>0</v>
      </c>
      <c r="P23" s="31">
        <f t="shared" si="4"/>
        <v>2.6377490795297623E-2</v>
      </c>
      <c r="Q23" s="31">
        <f t="shared" si="5"/>
        <v>3.1722933568566376E-2</v>
      </c>
      <c r="R23" s="38">
        <f t="shared" si="6"/>
        <v>5.2754981590595246E-2</v>
      </c>
      <c r="S23" s="2">
        <f t="shared" si="7"/>
        <v>6.3445867137132753E-2</v>
      </c>
      <c r="T23" s="43"/>
      <c r="U23" s="38">
        <f t="shared" si="8"/>
        <v>0</v>
      </c>
      <c r="V23" s="38">
        <f t="shared" si="3"/>
        <v>0</v>
      </c>
      <c r="W23" s="65">
        <v>6.3E-2</v>
      </c>
      <c r="X23"/>
      <c r="Y23" s="65">
        <v>6.3E-2</v>
      </c>
      <c r="AA23" s="58"/>
      <c r="AB23" s="95">
        <v>6.3E-2</v>
      </c>
      <c r="AC23" s="98" t="s">
        <v>239</v>
      </c>
      <c r="AD23" s="58"/>
    </row>
    <row r="24" spans="1:32" s="31" customFormat="1" ht="16" thickBot="1">
      <c r="A24" s="30" t="s">
        <v>102</v>
      </c>
      <c r="B24" s="31" t="s">
        <v>103</v>
      </c>
      <c r="C24" s="31" t="s">
        <v>104</v>
      </c>
      <c r="D24" s="32">
        <v>1</v>
      </c>
      <c r="E24" s="32">
        <v>248</v>
      </c>
      <c r="F24" s="32">
        <v>1</v>
      </c>
      <c r="G24" s="32">
        <v>5</v>
      </c>
      <c r="H24" s="33">
        <v>9.5351791253694522E-3</v>
      </c>
      <c r="I24" s="33">
        <v>6.8108422324067519E-3</v>
      </c>
      <c r="J24" s="34">
        <v>55.746882635785354</v>
      </c>
      <c r="K24" s="35">
        <v>6.9164450888737424E-4</v>
      </c>
      <c r="L24" s="36">
        <v>1.3832890177747486E-4</v>
      </c>
      <c r="M24" s="38">
        <f t="shared" si="0"/>
        <v>3.4582225444368712E-4</v>
      </c>
      <c r="N24" s="48">
        <f t="shared" si="1"/>
        <v>6.9164450888737424E-4</v>
      </c>
      <c r="O24" s="40">
        <f t="shared" si="2"/>
        <v>0</v>
      </c>
      <c r="P24" s="31">
        <f t="shared" si="4"/>
        <v>6.2373733559024566E-4</v>
      </c>
      <c r="Q24" s="31">
        <f t="shared" si="5"/>
        <v>7.5013875333022157E-4</v>
      </c>
      <c r="R24" s="38">
        <f t="shared" si="6"/>
        <v>1.2474746711804913E-3</v>
      </c>
      <c r="S24" s="2">
        <f t="shared" si="7"/>
        <v>1.5002775066604431E-3</v>
      </c>
      <c r="T24" s="43"/>
      <c r="U24" s="38">
        <f t="shared" si="8"/>
        <v>0</v>
      </c>
      <c r="V24" s="38">
        <f t="shared" si="3"/>
        <v>0</v>
      </c>
      <c r="W24" s="65">
        <v>1.2999999999999999E-3</v>
      </c>
      <c r="X24"/>
      <c r="Y24" s="65">
        <v>1.2999999999999999E-3</v>
      </c>
      <c r="AA24" s="58"/>
      <c r="AB24" s="95">
        <v>1.2999999999999999E-3</v>
      </c>
      <c r="AC24" s="98" t="s">
        <v>239</v>
      </c>
      <c r="AD24" s="58"/>
    </row>
    <row r="25" spans="1:32" s="4" customFormat="1" ht="16" thickBot="1">
      <c r="A25" s="3" t="s">
        <v>75</v>
      </c>
      <c r="B25" s="4" t="s">
        <v>76</v>
      </c>
      <c r="C25" s="4" t="s">
        <v>77</v>
      </c>
      <c r="D25" s="11">
        <v>3</v>
      </c>
      <c r="E25" s="11">
        <v>145200</v>
      </c>
      <c r="F25" s="11">
        <v>1</v>
      </c>
      <c r="G25" s="11">
        <v>461.00000000000006</v>
      </c>
      <c r="H25" s="13">
        <v>0.21659564818368393</v>
      </c>
      <c r="I25" s="13">
        <v>0.15471117727405995</v>
      </c>
      <c r="J25" s="14">
        <v>15.685021361116771</v>
      </c>
      <c r="K25" s="26">
        <v>2.2809201029872086</v>
      </c>
      <c r="L25" s="15">
        <v>4.9477659500807118E-3</v>
      </c>
      <c r="M25" s="2">
        <f t="shared" si="0"/>
        <v>1.1404600514936043</v>
      </c>
      <c r="N25" s="47">
        <f t="shared" si="1"/>
        <v>2.2809201029872086</v>
      </c>
      <c r="O25" s="37">
        <f t="shared" si="2"/>
        <v>0</v>
      </c>
      <c r="P25" s="4">
        <f t="shared" si="4"/>
        <v>1.4867594531225981</v>
      </c>
      <c r="Q25" s="4">
        <f t="shared" si="5"/>
        <v>1.7880537512026866</v>
      </c>
      <c r="R25" s="2">
        <f t="shared" si="6"/>
        <v>2.9735189062451961</v>
      </c>
      <c r="S25" s="2">
        <f t="shared" si="7"/>
        <v>3.5761075024053732</v>
      </c>
      <c r="T25" s="42">
        <v>2.97</v>
      </c>
      <c r="U25" s="39">
        <f t="shared" si="8"/>
        <v>0.99881658521228656</v>
      </c>
      <c r="V25" s="39">
        <f t="shared" si="3"/>
        <v>1.3021061088945367</v>
      </c>
      <c r="W25" s="63">
        <v>2.9319999999999999</v>
      </c>
      <c r="X25" s="45">
        <f t="shared" si="9"/>
        <v>-3.8000000000000256E-2</v>
      </c>
      <c r="Y25" s="42">
        <v>2.97</v>
      </c>
      <c r="AA25" s="72"/>
      <c r="AB25" s="98">
        <v>2.97</v>
      </c>
      <c r="AC25" s="98" t="s">
        <v>239</v>
      </c>
      <c r="AD25" s="72"/>
    </row>
    <row r="26" spans="1:32" s="4" customFormat="1" ht="19" customHeight="1" thickBot="1">
      <c r="A26" s="3" t="s">
        <v>78</v>
      </c>
      <c r="B26" s="4" t="s">
        <v>79</v>
      </c>
      <c r="C26" s="4" t="s">
        <v>77</v>
      </c>
      <c r="D26" s="11">
        <v>7</v>
      </c>
      <c r="E26" s="11">
        <v>70000.000000000073</v>
      </c>
      <c r="F26" s="11">
        <v>3</v>
      </c>
      <c r="G26" s="11">
        <v>1186</v>
      </c>
      <c r="H26" s="13">
        <v>0.30719001539106372</v>
      </c>
      <c r="I26" s="13">
        <v>0.21942143956504553</v>
      </c>
      <c r="J26" s="14">
        <v>18.136018961674147</v>
      </c>
      <c r="K26" s="26">
        <v>7.5238309145183599</v>
      </c>
      <c r="L26" s="15">
        <v>6.3438709228653967E-3</v>
      </c>
      <c r="M26" s="2">
        <f t="shared" si="0"/>
        <v>3.76191545725918</v>
      </c>
      <c r="N26" s="47">
        <f t="shared" si="1"/>
        <v>7.5238309145183599</v>
      </c>
      <c r="O26" s="37">
        <f t="shared" si="2"/>
        <v>0</v>
      </c>
      <c r="P26" s="4">
        <f t="shared" si="4"/>
        <v>3.5490862819329614</v>
      </c>
      <c r="Q26" s="4">
        <f t="shared" si="5"/>
        <v>4.2683145726257194</v>
      </c>
      <c r="R26" s="2">
        <f t="shared" si="6"/>
        <v>7.0981725638659228</v>
      </c>
      <c r="S26" s="2">
        <f t="shared" si="7"/>
        <v>8.5366291452514389</v>
      </c>
      <c r="T26" s="42">
        <v>9.66</v>
      </c>
      <c r="U26" s="39">
        <f t="shared" si="8"/>
        <v>1.3609136595488478</v>
      </c>
      <c r="V26" s="39">
        <f t="shared" si="3"/>
        <v>1.2839204003587563</v>
      </c>
      <c r="W26" s="63">
        <v>9.6199999999999992</v>
      </c>
      <c r="X26" s="45">
        <f t="shared" si="9"/>
        <v>-4.0000000000000924E-2</v>
      </c>
      <c r="Y26" s="42">
        <v>9.66</v>
      </c>
      <c r="Z26" s="4">
        <v>9.61</v>
      </c>
      <c r="AA26" s="69" t="s">
        <v>220</v>
      </c>
      <c r="AB26" s="97">
        <v>9.61</v>
      </c>
      <c r="AC26" s="97" t="s">
        <v>238</v>
      </c>
      <c r="AD26" s="69" t="s">
        <v>78</v>
      </c>
      <c r="AE26" s="4">
        <v>43.98</v>
      </c>
      <c r="AF26" s="4">
        <v>53.25</v>
      </c>
    </row>
    <row r="27" spans="1:32" s="31" customFormat="1">
      <c r="A27" s="30" t="s">
        <v>84</v>
      </c>
      <c r="B27" s="31" t="s">
        <v>85</v>
      </c>
      <c r="C27" s="31" t="s">
        <v>86</v>
      </c>
      <c r="D27" s="32">
        <v>1</v>
      </c>
      <c r="E27" s="32">
        <v>5880.0000000000055</v>
      </c>
      <c r="F27" s="32">
        <v>1</v>
      </c>
      <c r="G27" s="32">
        <v>115.00000000000011</v>
      </c>
      <c r="H27" s="33">
        <v>0.11298429169810775</v>
      </c>
      <c r="I27" s="33">
        <v>8.0703065498648405E-2</v>
      </c>
      <c r="J27" s="34">
        <v>29.69001269257998</v>
      </c>
      <c r="K27" s="35">
        <v>0.61283048925407002</v>
      </c>
      <c r="L27" s="36">
        <v>5.3289607761223424E-3</v>
      </c>
      <c r="M27" s="38">
        <f t="shared" si="0"/>
        <v>0.30641524462703501</v>
      </c>
      <c r="N27" s="48">
        <f t="shared" si="1"/>
        <v>0.61283048925407002</v>
      </c>
      <c r="O27" s="40">
        <f t="shared" si="2"/>
        <v>0</v>
      </c>
      <c r="P27" s="31">
        <f t="shared" si="4"/>
        <v>0.29409515984033008</v>
      </c>
      <c r="Q27" s="31">
        <f t="shared" si="5"/>
        <v>0.35369403749786937</v>
      </c>
      <c r="R27" s="38">
        <f t="shared" si="6"/>
        <v>0.58819031968066016</v>
      </c>
      <c r="S27" s="2">
        <f t="shared" si="7"/>
        <v>0.70738807499573875</v>
      </c>
      <c r="T27" s="43"/>
      <c r="U27" s="38">
        <f t="shared" si="8"/>
        <v>0</v>
      </c>
      <c r="V27" s="38">
        <f t="shared" si="3"/>
        <v>0</v>
      </c>
      <c r="X27"/>
      <c r="Y27" s="43"/>
      <c r="AA27" s="58"/>
      <c r="AB27" s="98"/>
      <c r="AC27" s="98" t="s">
        <v>239</v>
      </c>
      <c r="AD27" s="58"/>
    </row>
    <row r="28" spans="1:32" s="4" customFormat="1" ht="16" thickBot="1">
      <c r="A28" s="3" t="s">
        <v>87</v>
      </c>
      <c r="B28" s="4" t="s">
        <v>88</v>
      </c>
      <c r="C28" s="4" t="s">
        <v>86</v>
      </c>
      <c r="D28" s="11">
        <v>2</v>
      </c>
      <c r="E28" s="11">
        <v>5620.0000000000045</v>
      </c>
      <c r="F28" s="11">
        <v>1</v>
      </c>
      <c r="G28" s="11">
        <v>102.50000000000001</v>
      </c>
      <c r="H28" s="13">
        <v>0.10938142259070387</v>
      </c>
      <c r="I28" s="13">
        <v>7.812958756478848E-2</v>
      </c>
      <c r="J28" s="14">
        <v>29.958422711427772</v>
      </c>
      <c r="K28" s="26">
        <v>0.56108082288590611</v>
      </c>
      <c r="L28" s="15">
        <v>5.4739592476673758E-3</v>
      </c>
      <c r="M28" s="2">
        <f t="shared" si="0"/>
        <v>0.28054041144295305</v>
      </c>
      <c r="N28" s="47">
        <f t="shared" si="1"/>
        <v>0.56108082288590611</v>
      </c>
      <c r="O28" s="37">
        <f t="shared" si="2"/>
        <v>0</v>
      </c>
      <c r="P28" s="4">
        <f t="shared" si="4"/>
        <v>0.2712953638492589</v>
      </c>
      <c r="Q28" s="4">
        <f t="shared" si="5"/>
        <v>0.32627382458927245</v>
      </c>
      <c r="R28" s="2">
        <f t="shared" si="6"/>
        <v>0.54259072769851779</v>
      </c>
      <c r="S28" s="2">
        <f t="shared" si="7"/>
        <v>0.65254764917854491</v>
      </c>
      <c r="T28" s="42">
        <v>0.79800000000000004</v>
      </c>
      <c r="U28" s="39">
        <f t="shared" si="8"/>
        <v>1.4707217784292776</v>
      </c>
      <c r="V28" s="39">
        <f t="shared" si="3"/>
        <v>1.4222549897455159</v>
      </c>
      <c r="W28" s="65">
        <v>0.78800000000000003</v>
      </c>
      <c r="X28" s="45">
        <f t="shared" si="9"/>
        <v>-1.0000000000000009E-2</v>
      </c>
      <c r="Y28" s="42">
        <v>0.79800000000000004</v>
      </c>
      <c r="AA28" s="72"/>
      <c r="AB28" s="98">
        <v>0.79800000000000004</v>
      </c>
      <c r="AC28" s="98" t="s">
        <v>239</v>
      </c>
      <c r="AD28" s="72"/>
    </row>
    <row r="29" spans="1:32" s="4" customFormat="1">
      <c r="A29" s="3" t="s">
        <v>89</v>
      </c>
      <c r="B29" s="4" t="s">
        <v>90</v>
      </c>
      <c r="C29" s="4" t="s">
        <v>86</v>
      </c>
      <c r="D29" s="11">
        <v>1</v>
      </c>
      <c r="E29" s="11">
        <v>11900.000000000018</v>
      </c>
      <c r="F29" s="11">
        <v>1</v>
      </c>
      <c r="G29" s="11">
        <v>119.99999999999997</v>
      </c>
      <c r="H29" s="13">
        <v>0.14482564164367834</v>
      </c>
      <c r="I29" s="13">
        <v>0.10344688688834168</v>
      </c>
      <c r="J29" s="14">
        <v>25.803738132168313</v>
      </c>
      <c r="K29" s="26">
        <v>1.1217466685151654</v>
      </c>
      <c r="L29" s="15">
        <v>9.3478889042930471E-3</v>
      </c>
      <c r="M29" s="2">
        <f t="shared" si="0"/>
        <v>0.56087333425758268</v>
      </c>
      <c r="N29" s="47">
        <f t="shared" si="1"/>
        <v>1.1217466685151654</v>
      </c>
      <c r="O29" s="37">
        <f t="shared" si="2"/>
        <v>0</v>
      </c>
      <c r="P29" s="4">
        <f t="shared" si="4"/>
        <v>0.54573032593971849</v>
      </c>
      <c r="Q29" s="4">
        <f t="shared" si="5"/>
        <v>0.65632349227182929</v>
      </c>
      <c r="R29" s="2">
        <f t="shared" si="6"/>
        <v>1.091460651879437</v>
      </c>
      <c r="S29" s="2">
        <f t="shared" si="7"/>
        <v>1.3126469845436586</v>
      </c>
      <c r="T29" s="42">
        <v>1.3129999999999999</v>
      </c>
      <c r="U29" s="39">
        <f t="shared" si="8"/>
        <v>1.2029751120565675</v>
      </c>
      <c r="V29" s="39">
        <f t="shared" si="3"/>
        <v>1.1704960102426629</v>
      </c>
      <c r="X29"/>
      <c r="Y29" s="42">
        <v>1.3129999999999999</v>
      </c>
      <c r="AA29" s="72"/>
      <c r="AB29" s="98">
        <v>1.3129999999999999</v>
      </c>
      <c r="AC29" s="98" t="s">
        <v>239</v>
      </c>
      <c r="AD29" s="72"/>
    </row>
    <row r="30" spans="1:32" ht="16" thickBot="1">
      <c r="A30" s="64" t="s">
        <v>205</v>
      </c>
      <c r="D30"/>
      <c r="E30"/>
      <c r="F30"/>
      <c r="G30"/>
      <c r="H30"/>
      <c r="I30"/>
      <c r="J30"/>
      <c r="K30"/>
      <c r="L30"/>
      <c r="N30"/>
      <c r="W30" s="65">
        <v>1.4999999999999999E-2</v>
      </c>
      <c r="Y30" s="65">
        <v>1.4999999999999999E-2</v>
      </c>
      <c r="AB30" s="95">
        <v>1.4999999999999999E-2</v>
      </c>
      <c r="AC30" s="98" t="s">
        <v>239</v>
      </c>
    </row>
    <row r="31" spans="1:32" s="4" customFormat="1" ht="16" thickBot="1">
      <c r="A31" s="3" t="s">
        <v>28</v>
      </c>
      <c r="B31" s="4" t="s">
        <v>29</v>
      </c>
      <c r="C31" s="4" t="s">
        <v>27</v>
      </c>
      <c r="D31" s="11">
        <v>1</v>
      </c>
      <c r="E31" s="11">
        <v>7280.0000000000082</v>
      </c>
      <c r="F31" s="11">
        <v>1</v>
      </c>
      <c r="G31" s="11">
        <v>110.00000000000004</v>
      </c>
      <c r="H31" s="13">
        <v>0.12756705381076874</v>
      </c>
      <c r="I31" s="13">
        <v>9.1119324150549103E-2</v>
      </c>
      <c r="J31" s="14">
        <v>28.454589632481493</v>
      </c>
      <c r="K31" s="26">
        <v>0.84536386863493651</v>
      </c>
      <c r="L31" s="15">
        <v>7.6851260784994201E-3</v>
      </c>
      <c r="M31" s="2">
        <f t="shared" si="0"/>
        <v>0.42268193431746826</v>
      </c>
      <c r="N31" s="47">
        <f t="shared" si="1"/>
        <v>0.84536386863493651</v>
      </c>
      <c r="O31" s="37">
        <f t="shared" si="2"/>
        <v>0</v>
      </c>
      <c r="P31" s="4">
        <f t="shared" si="4"/>
        <v>0.39788889465506899</v>
      </c>
      <c r="Q31" s="4">
        <f t="shared" si="5"/>
        <v>0.47852174684724941</v>
      </c>
      <c r="R31" s="2">
        <f t="shared" si="6"/>
        <v>0.79577778931013798</v>
      </c>
      <c r="S31" s="2">
        <f t="shared" si="7"/>
        <v>0.95704349369449881</v>
      </c>
      <c r="T31" s="42">
        <v>0.95699999999999996</v>
      </c>
      <c r="U31" s="39">
        <f t="shared" si="8"/>
        <v>1.2025970225050211</v>
      </c>
      <c r="V31" s="39">
        <f t="shared" si="3"/>
        <v>1.1320568994098712</v>
      </c>
      <c r="W31" s="63">
        <v>0.95699999999999996</v>
      </c>
      <c r="X31" s="45"/>
      <c r="Y31" s="42">
        <v>0.95699999999999996</v>
      </c>
      <c r="AA31" s="72"/>
      <c r="AB31" s="98">
        <v>0.95699999999999996</v>
      </c>
      <c r="AC31" s="98" t="s">
        <v>239</v>
      </c>
      <c r="AD31" s="72"/>
    </row>
    <row r="32" spans="1:32" s="31" customFormat="1" ht="16" thickBot="1">
      <c r="A32" s="30" t="s">
        <v>100</v>
      </c>
      <c r="B32" s="31" t="s">
        <v>101</v>
      </c>
      <c r="C32" s="31" t="s">
        <v>99</v>
      </c>
      <c r="D32" s="32">
        <v>2</v>
      </c>
      <c r="E32" s="32">
        <v>2210</v>
      </c>
      <c r="F32" s="32">
        <v>1</v>
      </c>
      <c r="G32" s="32">
        <v>23</v>
      </c>
      <c r="H32" s="33">
        <v>3.2613613085014273E-2</v>
      </c>
      <c r="I32" s="33">
        <v>2.329543791786734E-2</v>
      </c>
      <c r="J32" s="34">
        <v>36.07301220137937</v>
      </c>
      <c r="K32" s="35">
        <v>1.7908323506944178E-2</v>
      </c>
      <c r="L32" s="36">
        <v>7.7862276117148595E-4</v>
      </c>
      <c r="M32" s="38">
        <f t="shared" si="0"/>
        <v>8.954161753472089E-3</v>
      </c>
      <c r="N32" s="48">
        <f t="shared" si="1"/>
        <v>1.7908323506944178E-2</v>
      </c>
      <c r="O32" s="40">
        <f t="shared" si="2"/>
        <v>0</v>
      </c>
      <c r="P32" s="31">
        <f t="shared" si="4"/>
        <v>1.3330185305848801E-2</v>
      </c>
      <c r="Q32" s="31">
        <f t="shared" si="5"/>
        <v>1.6031569727227718E-2</v>
      </c>
      <c r="R32" s="38">
        <f t="shared" si="6"/>
        <v>2.6660370611697602E-2</v>
      </c>
      <c r="S32" s="2">
        <f t="shared" si="7"/>
        <v>3.2063139454455436E-2</v>
      </c>
      <c r="T32" s="43"/>
      <c r="U32" s="38">
        <f t="shared" si="8"/>
        <v>0</v>
      </c>
      <c r="V32" s="38">
        <f t="shared" si="3"/>
        <v>0</v>
      </c>
      <c r="W32" s="63">
        <v>1.7000000000000001E-2</v>
      </c>
      <c r="X32"/>
      <c r="Y32" s="63">
        <v>1.7000000000000001E-2</v>
      </c>
      <c r="AA32" s="58"/>
      <c r="AB32" s="95">
        <v>1.7000000000000001E-2</v>
      </c>
      <c r="AC32" s="98" t="s">
        <v>239</v>
      </c>
      <c r="AD32" s="58"/>
    </row>
    <row r="33" spans="1:30" s="4" customFormat="1">
      <c r="A33" s="3" t="s">
        <v>23</v>
      </c>
      <c r="B33" s="4" t="s">
        <v>24</v>
      </c>
      <c r="C33" s="4" t="s">
        <v>20</v>
      </c>
      <c r="D33" s="11">
        <v>1</v>
      </c>
      <c r="E33" s="11">
        <v>620.00000000000023</v>
      </c>
      <c r="F33" s="11">
        <v>1</v>
      </c>
      <c r="G33" s="11">
        <v>12.000000000000005</v>
      </c>
      <c r="H33" s="13">
        <v>4.3423336772442853E-2</v>
      </c>
      <c r="I33" s="13">
        <v>3.1016669123173468E-2</v>
      </c>
      <c r="J33" s="14">
        <v>46.454792541431154</v>
      </c>
      <c r="K33" s="26">
        <v>5.4434706052140368E-2</v>
      </c>
      <c r="L33" s="15">
        <v>4.5362255043450289E-3</v>
      </c>
      <c r="M33" s="2">
        <f t="shared" si="0"/>
        <v>2.7217353026070184E-2</v>
      </c>
      <c r="N33" s="47">
        <f t="shared" si="1"/>
        <v>5.4434706052140368E-2</v>
      </c>
      <c r="O33" s="37">
        <f t="shared" si="2"/>
        <v>0</v>
      </c>
      <c r="P33" s="4">
        <f t="shared" si="4"/>
        <v>2.7189651396650531E-2</v>
      </c>
      <c r="Q33" s="4">
        <f t="shared" si="5"/>
        <v>3.2699679878655817E-2</v>
      </c>
      <c r="R33" s="2">
        <f t="shared" si="6"/>
        <v>5.4379302793301061E-2</v>
      </c>
      <c r="S33" s="2">
        <f t="shared" si="7"/>
        <v>6.5399359757311634E-2</v>
      </c>
      <c r="T33" s="42">
        <v>6.5000000000000002E-2</v>
      </c>
      <c r="U33" s="39">
        <f t="shared" si="8"/>
        <v>1.195307711962929</v>
      </c>
      <c r="V33" s="39">
        <f t="shared" si="3"/>
        <v>1.1940911362273114</v>
      </c>
      <c r="X33"/>
      <c r="Y33" s="42">
        <v>6.5000000000000002E-2</v>
      </c>
      <c r="AA33" s="72"/>
      <c r="AB33" s="98">
        <v>6.5000000000000002E-2</v>
      </c>
      <c r="AC33" s="98" t="s">
        <v>239</v>
      </c>
      <c r="AD33" s="72"/>
    </row>
    <row r="34" spans="1:30" ht="16" thickBot="1">
      <c r="A34" s="64" t="s">
        <v>206</v>
      </c>
      <c r="D34"/>
      <c r="E34"/>
      <c r="F34"/>
      <c r="G34"/>
      <c r="H34"/>
      <c r="I34"/>
      <c r="J34"/>
      <c r="K34"/>
      <c r="L34"/>
      <c r="N34"/>
      <c r="W34" s="65">
        <v>2.2000000000000001E-3</v>
      </c>
      <c r="Y34" s="65">
        <v>2.2000000000000001E-3</v>
      </c>
      <c r="AB34" s="95">
        <v>2.2000000000000001E-3</v>
      </c>
      <c r="AC34" s="98" t="s">
        <v>239</v>
      </c>
    </row>
    <row r="35" spans="1:30" s="4" customFormat="1" ht="16" thickBot="1">
      <c r="A35" s="3" t="s">
        <v>41</v>
      </c>
      <c r="B35" s="4" t="s">
        <v>42</v>
      </c>
      <c r="C35" s="4" t="s">
        <v>34</v>
      </c>
      <c r="D35" s="11">
        <v>2</v>
      </c>
      <c r="E35" s="11">
        <v>7135.0000000000073</v>
      </c>
      <c r="F35" s="11">
        <v>1</v>
      </c>
      <c r="G35" s="11">
        <v>98.000000000000043</v>
      </c>
      <c r="H35" s="13">
        <v>0.12382846157018941</v>
      </c>
      <c r="I35" s="13">
        <v>8.8448901121563867E-2</v>
      </c>
      <c r="J35" s="14">
        <v>28.568738882946228</v>
      </c>
      <c r="K35" s="26">
        <v>0.776297665792409</v>
      </c>
      <c r="L35" s="15">
        <v>7.9214047529837621E-3</v>
      </c>
      <c r="M35" s="2">
        <f t="shared" si="0"/>
        <v>0.3881488328962045</v>
      </c>
      <c r="N35" s="47">
        <f t="shared" si="1"/>
        <v>0.776297665792409</v>
      </c>
      <c r="O35" s="37">
        <f t="shared" si="2"/>
        <v>0</v>
      </c>
      <c r="P35" s="4">
        <f t="shared" si="4"/>
        <v>0.36948420528035297</v>
      </c>
      <c r="Q35" s="4">
        <f t="shared" si="5"/>
        <v>0.44436079950533935</v>
      </c>
      <c r="R35" s="2">
        <f t="shared" si="6"/>
        <v>0.73896841056070595</v>
      </c>
      <c r="S35" s="2">
        <f t="shared" si="7"/>
        <v>0.88872159901067871</v>
      </c>
      <c r="T35" s="42">
        <v>0.73899999999999999</v>
      </c>
      <c r="U35" s="39">
        <f t="shared" si="8"/>
        <v>1.0000427480239245</v>
      </c>
      <c r="V35" s="39">
        <f t="shared" si="3"/>
        <v>0.95195442748840775</v>
      </c>
      <c r="W35" s="63">
        <v>0.73</v>
      </c>
      <c r="X35" s="45">
        <f t="shared" si="9"/>
        <v>-9.000000000000008E-3</v>
      </c>
      <c r="Y35" s="42">
        <v>0.73899999999999999</v>
      </c>
      <c r="AA35" s="72"/>
      <c r="AB35" s="98">
        <v>0.73899999999999999</v>
      </c>
      <c r="AC35" s="98" t="s">
        <v>239</v>
      </c>
      <c r="AD35" s="72"/>
    </row>
    <row r="36" spans="1:30" s="31" customFormat="1" ht="16" thickBot="1">
      <c r="A36" s="30" t="s">
        <v>92</v>
      </c>
      <c r="B36" s="31" t="s">
        <v>93</v>
      </c>
      <c r="C36" s="31" t="s">
        <v>94</v>
      </c>
      <c r="D36" s="32">
        <v>1</v>
      </c>
      <c r="E36" s="32">
        <v>231</v>
      </c>
      <c r="F36" s="32">
        <v>1</v>
      </c>
      <c r="G36" s="32">
        <v>4</v>
      </c>
      <c r="H36" s="33">
        <v>1.460838559372297E-2</v>
      </c>
      <c r="I36" s="33">
        <v>1.0434561138373551E-2</v>
      </c>
      <c r="J36" s="34">
        <v>56.540245144259011</v>
      </c>
      <c r="K36" s="35">
        <v>2.5225520543826502E-3</v>
      </c>
      <c r="L36" s="36">
        <v>6.3063801359566256E-4</v>
      </c>
      <c r="M36" s="38">
        <f t="shared" si="0"/>
        <v>1.2612760271913251E-3</v>
      </c>
      <c r="N36" s="48">
        <f t="shared" si="1"/>
        <v>2.5225520543826502E-3</v>
      </c>
      <c r="O36" s="40">
        <f t="shared" si="2"/>
        <v>0</v>
      </c>
      <c r="P36" s="31">
        <f t="shared" si="4"/>
        <v>1.804398371034029E-3</v>
      </c>
      <c r="Q36" s="31">
        <f t="shared" si="5"/>
        <v>2.1700627288531345E-3</v>
      </c>
      <c r="R36" s="38">
        <f t="shared" si="6"/>
        <v>3.6087967420680581E-3</v>
      </c>
      <c r="S36" s="2">
        <f t="shared" si="7"/>
        <v>4.340125457706269E-3</v>
      </c>
      <c r="T36" s="43"/>
      <c r="U36" s="38">
        <f t="shared" si="8"/>
        <v>0</v>
      </c>
      <c r="V36" s="38">
        <f t="shared" si="3"/>
        <v>0</v>
      </c>
      <c r="W36" s="65">
        <v>3.2000000000000002E-3</v>
      </c>
      <c r="X36"/>
      <c r="Y36" s="65">
        <v>3.2000000000000002E-3</v>
      </c>
      <c r="AA36" s="58"/>
      <c r="AB36" s="95">
        <v>3.2000000000000002E-3</v>
      </c>
      <c r="AC36" s="98" t="s">
        <v>239</v>
      </c>
      <c r="AD36" s="58"/>
    </row>
    <row r="37" spans="1:30" s="4" customFormat="1">
      <c r="A37" s="3" t="s">
        <v>43</v>
      </c>
      <c r="B37" s="4" t="s">
        <v>44</v>
      </c>
      <c r="C37" s="4" t="s">
        <v>34</v>
      </c>
      <c r="D37" s="11">
        <v>5</v>
      </c>
      <c r="E37" s="11">
        <v>4475.0000000000009</v>
      </c>
      <c r="F37" s="11">
        <v>1</v>
      </c>
      <c r="G37" s="11">
        <v>53.800000000000011</v>
      </c>
      <c r="H37" s="13">
        <v>9.8101742090313054E-2</v>
      </c>
      <c r="I37" s="13">
        <v>7.0072672921652188E-2</v>
      </c>
      <c r="J37" s="14">
        <v>31.347914693275602</v>
      </c>
      <c r="K37" s="26">
        <v>0.42355966278165613</v>
      </c>
      <c r="L37" s="15">
        <v>7.8728561855326406E-3</v>
      </c>
      <c r="M37" s="2">
        <f t="shared" si="0"/>
        <v>0.21177983139082807</v>
      </c>
      <c r="N37" s="47">
        <f t="shared" si="1"/>
        <v>0.42355966278165613</v>
      </c>
      <c r="O37" s="37">
        <f t="shared" si="2"/>
        <v>0</v>
      </c>
      <c r="P37" s="4">
        <f t="shared" si="4"/>
        <v>0.20689401195830151</v>
      </c>
      <c r="Q37" s="4">
        <f t="shared" si="5"/>
        <v>0.2488214306668409</v>
      </c>
      <c r="R37" s="2">
        <f t="shared" si="6"/>
        <v>0.41378802391660302</v>
      </c>
      <c r="S37" s="2">
        <f t="shared" si="7"/>
        <v>0.4976428613336818</v>
      </c>
      <c r="T37" s="42">
        <v>0.54400000000000004</v>
      </c>
      <c r="U37" s="39">
        <f t="shared" si="8"/>
        <v>1.3146828051012918</v>
      </c>
      <c r="V37" s="39">
        <f t="shared" si="3"/>
        <v>1.2843527082521797</v>
      </c>
      <c r="X37"/>
      <c r="Y37" s="42">
        <v>0.54400000000000004</v>
      </c>
      <c r="AA37" s="72"/>
      <c r="AB37" s="98">
        <v>0.54400000000000004</v>
      </c>
      <c r="AC37" s="98" t="s">
        <v>239</v>
      </c>
      <c r="AD37" s="72" t="s">
        <v>229</v>
      </c>
    </row>
    <row r="38" spans="1:30" s="4" customFormat="1">
      <c r="A38" s="3" t="s">
        <v>45</v>
      </c>
      <c r="B38" s="4" t="s">
        <v>46</v>
      </c>
      <c r="C38" s="4" t="s">
        <v>34</v>
      </c>
      <c r="D38" s="11">
        <v>4</v>
      </c>
      <c r="E38" s="11">
        <v>9720.0000000000018</v>
      </c>
      <c r="F38" s="11">
        <v>1</v>
      </c>
      <c r="G38" s="11">
        <v>105.00000000000006</v>
      </c>
      <c r="H38" s="13">
        <v>0.14300675648410832</v>
      </c>
      <c r="I38" s="13">
        <v>0.10214768320293452</v>
      </c>
      <c r="J38" s="14">
        <v>26.864012719788068</v>
      </c>
      <c r="K38" s="26">
        <v>1.1243883388785854</v>
      </c>
      <c r="L38" s="15">
        <v>1.0708460370272236E-2</v>
      </c>
      <c r="M38" s="2">
        <f t="shared" si="0"/>
        <v>0.56219416943929268</v>
      </c>
      <c r="N38" s="47">
        <f t="shared" si="1"/>
        <v>1.1243883388785854</v>
      </c>
      <c r="O38" s="37">
        <f t="shared" si="2"/>
        <v>0</v>
      </c>
      <c r="P38" s="4">
        <f t="shared" si="4"/>
        <v>0.52882346229225186</v>
      </c>
      <c r="Q38" s="4">
        <f t="shared" si="5"/>
        <v>0.63599042433509456</v>
      </c>
      <c r="R38" s="2">
        <f t="shared" si="6"/>
        <v>1.0576469245845037</v>
      </c>
      <c r="S38" s="2">
        <f t="shared" si="7"/>
        <v>1.2719808486701891</v>
      </c>
      <c r="T38" s="42">
        <v>1.272</v>
      </c>
      <c r="U38" s="39">
        <f t="shared" si="8"/>
        <v>1.2026697855711204</v>
      </c>
      <c r="V38" s="39">
        <f t="shared" si="3"/>
        <v>1.131281743164142</v>
      </c>
      <c r="X38"/>
      <c r="Y38" s="42">
        <v>1.272</v>
      </c>
      <c r="AA38" s="72"/>
      <c r="AB38" s="98">
        <v>1.272</v>
      </c>
      <c r="AC38" s="98" t="s">
        <v>239</v>
      </c>
      <c r="AD38" s="72"/>
    </row>
    <row r="39" spans="1:30" s="4" customFormat="1" ht="16" thickBot="1">
      <c r="A39" s="3" t="s">
        <v>47</v>
      </c>
      <c r="B39" s="4" t="s">
        <v>48</v>
      </c>
      <c r="C39" s="4" t="s">
        <v>34</v>
      </c>
      <c r="D39" s="11">
        <v>6</v>
      </c>
      <c r="E39" s="11">
        <v>8220.0000000000146</v>
      </c>
      <c r="F39" s="11">
        <v>1</v>
      </c>
      <c r="G39" s="11">
        <v>78.2</v>
      </c>
      <c r="H39" s="13">
        <v>0.10627683986931324</v>
      </c>
      <c r="I39" s="13">
        <v>7.5912028478080887E-2</v>
      </c>
      <c r="J39" s="14">
        <v>27.775186225585109</v>
      </c>
      <c r="K39" s="26">
        <v>0.47714310765474649</v>
      </c>
      <c r="L39" s="15">
        <v>6.1015742666847379E-3</v>
      </c>
      <c r="M39" s="2">
        <f t="shared" si="0"/>
        <v>0.23857155382737325</v>
      </c>
      <c r="N39" s="47">
        <f t="shared" si="1"/>
        <v>0.47714310765474649</v>
      </c>
      <c r="O39" s="37">
        <f t="shared" si="2"/>
        <v>0</v>
      </c>
      <c r="P39" s="4">
        <f t="shared" si="4"/>
        <v>0.25252540923371875</v>
      </c>
      <c r="Q39" s="4">
        <f t="shared" si="5"/>
        <v>0.30370010717336376</v>
      </c>
      <c r="R39" s="2">
        <f t="shared" si="6"/>
        <v>0.50505081846743749</v>
      </c>
      <c r="S39" s="2">
        <f t="shared" si="7"/>
        <v>0.60740021434672753</v>
      </c>
      <c r="T39" s="42">
        <v>0.60699999999999998</v>
      </c>
      <c r="U39" s="39">
        <f t="shared" si="8"/>
        <v>1.2018592541675794</v>
      </c>
      <c r="V39" s="39">
        <f t="shared" si="3"/>
        <v>1.2721550207096692</v>
      </c>
      <c r="W39" s="63">
        <v>0.60699999999999998</v>
      </c>
      <c r="X39"/>
      <c r="Y39" s="42">
        <v>0.60699999999999998</v>
      </c>
      <c r="AA39" s="72"/>
      <c r="AB39" s="98">
        <v>0.60699999999999998</v>
      </c>
      <c r="AC39" s="98" t="s">
        <v>239</v>
      </c>
      <c r="AD39" s="72" t="s">
        <v>47</v>
      </c>
    </row>
    <row r="40" spans="1:30" s="31" customFormat="1">
      <c r="A40" s="3" t="s">
        <v>49</v>
      </c>
      <c r="B40" s="4" t="s">
        <v>50</v>
      </c>
      <c r="C40" s="4" t="s">
        <v>34</v>
      </c>
      <c r="D40" s="11">
        <v>10</v>
      </c>
      <c r="E40" s="11">
        <v>7575.0000000000064</v>
      </c>
      <c r="F40" s="11">
        <v>1</v>
      </c>
      <c r="G40" s="11">
        <v>111.5</v>
      </c>
      <c r="H40" s="13">
        <v>0.13057544898036938</v>
      </c>
      <c r="I40" s="13">
        <v>9.3268177843120997E-2</v>
      </c>
      <c r="J40" s="14">
        <v>28.230549155237863</v>
      </c>
      <c r="K40" s="26">
        <v>0.89945551391649137</v>
      </c>
      <c r="L40" s="15">
        <v>8.0668655956635995E-3</v>
      </c>
      <c r="M40" s="2">
        <f t="shared" si="0"/>
        <v>0.44972775695824568</v>
      </c>
      <c r="N40" s="47">
        <f t="shared" si="1"/>
        <v>0.89945551391649137</v>
      </c>
      <c r="O40" s="37">
        <f t="shared" si="2"/>
        <v>0</v>
      </c>
      <c r="P40" s="4">
        <f t="shared" si="4"/>
        <v>0.42166552371321298</v>
      </c>
      <c r="Q40" s="4">
        <f t="shared" si="5"/>
        <v>0.50711674968316778</v>
      </c>
      <c r="R40" s="2">
        <f t="shared" si="6"/>
        <v>0.84333104742642595</v>
      </c>
      <c r="S40" s="2">
        <f t="shared" si="7"/>
        <v>1.0142334993663356</v>
      </c>
      <c r="T40" s="42">
        <v>1.014</v>
      </c>
      <c r="U40" s="39">
        <f t="shared" si="8"/>
        <v>1.2023748006128798</v>
      </c>
      <c r="V40" s="39">
        <f t="shared" si="3"/>
        <v>1.1273486951953282</v>
      </c>
      <c r="W40" s="4"/>
      <c r="X40"/>
      <c r="Y40" s="42">
        <v>1.014</v>
      </c>
      <c r="AA40" s="58"/>
      <c r="AB40" s="98">
        <v>1.014</v>
      </c>
      <c r="AC40" s="98" t="s">
        <v>239</v>
      </c>
      <c r="AD40" s="58"/>
    </row>
    <row r="41" spans="1:30" s="4" customFormat="1">
      <c r="A41" s="3" t="s">
        <v>51</v>
      </c>
      <c r="B41" s="4" t="s">
        <v>52</v>
      </c>
      <c r="C41" s="4" t="s">
        <v>34</v>
      </c>
      <c r="D41" s="11">
        <v>2</v>
      </c>
      <c r="E41" s="11">
        <v>7680.0000000000091</v>
      </c>
      <c r="F41" s="11">
        <v>1</v>
      </c>
      <c r="G41" s="11">
        <v>150.00000000000009</v>
      </c>
      <c r="H41" s="13">
        <v>0.13952612015857244</v>
      </c>
      <c r="I41" s="13">
        <v>9.9661514398980314E-2</v>
      </c>
      <c r="J41" s="14">
        <v>28.153318163670093</v>
      </c>
      <c r="K41" s="26">
        <v>1.0943895075101684</v>
      </c>
      <c r="L41" s="15">
        <v>7.2959300500677849E-3</v>
      </c>
      <c r="M41" s="2">
        <f t="shared" si="0"/>
        <v>0.5471947537550842</v>
      </c>
      <c r="N41" s="47">
        <f t="shared" si="1"/>
        <v>1.0943895075101684</v>
      </c>
      <c r="O41" s="37">
        <f t="shared" si="2"/>
        <v>0</v>
      </c>
      <c r="P41" s="4">
        <f t="shared" si="4"/>
        <v>0.4973534430344686</v>
      </c>
      <c r="Q41" s="4">
        <f t="shared" si="5"/>
        <v>0.59814295286543717</v>
      </c>
      <c r="R41" s="2">
        <f t="shared" si="6"/>
        <v>0.9947068860689372</v>
      </c>
      <c r="S41" s="2">
        <f t="shared" si="7"/>
        <v>1.1962859057308743</v>
      </c>
      <c r="T41" s="42">
        <v>1.196</v>
      </c>
      <c r="U41" s="39">
        <f t="shared" si="8"/>
        <v>1.2023642509670054</v>
      </c>
      <c r="V41" s="39">
        <f t="shared" si="3"/>
        <v>1.0928467349079436</v>
      </c>
      <c r="X41"/>
      <c r="Y41" s="42">
        <v>1.196</v>
      </c>
      <c r="AA41" s="72"/>
      <c r="AB41" s="98">
        <v>1.196</v>
      </c>
      <c r="AC41" s="98" t="s">
        <v>239</v>
      </c>
      <c r="AD41" s="72"/>
    </row>
    <row r="42" spans="1:30" s="4" customFormat="1">
      <c r="A42" s="3" t="s">
        <v>53</v>
      </c>
      <c r="B42" s="4" t="s">
        <v>54</v>
      </c>
      <c r="C42" s="4" t="s">
        <v>34</v>
      </c>
      <c r="D42" s="11">
        <v>1</v>
      </c>
      <c r="E42" s="11">
        <v>3950.000000000005</v>
      </c>
      <c r="F42" s="11">
        <v>1</v>
      </c>
      <c r="G42" s="11">
        <v>98.000000000000043</v>
      </c>
      <c r="H42" s="13">
        <v>0.1186734496745598</v>
      </c>
      <c r="I42" s="13">
        <v>8.4766749767542712E-2</v>
      </c>
      <c r="J42" s="14">
        <v>32.1361354419126</v>
      </c>
      <c r="K42" s="26">
        <v>0.76865264942919653</v>
      </c>
      <c r="L42" s="15">
        <v>7.843394381930574E-3</v>
      </c>
      <c r="M42" s="2">
        <f t="shared" si="0"/>
        <v>0.38432632471459827</v>
      </c>
      <c r="N42" s="47">
        <f t="shared" si="1"/>
        <v>0.76865264942919653</v>
      </c>
      <c r="O42" s="37">
        <f t="shared" si="2"/>
        <v>0</v>
      </c>
      <c r="P42" s="4">
        <f t="shared" si="4"/>
        <v>0.3323634595758479</v>
      </c>
      <c r="Q42" s="4">
        <f t="shared" si="5"/>
        <v>0.39971747239214811</v>
      </c>
      <c r="R42" s="2">
        <f t="shared" si="6"/>
        <v>0.66472691915169579</v>
      </c>
      <c r="S42" s="2">
        <f t="shared" si="7"/>
        <v>0.79943494478429622</v>
      </c>
      <c r="T42" s="42">
        <v>0.79900000000000004</v>
      </c>
      <c r="U42" s="39">
        <f t="shared" si="8"/>
        <v>1.2019973570795952</v>
      </c>
      <c r="V42" s="39">
        <f t="shared" si="3"/>
        <v>1.0394812280857153</v>
      </c>
      <c r="X42"/>
      <c r="Y42" s="42">
        <v>0.79900000000000004</v>
      </c>
      <c r="AA42" s="72"/>
      <c r="AB42" s="98">
        <v>0.79900000000000004</v>
      </c>
      <c r="AC42" s="98" t="s">
        <v>239</v>
      </c>
      <c r="AD42" s="72"/>
    </row>
    <row r="43" spans="1:30" s="4" customFormat="1">
      <c r="A43" s="3" t="s">
        <v>55</v>
      </c>
      <c r="B43" s="4" t="s">
        <v>56</v>
      </c>
      <c r="C43" s="4" t="s">
        <v>34</v>
      </c>
      <c r="D43" s="11">
        <v>1</v>
      </c>
      <c r="E43" s="11">
        <v>3850.0000000000023</v>
      </c>
      <c r="F43" s="11">
        <v>1</v>
      </c>
      <c r="G43" s="11">
        <v>67.000000000000043</v>
      </c>
      <c r="H43" s="13">
        <v>0.1045891141355068</v>
      </c>
      <c r="I43" s="13">
        <v>7.4706510096790579E-2</v>
      </c>
      <c r="J43" s="14">
        <v>32.300540227155317</v>
      </c>
      <c r="K43" s="26">
        <v>0.5288652334800753</v>
      </c>
      <c r="L43" s="15">
        <v>7.8935109474638047E-3</v>
      </c>
      <c r="M43" s="2">
        <f t="shared" si="0"/>
        <v>0.26443261674003765</v>
      </c>
      <c r="N43" s="47">
        <f t="shared" si="1"/>
        <v>0.5288652334800753</v>
      </c>
      <c r="O43" s="37">
        <f t="shared" si="2"/>
        <v>0</v>
      </c>
      <c r="P43" s="4">
        <f t="shared" si="4"/>
        <v>0.24265778884572736</v>
      </c>
      <c r="Q43" s="4">
        <f t="shared" si="5"/>
        <v>0.29183279695506614</v>
      </c>
      <c r="R43" s="2">
        <f t="shared" si="6"/>
        <v>0.48531557769145472</v>
      </c>
      <c r="S43" s="2">
        <f t="shared" si="7"/>
        <v>0.58366559391013229</v>
      </c>
      <c r="T43" s="42">
        <v>0.58399999999999996</v>
      </c>
      <c r="U43" s="39">
        <f t="shared" si="8"/>
        <v>1.2033407268276171</v>
      </c>
      <c r="V43" s="39">
        <f t="shared" si="3"/>
        <v>1.1042510700828698</v>
      </c>
      <c r="X43"/>
      <c r="Y43" s="42">
        <v>0.58399999999999996</v>
      </c>
      <c r="AA43" s="72"/>
      <c r="AB43" s="98">
        <v>0.58399999999999996</v>
      </c>
      <c r="AC43" s="98" t="s">
        <v>239</v>
      </c>
      <c r="AD43" s="72"/>
    </row>
    <row r="44" spans="1:30" s="4" customFormat="1">
      <c r="A44" s="3" t="s">
        <v>57</v>
      </c>
      <c r="B44" s="4" t="s">
        <v>58</v>
      </c>
      <c r="C44" s="4" t="s">
        <v>34</v>
      </c>
      <c r="D44" s="11">
        <v>3</v>
      </c>
      <c r="E44" s="11">
        <v>7500.0000000000009</v>
      </c>
      <c r="F44" s="11">
        <v>1</v>
      </c>
      <c r="G44" s="11">
        <v>88.7</v>
      </c>
      <c r="H44" s="13">
        <v>0.12322350085781626</v>
      </c>
      <c r="I44" s="13">
        <v>8.8016786327011626E-2</v>
      </c>
      <c r="J44" s="14">
        <v>28.2865042933308</v>
      </c>
      <c r="K44" s="26">
        <v>0.75741811536620329</v>
      </c>
      <c r="L44" s="15">
        <v>8.5390993840609164E-3</v>
      </c>
      <c r="M44" s="2">
        <f t="shared" si="0"/>
        <v>0.37870905768310165</v>
      </c>
      <c r="N44" s="47">
        <f t="shared" si="1"/>
        <v>0.75741811536620329</v>
      </c>
      <c r="O44" s="37">
        <f t="shared" si="2"/>
        <v>0</v>
      </c>
      <c r="P44" s="4">
        <f t="shared" si="4"/>
        <v>0.36500583901047462</v>
      </c>
      <c r="Q44" s="4">
        <f t="shared" si="5"/>
        <v>0.4389748847958031</v>
      </c>
      <c r="R44" s="2">
        <f t="shared" si="6"/>
        <v>0.73001167802094924</v>
      </c>
      <c r="S44" s="2">
        <f t="shared" si="7"/>
        <v>0.8779497695916062</v>
      </c>
      <c r="T44" s="42">
        <v>0.878</v>
      </c>
      <c r="U44" s="39">
        <f t="shared" si="8"/>
        <v>1.2027204857602345</v>
      </c>
      <c r="V44" s="39">
        <f t="shared" si="3"/>
        <v>1.1592012155340339</v>
      </c>
      <c r="X44"/>
      <c r="Y44" s="42">
        <v>0.878</v>
      </c>
      <c r="AA44" s="72"/>
      <c r="AB44" s="98">
        <v>0.878</v>
      </c>
      <c r="AC44" s="98" t="s">
        <v>239</v>
      </c>
      <c r="AD44" s="72"/>
    </row>
    <row r="45" spans="1:30" s="4" customFormat="1">
      <c r="A45" s="3" t="s">
        <v>59</v>
      </c>
      <c r="B45" s="4" t="s">
        <v>60</v>
      </c>
      <c r="C45" s="4" t="s">
        <v>34</v>
      </c>
      <c r="D45" s="11">
        <v>1</v>
      </c>
      <c r="E45" s="11">
        <v>20000.000000000018</v>
      </c>
      <c r="F45" s="11">
        <v>1</v>
      </c>
      <c r="G45" s="11">
        <v>159.99999999999994</v>
      </c>
      <c r="H45" s="13">
        <v>0.16531441964229845</v>
      </c>
      <c r="I45" s="13">
        <v>0.11808172831592748</v>
      </c>
      <c r="J45" s="14">
        <v>23.270810092781268</v>
      </c>
      <c r="K45" s="26">
        <v>1.5045945732637918</v>
      </c>
      <c r="L45" s="15">
        <v>9.4037160828987013E-3</v>
      </c>
      <c r="M45" s="2">
        <f t="shared" si="0"/>
        <v>0.75229728663189588</v>
      </c>
      <c r="N45" s="47">
        <f t="shared" si="1"/>
        <v>1.5045945732637918</v>
      </c>
      <c r="O45" s="37">
        <f t="shared" si="2"/>
        <v>0</v>
      </c>
      <c r="P45" s="4">
        <f t="shared" si="4"/>
        <v>0.75869395533483608</v>
      </c>
      <c r="Q45" s="4">
        <f t="shared" si="5"/>
        <v>0.9124445585343739</v>
      </c>
      <c r="R45" s="2">
        <f t="shared" si="6"/>
        <v>1.5173879106696722</v>
      </c>
      <c r="S45" s="2">
        <f t="shared" si="7"/>
        <v>1.8248891170687478</v>
      </c>
      <c r="T45" s="42">
        <v>1.3759999999999999</v>
      </c>
      <c r="U45" s="39">
        <f t="shared" si="8"/>
        <v>0.90682151236642372</v>
      </c>
      <c r="V45" s="39">
        <f t="shared" si="3"/>
        <v>0.91453207691368821</v>
      </c>
      <c r="X45"/>
      <c r="Y45" s="42">
        <v>1.3759999999999999</v>
      </c>
      <c r="AA45" s="72"/>
      <c r="AB45" s="98">
        <v>1.3759999999999999</v>
      </c>
      <c r="AC45" s="98" t="s">
        <v>239</v>
      </c>
      <c r="AD45" s="72"/>
    </row>
    <row r="46" spans="1:30" s="31" customFormat="1" ht="16" thickBot="1">
      <c r="A46" s="3" t="s">
        <v>61</v>
      </c>
      <c r="B46" s="4" t="s">
        <v>62</v>
      </c>
      <c r="C46" s="4" t="s">
        <v>34</v>
      </c>
      <c r="D46" s="11">
        <v>4</v>
      </c>
      <c r="E46" s="11">
        <v>26925.000000000007</v>
      </c>
      <c r="F46" s="11">
        <v>1</v>
      </c>
      <c r="G46" s="11">
        <v>161.19999999999999</v>
      </c>
      <c r="H46" s="13">
        <v>0.16053241400452242</v>
      </c>
      <c r="I46" s="13">
        <v>0.1146660100032303</v>
      </c>
      <c r="J46" s="14">
        <v>21.933881078031362</v>
      </c>
      <c r="K46" s="26">
        <v>1.2986121816412941</v>
      </c>
      <c r="L46" s="15">
        <v>8.0559068340030661E-3</v>
      </c>
      <c r="M46" s="2">
        <f t="shared" si="0"/>
        <v>0.64930609082064705</v>
      </c>
      <c r="N46" s="47">
        <f t="shared" si="1"/>
        <v>1.2986121816412941</v>
      </c>
      <c r="O46" s="37">
        <f t="shared" si="2"/>
        <v>0</v>
      </c>
      <c r="P46" s="4">
        <f t="shared" si="4"/>
        <v>0.70521915999747387</v>
      </c>
      <c r="Q46" s="4">
        <f t="shared" si="5"/>
        <v>0.84813300618678666</v>
      </c>
      <c r="R46" s="2">
        <f t="shared" si="6"/>
        <v>1.4104383199949477</v>
      </c>
      <c r="S46" s="2">
        <f t="shared" si="7"/>
        <v>1.6962660123735733</v>
      </c>
      <c r="T46" s="42">
        <v>1.696</v>
      </c>
      <c r="U46" s="39">
        <f t="shared" si="8"/>
        <v>1.2024630754544978</v>
      </c>
      <c r="V46" s="39">
        <f t="shared" si="3"/>
        <v>1.3060096185579086</v>
      </c>
      <c r="W46" s="63">
        <v>1.696</v>
      </c>
      <c r="X46"/>
      <c r="Y46" s="42">
        <v>1.696</v>
      </c>
      <c r="AA46" s="58"/>
      <c r="AB46" s="98">
        <v>1.696</v>
      </c>
      <c r="AC46" s="98" t="s">
        <v>239</v>
      </c>
      <c r="AD46" s="58"/>
    </row>
    <row r="47" spans="1:30" ht="16" thickBot="1">
      <c r="A47" s="62" t="s">
        <v>194</v>
      </c>
      <c r="D47"/>
      <c r="E47"/>
      <c r="F47"/>
      <c r="G47"/>
      <c r="H47"/>
      <c r="I47"/>
      <c r="J47"/>
      <c r="K47"/>
      <c r="L47"/>
      <c r="N47"/>
      <c r="W47" s="63">
        <v>6.9999999999999999E-4</v>
      </c>
      <c r="Y47" s="63">
        <v>6.9999999999999999E-4</v>
      </c>
      <c r="AB47" s="95">
        <v>6.9999999999999999E-4</v>
      </c>
      <c r="AC47" s="98" t="s">
        <v>239</v>
      </c>
    </row>
    <row r="48" spans="1:30" ht="16" thickBot="1">
      <c r="A48" s="62" t="s">
        <v>195</v>
      </c>
      <c r="D48"/>
      <c r="E48"/>
      <c r="F48"/>
      <c r="G48"/>
      <c r="H48"/>
      <c r="I48"/>
      <c r="J48"/>
      <c r="K48"/>
      <c r="L48"/>
      <c r="N48"/>
      <c r="W48" s="63">
        <v>0.19400000000000001</v>
      </c>
      <c r="Y48" s="63">
        <v>0.19400000000000001</v>
      </c>
      <c r="AB48" s="95">
        <v>0.19400000000000001</v>
      </c>
      <c r="AC48" s="98" t="s">
        <v>239</v>
      </c>
    </row>
    <row r="49" spans="1:30" s="4" customFormat="1" ht="16" thickBot="1">
      <c r="A49" s="3" t="s">
        <v>63</v>
      </c>
      <c r="B49" s="4" t="s">
        <v>64</v>
      </c>
      <c r="C49" s="4" t="s">
        <v>34</v>
      </c>
      <c r="D49" s="11">
        <v>2</v>
      </c>
      <c r="E49" s="11">
        <v>9820</v>
      </c>
      <c r="F49" s="11">
        <v>2</v>
      </c>
      <c r="G49" s="11">
        <v>78.500000000000028</v>
      </c>
      <c r="H49" s="13">
        <v>0.12502944674938102</v>
      </c>
      <c r="I49" s="13">
        <v>8.9306747678129308E-2</v>
      </c>
      <c r="J49" s="14">
        <v>26.809350034296116</v>
      </c>
      <c r="K49" s="26">
        <v>0.74989246896703676</v>
      </c>
      <c r="L49" s="15">
        <v>9.5527703053125673E-3</v>
      </c>
      <c r="M49" s="2">
        <f t="shared" si="0"/>
        <v>0.37494623448351838</v>
      </c>
      <c r="N49" s="47">
        <f t="shared" si="1"/>
        <v>0.74989246896703676</v>
      </c>
      <c r="O49" s="37">
        <f t="shared" si="2"/>
        <v>0</v>
      </c>
      <c r="P49" s="4">
        <f t="shared" si="4"/>
        <v>0.37847181234593935</v>
      </c>
      <c r="Q49" s="4">
        <f t="shared" si="5"/>
        <v>0.45516976022471156</v>
      </c>
      <c r="R49" s="2">
        <f t="shared" si="6"/>
        <v>0.7569436246918787</v>
      </c>
      <c r="S49" s="2">
        <f t="shared" si="7"/>
        <v>0.91033952044942312</v>
      </c>
      <c r="T49" s="42">
        <v>0.75</v>
      </c>
      <c r="U49" s="39">
        <f t="shared" si="8"/>
        <v>0.99082676111486478</v>
      </c>
      <c r="V49" s="39">
        <f t="shared" si="3"/>
        <v>1.0001433952698731</v>
      </c>
      <c r="W49" s="63">
        <v>0.73899999999999999</v>
      </c>
      <c r="X49" s="45">
        <f t="shared" si="9"/>
        <v>-1.100000000000001E-2</v>
      </c>
      <c r="Y49" s="42">
        <v>0.75</v>
      </c>
      <c r="AA49" s="72"/>
      <c r="AB49" s="98">
        <v>0.75</v>
      </c>
      <c r="AC49" s="98" t="s">
        <v>239</v>
      </c>
      <c r="AD49" s="72"/>
    </row>
    <row r="50" spans="1:30" s="31" customFormat="1" ht="16" thickBot="1">
      <c r="A50" s="30" t="s">
        <v>95</v>
      </c>
      <c r="B50" s="31" t="s">
        <v>96</v>
      </c>
      <c r="C50" s="31" t="s">
        <v>94</v>
      </c>
      <c r="D50" s="32">
        <v>1</v>
      </c>
      <c r="E50" s="32">
        <v>652</v>
      </c>
      <c r="F50" s="32">
        <v>1</v>
      </c>
      <c r="G50" s="32">
        <v>8.8000000000000007</v>
      </c>
      <c r="H50" s="33">
        <v>2.8881233542772493E-2</v>
      </c>
      <c r="I50" s="33">
        <v>2.0629452530551783E-2</v>
      </c>
      <c r="J50" s="34">
        <v>45.991883928864901</v>
      </c>
      <c r="K50" s="35">
        <v>1.5856385412868646E-2</v>
      </c>
      <c r="L50" s="36">
        <v>1.8018619787350733E-3</v>
      </c>
      <c r="M50" s="38">
        <f t="shared" si="0"/>
        <v>7.9281927064343231E-3</v>
      </c>
      <c r="N50" s="48">
        <f t="shared" si="1"/>
        <v>1.5856385412868646E-2</v>
      </c>
      <c r="O50" s="40">
        <f t="shared" si="2"/>
        <v>0</v>
      </c>
      <c r="P50" s="31">
        <f t="shared" si="4"/>
        <v>9.8493161494468684E-3</v>
      </c>
      <c r="Q50" s="31">
        <f t="shared" si="5"/>
        <v>1.1845296595095848E-2</v>
      </c>
      <c r="R50" s="38">
        <f t="shared" si="6"/>
        <v>1.9698632298893737E-2</v>
      </c>
      <c r="S50" s="2">
        <f t="shared" si="7"/>
        <v>2.3690593190191695E-2</v>
      </c>
      <c r="T50" s="43"/>
      <c r="U50" s="38">
        <f t="shared" si="8"/>
        <v>0</v>
      </c>
      <c r="V50" s="38">
        <f t="shared" si="3"/>
        <v>0</v>
      </c>
      <c r="W50" s="63">
        <v>1.2E-2</v>
      </c>
      <c r="X50"/>
      <c r="Y50" s="63">
        <v>1.2E-2</v>
      </c>
      <c r="AA50" s="58"/>
      <c r="AB50" s="95">
        <v>1.2E-2</v>
      </c>
      <c r="AC50" s="98" t="s">
        <v>239</v>
      </c>
      <c r="AD50" s="58"/>
    </row>
    <row r="51" spans="1:30" ht="16" thickBot="1">
      <c r="A51" s="64" t="s">
        <v>207</v>
      </c>
      <c r="D51"/>
      <c r="E51"/>
      <c r="F51"/>
      <c r="G51"/>
      <c r="H51"/>
      <c r="I51"/>
      <c r="J51"/>
      <c r="K51"/>
      <c r="L51"/>
      <c r="N51"/>
      <c r="W51" s="65">
        <v>7.4999999999999997E-3</v>
      </c>
      <c r="Y51" s="65">
        <v>7.4999999999999997E-3</v>
      </c>
      <c r="AB51" s="95">
        <v>7.4999999999999997E-3</v>
      </c>
      <c r="AC51" s="98" t="s">
        <v>239</v>
      </c>
    </row>
    <row r="52" spans="1:30" s="4" customFormat="1" ht="16" thickBot="1">
      <c r="A52" s="3" t="s">
        <v>80</v>
      </c>
      <c r="B52" s="4" t="s">
        <v>81</v>
      </c>
      <c r="C52" s="4" t="s">
        <v>77</v>
      </c>
      <c r="D52" s="11">
        <v>1</v>
      </c>
      <c r="E52" s="11">
        <v>49567.000000000087</v>
      </c>
      <c r="F52" s="11">
        <v>1</v>
      </c>
      <c r="G52" s="11">
        <v>475.00000000000006</v>
      </c>
      <c r="H52" s="13">
        <v>0.19980918952091092</v>
      </c>
      <c r="I52" s="13">
        <v>0.14272084965779352</v>
      </c>
      <c r="J52" s="14">
        <v>19.425541634638382</v>
      </c>
      <c r="K52" s="26">
        <v>2.2176616697477178</v>
      </c>
      <c r="L52" s="15">
        <v>4.6687614099951945E-3</v>
      </c>
      <c r="M52" s="2">
        <f t="shared" si="0"/>
        <v>1.1088308348738589</v>
      </c>
      <c r="N52" s="47">
        <f t="shared" si="1"/>
        <v>2.2176616697477178</v>
      </c>
      <c r="O52" s="37">
        <f t="shared" si="2"/>
        <v>0</v>
      </c>
      <c r="P52" s="4">
        <f t="shared" si="4"/>
        <v>1.2162010674139845</v>
      </c>
      <c r="Q52" s="4">
        <f t="shared" si="5"/>
        <v>1.4626662546109714</v>
      </c>
      <c r="R52" s="2">
        <f t="shared" si="6"/>
        <v>2.432402134827969</v>
      </c>
      <c r="S52" s="2">
        <f t="shared" si="7"/>
        <v>2.9253325092219429</v>
      </c>
      <c r="T52" s="42">
        <v>2.7130000000000001</v>
      </c>
      <c r="U52" s="39">
        <f t="shared" si="8"/>
        <v>1.115358336993022</v>
      </c>
      <c r="V52" s="39">
        <f t="shared" si="3"/>
        <v>1.223360640177648</v>
      </c>
      <c r="W52" s="63">
        <v>2.7080000000000002</v>
      </c>
      <c r="X52" s="45">
        <f t="shared" si="9"/>
        <v>-4.9999999999998934E-3</v>
      </c>
      <c r="Y52" s="42">
        <v>2.7130000000000001</v>
      </c>
      <c r="AA52" s="72"/>
      <c r="AB52" s="98">
        <v>2.7130000000000001</v>
      </c>
      <c r="AC52" s="98" t="s">
        <v>239</v>
      </c>
      <c r="AD52" s="72"/>
    </row>
    <row r="53" spans="1:30" ht="16" thickBot="1">
      <c r="A53" s="62" t="s">
        <v>196</v>
      </c>
      <c r="D53"/>
      <c r="E53"/>
      <c r="F53"/>
      <c r="G53"/>
      <c r="H53"/>
      <c r="I53"/>
      <c r="J53"/>
      <c r="K53"/>
      <c r="L53"/>
      <c r="N53"/>
      <c r="W53" s="63">
        <v>1.1180000000000001</v>
      </c>
      <c r="Y53" s="63">
        <v>1.1180000000000001</v>
      </c>
      <c r="AB53" s="95">
        <v>1.1180000000000001</v>
      </c>
      <c r="AC53" s="98" t="s">
        <v>239</v>
      </c>
    </row>
    <row r="54" spans="1:30" ht="16" thickBot="1">
      <c r="A54" s="64" t="s">
        <v>208</v>
      </c>
      <c r="D54"/>
      <c r="E54"/>
      <c r="F54"/>
      <c r="G54"/>
      <c r="H54"/>
      <c r="I54"/>
      <c r="J54"/>
      <c r="K54"/>
      <c r="L54"/>
      <c r="N54"/>
      <c r="W54" s="65">
        <v>3.8999999999999998E-3</v>
      </c>
      <c r="Y54" s="65">
        <v>3.8999999999999998E-3</v>
      </c>
      <c r="AB54" s="95">
        <v>3.8999999999999998E-3</v>
      </c>
      <c r="AC54" s="98" t="s">
        <v>239</v>
      </c>
    </row>
    <row r="55" spans="1:30" ht="16" thickBot="1">
      <c r="A55" s="62" t="s">
        <v>197</v>
      </c>
      <c r="D55"/>
      <c r="E55"/>
      <c r="F55"/>
      <c r="G55"/>
      <c r="H55"/>
      <c r="I55"/>
      <c r="J55"/>
      <c r="K55"/>
      <c r="L55"/>
      <c r="N55"/>
      <c r="W55" s="63">
        <v>1.0069999999999999</v>
      </c>
      <c r="Y55" s="63">
        <v>1.0069999999999999</v>
      </c>
      <c r="AB55" s="95">
        <v>1.0069999999999999</v>
      </c>
      <c r="AC55" s="98" t="s">
        <v>239</v>
      </c>
    </row>
    <row r="56" spans="1:30" ht="16" thickBot="1">
      <c r="A56" s="62" t="s">
        <v>198</v>
      </c>
      <c r="D56"/>
      <c r="E56"/>
      <c r="F56"/>
      <c r="G56"/>
      <c r="H56"/>
      <c r="I56"/>
      <c r="J56"/>
      <c r="K56"/>
      <c r="L56"/>
      <c r="N56"/>
      <c r="W56" s="63">
        <v>0.16500000000000001</v>
      </c>
      <c r="Y56" s="63">
        <v>0.16500000000000001</v>
      </c>
      <c r="AB56" s="95">
        <v>0.16500000000000001</v>
      </c>
      <c r="AC56" s="98" t="s">
        <v>239</v>
      </c>
    </row>
    <row r="57" spans="1:30" s="4" customFormat="1">
      <c r="A57" s="3" t="s">
        <v>65</v>
      </c>
      <c r="B57" s="4" t="s">
        <v>66</v>
      </c>
      <c r="C57" s="4" t="s">
        <v>34</v>
      </c>
      <c r="D57" s="11">
        <v>6</v>
      </c>
      <c r="E57" s="11">
        <v>16900.000000000022</v>
      </c>
      <c r="F57" s="11">
        <v>1</v>
      </c>
      <c r="G57" s="11">
        <v>156.49999999999994</v>
      </c>
      <c r="H57" s="13">
        <v>0.15432799006316245</v>
      </c>
      <c r="I57" s="13">
        <v>0.11023427861654461</v>
      </c>
      <c r="J57" s="14">
        <v>24.063955562688669</v>
      </c>
      <c r="K57" s="26">
        <v>1.2658344058196507</v>
      </c>
      <c r="L57" s="15">
        <v>8.0883987592309976E-3</v>
      </c>
      <c r="M57" s="2">
        <f t="shared" si="0"/>
        <v>0.63291720290982534</v>
      </c>
      <c r="N57" s="47">
        <f t="shared" si="1"/>
        <v>1.2658344058196507</v>
      </c>
      <c r="O57" s="37">
        <f t="shared" si="2"/>
        <v>0</v>
      </c>
      <c r="P57" s="4">
        <f t="shared" si="4"/>
        <v>0.63929335824380651</v>
      </c>
      <c r="Q57" s="4">
        <f t="shared" si="5"/>
        <v>0.76884723007881361</v>
      </c>
      <c r="R57" s="2">
        <f t="shared" si="6"/>
        <v>1.278586716487613</v>
      </c>
      <c r="S57" s="2">
        <f t="shared" si="7"/>
        <v>1.5376944601576272</v>
      </c>
      <c r="T57" s="42">
        <v>1.538</v>
      </c>
      <c r="U57" s="39">
        <f t="shared" si="8"/>
        <v>1.2028906449341328</v>
      </c>
      <c r="V57" s="39">
        <f t="shared" si="3"/>
        <v>1.2150088454928014</v>
      </c>
      <c r="X57"/>
      <c r="Y57" s="42">
        <v>1.538</v>
      </c>
      <c r="AA57" s="72"/>
      <c r="AB57" s="98">
        <v>1.538</v>
      </c>
      <c r="AC57" s="98" t="s">
        <v>239</v>
      </c>
      <c r="AD57" s="72"/>
    </row>
    <row r="58" spans="1:30" s="4" customFormat="1" ht="16" thickBot="1">
      <c r="A58" s="3" t="s">
        <v>82</v>
      </c>
      <c r="B58" s="4" t="s">
        <v>83</v>
      </c>
      <c r="C58" s="4" t="s">
        <v>77</v>
      </c>
      <c r="D58" s="11">
        <v>10</v>
      </c>
      <c r="E58" s="11">
        <v>48290.000000000065</v>
      </c>
      <c r="F58" s="11">
        <v>1</v>
      </c>
      <c r="G58" s="11">
        <v>375</v>
      </c>
      <c r="H58" s="13">
        <v>0.19568326372599748</v>
      </c>
      <c r="I58" s="13">
        <v>0.13977375980428391</v>
      </c>
      <c r="J58" s="14">
        <v>19.526701496230039</v>
      </c>
      <c r="K58" s="26">
        <v>2.0939471468568613</v>
      </c>
      <c r="L58" s="15">
        <v>5.5838590582849637E-3</v>
      </c>
      <c r="M58" s="2">
        <f t="shared" si="0"/>
        <v>1.0469735734284307</v>
      </c>
      <c r="N58" s="47">
        <f t="shared" si="1"/>
        <v>2.0939471468568613</v>
      </c>
      <c r="O58" s="37">
        <f t="shared" si="2"/>
        <v>0</v>
      </c>
      <c r="P58" s="4">
        <f t="shared" si="4"/>
        <v>1.1546266053501573</v>
      </c>
      <c r="Q58" s="4">
        <f t="shared" si="5"/>
        <v>1.3886136244828917</v>
      </c>
      <c r="R58" s="2">
        <f t="shared" si="6"/>
        <v>2.3092532107003145</v>
      </c>
      <c r="S58" s="2">
        <f t="shared" si="7"/>
        <v>2.7772272489657834</v>
      </c>
      <c r="T58" s="42">
        <v>2.419</v>
      </c>
      <c r="U58" s="39">
        <f t="shared" si="8"/>
        <v>1.0475247966706964</v>
      </c>
      <c r="V58" s="39">
        <f t="shared" si="3"/>
        <v>1.1552345070557595</v>
      </c>
      <c r="W58" s="63">
        <v>2.403</v>
      </c>
      <c r="X58" s="45">
        <f t="shared" si="9"/>
        <v>-1.6000000000000014E-2</v>
      </c>
      <c r="Y58" s="42">
        <v>2.419</v>
      </c>
      <c r="AA58" s="72"/>
      <c r="AB58" s="98">
        <v>2.419</v>
      </c>
      <c r="AC58" s="98" t="s">
        <v>239</v>
      </c>
      <c r="AD58" s="72"/>
    </row>
    <row r="59" spans="1:30" s="4" customFormat="1">
      <c r="A59" s="3" t="s">
        <v>67</v>
      </c>
      <c r="B59" s="4" t="s">
        <v>68</v>
      </c>
      <c r="C59" s="4" t="s">
        <v>34</v>
      </c>
      <c r="D59" s="11">
        <v>2</v>
      </c>
      <c r="E59" s="11">
        <v>6590.0000000000073</v>
      </c>
      <c r="F59" s="11">
        <v>1</v>
      </c>
      <c r="G59" s="11">
        <v>70.5</v>
      </c>
      <c r="H59" s="13">
        <v>0.1154704731458924</v>
      </c>
      <c r="I59" s="13">
        <v>8.2478909389923152E-2</v>
      </c>
      <c r="J59" s="14">
        <v>29.024067382551138</v>
      </c>
      <c r="K59" s="26">
        <v>0.63950933511726593</v>
      </c>
      <c r="L59" s="15">
        <v>9.0710543988264669E-3</v>
      </c>
      <c r="M59" s="2">
        <f t="shared" si="0"/>
        <v>0.31975466755863297</v>
      </c>
      <c r="N59" s="47">
        <f t="shared" si="1"/>
        <v>0.63950933511726593</v>
      </c>
      <c r="O59" s="37">
        <f t="shared" si="2"/>
        <v>0</v>
      </c>
      <c r="P59" s="4">
        <f t="shared" si="4"/>
        <v>0.31047421899553107</v>
      </c>
      <c r="Q59" s="4">
        <f t="shared" si="5"/>
        <v>0.37339234047628189</v>
      </c>
      <c r="R59" s="2">
        <f t="shared" si="6"/>
        <v>0.62094843799106214</v>
      </c>
      <c r="S59" s="2">
        <f t="shared" si="7"/>
        <v>0.74678468095256378</v>
      </c>
      <c r="T59" s="42">
        <v>0.747</v>
      </c>
      <c r="U59" s="39">
        <f t="shared" si="8"/>
        <v>1.2029984364188904</v>
      </c>
      <c r="V59" s="39">
        <f t="shared" si="3"/>
        <v>1.1680830270648412</v>
      </c>
      <c r="X59"/>
      <c r="Y59" s="42">
        <v>0.747</v>
      </c>
      <c r="AA59" s="72"/>
      <c r="AB59" s="98">
        <v>0.747</v>
      </c>
      <c r="AC59" s="98" t="s">
        <v>239</v>
      </c>
      <c r="AD59" s="72"/>
    </row>
    <row r="60" spans="1:30" s="31" customFormat="1">
      <c r="A60" s="30" t="s">
        <v>105</v>
      </c>
      <c r="B60" s="31" t="s">
        <v>106</v>
      </c>
      <c r="C60" s="31" t="s">
        <v>107</v>
      </c>
      <c r="D60" s="32">
        <v>1</v>
      </c>
      <c r="E60" s="32">
        <v>6100</v>
      </c>
      <c r="F60" s="32">
        <v>1</v>
      </c>
      <c r="G60" s="32">
        <v>41</v>
      </c>
      <c r="H60" s="33">
        <v>5.5381111213590031E-2</v>
      </c>
      <c r="I60" s="33">
        <v>3.9557936581135739E-2</v>
      </c>
      <c r="J60" s="34">
        <v>29.473779760589284</v>
      </c>
      <c r="K60" s="35">
        <v>7.1646768863290869E-2</v>
      </c>
      <c r="L60" s="36">
        <v>1.7474821673973383E-3</v>
      </c>
      <c r="M60" s="38">
        <f t="shared" si="0"/>
        <v>3.5823384431645434E-2</v>
      </c>
      <c r="N60" s="48">
        <f t="shared" si="1"/>
        <v>7.1646768863290869E-2</v>
      </c>
      <c r="O60" s="40">
        <f t="shared" si="2"/>
        <v>0</v>
      </c>
      <c r="P60" s="31">
        <f t="shared" si="4"/>
        <v>4.9824555916889578E-2</v>
      </c>
      <c r="Q60" s="31">
        <f t="shared" si="5"/>
        <v>5.9921585783154985E-2</v>
      </c>
      <c r="R60" s="38">
        <f t="shared" si="6"/>
        <v>9.9649111833779155E-2</v>
      </c>
      <c r="S60" s="2">
        <f t="shared" si="7"/>
        <v>0.11984317156630997</v>
      </c>
      <c r="T60" s="43"/>
      <c r="U60" s="38">
        <f t="shared" si="8"/>
        <v>0</v>
      </c>
      <c r="V60" s="38">
        <f t="shared" si="3"/>
        <v>0</v>
      </c>
      <c r="X60"/>
      <c r="Y60" s="43"/>
      <c r="AA60" s="58"/>
      <c r="AB60" s="98"/>
      <c r="AC60" s="98" t="s">
        <v>239</v>
      </c>
      <c r="AD60" s="58"/>
    </row>
    <row r="61" spans="1:30" ht="16" thickBot="1">
      <c r="A61" s="64" t="s">
        <v>209</v>
      </c>
      <c r="D61"/>
      <c r="E61"/>
      <c r="F61"/>
      <c r="G61"/>
      <c r="H61"/>
      <c r="I61"/>
      <c r="J61"/>
      <c r="K61"/>
      <c r="L61"/>
      <c r="N61"/>
      <c r="W61" s="65">
        <v>7.4999999999999997E-3</v>
      </c>
      <c r="Y61" s="65">
        <v>7.4999999999999997E-3</v>
      </c>
      <c r="AB61" s="95">
        <v>7.4999999999999997E-3</v>
      </c>
      <c r="AC61" s="98" t="s">
        <v>239</v>
      </c>
    </row>
    <row r="62" spans="1:30" ht="16" thickBot="1">
      <c r="A62" s="3" t="s">
        <v>30</v>
      </c>
      <c r="B62" s="4" t="s">
        <v>31</v>
      </c>
      <c r="C62" s="4" t="s">
        <v>27</v>
      </c>
      <c r="D62" s="11">
        <v>2</v>
      </c>
      <c r="E62" s="11">
        <v>790.00000000000023</v>
      </c>
      <c r="F62" s="11">
        <v>1</v>
      </c>
      <c r="G62" s="11">
        <v>20.000000000000007</v>
      </c>
      <c r="H62" s="13">
        <v>5.9247354923752341E-2</v>
      </c>
      <c r="I62" s="13">
        <v>4.2319539231251674E-2</v>
      </c>
      <c r="J62" s="14">
        <v>44.267875512691923</v>
      </c>
      <c r="K62" s="26">
        <v>0.13175628993772026</v>
      </c>
      <c r="L62" s="15">
        <v>6.5878144968860106E-3</v>
      </c>
      <c r="M62" s="2">
        <f t="shared" si="0"/>
        <v>6.5878144968860131E-2</v>
      </c>
      <c r="N62" s="47">
        <f t="shared" si="1"/>
        <v>0.13175628993772026</v>
      </c>
      <c r="O62" s="37">
        <f t="shared" si="2"/>
        <v>0</v>
      </c>
      <c r="P62" s="4">
        <f t="shared" si="4"/>
        <v>5.894115136464214E-2</v>
      </c>
      <c r="Q62" s="4">
        <f t="shared" si="5"/>
        <v>7.0885674596792556E-2</v>
      </c>
      <c r="R62" s="2">
        <f t="shared" si="6"/>
        <v>0.11788230272928428</v>
      </c>
      <c r="S62" s="2">
        <f t="shared" si="7"/>
        <v>0.14177134919358511</v>
      </c>
      <c r="T62" s="42">
        <v>0.14499999999999999</v>
      </c>
      <c r="U62" s="39">
        <f t="shared" si="8"/>
        <v>1.2300404440944055</v>
      </c>
      <c r="V62" s="39">
        <f t="shared" si="3"/>
        <v>1.1005167196840462</v>
      </c>
      <c r="W62" s="63">
        <v>0.14499999999999999</v>
      </c>
      <c r="Y62" s="42">
        <v>0.14499999999999999</v>
      </c>
      <c r="AB62" s="98">
        <v>0.14499999999999999</v>
      </c>
      <c r="AC62" s="98" t="s">
        <v>239</v>
      </c>
    </row>
    <row r="63" spans="1:30" s="5" customFormat="1" ht="16" thickBot="1">
      <c r="A63" s="3" t="s">
        <v>69</v>
      </c>
      <c r="B63" s="4" t="s">
        <v>70</v>
      </c>
      <c r="C63" s="4" t="s">
        <v>34</v>
      </c>
      <c r="D63" s="11">
        <v>7</v>
      </c>
      <c r="E63" s="11">
        <v>12533.000000000015</v>
      </c>
      <c r="F63" s="11">
        <v>1</v>
      </c>
      <c r="G63" s="11">
        <v>101.6</v>
      </c>
      <c r="H63" s="13">
        <v>9.7357811839032887E-2</v>
      </c>
      <c r="I63" s="13">
        <v>6.9541294170737775E-2</v>
      </c>
      <c r="J63" s="14">
        <v>25.538978250205975</v>
      </c>
      <c r="K63" s="26">
        <v>0.33728087045033239</v>
      </c>
      <c r="L63" s="15">
        <v>3.3196936067946105E-3</v>
      </c>
      <c r="M63" s="2">
        <f t="shared" si="0"/>
        <v>0.1686404352251662</v>
      </c>
      <c r="N63" s="47">
        <f t="shared" si="1"/>
        <v>0.33728087045033239</v>
      </c>
      <c r="O63" s="37">
        <f t="shared" si="2"/>
        <v>0</v>
      </c>
      <c r="P63" s="4">
        <f t="shared" si="4"/>
        <v>0.20300942083319382</v>
      </c>
      <c r="Q63" s="4">
        <f t="shared" si="5"/>
        <v>0.24414962063156614</v>
      </c>
      <c r="R63" s="2">
        <f t="shared" si="6"/>
        <v>0.40601884166638763</v>
      </c>
      <c r="S63" s="2">
        <f t="shared" si="7"/>
        <v>0.48829924126313229</v>
      </c>
      <c r="T63" s="42">
        <v>0.48799999999999999</v>
      </c>
      <c r="U63" s="39">
        <f t="shared" si="8"/>
        <v>1.2019146648395533</v>
      </c>
      <c r="V63" s="39">
        <f t="shared" si="3"/>
        <v>1.4468653361467838</v>
      </c>
      <c r="W63" s="63">
        <v>0.48799999999999999</v>
      </c>
      <c r="X63"/>
      <c r="Y63" s="42">
        <v>0.48799999999999999</v>
      </c>
      <c r="AA63" s="73"/>
      <c r="AB63" s="98">
        <v>0.48799999999999999</v>
      </c>
      <c r="AC63" s="98" t="s">
        <v>239</v>
      </c>
      <c r="AD63" s="73"/>
    </row>
    <row r="64" spans="1:30" s="6" customFormat="1" ht="17">
      <c r="A64" s="2" t="s">
        <v>2</v>
      </c>
      <c r="B64" s="2" t="s">
        <v>3</v>
      </c>
      <c r="C64" s="2" t="s">
        <v>4</v>
      </c>
      <c r="D64" s="10" t="s">
        <v>5</v>
      </c>
      <c r="E64" s="10" t="s">
        <v>6</v>
      </c>
      <c r="F64" s="10" t="s">
        <v>7</v>
      </c>
      <c r="G64" s="10" t="s">
        <v>8</v>
      </c>
      <c r="H64" s="19" t="s">
        <v>9</v>
      </c>
      <c r="I64" s="19" t="s">
        <v>10</v>
      </c>
      <c r="J64" s="20" t="s">
        <v>11</v>
      </c>
      <c r="K64" s="28" t="s">
        <v>170</v>
      </c>
      <c r="L64" s="21" t="s">
        <v>12</v>
      </c>
      <c r="N64" s="49"/>
      <c r="P64" s="5"/>
      <c r="Q64" s="5"/>
      <c r="S64" s="2"/>
      <c r="T64" s="41"/>
      <c r="X64"/>
      <c r="Y64" s="41"/>
      <c r="AA64" s="59"/>
      <c r="AB64" s="98"/>
      <c r="AC64" s="98"/>
      <c r="AD64" s="59"/>
    </row>
    <row r="65" spans="1:30" s="6" customFormat="1">
      <c r="A65" s="1" t="s">
        <v>91</v>
      </c>
      <c r="B65"/>
      <c r="C65"/>
      <c r="D65" s="9"/>
      <c r="E65" s="9"/>
      <c r="F65" s="9"/>
      <c r="G65" s="9"/>
      <c r="H65" s="16"/>
      <c r="I65" s="16"/>
      <c r="J65" s="17"/>
      <c r="K65" s="27"/>
      <c r="L65" s="18"/>
      <c r="N65" s="49"/>
      <c r="P65"/>
      <c r="Q65"/>
      <c r="S65" s="2"/>
      <c r="T65" s="41"/>
      <c r="X65"/>
      <c r="Y65" s="41"/>
      <c r="AA65" s="59"/>
      <c r="AB65" s="98"/>
      <c r="AC65" s="98"/>
      <c r="AD65" s="59"/>
    </row>
    <row r="66" spans="1:30" ht="16" thickBot="1">
      <c r="A66" s="62" t="s">
        <v>199</v>
      </c>
      <c r="D66"/>
      <c r="E66"/>
      <c r="F66"/>
      <c r="G66"/>
      <c r="H66"/>
      <c r="I66"/>
      <c r="J66"/>
      <c r="K66"/>
      <c r="L66"/>
      <c r="N66"/>
      <c r="W66" s="63">
        <v>1.9E-2</v>
      </c>
      <c r="Y66" s="63">
        <v>1.9E-2</v>
      </c>
      <c r="AB66" s="95">
        <v>1.9E-2</v>
      </c>
      <c r="AC66" s="98" t="s">
        <v>239</v>
      </c>
    </row>
    <row r="67" spans="1:30" s="6" customFormat="1">
      <c r="A67" s="3" t="s">
        <v>71</v>
      </c>
      <c r="B67" s="4" t="s">
        <v>72</v>
      </c>
      <c r="C67" s="4" t="s">
        <v>34</v>
      </c>
      <c r="D67" s="11">
        <v>1</v>
      </c>
      <c r="E67" s="11">
        <v>7900.0000000000109</v>
      </c>
      <c r="F67" s="11">
        <v>1</v>
      </c>
      <c r="G67" s="11">
        <v>105.00000000000006</v>
      </c>
      <c r="H67" s="13">
        <v>0.10460019037212753</v>
      </c>
      <c r="I67" s="13">
        <v>7.4714421694376809E-2</v>
      </c>
      <c r="J67" s="14">
        <v>27.995529109473505</v>
      </c>
      <c r="K67" s="26">
        <v>0.45852380056802611</v>
      </c>
      <c r="L67" s="15">
        <v>4.3668933387431032E-3</v>
      </c>
      <c r="M67" s="2">
        <f>(J67*PI()*I67^3)/(4*0.04)</f>
        <v>0.22926190028401305</v>
      </c>
      <c r="N67" s="47">
        <f t="shared" ref="N67:N70" si="10">M67*2</f>
        <v>0.45852380056802611</v>
      </c>
      <c r="O67" s="37">
        <f>K67-N67</f>
        <v>0</v>
      </c>
      <c r="P67" s="4">
        <f t="shared" ref="P67:P70" si="11">155*(I67^2.49)</f>
        <v>0.24272178201029582</v>
      </c>
      <c r="Q67" s="4">
        <f t="shared" ref="Q67:Q70" si="12">155*((H67/1.3)^2.49)</f>
        <v>0.29190975844181988</v>
      </c>
      <c r="R67" s="2">
        <f t="shared" ref="R67:R70" si="13">P67*2</f>
        <v>0.48544356402059163</v>
      </c>
      <c r="S67" s="2">
        <f t="shared" si="7"/>
        <v>0.58381951688363976</v>
      </c>
      <c r="T67" s="41">
        <v>0.58399999999999996</v>
      </c>
      <c r="U67" s="39">
        <f t="shared" ref="U67:U68" si="14">T67/R67</f>
        <v>1.203023468192953</v>
      </c>
      <c r="V67" s="39">
        <f>T67/N67</f>
        <v>1.2736525329252966</v>
      </c>
      <c r="X67"/>
      <c r="Y67" s="41">
        <v>0.58399999999999996</v>
      </c>
      <c r="AA67" s="59"/>
      <c r="AB67" s="98">
        <v>0.58399999999999996</v>
      </c>
      <c r="AC67" s="98" t="s">
        <v>239</v>
      </c>
      <c r="AD67" s="59"/>
    </row>
    <row r="68" spans="1:30" s="6" customFormat="1">
      <c r="A68" s="3" t="s">
        <v>73</v>
      </c>
      <c r="B68" s="4" t="s">
        <v>74</v>
      </c>
      <c r="C68" s="4" t="s">
        <v>34</v>
      </c>
      <c r="D68" s="11">
        <v>1</v>
      </c>
      <c r="E68" s="11">
        <v>7035.0000000000082</v>
      </c>
      <c r="F68" s="11">
        <v>1</v>
      </c>
      <c r="G68" s="11">
        <v>58.000000000000036</v>
      </c>
      <c r="H68" s="13">
        <v>9.7190802183107494E-2</v>
      </c>
      <c r="I68" s="13">
        <v>6.9422001559362498E-2</v>
      </c>
      <c r="J68" s="14">
        <v>28.649095485527901</v>
      </c>
      <c r="K68" s="26">
        <v>0.37641090214139405</v>
      </c>
      <c r="L68" s="15">
        <v>6.4898431403688592E-3</v>
      </c>
      <c r="M68" s="2">
        <f>(J68*PI()*I68^3)/(4*0.04)</f>
        <v>0.18820545107069703</v>
      </c>
      <c r="N68" s="47">
        <f t="shared" si="10"/>
        <v>0.37641090214139405</v>
      </c>
      <c r="O68" s="37">
        <f>K68-N68</f>
        <v>0</v>
      </c>
      <c r="P68" s="4">
        <f t="shared" si="11"/>
        <v>0.20214339450848551</v>
      </c>
      <c r="Q68" s="4">
        <f t="shared" si="12"/>
        <v>0.24310809261889241</v>
      </c>
      <c r="R68" s="2">
        <f t="shared" si="13"/>
        <v>0.40428678901697102</v>
      </c>
      <c r="S68" s="2">
        <f t="shared" si="7"/>
        <v>0.48621618523778481</v>
      </c>
      <c r="T68" s="41">
        <v>0.48599999999999999</v>
      </c>
      <c r="U68" s="39">
        <f t="shared" si="14"/>
        <v>1.2021169457001446</v>
      </c>
      <c r="V68" s="39">
        <f>T68/N68</f>
        <v>1.2911421992167489</v>
      </c>
      <c r="X68"/>
      <c r="Y68" s="41">
        <v>0.48599999999999999</v>
      </c>
      <c r="AA68" s="59"/>
      <c r="AB68" s="98">
        <v>0.48599999999999999</v>
      </c>
      <c r="AC68" s="98" t="s">
        <v>239</v>
      </c>
      <c r="AD68" s="59"/>
    </row>
    <row r="69" spans="1:30" ht="16" thickBot="1">
      <c r="A69" s="64" t="s">
        <v>210</v>
      </c>
      <c r="D69"/>
      <c r="E69"/>
      <c r="F69"/>
      <c r="G69"/>
      <c r="H69"/>
      <c r="I69"/>
      <c r="J69"/>
      <c r="K69"/>
      <c r="L69"/>
      <c r="N69"/>
      <c r="W69" s="65">
        <v>1.7999999999999999E-2</v>
      </c>
      <c r="Y69" s="65">
        <v>1.7999999999999999E-2</v>
      </c>
      <c r="AB69" s="95">
        <v>1.7999999999999999E-2</v>
      </c>
      <c r="AC69" s="98" t="s">
        <v>239</v>
      </c>
    </row>
    <row r="70" spans="1:30" s="31" customFormat="1">
      <c r="A70" s="30" t="s">
        <v>97</v>
      </c>
      <c r="B70" s="31" t="s">
        <v>98</v>
      </c>
      <c r="C70" s="31" t="s">
        <v>99</v>
      </c>
      <c r="D70" s="32">
        <v>3</v>
      </c>
      <c r="E70" s="32">
        <v>3532</v>
      </c>
      <c r="F70" s="32">
        <v>1</v>
      </c>
      <c r="G70" s="32">
        <v>26</v>
      </c>
      <c r="H70" s="33">
        <v>3.0876165696764296E-2</v>
      </c>
      <c r="I70" s="33">
        <v>2.2054404069117357E-2</v>
      </c>
      <c r="J70" s="34">
        <v>32.859454759351514</v>
      </c>
      <c r="K70" s="35">
        <v>1.3842235071441351E-2</v>
      </c>
      <c r="L70" s="36">
        <v>5.323936565938981E-4</v>
      </c>
      <c r="M70" s="38">
        <f>(J70*PI()*I70^3)/(4*0.04)</f>
        <v>6.9211175357206754E-3</v>
      </c>
      <c r="N70" s="48">
        <f t="shared" si="10"/>
        <v>1.3842235071441351E-2</v>
      </c>
      <c r="O70" s="40">
        <f>K70-N70</f>
        <v>0</v>
      </c>
      <c r="P70" s="31">
        <f t="shared" si="11"/>
        <v>1.1631482268322732E-2</v>
      </c>
      <c r="Q70" s="31">
        <f t="shared" si="12"/>
        <v>1.3988621668583411E-2</v>
      </c>
      <c r="R70" s="38">
        <f t="shared" si="13"/>
        <v>2.3262964536645465E-2</v>
      </c>
      <c r="S70" s="2">
        <f t="shared" si="7"/>
        <v>2.7977243337166821E-2</v>
      </c>
      <c r="T70" s="43"/>
      <c r="U70" s="38">
        <f t="shared" ref="U70" si="15">T70/R70</f>
        <v>0</v>
      </c>
      <c r="V70" s="38">
        <f>T70/N70</f>
        <v>0</v>
      </c>
      <c r="X70"/>
      <c r="AA70" s="58"/>
      <c r="AB70" s="97"/>
      <c r="AC70" s="97"/>
      <c r="AD70" s="58"/>
    </row>
    <row r="71" spans="1:30" s="56" customFormat="1" ht="16" customHeight="1">
      <c r="A71" s="85" t="s">
        <v>215</v>
      </c>
      <c r="B71" s="86" t="s">
        <v>215</v>
      </c>
      <c r="D71" s="87"/>
      <c r="E71" s="87"/>
      <c r="F71" s="87"/>
      <c r="G71" s="87"/>
      <c r="H71" s="88"/>
      <c r="I71" s="88"/>
      <c r="J71" s="89"/>
      <c r="K71" s="90"/>
      <c r="L71" s="91"/>
      <c r="M71" s="92"/>
      <c r="N71" s="93"/>
      <c r="O71" s="94"/>
      <c r="R71" s="92"/>
      <c r="S71" s="92"/>
      <c r="T71" s="84"/>
      <c r="U71" s="92"/>
      <c r="V71" s="92"/>
      <c r="AA71" s="83" t="s">
        <v>218</v>
      </c>
      <c r="AB71" s="97">
        <v>5.6000000000000001E-2</v>
      </c>
      <c r="AC71" s="97" t="s">
        <v>238</v>
      </c>
      <c r="AD71" s="83"/>
    </row>
    <row r="72" spans="1:30" s="56" customFormat="1">
      <c r="A72" s="85" t="s">
        <v>216</v>
      </c>
      <c r="B72" s="86" t="s">
        <v>216</v>
      </c>
      <c r="D72" s="87"/>
      <c r="E72" s="87"/>
      <c r="F72" s="87"/>
      <c r="G72" s="87"/>
      <c r="H72" s="88"/>
      <c r="I72" s="88"/>
      <c r="J72" s="89"/>
      <c r="K72" s="90"/>
      <c r="L72" s="91"/>
      <c r="M72" s="92"/>
      <c r="N72" s="93"/>
      <c r="O72" s="94"/>
      <c r="R72" s="92"/>
      <c r="S72" s="92"/>
      <c r="T72" s="84"/>
      <c r="U72" s="92"/>
      <c r="V72" s="92"/>
      <c r="AA72" s="83" t="s">
        <v>217</v>
      </c>
      <c r="AB72" s="97">
        <v>2.5999999999999999E-2</v>
      </c>
      <c r="AC72" s="97" t="s">
        <v>238</v>
      </c>
      <c r="AD72" s="83"/>
    </row>
    <row r="73" spans="1:30" s="56" customFormat="1">
      <c r="A73" s="85" t="s">
        <v>226</v>
      </c>
      <c r="B73" s="86" t="s">
        <v>227</v>
      </c>
      <c r="D73" s="87"/>
      <c r="E73" s="87"/>
      <c r="F73" s="87"/>
      <c r="G73" s="87"/>
      <c r="H73" s="88"/>
      <c r="I73" s="88"/>
      <c r="J73" s="89"/>
      <c r="K73" s="90"/>
      <c r="L73" s="91"/>
      <c r="M73" s="92"/>
      <c r="N73" s="93"/>
      <c r="O73" s="94"/>
      <c r="R73" s="92"/>
      <c r="S73" s="92"/>
      <c r="T73" s="84"/>
      <c r="U73" s="92"/>
      <c r="V73" s="92"/>
      <c r="AA73" s="83"/>
      <c r="AB73" s="97"/>
      <c r="AC73" s="97"/>
      <c r="AD73" s="83" t="s">
        <v>228</v>
      </c>
    </row>
    <row r="74" spans="1:30" s="56" customFormat="1">
      <c r="A74" s="85" t="s">
        <v>230</v>
      </c>
      <c r="B74" s="86"/>
      <c r="D74" s="87"/>
      <c r="E74" s="87"/>
      <c r="F74" s="87"/>
      <c r="G74" s="87"/>
      <c r="H74" s="88"/>
      <c r="I74" s="88"/>
      <c r="J74" s="89"/>
      <c r="K74" s="90"/>
      <c r="L74" s="91"/>
      <c r="M74" s="92"/>
      <c r="N74" s="93"/>
      <c r="O74" s="94"/>
      <c r="R74" s="92"/>
      <c r="S74" s="92"/>
      <c r="T74" s="84"/>
      <c r="U74" s="92"/>
      <c r="V74" s="92"/>
      <c r="AA74" s="83"/>
      <c r="AB74" s="97"/>
      <c r="AC74" s="97"/>
      <c r="AD74" s="85" t="s">
        <v>230</v>
      </c>
    </row>
    <row r="75" spans="1:30" s="56" customFormat="1">
      <c r="A75" s="85" t="s">
        <v>231</v>
      </c>
      <c r="B75" s="86"/>
      <c r="D75" s="87"/>
      <c r="E75" s="87"/>
      <c r="F75" s="87"/>
      <c r="G75" s="87"/>
      <c r="H75" s="88"/>
      <c r="I75" s="88"/>
      <c r="J75" s="89"/>
      <c r="K75" s="90"/>
      <c r="L75" s="91"/>
      <c r="M75" s="92"/>
      <c r="N75" s="93"/>
      <c r="O75" s="94"/>
      <c r="R75" s="92"/>
      <c r="S75" s="92"/>
      <c r="T75" s="84"/>
      <c r="U75" s="92"/>
      <c r="V75" s="92"/>
      <c r="AA75" s="83"/>
      <c r="AB75" s="97"/>
      <c r="AC75" s="97"/>
      <c r="AD75" s="85" t="s">
        <v>231</v>
      </c>
    </row>
    <row r="76" spans="1:30" s="56" customFormat="1">
      <c r="A76" s="85" t="s">
        <v>232</v>
      </c>
      <c r="B76" s="86"/>
      <c r="D76" s="87"/>
      <c r="E76" s="87"/>
      <c r="F76" s="87"/>
      <c r="G76" s="87"/>
      <c r="H76" s="88"/>
      <c r="I76" s="88"/>
      <c r="J76" s="89"/>
      <c r="K76" s="90"/>
      <c r="L76" s="91"/>
      <c r="M76" s="92"/>
      <c r="N76" s="93"/>
      <c r="O76" s="94"/>
      <c r="R76" s="92"/>
      <c r="S76" s="92"/>
      <c r="T76" s="84"/>
      <c r="U76" s="92"/>
      <c r="V76" s="92"/>
      <c r="AA76" s="83"/>
      <c r="AB76" s="97"/>
      <c r="AC76" s="97"/>
      <c r="AD76" s="85" t="s">
        <v>232</v>
      </c>
    </row>
    <row r="77" spans="1:30" s="56" customFormat="1">
      <c r="A77" s="85" t="s">
        <v>233</v>
      </c>
      <c r="B77" s="86"/>
      <c r="D77" s="87"/>
      <c r="E77" s="87"/>
      <c r="F77" s="87"/>
      <c r="G77" s="87"/>
      <c r="H77" s="88"/>
      <c r="I77" s="88"/>
      <c r="J77" s="89"/>
      <c r="K77" s="90"/>
      <c r="L77" s="91"/>
      <c r="M77" s="92"/>
      <c r="N77" s="93"/>
      <c r="O77" s="94"/>
      <c r="R77" s="92"/>
      <c r="S77" s="92"/>
      <c r="T77" s="84"/>
      <c r="U77" s="92"/>
      <c r="V77" s="92"/>
      <c r="AA77" s="83"/>
      <c r="AB77" s="97"/>
      <c r="AC77" s="97"/>
      <c r="AD77" s="85" t="s">
        <v>233</v>
      </c>
    </row>
    <row r="78" spans="1:30" s="56" customFormat="1">
      <c r="A78" s="56" t="s">
        <v>235</v>
      </c>
      <c r="B78" s="86"/>
      <c r="D78" s="87"/>
      <c r="E78" s="87"/>
      <c r="F78" s="87"/>
      <c r="G78" s="87"/>
      <c r="H78" s="88"/>
      <c r="I78" s="88"/>
      <c r="J78" s="89"/>
      <c r="K78" s="90"/>
      <c r="L78" s="91"/>
      <c r="M78" s="92"/>
      <c r="N78" s="93"/>
      <c r="O78" s="94"/>
      <c r="R78" s="92"/>
      <c r="S78" s="92"/>
      <c r="T78" s="84"/>
      <c r="U78" s="92"/>
      <c r="V78" s="92"/>
      <c r="AA78" s="83"/>
      <c r="AB78" s="97"/>
      <c r="AC78" s="97"/>
      <c r="AD78" s="56" t="s">
        <v>235</v>
      </c>
    </row>
    <row r="79" spans="1:30" s="56" customFormat="1">
      <c r="A79" s="85" t="s">
        <v>234</v>
      </c>
      <c r="B79" s="86"/>
      <c r="D79" s="87"/>
      <c r="E79" s="87"/>
      <c r="F79" s="87"/>
      <c r="G79" s="87"/>
      <c r="H79" s="88"/>
      <c r="I79" s="88"/>
      <c r="J79" s="89"/>
      <c r="K79" s="90"/>
      <c r="L79" s="91"/>
      <c r="M79" s="92"/>
      <c r="N79" s="93"/>
      <c r="O79" s="94"/>
      <c r="R79" s="92"/>
      <c r="S79" s="92"/>
      <c r="T79" s="84"/>
      <c r="U79" s="92"/>
      <c r="V79" s="92"/>
      <c r="AA79" s="83"/>
      <c r="AB79" s="97"/>
      <c r="AC79" s="97"/>
      <c r="AD79" s="85" t="s">
        <v>234</v>
      </c>
    </row>
    <row r="80" spans="1:30" s="56" customFormat="1">
      <c r="A80" s="85" t="s">
        <v>236</v>
      </c>
      <c r="B80" s="86"/>
      <c r="D80" s="87"/>
      <c r="E80" s="87"/>
      <c r="F80" s="87"/>
      <c r="G80" s="87"/>
      <c r="H80" s="88"/>
      <c r="I80" s="88"/>
      <c r="J80" s="89"/>
      <c r="K80" s="90"/>
      <c r="L80" s="91"/>
      <c r="M80" s="92"/>
      <c r="N80" s="93"/>
      <c r="O80" s="94"/>
      <c r="R80" s="92"/>
      <c r="S80" s="92"/>
      <c r="T80" s="84"/>
      <c r="U80" s="92"/>
      <c r="V80" s="92"/>
      <c r="AA80" s="83"/>
      <c r="AB80" s="97"/>
      <c r="AC80" s="97"/>
      <c r="AD80" s="85" t="s">
        <v>236</v>
      </c>
    </row>
    <row r="81" spans="1:30">
      <c r="H81" s="16"/>
      <c r="I81" s="16"/>
      <c r="J81" s="17"/>
      <c r="K81" s="27"/>
      <c r="L81" s="16"/>
    </row>
    <row r="82" spans="1:30">
      <c r="A82" s="1" t="s">
        <v>110</v>
      </c>
      <c r="H82" s="16"/>
      <c r="I82" s="16"/>
      <c r="J82" s="17"/>
      <c r="K82" s="27"/>
      <c r="L82" s="16"/>
    </row>
    <row r="83" spans="1:30" s="5" customFormat="1" ht="17">
      <c r="A83" s="2" t="s">
        <v>2</v>
      </c>
      <c r="B83" s="2" t="s">
        <v>3</v>
      </c>
      <c r="C83" s="2" t="s">
        <v>4</v>
      </c>
      <c r="D83" s="10" t="s">
        <v>5</v>
      </c>
      <c r="E83" s="10" t="s">
        <v>6</v>
      </c>
      <c r="F83" s="10" t="s">
        <v>7</v>
      </c>
      <c r="G83" s="10" t="s">
        <v>8</v>
      </c>
      <c r="H83" s="19" t="s">
        <v>9</v>
      </c>
      <c r="I83" s="19" t="s">
        <v>10</v>
      </c>
      <c r="J83" s="20" t="s">
        <v>11</v>
      </c>
      <c r="K83" s="28" t="s">
        <v>170</v>
      </c>
      <c r="L83" s="19" t="s">
        <v>12</v>
      </c>
      <c r="N83" s="50"/>
      <c r="AA83" s="73"/>
      <c r="AB83" s="97"/>
      <c r="AC83" s="97"/>
      <c r="AD83" s="73"/>
    </row>
    <row r="84" spans="1:30" s="8" customFormat="1">
      <c r="A84" s="7" t="s">
        <v>111</v>
      </c>
      <c r="B84" s="8" t="s">
        <v>112</v>
      </c>
      <c r="C84" s="8" t="s">
        <v>113</v>
      </c>
      <c r="D84" s="12">
        <v>2</v>
      </c>
      <c r="E84" s="12">
        <v>14</v>
      </c>
      <c r="F84" s="12">
        <v>4</v>
      </c>
      <c r="G84" s="12">
        <v>0.25</v>
      </c>
      <c r="H84" s="22">
        <v>1.8510219730802829E-2</v>
      </c>
      <c r="I84" s="22">
        <v>1.3221585522002022E-2</v>
      </c>
      <c r="J84" s="23">
        <v>98.772715116294833</v>
      </c>
      <c r="K84" s="29">
        <v>8.9649421886016222E-3</v>
      </c>
      <c r="L84" s="24">
        <v>3.5859768754406489E-2</v>
      </c>
      <c r="N84" s="51"/>
      <c r="Y84" s="29">
        <v>8.9649421886016222E-3</v>
      </c>
      <c r="AA84" s="74"/>
      <c r="AB84" s="96">
        <v>8.9649421886016222E-3</v>
      </c>
      <c r="AC84" s="98" t="s">
        <v>239</v>
      </c>
      <c r="AD84" s="74"/>
    </row>
    <row r="85" spans="1:30" s="8" customFormat="1">
      <c r="A85" s="7" t="s">
        <v>114</v>
      </c>
      <c r="B85" s="8" t="s">
        <v>115</v>
      </c>
      <c r="C85" s="8" t="s">
        <v>116</v>
      </c>
      <c r="D85" s="12">
        <v>7</v>
      </c>
      <c r="E85" s="12">
        <v>17</v>
      </c>
      <c r="F85" s="12">
        <v>4</v>
      </c>
      <c r="G85" s="12">
        <v>0.28000000000000003</v>
      </c>
      <c r="H85" s="22">
        <v>1.4859552798865253E-2</v>
      </c>
      <c r="I85" s="22">
        <v>1.0613966284903752E-2</v>
      </c>
      <c r="J85" s="23">
        <v>95.029213699027522</v>
      </c>
      <c r="K85" s="29">
        <v>4.4622113115459095E-3</v>
      </c>
      <c r="L85" s="24">
        <v>1.5936468969806817E-2</v>
      </c>
      <c r="N85" s="51"/>
      <c r="Y85" s="29">
        <v>4.4622113115459095E-3</v>
      </c>
      <c r="AA85" s="74"/>
      <c r="AB85" s="96">
        <v>4.4622113115459095E-3</v>
      </c>
      <c r="AC85" s="98" t="s">
        <v>239</v>
      </c>
      <c r="AD85" s="74"/>
    </row>
    <row r="86" spans="1:30" s="8" customFormat="1">
      <c r="A86" s="7" t="s">
        <v>117</v>
      </c>
      <c r="B86" s="8" t="s">
        <v>118</v>
      </c>
      <c r="C86" s="8" t="s">
        <v>116</v>
      </c>
      <c r="D86" s="12">
        <v>2</v>
      </c>
      <c r="E86" s="12">
        <v>70</v>
      </c>
      <c r="F86" s="12">
        <v>4</v>
      </c>
      <c r="G86" s="12">
        <v>0.55000000000000004</v>
      </c>
      <c r="H86" s="22">
        <v>1.7720236879541003E-2</v>
      </c>
      <c r="I86" s="22">
        <v>1.2657312056815003E-2</v>
      </c>
      <c r="J86" s="23">
        <v>71.703765183685888</v>
      </c>
      <c r="K86" s="29">
        <v>5.7098711663424477E-3</v>
      </c>
      <c r="L86" s="24">
        <v>1.0381583938804449E-2</v>
      </c>
      <c r="N86" s="51"/>
      <c r="Y86" s="29">
        <v>5.7098711663424477E-3</v>
      </c>
      <c r="AA86" s="74"/>
      <c r="AB86" s="96">
        <v>5.7098711663424477E-3</v>
      </c>
      <c r="AC86" s="98" t="s">
        <v>239</v>
      </c>
      <c r="AD86" s="74"/>
    </row>
    <row r="87" spans="1:30" s="8" customFormat="1">
      <c r="A87" s="7" t="s">
        <v>119</v>
      </c>
      <c r="B87" s="8" t="s">
        <v>120</v>
      </c>
      <c r="C87" s="8" t="s">
        <v>121</v>
      </c>
      <c r="D87" s="12">
        <v>3</v>
      </c>
      <c r="E87" s="12">
        <v>127</v>
      </c>
      <c r="F87" s="12">
        <v>5</v>
      </c>
      <c r="G87" s="12">
        <v>2.33</v>
      </c>
      <c r="H87" s="22">
        <v>3.8975573452581631E-2</v>
      </c>
      <c r="I87" s="22">
        <v>2.7839695323272597E-2</v>
      </c>
      <c r="J87" s="23">
        <v>63.688281528663545</v>
      </c>
      <c r="K87" s="29">
        <v>5.3965083149480141E-2</v>
      </c>
      <c r="L87" s="24">
        <v>2.3160979892480747E-2</v>
      </c>
      <c r="N87" s="51"/>
      <c r="Y87" s="29">
        <v>5.3965083149480141E-2</v>
      </c>
      <c r="AA87" s="74"/>
      <c r="AB87" s="96">
        <v>5.3965083149480141E-2</v>
      </c>
      <c r="AC87" s="98" t="s">
        <v>239</v>
      </c>
      <c r="AD87" s="74"/>
    </row>
    <row r="88" spans="1:30" s="8" customFormat="1">
      <c r="A88" s="7" t="s">
        <v>122</v>
      </c>
      <c r="B88" s="8" t="s">
        <v>123</v>
      </c>
      <c r="C88" s="8" t="s">
        <v>124</v>
      </c>
      <c r="D88" s="12">
        <v>3</v>
      </c>
      <c r="E88" s="12">
        <v>916</v>
      </c>
      <c r="F88" s="12">
        <v>5</v>
      </c>
      <c r="G88" s="12">
        <v>4.7300000000000004</v>
      </c>
      <c r="H88" s="22">
        <v>4.9498898041425606E-2</v>
      </c>
      <c r="I88" s="22">
        <v>3.5356355743875433E-2</v>
      </c>
      <c r="J88" s="23">
        <v>42.98325218892991</v>
      </c>
      <c r="K88" s="29">
        <v>7.4603919107936928E-2</v>
      </c>
      <c r="L88" s="24">
        <v>1.5772498754320703E-2</v>
      </c>
      <c r="N88" s="51"/>
      <c r="Y88" s="29">
        <v>7.4603919107936928E-2</v>
      </c>
      <c r="AA88" s="74"/>
      <c r="AB88" s="96">
        <v>7.4603919107936928E-2</v>
      </c>
      <c r="AC88" s="98" t="s">
        <v>239</v>
      </c>
      <c r="AD88" s="74"/>
    </row>
    <row r="89" spans="1:30" s="8" customFormat="1">
      <c r="A89" s="7" t="s">
        <v>125</v>
      </c>
      <c r="B89" s="8" t="s">
        <v>126</v>
      </c>
      <c r="C89" s="8" t="s">
        <v>124</v>
      </c>
      <c r="D89" s="12">
        <v>2</v>
      </c>
      <c r="E89" s="12">
        <v>1026</v>
      </c>
      <c r="F89" s="12">
        <v>6</v>
      </c>
      <c r="G89" s="12">
        <v>3.35</v>
      </c>
      <c r="H89" s="22">
        <v>4.5759006354292274E-2</v>
      </c>
      <c r="I89" s="22">
        <v>3.2685004538780198E-2</v>
      </c>
      <c r="J89" s="23">
        <v>42.024073401060235</v>
      </c>
      <c r="K89" s="29">
        <v>5.7624037034361024E-2</v>
      </c>
      <c r="L89" s="24">
        <v>1.7201205084883889E-2</v>
      </c>
      <c r="N89" s="51"/>
      <c r="Y89" s="29">
        <v>5.7624037034361024E-2</v>
      </c>
      <c r="AA89" s="74"/>
      <c r="AB89" s="96">
        <v>5.7624037034361024E-2</v>
      </c>
      <c r="AC89" s="98" t="s">
        <v>239</v>
      </c>
      <c r="AD89" s="74"/>
    </row>
    <row r="90" spans="1:30" s="8" customFormat="1">
      <c r="A90" s="7" t="s">
        <v>127</v>
      </c>
      <c r="B90" s="8" t="s">
        <v>128</v>
      </c>
      <c r="C90" s="8" t="s">
        <v>129</v>
      </c>
      <c r="D90" s="12">
        <v>4</v>
      </c>
      <c r="E90" s="12">
        <v>1597</v>
      </c>
      <c r="F90" s="12">
        <v>7</v>
      </c>
      <c r="G90" s="12">
        <v>9.1999999999999993</v>
      </c>
      <c r="H90" s="22">
        <v>5.2250978490996101E-2</v>
      </c>
      <c r="I90" s="22">
        <v>3.7322127493568648E-2</v>
      </c>
      <c r="J90" s="23">
        <v>38.482102570950083</v>
      </c>
      <c r="K90" s="29">
        <v>7.8562963065329519E-2</v>
      </c>
      <c r="L90" s="24">
        <v>8.539452507101036E-3</v>
      </c>
      <c r="N90" s="51"/>
      <c r="Y90" s="29">
        <v>7.8562963065329519E-2</v>
      </c>
      <c r="AA90" s="74"/>
      <c r="AB90" s="96">
        <v>7.8562963065329519E-2</v>
      </c>
      <c r="AC90" s="98" t="s">
        <v>239</v>
      </c>
      <c r="AD90" s="74"/>
    </row>
    <row r="91" spans="1:30" s="8" customFormat="1">
      <c r="A91" s="7" t="s">
        <v>130</v>
      </c>
      <c r="B91" s="8" t="s">
        <v>131</v>
      </c>
      <c r="C91" s="8" t="s">
        <v>129</v>
      </c>
      <c r="D91" s="12">
        <v>4</v>
      </c>
      <c r="E91" s="12">
        <v>2500</v>
      </c>
      <c r="F91" s="12">
        <v>8</v>
      </c>
      <c r="G91" s="12">
        <v>13.32</v>
      </c>
      <c r="H91" s="22">
        <v>5.9066102097560927E-2</v>
      </c>
      <c r="I91" s="22">
        <v>4.2190072926829233E-2</v>
      </c>
      <c r="J91" s="23">
        <v>35.198682617213578</v>
      </c>
      <c r="K91" s="29">
        <v>0.10380472526237355</v>
      </c>
      <c r="L91" s="24">
        <v>7.7931475422202369E-3</v>
      </c>
      <c r="N91" s="51"/>
      <c r="Y91" s="29">
        <v>0.10380472526237355</v>
      </c>
      <c r="AA91" s="74"/>
      <c r="AB91" s="96">
        <v>0.10380472526237355</v>
      </c>
      <c r="AC91" s="98" t="s">
        <v>239</v>
      </c>
      <c r="AD91" s="74"/>
    </row>
    <row r="92" spans="1:30" s="8" customFormat="1">
      <c r="A92" s="7" t="s">
        <v>132</v>
      </c>
      <c r="B92" s="8" t="s">
        <v>133</v>
      </c>
      <c r="C92" s="8" t="s">
        <v>134</v>
      </c>
      <c r="D92" s="12">
        <v>4</v>
      </c>
      <c r="E92" s="12">
        <v>2532</v>
      </c>
      <c r="F92" s="12">
        <v>8</v>
      </c>
      <c r="G92" s="12">
        <v>9.8000000000000007</v>
      </c>
      <c r="H92" s="22">
        <v>5.0305983326196499E-2</v>
      </c>
      <c r="I92" s="22">
        <v>3.5932845232997501E-2</v>
      </c>
      <c r="J92" s="23">
        <v>35.109706143410364</v>
      </c>
      <c r="K92" s="29">
        <v>6.3967871621107536E-2</v>
      </c>
      <c r="L92" s="24">
        <v>6.5273338388885235E-3</v>
      </c>
      <c r="N92" s="51"/>
      <c r="Y92" s="29">
        <v>6.3967871621107536E-2</v>
      </c>
      <c r="AA92" s="74"/>
      <c r="AB92" s="96">
        <v>6.3967871621107536E-2</v>
      </c>
      <c r="AC92" s="98" t="s">
        <v>239</v>
      </c>
      <c r="AD92" s="74"/>
    </row>
    <row r="93" spans="1:30" s="8" customFormat="1">
      <c r="A93" s="7" t="s">
        <v>135</v>
      </c>
      <c r="B93" s="8" t="s">
        <v>136</v>
      </c>
      <c r="C93" s="8" t="s">
        <v>134</v>
      </c>
      <c r="D93" s="12">
        <v>2</v>
      </c>
      <c r="E93" s="12">
        <v>4250</v>
      </c>
      <c r="F93" s="12">
        <v>9</v>
      </c>
      <c r="G93" s="12">
        <v>13.55</v>
      </c>
      <c r="H93" s="22">
        <v>7.9193283551523788E-2</v>
      </c>
      <c r="I93" s="22">
        <v>5.6566631108231284E-2</v>
      </c>
      <c r="J93" s="23">
        <v>31.671386344828708</v>
      </c>
      <c r="K93" s="29">
        <v>0.22511679836715337</v>
      </c>
      <c r="L93" s="24">
        <v>1.6613785857354492E-2</v>
      </c>
      <c r="N93" s="51"/>
      <c r="Y93" s="29">
        <v>0.22511679836715337</v>
      </c>
      <c r="AA93" s="74"/>
      <c r="AB93" s="96">
        <v>0.22511679836715337</v>
      </c>
      <c r="AC93" s="98" t="s">
        <v>239</v>
      </c>
      <c r="AD93" s="74"/>
    </row>
    <row r="94" spans="1:30" s="8" customFormat="1">
      <c r="A94" s="7" t="s">
        <v>137</v>
      </c>
      <c r="B94" s="8" t="s">
        <v>138</v>
      </c>
      <c r="C94" s="8" t="s">
        <v>134</v>
      </c>
      <c r="D94" s="12">
        <v>4</v>
      </c>
      <c r="E94" s="12">
        <v>5767</v>
      </c>
      <c r="F94" s="12">
        <v>8</v>
      </c>
      <c r="G94" s="12">
        <v>29.75</v>
      </c>
      <c r="H94" s="22">
        <v>7.2862054430761089E-2</v>
      </c>
      <c r="I94" s="22">
        <v>5.2044324593400783E-2</v>
      </c>
      <c r="J94" s="23">
        <v>29.804883650907531</v>
      </c>
      <c r="K94" s="29">
        <v>0.16499373240522261</v>
      </c>
      <c r="L94" s="24">
        <v>5.5460078119402558E-3</v>
      </c>
      <c r="N94" s="51"/>
      <c r="Y94" s="29">
        <v>0.16499373240522261</v>
      </c>
      <c r="AA94" s="74"/>
      <c r="AB94" s="96">
        <v>0.16499373240522261</v>
      </c>
      <c r="AC94" s="98" t="s">
        <v>239</v>
      </c>
      <c r="AD94" s="74"/>
    </row>
    <row r="95" spans="1:30" s="8" customFormat="1">
      <c r="A95" s="7" t="s">
        <v>139</v>
      </c>
      <c r="B95" s="8" t="s">
        <v>140</v>
      </c>
      <c r="C95" s="8" t="s">
        <v>141</v>
      </c>
      <c r="D95" s="12">
        <v>2</v>
      </c>
      <c r="E95" s="12">
        <v>6960</v>
      </c>
      <c r="F95" s="12">
        <v>10</v>
      </c>
      <c r="G95" s="12">
        <v>29</v>
      </c>
      <c r="H95" s="22">
        <v>7.4762747006806185E-2</v>
      </c>
      <c r="I95" s="22">
        <v>5.340196214771871E-2</v>
      </c>
      <c r="J95" s="23">
        <v>28.710267072325607</v>
      </c>
      <c r="K95" s="29">
        <v>0.17169939384607449</v>
      </c>
      <c r="L95" s="24">
        <v>5.9206687533129134E-3</v>
      </c>
      <c r="N95" s="51"/>
      <c r="Y95" s="29">
        <v>0.17169939384607449</v>
      </c>
      <c r="AA95" s="74"/>
      <c r="AB95" s="96">
        <v>0.17169939384607449</v>
      </c>
      <c r="AC95" s="98" t="s">
        <v>239</v>
      </c>
      <c r="AD95" s="74"/>
    </row>
    <row r="96" spans="1:30" s="8" customFormat="1">
      <c r="A96" s="7" t="s">
        <v>142</v>
      </c>
      <c r="B96" s="8" t="s">
        <v>143</v>
      </c>
      <c r="C96" s="8" t="s">
        <v>141</v>
      </c>
      <c r="D96" s="12">
        <v>4</v>
      </c>
      <c r="E96" s="12">
        <v>11250</v>
      </c>
      <c r="F96" s="12">
        <v>11</v>
      </c>
      <c r="G96" s="12">
        <v>26.6</v>
      </c>
      <c r="H96" s="22">
        <v>6.8600660832150245E-2</v>
      </c>
      <c r="I96" s="22">
        <v>4.9000472022964467E-2</v>
      </c>
      <c r="J96" s="23">
        <v>26.09378737271528</v>
      </c>
      <c r="K96" s="29">
        <v>0.12055848887798441</v>
      </c>
      <c r="L96" s="24">
        <v>4.5322740179693389E-3</v>
      </c>
      <c r="N96" s="51"/>
      <c r="Y96" s="29">
        <v>0.12055848887798441</v>
      </c>
      <c r="AA96" s="74"/>
      <c r="AB96" s="96">
        <v>0.12055848887798441</v>
      </c>
      <c r="AC96" s="98" t="s">
        <v>239</v>
      </c>
      <c r="AD96" s="74"/>
    </row>
    <row r="97" spans="1:30" s="8" customFormat="1">
      <c r="A97" s="7" t="s">
        <v>144</v>
      </c>
      <c r="B97" s="8" t="s">
        <v>145</v>
      </c>
      <c r="C97" s="8" t="s">
        <v>141</v>
      </c>
      <c r="D97" s="12">
        <v>1</v>
      </c>
      <c r="E97" s="12">
        <v>16500</v>
      </c>
      <c r="F97" s="12">
        <v>12</v>
      </c>
      <c r="G97" s="12">
        <v>38</v>
      </c>
      <c r="H97" s="22">
        <v>0.10646997826335798</v>
      </c>
      <c r="I97" s="22">
        <v>7.6049984473827131E-2</v>
      </c>
      <c r="J97" s="23">
        <v>24.178934916516667</v>
      </c>
      <c r="K97" s="29">
        <v>0.41763264730951849</v>
      </c>
      <c r="L97" s="24">
        <v>1.0990332823934697E-2</v>
      </c>
      <c r="N97" s="51"/>
      <c r="Y97" s="29">
        <v>0.41763264730951849</v>
      </c>
      <c r="AA97" s="74"/>
      <c r="AB97" s="96">
        <v>0.41763264730951849</v>
      </c>
      <c r="AC97" s="98" t="s">
        <v>239</v>
      </c>
      <c r="AD97" s="74"/>
    </row>
    <row r="98" spans="1:30" s="8" customFormat="1">
      <c r="A98" s="7" t="s">
        <v>146</v>
      </c>
      <c r="B98" s="8" t="s">
        <v>147</v>
      </c>
      <c r="C98" s="8" t="s">
        <v>148</v>
      </c>
      <c r="D98" s="12">
        <v>2</v>
      </c>
      <c r="E98" s="12">
        <v>26000</v>
      </c>
      <c r="F98" s="12">
        <v>8</v>
      </c>
      <c r="G98" s="12">
        <v>60</v>
      </c>
      <c r="H98" s="22">
        <v>0.10845631777459896</v>
      </c>
      <c r="I98" s="22">
        <v>7.7468798410427836E-2</v>
      </c>
      <c r="J98" s="23">
        <v>22.087002223756894</v>
      </c>
      <c r="K98" s="29">
        <v>0.40325254791691484</v>
      </c>
      <c r="L98" s="24">
        <v>6.7208757986152471E-3</v>
      </c>
      <c r="N98" s="51"/>
      <c r="Y98" s="29">
        <v>0.40325254791691484</v>
      </c>
      <c r="AA98" s="74"/>
      <c r="AB98" s="96">
        <v>0.40325254791691484</v>
      </c>
      <c r="AC98" s="98" t="s">
        <v>239</v>
      </c>
      <c r="AD98" s="74"/>
    </row>
    <row r="99" spans="1:30" s="8" customFormat="1">
      <c r="A99" s="7" t="s">
        <v>149</v>
      </c>
      <c r="B99" s="8" t="s">
        <v>150</v>
      </c>
      <c r="C99" s="8" t="s">
        <v>141</v>
      </c>
      <c r="D99" s="12">
        <v>5</v>
      </c>
      <c r="E99" s="12">
        <v>29500</v>
      </c>
      <c r="F99" s="12">
        <v>8</v>
      </c>
      <c r="G99" s="12">
        <v>58.239999999999995</v>
      </c>
      <c r="H99" s="22">
        <v>0.11037983686872048</v>
      </c>
      <c r="I99" s="22">
        <v>7.8842740620514634E-2</v>
      </c>
      <c r="J99" s="23">
        <v>21.538819161432059</v>
      </c>
      <c r="K99" s="29">
        <v>0.41454044787210176</v>
      </c>
      <c r="L99" s="24">
        <v>7.1177961516500996E-3</v>
      </c>
      <c r="N99" s="51"/>
      <c r="Y99" s="29">
        <v>0.41454044787210176</v>
      </c>
      <c r="AA99" s="74"/>
      <c r="AB99" s="96">
        <v>0.41454044787210176</v>
      </c>
      <c r="AC99" s="98" t="s">
        <v>239</v>
      </c>
      <c r="AD99" s="74"/>
    </row>
    <row r="100" spans="1:30" s="8" customFormat="1">
      <c r="A100" s="7" t="s">
        <v>151</v>
      </c>
      <c r="B100" s="8" t="s">
        <v>152</v>
      </c>
      <c r="C100" s="8" t="s">
        <v>148</v>
      </c>
      <c r="D100" s="12">
        <v>4</v>
      </c>
      <c r="E100" s="12">
        <v>29917</v>
      </c>
      <c r="F100" s="12">
        <v>5</v>
      </c>
      <c r="G100" s="12">
        <v>56</v>
      </c>
      <c r="H100" s="22">
        <v>0.10206166763537357</v>
      </c>
      <c r="I100" s="22">
        <v>7.2901191168123977E-2</v>
      </c>
      <c r="J100" s="23">
        <v>21.478739010642951</v>
      </c>
      <c r="K100" s="29">
        <v>0.32679284569276612</v>
      </c>
      <c r="L100" s="24">
        <v>5.8355865302279668E-3</v>
      </c>
      <c r="N100" s="51"/>
      <c r="Y100" s="29">
        <v>0.32679284569276612</v>
      </c>
      <c r="AA100" s="74"/>
      <c r="AB100" s="96">
        <v>0.32679284569276612</v>
      </c>
      <c r="AC100" s="98" t="s">
        <v>239</v>
      </c>
      <c r="AD100" s="74"/>
    </row>
    <row r="101" spans="1:30" s="8" customFormat="1">
      <c r="A101" s="7" t="s">
        <v>153</v>
      </c>
      <c r="B101" s="8" t="s">
        <v>154</v>
      </c>
      <c r="C101" s="8" t="s">
        <v>141</v>
      </c>
      <c r="D101" s="12">
        <v>4</v>
      </c>
      <c r="E101" s="12">
        <v>41000</v>
      </c>
      <c r="F101" s="12">
        <v>11</v>
      </c>
      <c r="G101" s="12">
        <v>66.75</v>
      </c>
      <c r="H101" s="22">
        <v>8.6646455039161255E-2</v>
      </c>
      <c r="I101" s="22">
        <v>6.1890325027972329E-2</v>
      </c>
      <c r="J101" s="23">
        <v>20.173092674428965</v>
      </c>
      <c r="K101" s="29">
        <v>0.18780219321057642</v>
      </c>
      <c r="L101" s="24">
        <v>2.8135160031547029E-3</v>
      </c>
      <c r="N101" s="51"/>
      <c r="Y101" s="29">
        <v>0.18780219321057642</v>
      </c>
      <c r="AA101" s="74"/>
      <c r="AB101" s="96">
        <v>0.18780219321057642</v>
      </c>
      <c r="AC101" s="98" t="s">
        <v>239</v>
      </c>
      <c r="AD101" s="74"/>
    </row>
    <row r="102" spans="1:30" s="8" customFormat="1">
      <c r="A102" s="7" t="s">
        <v>155</v>
      </c>
      <c r="B102" s="8" t="s">
        <v>156</v>
      </c>
      <c r="C102" s="8" t="s">
        <v>141</v>
      </c>
      <c r="D102" s="12">
        <v>4</v>
      </c>
      <c r="E102" s="12">
        <v>46250</v>
      </c>
      <c r="F102" s="12">
        <v>8</v>
      </c>
      <c r="G102" s="12">
        <v>51.575000000000003</v>
      </c>
      <c r="H102" s="22">
        <v>0.10042788562445155</v>
      </c>
      <c r="I102" s="22">
        <v>7.17342040174654E-2</v>
      </c>
      <c r="J102" s="23">
        <v>19.695147400860467</v>
      </c>
      <c r="K102" s="29">
        <v>0.28549464854573992</v>
      </c>
      <c r="L102" s="24">
        <v>5.5355239659862316E-3</v>
      </c>
      <c r="N102" s="51"/>
      <c r="Y102" s="29">
        <v>0.28549464854573992</v>
      </c>
      <c r="AA102" s="74"/>
      <c r="AB102" s="96">
        <v>0.28549464854573992</v>
      </c>
      <c r="AC102" s="98" t="s">
        <v>239</v>
      </c>
      <c r="AD102" s="74"/>
    </row>
    <row r="104" spans="1:30">
      <c r="A104" t="s">
        <v>163</v>
      </c>
    </row>
    <row r="105" spans="1:30">
      <c r="A105" t="s">
        <v>162</v>
      </c>
    </row>
    <row r="106" spans="1:30">
      <c r="A106" t="s">
        <v>161</v>
      </c>
    </row>
    <row r="107" spans="1:30">
      <c r="A107" t="s">
        <v>164</v>
      </c>
    </row>
    <row r="108" spans="1:30">
      <c r="A108" t="s">
        <v>165</v>
      </c>
    </row>
    <row r="109" spans="1:30">
      <c r="A109" t="s">
        <v>166</v>
      </c>
    </row>
    <row r="110" spans="1:30">
      <c r="A110" t="s">
        <v>167</v>
      </c>
    </row>
    <row r="111" spans="1:30">
      <c r="A111" t="s">
        <v>160</v>
      </c>
    </row>
    <row r="112" spans="1:30">
      <c r="A112" t="s">
        <v>168</v>
      </c>
    </row>
    <row r="113" spans="1:1">
      <c r="A113" t="s">
        <v>157</v>
      </c>
    </row>
    <row r="114" spans="1:1">
      <c r="A114" t="s">
        <v>158</v>
      </c>
    </row>
    <row r="115" spans="1:1">
      <c r="A115" t="s">
        <v>159</v>
      </c>
    </row>
  </sheetData>
  <sortState xmlns:xlrd2="http://schemas.microsoft.com/office/spreadsheetml/2017/richdata2" ref="A6:Q80">
    <sortCondition ref="A11:A80"/>
  </sortState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04909B-297A-4066-ADB8-1A59CA1D1E62}"/>
</file>

<file path=customXml/itemProps2.xml><?xml version="1.0" encoding="utf-8"?>
<ds:datastoreItem xmlns:ds="http://schemas.openxmlformats.org/officeDocument/2006/customXml" ds:itemID="{9D3FF3FB-8FF7-451C-8855-6A6B089AF5E9}"/>
</file>

<file path=customXml/itemProps3.xml><?xml version="1.0" encoding="utf-8"?>
<ds:datastoreItem xmlns:ds="http://schemas.openxmlformats.org/officeDocument/2006/customXml" ds:itemID="{E7F9EDEB-6079-459A-866C-F43C2BB12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The 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</dc:creator>
  <cp:lastModifiedBy>Microsoft Office User</cp:lastModifiedBy>
  <dcterms:created xsi:type="dcterms:W3CDTF">2015-05-07T05:39:07Z</dcterms:created>
  <dcterms:modified xsi:type="dcterms:W3CDTF">2020-02-06T15:31:50Z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